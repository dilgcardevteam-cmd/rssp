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defaultThemeVersion="124226"/>
  <mc:AlternateContent xmlns:mc="http://schemas.openxmlformats.org/markup-compatibility/2006">
    <mc:Choice Requires="x15">
      <x15ac:absPath xmlns:x15ac="http://schemas.microsoft.com/office/spreadsheetml/2010/11/ac" url="D:\YHUMIES FILES\Yhumies Drive\RHRMSPB\"/>
    </mc:Choice>
  </mc:AlternateContent>
  <xr:revisionPtr revIDLastSave="0" documentId="13_ncr:1_{B2C99C98-9449-4366-9877-97E237B32B33}" xr6:coauthVersionLast="47" xr6:coauthVersionMax="47" xr10:uidLastSave="{00000000-0000-0000-0000-000000000000}"/>
  <bookViews>
    <workbookView xWindow="-108" yWindow="-108" windowWidth="23256" windowHeight="13896" tabRatio="538" firstSheet="4" activeTab="4" xr2:uid="{00000000-000D-0000-FFFF-FFFF00000000}"/>
  </bookViews>
  <sheets>
    <sheet name="RatPlan Strat" sheetId="39" state="hidden" r:id="rId1"/>
    <sheet name="Reclass18" sheetId="46" state="hidden" r:id="rId2"/>
    <sheet name="JO inventory" sheetId="37" state="hidden" r:id="rId3"/>
    <sheet name="staffing plan" sheetId="1" state="hidden" r:id="rId4"/>
    <sheet name="list of positions" sheetId="70" r:id="rId5"/>
    <sheet name="pivot" sheetId="10" state="hidden" r:id="rId6"/>
    <sheet name="Inventory of Positions" sheetId="43" state="hidden" r:id="rId7"/>
    <sheet name="2018 nosa db" sheetId="47" state="hidden" r:id="rId8"/>
    <sheet name="ASSIGNMENT" sheetId="64" state="hidden" r:id="rId9"/>
    <sheet name="= Blood type - bp no." sheetId="62" state="hidden" r:id="rId10"/>
    <sheet name="True or False 2018" sheetId="56" state="hidden" r:id="rId11"/>
    <sheet name="inventory 5-6" sheetId="42" state="hidden" r:id="rId12"/>
    <sheet name="salary grade" sheetId="4" state="hidden" r:id="rId13"/>
    <sheet name="HR Profile PT" sheetId="8" state="hidden" r:id="rId14"/>
    <sheet name="HR Profile" sheetId="2" state="hidden" r:id="rId15"/>
    <sheet name="formula edits" sheetId="5" state="hidden" r:id="rId16"/>
    <sheet name="mirror" sheetId="11" state="hidden" r:id="rId17"/>
    <sheet name="mirror 2018" sheetId="22" state="hidden" r:id="rId18"/>
    <sheet name="mirror2020" sheetId="67" state="hidden" r:id="rId19"/>
    <sheet name="SI 2020" sheetId="68" state="hidden" r:id="rId20"/>
    <sheet name="2018SI " sheetId="20" state="hidden" r:id="rId21"/>
    <sheet name="BP205 19" sheetId="29" state="hidden" r:id="rId22"/>
    <sheet name="BP205 20" sheetId="32" state="hidden" r:id="rId23"/>
    <sheet name="BP205 21" sheetId="35" state="hidden" r:id="rId24"/>
    <sheet name="BP205 22" sheetId="53" state="hidden" r:id="rId25"/>
    <sheet name="BP205 23" sheetId="66" state="hidden" r:id="rId26"/>
    <sheet name="COS in CO" sheetId="41" state="hidden" r:id="rId27"/>
    <sheet name="Sheet1" sheetId="36" state="hidden" r:id="rId28"/>
    <sheet name="Sheet2" sheetId="38" state="hidden" r:id="rId29"/>
  </sheets>
  <externalReferences>
    <externalReference r:id="rId30"/>
    <externalReference r:id="rId31"/>
  </externalReferences>
  <definedNames>
    <definedName name="_xlnm._FilterDatabase" localSheetId="7" hidden="1">'2018 nosa db'!$A$1:$Y$230</definedName>
    <definedName name="_xlnm._FilterDatabase" localSheetId="8" hidden="1">ASSIGNMENT!$A$9:$D$220</definedName>
    <definedName name="_xlnm._FilterDatabase" localSheetId="24" hidden="1">'BP205 22'!$A$10:$X$40</definedName>
    <definedName name="_xlnm._FilterDatabase" localSheetId="25" hidden="1">'BP205 23'!$A$10:$X$45</definedName>
    <definedName name="_xlnm._FilterDatabase" localSheetId="26" hidden="1">'COS in CO'!#REF!</definedName>
    <definedName name="_xlnm._FilterDatabase" localSheetId="11" hidden="1">'inventory 5-6'!$A$15:$R$23</definedName>
    <definedName name="_xlnm._FilterDatabase" localSheetId="2" hidden="1">'JO inventory'!$A$8:$W$75</definedName>
    <definedName name="_xlnm._FilterDatabase" localSheetId="16" hidden="1">mirror!$A$2:$Y$231</definedName>
    <definedName name="_xlnm._FilterDatabase" localSheetId="17" hidden="1">'mirror 2018'!$A$1:$Y$230</definedName>
    <definedName name="_xlnm._FilterDatabase" localSheetId="18" hidden="1">mirror2020!$A$1:$Y$230</definedName>
    <definedName name="_xlnm._FilterDatabase" localSheetId="0" hidden="1">'RatPlan Strat'!$A$10:$AY$286</definedName>
    <definedName name="_xlnm._FilterDatabase" localSheetId="3" hidden="1">'staffing plan'!$A$9:$BQ$244</definedName>
    <definedName name="AbraSG" localSheetId="11">'inventory 5-6'!$B$63:$B$110</definedName>
    <definedName name="AbraSG">'Inventory of Positions'!$B$63:$B$109</definedName>
    <definedName name="age">'staffing plan'!$BA$12:$BA$241</definedName>
    <definedName name="agegroup">'staffing plan'!$BB$12:$BB$242</definedName>
    <definedName name="ApayaoSG" localSheetId="11">'inventory 5-6'!$B$113:$B$135</definedName>
    <definedName name="ApayaoSG">'Inventory of Positions'!$B$112:$B$133</definedName>
    <definedName name="BaguioSG" localSheetId="11">'inventory 5-6'!$B$138:$B$144</definedName>
    <definedName name="BaguioSG">'Inventory of Positions'!$B$136:$B$142</definedName>
    <definedName name="BARNACHEA" localSheetId="1">'[1]salary grade'!$B$2:$I$29</definedName>
    <definedName name="barnachea">'salary grade'!$B$2:$I$29</definedName>
    <definedName name="BARNACHEA1">'salary grade'!$M$2:$T$29</definedName>
    <definedName name="barnachea18" localSheetId="7">#REF!</definedName>
    <definedName name="barnachea18" localSheetId="24">#REF!</definedName>
    <definedName name="barnachea18" localSheetId="25">#REF!</definedName>
    <definedName name="barnachea18" localSheetId="19">#REF!</definedName>
    <definedName name="barnachea18">#REF!</definedName>
    <definedName name="BenguetSG" localSheetId="11">'inventory 5-6'!$B$147:$B$176</definedName>
    <definedName name="BenguetSG">'Inventory of Positions'!$B$145:$B$173</definedName>
    <definedName name="_xlnm.Extract" localSheetId="7">'2018 nosa db'!$B$233:$R$233</definedName>
    <definedName name="_xlnm.Extract" localSheetId="16">mirror!$B$233:$R$233</definedName>
    <definedName name="_xlnm.Extract" localSheetId="17">'mirror 2018'!$B$232:$R$232</definedName>
    <definedName name="_xlnm.Extract" localSheetId="18">mirror2020!$B$232:$R$232</definedName>
    <definedName name="gender">'staffing plan'!$AY$12:$AY$241</definedName>
    <definedName name="genderagegroupstation">'staffing plan'!$BD$12:$BD$242</definedName>
    <definedName name="GENDERSTATION">'staffing plan'!$L$12:$L$241</definedName>
    <definedName name="GRACE" localSheetId="1">'[1]salary grade'!$B$1:$I$1</definedName>
    <definedName name="grace">'salary grade'!$B$1:$I$1</definedName>
    <definedName name="gRACE1">'salary grade'!$M$1:$T$1</definedName>
    <definedName name="IDICA" localSheetId="1">'[1]salary grade'!$A$2:$I$29</definedName>
    <definedName name="idica">'salary grade'!$A$2:$I$29</definedName>
    <definedName name="IDICA1">'salary grade'!$L$2:$S$29</definedName>
    <definedName name="idica18" localSheetId="7">#REF!</definedName>
    <definedName name="idica18" localSheetId="24">#REF!</definedName>
    <definedName name="idica18" localSheetId="25">#REF!</definedName>
    <definedName name="idica18" localSheetId="19">#REF!</definedName>
    <definedName name="idica18">#REF!</definedName>
    <definedName name="IfugaoSG" localSheetId="11">'inventory 5-6'!$B$179:$B$203</definedName>
    <definedName name="IfugaoSG">'Inventory of Positions'!$B$176:$B$200</definedName>
    <definedName name="KalingaSG" localSheetId="11">'inventory 5-6'!$B$206:$B$228</definedName>
    <definedName name="KalingaSG">'Inventory of Positions'!$B$203:$B$225</definedName>
    <definedName name="Level">'staffing plan'!$AM$12:$AM$240</definedName>
    <definedName name="leveljo" localSheetId="26">'COS in CO'!#REF!</definedName>
    <definedName name="leveljo" localSheetId="1">#REF!</definedName>
    <definedName name="leveljo">'JO inventory'!$J$9:$J$64</definedName>
    <definedName name="leveljo18">'[2]JO inventory'!$J$9:$J$66</definedName>
    <definedName name="MtProvinceSG" localSheetId="11">'inventory 5-6'!$B$231:$B$254</definedName>
    <definedName name="MtProvinceSG">'Inventory of Positions'!$B$228:$B$251</definedName>
    <definedName name="nORMAN" localSheetId="1">'[1]salary grade'!$A$2:$A$29</definedName>
    <definedName name="norman">'salary grade'!$A$2:$A$29</definedName>
    <definedName name="NORMAN1">'salary grade'!$L$2:$L$29</definedName>
    <definedName name="Norman18" localSheetId="7">#REF!</definedName>
    <definedName name="Norman18" localSheetId="24">#REF!</definedName>
    <definedName name="Norman18" localSheetId="25">#REF!</definedName>
    <definedName name="Norman18" localSheetId="19">#REF!</definedName>
    <definedName name="Norman18">#REF!</definedName>
    <definedName name="positiontitle">'staffing plan'!#REF!</definedName>
    <definedName name="PosStSex">'staffing plan'!$K$12:$K$240</definedName>
    <definedName name="_xlnm.Print_Area" localSheetId="8">ASSIGNMENT!$A$1:$D$220</definedName>
    <definedName name="_xlnm.Print_Area" localSheetId="21">'BP205 19'!$A$1:$M$79</definedName>
    <definedName name="_xlnm.Print_Area" localSheetId="22">'BP205 20'!$A$1:$L$79</definedName>
    <definedName name="_xlnm.Print_Area" localSheetId="23">'BP205 21'!$A$1:$L$78</definedName>
    <definedName name="_xlnm.Print_Area" localSheetId="24">'BP205 22'!$A$1:$L$84</definedName>
    <definedName name="_xlnm.Print_Area" localSheetId="25">'BP205 23'!$A$1:$L$89</definedName>
    <definedName name="_xlnm.Print_Area" localSheetId="13">'HR Profile PT'!$A$1:$V$92</definedName>
    <definedName name="_xlnm.Print_Area" localSheetId="11">'inventory 5-6'!$A$1:$I$254</definedName>
    <definedName name="_xlnm.Print_Area" localSheetId="6">'Inventory of Positions'!$A$1:$I$251</definedName>
    <definedName name="_xlnm.Print_Area" localSheetId="0">'RatPlan Strat'!$A$1:$AY$286</definedName>
    <definedName name="_xlnm.Print_Area" localSheetId="3">'staffing plan'!$A$1:$BP$263</definedName>
    <definedName name="_xlnm.Print_Titles" localSheetId="8">ASSIGNMENT!$8:$9</definedName>
    <definedName name="_xlnm.Print_Titles" localSheetId="26">'COS in CO'!$20:$21</definedName>
    <definedName name="_xlnm.Print_Titles" localSheetId="11">'inventory 5-6'!$4:$5</definedName>
    <definedName name="_xlnm.Print_Titles" localSheetId="6">'Inventory of Positions'!$4:$5</definedName>
    <definedName name="_xlnm.Print_Titles" localSheetId="2">'JO inventory'!$7:$8</definedName>
    <definedName name="_xlnm.Print_Titles" localSheetId="4">'list of positions'!$1:$2</definedName>
    <definedName name="_xlnm.Print_Titles" localSheetId="0">'RatPlan Strat'!$5:$9</definedName>
    <definedName name="_xlnm.Print_Titles" localSheetId="3">'staffing plan'!$7:$9</definedName>
    <definedName name="PTSexCat">'staffing plan'!$BE$12:$BE$240</definedName>
    <definedName name="PTStation">'staffing plan'!$J$12:$J$240</definedName>
    <definedName name="sexjo" localSheetId="26">'COS in CO'!#REF!</definedName>
    <definedName name="sexjo" localSheetId="1">#REF!</definedName>
    <definedName name="sexjo">'JO inventory'!$G$9:$G$64</definedName>
    <definedName name="sexjo18">'[2]JO inventory'!$G$9:$G$66</definedName>
    <definedName name="sexlevel" localSheetId="7">'JO inventory'!#REF!</definedName>
    <definedName name="sexlevel" localSheetId="24">'JO inventory'!#REF!</definedName>
    <definedName name="sexlevel" localSheetId="25">'JO inventory'!#REF!</definedName>
    <definedName name="sexlevel" localSheetId="26">'COS in CO'!#REF!</definedName>
    <definedName name="sexlevel" localSheetId="11">'JO inventory'!#REF!</definedName>
    <definedName name="sexlevel" localSheetId="19">'JO inventory'!#REF!</definedName>
    <definedName name="sexlevel">'JO inventory'!#REF!</definedName>
    <definedName name="ShrtPT">'staffing plan'!$I$12:$I$240</definedName>
    <definedName name="station" localSheetId="1">[1]LIST!$P$2:$P$207</definedName>
    <definedName name="station">'staffing plan'!$AX$11:$AX$244</definedName>
    <definedName name="stationjo" localSheetId="26">'COS in CO'!#REF!</definedName>
    <definedName name="stationjo">'JO inventory'!$O$9:$O$64</definedName>
    <definedName name="status">'staffing plan'!$BM$12:$BM$240</definedName>
    <definedName name="statuslevel">'staffing plan'!$BQ$11:$BQ$241</definedName>
    <definedName name="statuslevel1">'staffing plan'!$B:$AN</definedName>
    <definedName name="Z_30F1B60F_1795_4CA0_AD9F_DCCF5D6D004F_.wvu.Cols" localSheetId="21" hidden="1">'BP205 19'!#REF!</definedName>
    <definedName name="Z_30F1B60F_1795_4CA0_AD9F_DCCF5D6D004F_.wvu.Cols" localSheetId="22" hidden="1">'BP205 20'!#REF!</definedName>
    <definedName name="Z_30F1B60F_1795_4CA0_AD9F_DCCF5D6D004F_.wvu.Cols" localSheetId="23" hidden="1">'BP205 21'!#REF!</definedName>
    <definedName name="Z_30F1B60F_1795_4CA0_AD9F_DCCF5D6D004F_.wvu.Cols" localSheetId="24" hidden="1">'BP205 22'!#REF!</definedName>
    <definedName name="Z_30F1B60F_1795_4CA0_AD9F_DCCF5D6D004F_.wvu.Cols" localSheetId="25" hidden="1">'BP205 23'!#REF!</definedName>
    <definedName name="Z_30F1B60F_1795_4CA0_AD9F_DCCF5D6D004F_.wvu.Cols" localSheetId="0" hidden="1">'RatPlan Strat'!$A:$B,'RatPlan Strat'!$G:$G,'RatPlan Strat'!$I:$S,'RatPlan Strat'!$V:$AA</definedName>
    <definedName name="Z_30F1B60F_1795_4CA0_AD9F_DCCF5D6D004F_.wvu.FilterData" localSheetId="0" hidden="1">'RatPlan Strat'!$A$9:$AJ$290</definedName>
    <definedName name="Z_30F1B60F_1795_4CA0_AD9F_DCCF5D6D004F_.wvu.PrintArea" localSheetId="21" hidden="1">'BP205 19'!$A$1:$M$79</definedName>
    <definedName name="Z_30F1B60F_1795_4CA0_AD9F_DCCF5D6D004F_.wvu.PrintArea" localSheetId="22" hidden="1">'BP205 20'!$A$1:$L$79</definedName>
    <definedName name="Z_30F1B60F_1795_4CA0_AD9F_DCCF5D6D004F_.wvu.PrintArea" localSheetId="23" hidden="1">'BP205 21'!$A$1:$L$78</definedName>
    <definedName name="Z_30F1B60F_1795_4CA0_AD9F_DCCF5D6D004F_.wvu.PrintArea" localSheetId="24" hidden="1">'BP205 22'!$A$1:$L$84</definedName>
    <definedName name="Z_30F1B60F_1795_4CA0_AD9F_DCCF5D6D004F_.wvu.PrintArea" localSheetId="25" hidden="1">'BP205 23'!$A$1:$L$89</definedName>
    <definedName name="Z_30F1B60F_1795_4CA0_AD9F_DCCF5D6D004F_.wvu.PrintArea" localSheetId="0" hidden="1">'RatPlan Strat'!$A$1:$AE$291</definedName>
    <definedName name="Z_30F1B60F_1795_4CA0_AD9F_DCCF5D6D004F_.wvu.PrintTitles" localSheetId="0" hidden="1">'RatPlan Strat'!$1:$9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3" i="38" l="1"/>
  <c r="C12" i="38"/>
  <c r="C11" i="38"/>
  <c r="C10" i="38"/>
  <c r="C9" i="38"/>
  <c r="C8" i="38"/>
  <c r="C7" i="38"/>
  <c r="C6" i="38"/>
  <c r="E27" i="41"/>
  <c r="E26" i="41"/>
  <c r="E25" i="41"/>
  <c r="E24" i="41"/>
  <c r="E23" i="41"/>
  <c r="E22" i="41"/>
  <c r="E21" i="41"/>
  <c r="E20" i="41"/>
  <c r="E19" i="41"/>
  <c r="E18" i="41"/>
  <c r="E17" i="41"/>
  <c r="E16" i="41"/>
  <c r="E15" i="41"/>
  <c r="E14" i="41"/>
  <c r="E13" i="41"/>
  <c r="E12" i="41"/>
  <c r="E11" i="41"/>
  <c r="E10" i="41"/>
  <c r="E9" i="41"/>
  <c r="A2" i="41"/>
  <c r="J74" i="66"/>
  <c r="B74" i="66"/>
  <c r="M68" i="66"/>
  <c r="J68" i="66"/>
  <c r="I68" i="66"/>
  <c r="J67" i="66"/>
  <c r="M67" i="66" s="1"/>
  <c r="I67" i="66"/>
  <c r="J66" i="66"/>
  <c r="I66" i="66"/>
  <c r="J65" i="66"/>
  <c r="J64" i="66"/>
  <c r="J63" i="66"/>
  <c r="J62" i="66"/>
  <c r="I62" i="66"/>
  <c r="J61" i="66"/>
  <c r="I61" i="66"/>
  <c r="A52" i="66"/>
  <c r="A51" i="66"/>
  <c r="J48" i="66"/>
  <c r="W43" i="66"/>
  <c r="S43" i="66"/>
  <c r="J43" i="66"/>
  <c r="M43" i="66" s="1"/>
  <c r="I43" i="66"/>
  <c r="W42" i="66"/>
  <c r="S42" i="66"/>
  <c r="J42" i="66"/>
  <c r="M42" i="66" s="1"/>
  <c r="I42" i="66"/>
  <c r="W41" i="66"/>
  <c r="S41" i="66"/>
  <c r="J41" i="66"/>
  <c r="I41" i="66"/>
  <c r="W40" i="66"/>
  <c r="S40" i="66"/>
  <c r="J40" i="66"/>
  <c r="I40" i="66"/>
  <c r="S39" i="66"/>
  <c r="J39" i="66"/>
  <c r="I39" i="66"/>
  <c r="S38" i="66"/>
  <c r="J38" i="66"/>
  <c r="M38" i="66" s="1"/>
  <c r="I38" i="66"/>
  <c r="S37" i="66"/>
  <c r="J37" i="66"/>
  <c r="I37" i="66"/>
  <c r="S36" i="66"/>
  <c r="J36" i="66"/>
  <c r="I36" i="66"/>
  <c r="W35" i="66"/>
  <c r="S35" i="66"/>
  <c r="J35" i="66"/>
  <c r="M35" i="66" s="1"/>
  <c r="H35" i="66"/>
  <c r="I35" i="66" s="1"/>
  <c r="G35" i="66"/>
  <c r="W34" i="66"/>
  <c r="S34" i="66"/>
  <c r="J34" i="66"/>
  <c r="M34" i="66" s="1"/>
  <c r="H34" i="66"/>
  <c r="G34" i="66"/>
  <c r="W33" i="66"/>
  <c r="S33" i="66"/>
  <c r="J33" i="66"/>
  <c r="H33" i="66"/>
  <c r="G33" i="66"/>
  <c r="I33" i="66" s="1"/>
  <c r="S32" i="66"/>
  <c r="J32" i="66"/>
  <c r="M32" i="66" s="1"/>
  <c r="N32" i="66" s="1"/>
  <c r="H32" i="66"/>
  <c r="G32" i="66"/>
  <c r="S31" i="66"/>
  <c r="J31" i="66"/>
  <c r="M31" i="66" s="1"/>
  <c r="H31" i="66"/>
  <c r="G31" i="66"/>
  <c r="I31" i="66" s="1"/>
  <c r="S30" i="66"/>
  <c r="J30" i="66"/>
  <c r="M30" i="66" s="1"/>
  <c r="N30" i="66" s="1"/>
  <c r="H30" i="66"/>
  <c r="G30" i="66"/>
  <c r="I30" i="66" s="1"/>
  <c r="S29" i="66"/>
  <c r="J29" i="66"/>
  <c r="I29" i="66"/>
  <c r="S28" i="66"/>
  <c r="J28" i="66"/>
  <c r="I28" i="66"/>
  <c r="S27" i="66"/>
  <c r="J27" i="66"/>
  <c r="M27" i="66" s="1"/>
  <c r="N27" i="66" s="1"/>
  <c r="I27" i="66"/>
  <c r="S26" i="66"/>
  <c r="J26" i="66"/>
  <c r="M26" i="66" s="1"/>
  <c r="I26" i="66"/>
  <c r="S25" i="66"/>
  <c r="J25" i="66"/>
  <c r="I25" i="66"/>
  <c r="S24" i="66"/>
  <c r="J24" i="66"/>
  <c r="I24" i="66"/>
  <c r="S23" i="66"/>
  <c r="J23" i="66"/>
  <c r="M23" i="66" s="1"/>
  <c r="I23" i="66"/>
  <c r="S22" i="66"/>
  <c r="J22" i="66"/>
  <c r="M22" i="66" s="1"/>
  <c r="I22" i="66"/>
  <c r="S21" i="66"/>
  <c r="J21" i="66"/>
  <c r="M21" i="66" s="1"/>
  <c r="I21" i="66"/>
  <c r="S20" i="66"/>
  <c r="J20" i="66"/>
  <c r="M20" i="66" s="1"/>
  <c r="I20" i="66"/>
  <c r="S19" i="66"/>
  <c r="J19" i="66"/>
  <c r="M19" i="66" s="1"/>
  <c r="I19" i="66"/>
  <c r="S18" i="66"/>
  <c r="J18" i="66"/>
  <c r="I18" i="66"/>
  <c r="S17" i="66"/>
  <c r="J17" i="66"/>
  <c r="I17" i="66"/>
  <c r="S16" i="66"/>
  <c r="J16" i="66"/>
  <c r="I16" i="66"/>
  <c r="S15" i="66"/>
  <c r="J15" i="66"/>
  <c r="M15" i="66" s="1"/>
  <c r="I15" i="66"/>
  <c r="S14" i="66"/>
  <c r="J14" i="66"/>
  <c r="M14" i="66" s="1"/>
  <c r="I14" i="66"/>
  <c r="S13" i="66"/>
  <c r="J13" i="66"/>
  <c r="I13" i="66"/>
  <c r="S12" i="66"/>
  <c r="R12" i="66"/>
  <c r="J12" i="66"/>
  <c r="I12" i="66"/>
  <c r="M11" i="66"/>
  <c r="N11" i="66" s="1"/>
  <c r="J11" i="66"/>
  <c r="I11" i="66"/>
  <c r="P9" i="66"/>
  <c r="J69" i="53"/>
  <c r="B69" i="53"/>
  <c r="J63" i="53"/>
  <c r="M63" i="53" s="1"/>
  <c r="I63" i="53"/>
  <c r="J62" i="53"/>
  <c r="M62" i="53" s="1"/>
  <c r="N62" i="53" s="1"/>
  <c r="I62" i="53"/>
  <c r="J61" i="53"/>
  <c r="M61" i="53" s="1"/>
  <c r="N61" i="53" s="1"/>
  <c r="I61" i="53"/>
  <c r="I65" i="53" s="1"/>
  <c r="J60" i="53"/>
  <c r="M60" i="53" s="1"/>
  <c r="N60" i="53" s="1"/>
  <c r="J59" i="53"/>
  <c r="J58" i="53"/>
  <c r="J57" i="53"/>
  <c r="M57" i="53" s="1"/>
  <c r="I57" i="53"/>
  <c r="J56" i="53"/>
  <c r="M56" i="53" s="1"/>
  <c r="N56" i="53" s="1"/>
  <c r="I56" i="53"/>
  <c r="A47" i="53"/>
  <c r="A46" i="53"/>
  <c r="J43" i="53"/>
  <c r="W38" i="53"/>
  <c r="J38" i="53"/>
  <c r="I38" i="53"/>
  <c r="W37" i="53"/>
  <c r="J37" i="53"/>
  <c r="M37" i="53" s="1"/>
  <c r="I37" i="53"/>
  <c r="W36" i="53"/>
  <c r="J36" i="53"/>
  <c r="I36" i="53"/>
  <c r="W35" i="53"/>
  <c r="J35" i="53"/>
  <c r="H35" i="53"/>
  <c r="G35" i="53"/>
  <c r="W34" i="53"/>
  <c r="J34" i="53"/>
  <c r="H34" i="53"/>
  <c r="G34" i="53"/>
  <c r="W33" i="53"/>
  <c r="J33" i="53"/>
  <c r="M33" i="53" s="1"/>
  <c r="H33" i="53"/>
  <c r="G33" i="53"/>
  <c r="S32" i="53"/>
  <c r="J32" i="53"/>
  <c r="M32" i="53" s="1"/>
  <c r="H32" i="53"/>
  <c r="G32" i="53"/>
  <c r="S31" i="53"/>
  <c r="J31" i="53"/>
  <c r="H31" i="53"/>
  <c r="G31" i="53"/>
  <c r="S30" i="53"/>
  <c r="J30" i="53"/>
  <c r="M30" i="53" s="1"/>
  <c r="H30" i="53"/>
  <c r="G30" i="53"/>
  <c r="S29" i="53"/>
  <c r="J29" i="53"/>
  <c r="I29" i="53"/>
  <c r="S28" i="53"/>
  <c r="J28" i="53"/>
  <c r="I28" i="53"/>
  <c r="S27" i="53"/>
  <c r="J27" i="53"/>
  <c r="I27" i="53"/>
  <c r="S26" i="53"/>
  <c r="J26" i="53"/>
  <c r="I26" i="53"/>
  <c r="S25" i="53"/>
  <c r="J25" i="53"/>
  <c r="I25" i="53"/>
  <c r="S24" i="53"/>
  <c r="J24" i="53"/>
  <c r="I24" i="53"/>
  <c r="S23" i="53"/>
  <c r="J23" i="53"/>
  <c r="I23" i="53"/>
  <c r="S22" i="53"/>
  <c r="J22" i="53"/>
  <c r="I22" i="53"/>
  <c r="S21" i="53"/>
  <c r="J21" i="53"/>
  <c r="I21" i="53"/>
  <c r="S20" i="53"/>
  <c r="J20" i="53"/>
  <c r="I20" i="53"/>
  <c r="W19" i="53"/>
  <c r="S19" i="53"/>
  <c r="J19" i="53"/>
  <c r="M19" i="53" s="1"/>
  <c r="I19" i="53"/>
  <c r="S18" i="53"/>
  <c r="M18" i="53"/>
  <c r="J18" i="53"/>
  <c r="I18" i="53"/>
  <c r="S17" i="53"/>
  <c r="J17" i="53"/>
  <c r="M17" i="53" s="1"/>
  <c r="I17" i="53"/>
  <c r="S16" i="53"/>
  <c r="J16" i="53"/>
  <c r="I16" i="53"/>
  <c r="S15" i="53"/>
  <c r="J15" i="53"/>
  <c r="I15" i="53"/>
  <c r="S14" i="53"/>
  <c r="J14" i="53"/>
  <c r="M14" i="53" s="1"/>
  <c r="I14" i="53"/>
  <c r="S13" i="53"/>
  <c r="M13" i="53"/>
  <c r="J13" i="53"/>
  <c r="I13" i="53"/>
  <c r="S12" i="53"/>
  <c r="R12" i="53"/>
  <c r="J12" i="53"/>
  <c r="M12" i="53" s="1"/>
  <c r="I12" i="53"/>
  <c r="J11" i="53"/>
  <c r="M11" i="53" s="1"/>
  <c r="I11" i="53"/>
  <c r="P9" i="53"/>
  <c r="J63" i="35"/>
  <c r="B63" i="35"/>
  <c r="J57" i="35"/>
  <c r="M57" i="35" s="1"/>
  <c r="I57" i="35"/>
  <c r="J56" i="35"/>
  <c r="I56" i="35"/>
  <c r="J55" i="35"/>
  <c r="I55" i="35"/>
  <c r="J54" i="35"/>
  <c r="J53" i="35"/>
  <c r="J52" i="35"/>
  <c r="S51" i="35"/>
  <c r="J51" i="35"/>
  <c r="M51" i="35" s="1"/>
  <c r="I51" i="35"/>
  <c r="S50" i="35"/>
  <c r="J50" i="35"/>
  <c r="M50" i="35" s="1"/>
  <c r="I50" i="35"/>
  <c r="A41" i="35"/>
  <c r="A40" i="35"/>
  <c r="J37" i="35"/>
  <c r="S32" i="35"/>
  <c r="J32" i="35"/>
  <c r="I32" i="35"/>
  <c r="S31" i="35"/>
  <c r="M31" i="35"/>
  <c r="J31" i="35"/>
  <c r="I31" i="35"/>
  <c r="S30" i="35"/>
  <c r="J30" i="35"/>
  <c r="H30" i="35"/>
  <c r="G30" i="35"/>
  <c r="S29" i="35"/>
  <c r="J29" i="35"/>
  <c r="M29" i="35" s="1"/>
  <c r="H29" i="35"/>
  <c r="G29" i="35"/>
  <c r="S28" i="35"/>
  <c r="J28" i="35"/>
  <c r="M28" i="35" s="1"/>
  <c r="H28" i="35"/>
  <c r="G28" i="35"/>
  <c r="I28" i="35" s="1"/>
  <c r="S27" i="35"/>
  <c r="J27" i="35"/>
  <c r="H27" i="35"/>
  <c r="G27" i="35"/>
  <c r="I27" i="35" s="1"/>
  <c r="S26" i="35"/>
  <c r="J26" i="35"/>
  <c r="M26" i="35" s="1"/>
  <c r="H26" i="35"/>
  <c r="G26" i="35"/>
  <c r="S25" i="35"/>
  <c r="J25" i="35"/>
  <c r="H25" i="35"/>
  <c r="G25" i="35"/>
  <c r="S24" i="35"/>
  <c r="N24" i="35"/>
  <c r="O24" i="35" s="1"/>
  <c r="J24" i="35"/>
  <c r="M24" i="35" s="1"/>
  <c r="I24" i="35"/>
  <c r="H24" i="35"/>
  <c r="G24" i="35"/>
  <c r="S23" i="35"/>
  <c r="J23" i="35"/>
  <c r="M23" i="35" s="1"/>
  <c r="H23" i="35"/>
  <c r="G23" i="35"/>
  <c r="S22" i="35"/>
  <c r="J22" i="35"/>
  <c r="M22" i="35" s="1"/>
  <c r="I22" i="35"/>
  <c r="S21" i="35"/>
  <c r="M21" i="35"/>
  <c r="N21" i="35" s="1"/>
  <c r="J21" i="35"/>
  <c r="I21" i="35"/>
  <c r="S20" i="35"/>
  <c r="J20" i="35"/>
  <c r="I20" i="35"/>
  <c r="S19" i="35"/>
  <c r="J19" i="35"/>
  <c r="I19" i="35"/>
  <c r="S18" i="35"/>
  <c r="J18" i="35"/>
  <c r="M18" i="35" s="1"/>
  <c r="I18" i="35"/>
  <c r="S17" i="35"/>
  <c r="J17" i="35"/>
  <c r="I17" i="35"/>
  <c r="S16" i="35"/>
  <c r="J16" i="35"/>
  <c r="I16" i="35"/>
  <c r="S15" i="35"/>
  <c r="J15" i="35"/>
  <c r="M15" i="35" s="1"/>
  <c r="I15" i="35"/>
  <c r="S14" i="35"/>
  <c r="J14" i="35"/>
  <c r="I14" i="35"/>
  <c r="S13" i="35"/>
  <c r="J13" i="35"/>
  <c r="I13" i="35"/>
  <c r="S12" i="35"/>
  <c r="R12" i="35"/>
  <c r="M12" i="35"/>
  <c r="J12" i="35"/>
  <c r="I12" i="35"/>
  <c r="S11" i="35"/>
  <c r="J11" i="35"/>
  <c r="M11" i="35" s="1"/>
  <c r="N11" i="35" s="1"/>
  <c r="I11" i="35"/>
  <c r="P9" i="35"/>
  <c r="K64" i="29"/>
  <c r="K58" i="29"/>
  <c r="J58" i="29"/>
  <c r="K57" i="29"/>
  <c r="J57" i="29"/>
  <c r="N56" i="29"/>
  <c r="K56" i="29"/>
  <c r="J56" i="29"/>
  <c r="K55" i="29"/>
  <c r="N55" i="29" s="1"/>
  <c r="J55" i="29"/>
  <c r="K54" i="29"/>
  <c r="N54" i="29" s="1"/>
  <c r="O54" i="29" s="1"/>
  <c r="P54" i="29" s="1"/>
  <c r="J54" i="29"/>
  <c r="K53" i="29"/>
  <c r="N53" i="29" s="1"/>
  <c r="J53" i="29"/>
  <c r="K52" i="29"/>
  <c r="N52" i="29" s="1"/>
  <c r="J52" i="29"/>
  <c r="K51" i="29"/>
  <c r="J51" i="29"/>
  <c r="A42" i="29"/>
  <c r="A41" i="29"/>
  <c r="K38" i="29"/>
  <c r="N33" i="29"/>
  <c r="N31" i="29"/>
  <c r="J31" i="29"/>
  <c r="N30" i="29"/>
  <c r="J30" i="29"/>
  <c r="N29" i="29"/>
  <c r="O29" i="29" s="1"/>
  <c r="J29" i="29"/>
  <c r="N28" i="29"/>
  <c r="O28" i="29" s="1"/>
  <c r="P28" i="29" s="1"/>
  <c r="J28" i="29"/>
  <c r="N27" i="29"/>
  <c r="J27" i="29"/>
  <c r="N26" i="29"/>
  <c r="J26" i="29"/>
  <c r="N25" i="29"/>
  <c r="O25" i="29" s="1"/>
  <c r="J25" i="29"/>
  <c r="O24" i="29"/>
  <c r="P24" i="29" s="1"/>
  <c r="N24" i="29"/>
  <c r="J24" i="29"/>
  <c r="T23" i="29"/>
  <c r="N23" i="29"/>
  <c r="T22" i="29"/>
  <c r="K22" i="29"/>
  <c r="J22" i="29"/>
  <c r="T21" i="29"/>
  <c r="K21" i="29"/>
  <c r="N21" i="29" s="1"/>
  <c r="J21" i="29"/>
  <c r="T20" i="29"/>
  <c r="K20" i="29"/>
  <c r="N20" i="29" s="1"/>
  <c r="J20" i="29"/>
  <c r="T19" i="29"/>
  <c r="K19" i="29"/>
  <c r="J19" i="29"/>
  <c r="T18" i="29"/>
  <c r="K18" i="29"/>
  <c r="J18" i="29"/>
  <c r="T17" i="29"/>
  <c r="K17" i="29"/>
  <c r="N17" i="29" s="1"/>
  <c r="J17" i="29"/>
  <c r="T16" i="29"/>
  <c r="K16" i="29"/>
  <c r="N16" i="29" s="1"/>
  <c r="J16" i="29"/>
  <c r="T15" i="29"/>
  <c r="K15" i="29"/>
  <c r="J15" i="29"/>
  <c r="T14" i="29"/>
  <c r="K14" i="29"/>
  <c r="J14" i="29"/>
  <c r="T13" i="29"/>
  <c r="K13" i="29"/>
  <c r="N13" i="29" s="1"/>
  <c r="J13" i="29"/>
  <c r="T12" i="29"/>
  <c r="K12" i="29"/>
  <c r="N12" i="29" s="1"/>
  <c r="J12" i="29"/>
  <c r="T11" i="29"/>
  <c r="S11" i="29"/>
  <c r="K11" i="29"/>
  <c r="J11" i="29"/>
  <c r="Q9" i="29"/>
  <c r="N53" i="20"/>
  <c r="M53" i="20"/>
  <c r="L53" i="20"/>
  <c r="K53" i="20"/>
  <c r="J53" i="20"/>
  <c r="I53" i="20"/>
  <c r="H53" i="20"/>
  <c r="G53" i="20"/>
  <c r="F53" i="20"/>
  <c r="E53" i="20"/>
  <c r="D53" i="20"/>
  <c r="C53" i="20"/>
  <c r="B53" i="20"/>
  <c r="A53" i="20"/>
  <c r="N52" i="20"/>
  <c r="M52" i="20"/>
  <c r="L52" i="20"/>
  <c r="K52" i="20"/>
  <c r="J52" i="20"/>
  <c r="I52" i="20"/>
  <c r="H52" i="20"/>
  <c r="G52" i="20"/>
  <c r="F52" i="20"/>
  <c r="E52" i="20"/>
  <c r="D52" i="20"/>
  <c r="C52" i="20"/>
  <c r="B52" i="20"/>
  <c r="A52" i="20"/>
  <c r="N51" i="20"/>
  <c r="M51" i="20"/>
  <c r="L51" i="20"/>
  <c r="K51" i="20"/>
  <c r="J51" i="20"/>
  <c r="I51" i="20"/>
  <c r="H51" i="20"/>
  <c r="G51" i="20"/>
  <c r="F51" i="20"/>
  <c r="E51" i="20"/>
  <c r="D51" i="20"/>
  <c r="C51" i="20"/>
  <c r="B51" i="20"/>
  <c r="A51" i="20"/>
  <c r="N50" i="20"/>
  <c r="M50" i="20"/>
  <c r="L50" i="20"/>
  <c r="K50" i="20"/>
  <c r="J50" i="20"/>
  <c r="I50" i="20"/>
  <c r="H50" i="20"/>
  <c r="G50" i="20"/>
  <c r="F50" i="20"/>
  <c r="E50" i="20"/>
  <c r="D50" i="20"/>
  <c r="C50" i="20"/>
  <c r="B50" i="20"/>
  <c r="A50" i="20"/>
  <c r="N49" i="20"/>
  <c r="M49" i="20"/>
  <c r="L49" i="20"/>
  <c r="K49" i="20"/>
  <c r="J49" i="20"/>
  <c r="I49" i="20"/>
  <c r="H49" i="20"/>
  <c r="G49" i="20"/>
  <c r="F49" i="20"/>
  <c r="E49" i="20"/>
  <c r="D49" i="20"/>
  <c r="C49" i="20"/>
  <c r="B49" i="20"/>
  <c r="A49" i="20"/>
  <c r="N48" i="20"/>
  <c r="M48" i="20"/>
  <c r="L48" i="20"/>
  <c r="K48" i="20"/>
  <c r="J48" i="20"/>
  <c r="I48" i="20"/>
  <c r="H48" i="20"/>
  <c r="G48" i="20"/>
  <c r="F48" i="20"/>
  <c r="E48" i="20"/>
  <c r="D48" i="20"/>
  <c r="C48" i="20"/>
  <c r="B48" i="20"/>
  <c r="A48" i="20"/>
  <c r="N47" i="20"/>
  <c r="M47" i="20"/>
  <c r="L47" i="20"/>
  <c r="K47" i="20"/>
  <c r="J47" i="20"/>
  <c r="I47" i="20"/>
  <c r="H47" i="20"/>
  <c r="G47" i="20"/>
  <c r="F47" i="20"/>
  <c r="E47" i="20"/>
  <c r="D47" i="20"/>
  <c r="C47" i="20"/>
  <c r="B47" i="20"/>
  <c r="A47" i="20"/>
  <c r="N46" i="20"/>
  <c r="M46" i="20"/>
  <c r="L46" i="20"/>
  <c r="K46" i="20"/>
  <c r="J46" i="20"/>
  <c r="I46" i="20"/>
  <c r="H46" i="20"/>
  <c r="G46" i="20"/>
  <c r="F46" i="20"/>
  <c r="E46" i="20"/>
  <c r="D46" i="20"/>
  <c r="C46" i="20"/>
  <c r="B46" i="20"/>
  <c r="A46" i="20"/>
  <c r="N45" i="20"/>
  <c r="M45" i="20"/>
  <c r="L45" i="20"/>
  <c r="K45" i="20"/>
  <c r="J45" i="20"/>
  <c r="I45" i="20"/>
  <c r="H45" i="20"/>
  <c r="G45" i="20"/>
  <c r="F45" i="20"/>
  <c r="E45" i="20"/>
  <c r="D45" i="20"/>
  <c r="C45" i="20"/>
  <c r="B45" i="20"/>
  <c r="A45" i="20"/>
  <c r="N44" i="20"/>
  <c r="M44" i="20"/>
  <c r="L44" i="20"/>
  <c r="K44" i="20"/>
  <c r="J44" i="20"/>
  <c r="I44" i="20"/>
  <c r="H44" i="20"/>
  <c r="G44" i="20"/>
  <c r="F44" i="20"/>
  <c r="E44" i="20"/>
  <c r="D44" i="20"/>
  <c r="C44" i="20"/>
  <c r="B44" i="20"/>
  <c r="A44" i="20"/>
  <c r="N43" i="20"/>
  <c r="M43" i="20"/>
  <c r="L43" i="20"/>
  <c r="K43" i="20"/>
  <c r="J43" i="20"/>
  <c r="I43" i="20"/>
  <c r="H43" i="20"/>
  <c r="G43" i="20"/>
  <c r="F43" i="20"/>
  <c r="E43" i="20"/>
  <c r="D43" i="20"/>
  <c r="C43" i="20"/>
  <c r="B43" i="20"/>
  <c r="A43" i="20"/>
  <c r="N42" i="20"/>
  <c r="M42" i="20"/>
  <c r="L42" i="20"/>
  <c r="K42" i="20"/>
  <c r="J42" i="20"/>
  <c r="I42" i="20"/>
  <c r="H42" i="20"/>
  <c r="G42" i="20"/>
  <c r="F42" i="20"/>
  <c r="E42" i="20"/>
  <c r="D42" i="20"/>
  <c r="C42" i="20"/>
  <c r="B42" i="20"/>
  <c r="A42" i="20"/>
  <c r="N41" i="20"/>
  <c r="M41" i="20"/>
  <c r="L41" i="20"/>
  <c r="K41" i="20"/>
  <c r="J41" i="20"/>
  <c r="I41" i="20"/>
  <c r="H41" i="20"/>
  <c r="G41" i="20"/>
  <c r="F41" i="20"/>
  <c r="E41" i="20"/>
  <c r="D41" i="20"/>
  <c r="C41" i="20"/>
  <c r="B41" i="20"/>
  <c r="A41" i="20"/>
  <c r="N40" i="20"/>
  <c r="M40" i="20"/>
  <c r="L40" i="20"/>
  <c r="K40" i="20"/>
  <c r="J40" i="20"/>
  <c r="I40" i="20"/>
  <c r="H40" i="20"/>
  <c r="G40" i="20"/>
  <c r="F40" i="20"/>
  <c r="E40" i="20"/>
  <c r="D40" i="20"/>
  <c r="C40" i="20"/>
  <c r="B40" i="20"/>
  <c r="A40" i="20"/>
  <c r="N39" i="20"/>
  <c r="M39" i="20"/>
  <c r="L39" i="20"/>
  <c r="K39" i="20"/>
  <c r="J39" i="20"/>
  <c r="I39" i="20"/>
  <c r="H39" i="20"/>
  <c r="G39" i="20"/>
  <c r="F39" i="20"/>
  <c r="E39" i="20"/>
  <c r="D39" i="20"/>
  <c r="C39" i="20"/>
  <c r="B39" i="20"/>
  <c r="A39" i="20"/>
  <c r="N38" i="20"/>
  <c r="M38" i="20"/>
  <c r="L38" i="20"/>
  <c r="K38" i="20"/>
  <c r="J38" i="20"/>
  <c r="I38" i="20"/>
  <c r="H38" i="20"/>
  <c r="G38" i="20"/>
  <c r="F38" i="20"/>
  <c r="E38" i="20"/>
  <c r="D38" i="20"/>
  <c r="C38" i="20"/>
  <c r="B38" i="20"/>
  <c r="A38" i="20"/>
  <c r="N37" i="20"/>
  <c r="M37" i="20"/>
  <c r="L37" i="20"/>
  <c r="K37" i="20"/>
  <c r="J37" i="20"/>
  <c r="I37" i="20"/>
  <c r="H37" i="20"/>
  <c r="G37" i="20"/>
  <c r="F37" i="20"/>
  <c r="E37" i="20"/>
  <c r="D37" i="20"/>
  <c r="C37" i="20"/>
  <c r="B37" i="20"/>
  <c r="A37" i="20"/>
  <c r="N36" i="20"/>
  <c r="M36" i="20"/>
  <c r="L36" i="20"/>
  <c r="K36" i="20"/>
  <c r="J36" i="20"/>
  <c r="I36" i="20"/>
  <c r="H36" i="20"/>
  <c r="G36" i="20"/>
  <c r="F36" i="20"/>
  <c r="E36" i="20"/>
  <c r="D36" i="20"/>
  <c r="C36" i="20"/>
  <c r="B36" i="20"/>
  <c r="A36" i="20"/>
  <c r="N35" i="20"/>
  <c r="M35" i="20"/>
  <c r="L35" i="20"/>
  <c r="K35" i="20"/>
  <c r="J35" i="20"/>
  <c r="I35" i="20"/>
  <c r="H35" i="20"/>
  <c r="G35" i="20"/>
  <c r="F35" i="20"/>
  <c r="E35" i="20"/>
  <c r="D35" i="20"/>
  <c r="C35" i="20"/>
  <c r="B35" i="20"/>
  <c r="A35" i="20"/>
  <c r="N34" i="20"/>
  <c r="M34" i="20"/>
  <c r="L34" i="20"/>
  <c r="K34" i="20"/>
  <c r="J34" i="20"/>
  <c r="I34" i="20"/>
  <c r="H34" i="20"/>
  <c r="G34" i="20"/>
  <c r="F34" i="20"/>
  <c r="E34" i="20"/>
  <c r="D34" i="20"/>
  <c r="C34" i="20"/>
  <c r="B34" i="20"/>
  <c r="A34" i="20"/>
  <c r="N33" i="20"/>
  <c r="M33" i="20"/>
  <c r="L33" i="20"/>
  <c r="K33" i="20"/>
  <c r="J33" i="20"/>
  <c r="I33" i="20"/>
  <c r="H33" i="20"/>
  <c r="G33" i="20"/>
  <c r="F33" i="20"/>
  <c r="E33" i="20"/>
  <c r="D33" i="20"/>
  <c r="C33" i="20"/>
  <c r="B33" i="20"/>
  <c r="A33" i="20"/>
  <c r="N32" i="20"/>
  <c r="M32" i="20"/>
  <c r="L32" i="20"/>
  <c r="K32" i="20"/>
  <c r="J32" i="20"/>
  <c r="I32" i="20"/>
  <c r="H32" i="20"/>
  <c r="G32" i="20"/>
  <c r="F32" i="20"/>
  <c r="E32" i="20"/>
  <c r="D32" i="20"/>
  <c r="C32" i="20"/>
  <c r="B32" i="20"/>
  <c r="A32" i="20"/>
  <c r="N31" i="20"/>
  <c r="M31" i="20"/>
  <c r="L31" i="20"/>
  <c r="K31" i="20"/>
  <c r="J31" i="20"/>
  <c r="I31" i="20"/>
  <c r="H31" i="20"/>
  <c r="G31" i="20"/>
  <c r="F31" i="20"/>
  <c r="E31" i="20"/>
  <c r="D31" i="20"/>
  <c r="C31" i="20"/>
  <c r="B31" i="20"/>
  <c r="A31" i="20"/>
  <c r="N30" i="20"/>
  <c r="M30" i="20"/>
  <c r="L30" i="20"/>
  <c r="K30" i="20"/>
  <c r="J30" i="20"/>
  <c r="I30" i="20"/>
  <c r="H30" i="20"/>
  <c r="G30" i="20"/>
  <c r="F30" i="20"/>
  <c r="E30" i="20"/>
  <c r="D30" i="20"/>
  <c r="C30" i="20"/>
  <c r="B30" i="20"/>
  <c r="A30" i="20"/>
  <c r="N29" i="20"/>
  <c r="M29" i="20"/>
  <c r="L29" i="20"/>
  <c r="K29" i="20"/>
  <c r="J29" i="20"/>
  <c r="I29" i="20"/>
  <c r="H29" i="20"/>
  <c r="G29" i="20"/>
  <c r="F29" i="20"/>
  <c r="E29" i="20"/>
  <c r="D29" i="20"/>
  <c r="C29" i="20"/>
  <c r="B29" i="20"/>
  <c r="A29" i="20"/>
  <c r="N28" i="20"/>
  <c r="M28" i="20"/>
  <c r="L28" i="20"/>
  <c r="K28" i="20"/>
  <c r="J28" i="20"/>
  <c r="I28" i="20"/>
  <c r="H28" i="20"/>
  <c r="G28" i="20"/>
  <c r="F28" i="20"/>
  <c r="E28" i="20"/>
  <c r="D28" i="20"/>
  <c r="C28" i="20"/>
  <c r="B28" i="20"/>
  <c r="A28" i="20"/>
  <c r="N27" i="20"/>
  <c r="M27" i="20"/>
  <c r="L27" i="20"/>
  <c r="K27" i="20"/>
  <c r="J27" i="20"/>
  <c r="I27" i="20"/>
  <c r="H27" i="20"/>
  <c r="G27" i="20"/>
  <c r="F27" i="20"/>
  <c r="E27" i="20"/>
  <c r="D27" i="20"/>
  <c r="C27" i="20"/>
  <c r="B27" i="20"/>
  <c r="A27" i="20"/>
  <c r="N26" i="20"/>
  <c r="M26" i="20"/>
  <c r="L26" i="20"/>
  <c r="K26" i="20"/>
  <c r="J26" i="20"/>
  <c r="I26" i="20"/>
  <c r="H26" i="20"/>
  <c r="G26" i="20"/>
  <c r="F26" i="20"/>
  <c r="E26" i="20"/>
  <c r="D26" i="20"/>
  <c r="C26" i="20"/>
  <c r="B26" i="20"/>
  <c r="A26" i="20"/>
  <c r="N25" i="20"/>
  <c r="M25" i="20"/>
  <c r="L25" i="20"/>
  <c r="K25" i="20"/>
  <c r="J25" i="20"/>
  <c r="I25" i="20"/>
  <c r="H25" i="20"/>
  <c r="G25" i="20"/>
  <c r="F25" i="20"/>
  <c r="E25" i="20"/>
  <c r="D25" i="20"/>
  <c r="C25" i="20"/>
  <c r="B25" i="20"/>
  <c r="A25" i="20"/>
  <c r="N24" i="20"/>
  <c r="M24" i="20"/>
  <c r="L24" i="20"/>
  <c r="K24" i="20"/>
  <c r="J24" i="20"/>
  <c r="I24" i="20"/>
  <c r="H24" i="20"/>
  <c r="G24" i="20"/>
  <c r="F24" i="20"/>
  <c r="E24" i="20"/>
  <c r="D24" i="20"/>
  <c r="C24" i="20"/>
  <c r="B24" i="20"/>
  <c r="A24" i="20"/>
  <c r="N23" i="20"/>
  <c r="M23" i="20"/>
  <c r="L23" i="20"/>
  <c r="K23" i="20"/>
  <c r="J23" i="20"/>
  <c r="I23" i="20"/>
  <c r="H23" i="20"/>
  <c r="G23" i="20"/>
  <c r="F23" i="20"/>
  <c r="E23" i="20"/>
  <c r="D23" i="20"/>
  <c r="C23" i="20"/>
  <c r="B23" i="20"/>
  <c r="A23" i="20"/>
  <c r="N22" i="20"/>
  <c r="M22" i="20"/>
  <c r="L22" i="20"/>
  <c r="K22" i="20"/>
  <c r="J22" i="20"/>
  <c r="I22" i="20"/>
  <c r="H22" i="20"/>
  <c r="G22" i="20"/>
  <c r="F22" i="20"/>
  <c r="E22" i="20"/>
  <c r="D22" i="20"/>
  <c r="C22" i="20"/>
  <c r="B22" i="20"/>
  <c r="A22" i="20"/>
  <c r="N21" i="20"/>
  <c r="M21" i="20"/>
  <c r="L21" i="20"/>
  <c r="K21" i="20"/>
  <c r="J21" i="20"/>
  <c r="I21" i="20"/>
  <c r="H21" i="20"/>
  <c r="G21" i="20"/>
  <c r="F21" i="20"/>
  <c r="E21" i="20"/>
  <c r="D21" i="20"/>
  <c r="C21" i="20"/>
  <c r="B21" i="20"/>
  <c r="A21" i="20"/>
  <c r="N20" i="20"/>
  <c r="M20" i="20"/>
  <c r="L20" i="20"/>
  <c r="K20" i="20"/>
  <c r="J20" i="20"/>
  <c r="I20" i="20"/>
  <c r="H20" i="20"/>
  <c r="G20" i="20"/>
  <c r="F20" i="20"/>
  <c r="E20" i="20"/>
  <c r="D20" i="20"/>
  <c r="C20" i="20"/>
  <c r="B20" i="20"/>
  <c r="A20" i="20"/>
  <c r="N19" i="20"/>
  <c r="M19" i="20"/>
  <c r="L19" i="20"/>
  <c r="K19" i="20"/>
  <c r="J19" i="20"/>
  <c r="I19" i="20"/>
  <c r="H19" i="20"/>
  <c r="G19" i="20"/>
  <c r="F19" i="20"/>
  <c r="E19" i="20"/>
  <c r="D19" i="20"/>
  <c r="C19" i="20"/>
  <c r="B19" i="20"/>
  <c r="A19" i="20"/>
  <c r="N18" i="20"/>
  <c r="M18" i="20"/>
  <c r="L18" i="20"/>
  <c r="K18" i="20"/>
  <c r="J18" i="20"/>
  <c r="I18" i="20"/>
  <c r="H18" i="20"/>
  <c r="G18" i="20"/>
  <c r="F18" i="20"/>
  <c r="E18" i="20"/>
  <c r="D18" i="20"/>
  <c r="C18" i="20"/>
  <c r="B18" i="20"/>
  <c r="A18" i="20"/>
  <c r="N17" i="20"/>
  <c r="M17" i="20"/>
  <c r="L17" i="20"/>
  <c r="K17" i="20"/>
  <c r="J17" i="20"/>
  <c r="I17" i="20"/>
  <c r="H17" i="20"/>
  <c r="G17" i="20"/>
  <c r="F17" i="20"/>
  <c r="E17" i="20"/>
  <c r="D17" i="20"/>
  <c r="C17" i="20"/>
  <c r="B17" i="20"/>
  <c r="A17" i="20"/>
  <c r="N16" i="20"/>
  <c r="M16" i="20"/>
  <c r="L16" i="20"/>
  <c r="K16" i="20"/>
  <c r="J16" i="20"/>
  <c r="I16" i="20"/>
  <c r="H16" i="20"/>
  <c r="G16" i="20"/>
  <c r="F16" i="20"/>
  <c r="E16" i="20"/>
  <c r="D16" i="20"/>
  <c r="C16" i="20"/>
  <c r="B16" i="20"/>
  <c r="A16" i="20"/>
  <c r="N15" i="20"/>
  <c r="M15" i="20"/>
  <c r="L15" i="20"/>
  <c r="K15" i="20"/>
  <c r="J15" i="20"/>
  <c r="I15" i="20"/>
  <c r="H15" i="20"/>
  <c r="G15" i="20"/>
  <c r="F15" i="20"/>
  <c r="E15" i="20"/>
  <c r="D15" i="20"/>
  <c r="C15" i="20"/>
  <c r="B15" i="20"/>
  <c r="A15" i="20"/>
  <c r="N14" i="20"/>
  <c r="M14" i="20"/>
  <c r="L14" i="20"/>
  <c r="K14" i="20"/>
  <c r="J14" i="20"/>
  <c r="I14" i="20"/>
  <c r="H14" i="20"/>
  <c r="G14" i="20"/>
  <c r="F14" i="20"/>
  <c r="E14" i="20"/>
  <c r="D14" i="20"/>
  <c r="C14" i="20"/>
  <c r="B14" i="20"/>
  <c r="A14" i="20"/>
  <c r="N13" i="20"/>
  <c r="M13" i="20"/>
  <c r="L13" i="20"/>
  <c r="K13" i="20"/>
  <c r="J13" i="20"/>
  <c r="I13" i="20"/>
  <c r="H13" i="20"/>
  <c r="G13" i="20"/>
  <c r="F13" i="20"/>
  <c r="E13" i="20"/>
  <c r="D13" i="20"/>
  <c r="C13" i="20"/>
  <c r="B13" i="20"/>
  <c r="A13" i="20"/>
  <c r="N12" i="20"/>
  <c r="M12" i="20"/>
  <c r="L12" i="20"/>
  <c r="K12" i="20"/>
  <c r="J12" i="20"/>
  <c r="I12" i="20"/>
  <c r="H12" i="20"/>
  <c r="G12" i="20"/>
  <c r="F12" i="20"/>
  <c r="E12" i="20"/>
  <c r="D12" i="20"/>
  <c r="C12" i="20"/>
  <c r="B12" i="20"/>
  <c r="A12" i="20"/>
  <c r="N11" i="20"/>
  <c r="M11" i="20"/>
  <c r="L11" i="20"/>
  <c r="K11" i="20"/>
  <c r="J11" i="20"/>
  <c r="I11" i="20"/>
  <c r="H11" i="20"/>
  <c r="G11" i="20"/>
  <c r="F11" i="20"/>
  <c r="E11" i="20"/>
  <c r="D11" i="20"/>
  <c r="C11" i="20"/>
  <c r="B11" i="20"/>
  <c r="A11" i="20"/>
  <c r="N10" i="20"/>
  <c r="M10" i="20"/>
  <c r="L10" i="20"/>
  <c r="K10" i="20"/>
  <c r="J10" i="20"/>
  <c r="I10" i="20"/>
  <c r="H10" i="20"/>
  <c r="G10" i="20"/>
  <c r="F10" i="20"/>
  <c r="E10" i="20"/>
  <c r="D10" i="20"/>
  <c r="C10" i="20"/>
  <c r="B10" i="20"/>
  <c r="A10" i="20"/>
  <c r="N9" i="20"/>
  <c r="M9" i="20"/>
  <c r="L9" i="20"/>
  <c r="K9" i="20"/>
  <c r="J9" i="20"/>
  <c r="I9" i="20"/>
  <c r="H9" i="20"/>
  <c r="G9" i="20"/>
  <c r="F9" i="20"/>
  <c r="E9" i="20"/>
  <c r="D9" i="20"/>
  <c r="C9" i="20"/>
  <c r="B9" i="20"/>
  <c r="A9" i="20"/>
  <c r="N8" i="20"/>
  <c r="M8" i="20"/>
  <c r="L8" i="20"/>
  <c r="K8" i="20"/>
  <c r="J8" i="20"/>
  <c r="I8" i="20"/>
  <c r="H8" i="20"/>
  <c r="G8" i="20"/>
  <c r="F8" i="20"/>
  <c r="E8" i="20"/>
  <c r="D8" i="20"/>
  <c r="C8" i="20"/>
  <c r="B8" i="20"/>
  <c r="A8" i="20"/>
  <c r="N7" i="20"/>
  <c r="M7" i="20"/>
  <c r="L7" i="20"/>
  <c r="K7" i="20"/>
  <c r="J7" i="20"/>
  <c r="I7" i="20"/>
  <c r="H7" i="20"/>
  <c r="G7" i="20"/>
  <c r="F7" i="20"/>
  <c r="E7" i="20"/>
  <c r="D7" i="20"/>
  <c r="C7" i="20"/>
  <c r="B7" i="20"/>
  <c r="A7" i="20"/>
  <c r="N6" i="20"/>
  <c r="M6" i="20"/>
  <c r="L6" i="20"/>
  <c r="K6" i="20"/>
  <c r="J6" i="20"/>
  <c r="I6" i="20"/>
  <c r="H6" i="20"/>
  <c r="G6" i="20"/>
  <c r="F6" i="20"/>
  <c r="E6" i="20"/>
  <c r="D6" i="20"/>
  <c r="C6" i="20"/>
  <c r="B6" i="20"/>
  <c r="A6" i="20"/>
  <c r="N5" i="20"/>
  <c r="M5" i="20"/>
  <c r="L5" i="20"/>
  <c r="K5" i="20"/>
  <c r="J5" i="20"/>
  <c r="I5" i="20"/>
  <c r="H5" i="20"/>
  <c r="G5" i="20"/>
  <c r="F5" i="20"/>
  <c r="E5" i="20"/>
  <c r="D5" i="20"/>
  <c r="C5" i="20"/>
  <c r="B5" i="20"/>
  <c r="A5" i="20"/>
  <c r="N4" i="20"/>
  <c r="M4" i="20"/>
  <c r="L4" i="20"/>
  <c r="K4" i="20"/>
  <c r="J4" i="20"/>
  <c r="I4" i="20"/>
  <c r="H4" i="20"/>
  <c r="G4" i="20"/>
  <c r="F4" i="20"/>
  <c r="E4" i="20"/>
  <c r="D4" i="20"/>
  <c r="C4" i="20"/>
  <c r="B4" i="20"/>
  <c r="A4" i="20"/>
  <c r="N3" i="20"/>
  <c r="M3" i="20"/>
  <c r="L3" i="20"/>
  <c r="K3" i="20"/>
  <c r="J3" i="20"/>
  <c r="I3" i="20"/>
  <c r="H3" i="20"/>
  <c r="G3" i="20"/>
  <c r="F3" i="20"/>
  <c r="E3" i="20"/>
  <c r="D3" i="20"/>
  <c r="C3" i="20"/>
  <c r="B3" i="20"/>
  <c r="A3" i="20"/>
  <c r="N2" i="20"/>
  <c r="M2" i="20"/>
  <c r="L2" i="20"/>
  <c r="K2" i="20"/>
  <c r="J2" i="20"/>
  <c r="I2" i="20"/>
  <c r="H2" i="20"/>
  <c r="G2" i="20"/>
  <c r="F2" i="20"/>
  <c r="E2" i="20"/>
  <c r="D2" i="20"/>
  <c r="C2" i="20"/>
  <c r="B2" i="20"/>
  <c r="A2" i="20"/>
  <c r="N1" i="20"/>
  <c r="J1" i="20"/>
  <c r="H1" i="20"/>
  <c r="G1" i="20"/>
  <c r="F1" i="20"/>
  <c r="D1" i="20"/>
  <c r="C1" i="20"/>
  <c r="B1" i="20"/>
  <c r="A1" i="20"/>
  <c r="N96" i="68"/>
  <c r="M96" i="68"/>
  <c r="L96" i="68"/>
  <c r="K96" i="68"/>
  <c r="J96" i="68"/>
  <c r="I96" i="68"/>
  <c r="H96" i="68"/>
  <c r="G96" i="68"/>
  <c r="F96" i="68"/>
  <c r="E96" i="68"/>
  <c r="D96" i="68"/>
  <c r="C96" i="68"/>
  <c r="B96" i="68"/>
  <c r="A96" i="68"/>
  <c r="N95" i="68"/>
  <c r="M95" i="68"/>
  <c r="L95" i="68"/>
  <c r="K95" i="68"/>
  <c r="J95" i="68"/>
  <c r="I95" i="68"/>
  <c r="H95" i="68"/>
  <c r="G95" i="68"/>
  <c r="F95" i="68"/>
  <c r="E95" i="68"/>
  <c r="D95" i="68"/>
  <c r="C95" i="68"/>
  <c r="B95" i="68"/>
  <c r="A95" i="68"/>
  <c r="N94" i="68"/>
  <c r="M94" i="68"/>
  <c r="L94" i="68"/>
  <c r="K94" i="68"/>
  <c r="J94" i="68"/>
  <c r="I94" i="68"/>
  <c r="H94" i="68"/>
  <c r="G94" i="68"/>
  <c r="F94" i="68"/>
  <c r="E94" i="68"/>
  <c r="D94" i="68"/>
  <c r="C94" i="68"/>
  <c r="B94" i="68"/>
  <c r="A94" i="68"/>
  <c r="N93" i="68"/>
  <c r="M93" i="68"/>
  <c r="L93" i="68"/>
  <c r="K93" i="68"/>
  <c r="J93" i="68"/>
  <c r="I93" i="68"/>
  <c r="H93" i="68"/>
  <c r="G93" i="68"/>
  <c r="F93" i="68"/>
  <c r="E93" i="68"/>
  <c r="D93" i="68"/>
  <c r="C93" i="68"/>
  <c r="B93" i="68"/>
  <c r="A93" i="68"/>
  <c r="N92" i="68"/>
  <c r="M92" i="68"/>
  <c r="L92" i="68"/>
  <c r="K92" i="68"/>
  <c r="J92" i="68"/>
  <c r="I92" i="68"/>
  <c r="H92" i="68"/>
  <c r="G92" i="68"/>
  <c r="F92" i="68"/>
  <c r="E92" i="68"/>
  <c r="D92" i="68"/>
  <c r="C92" i="68"/>
  <c r="B92" i="68"/>
  <c r="A92" i="68"/>
  <c r="N91" i="68"/>
  <c r="M91" i="68"/>
  <c r="L91" i="68"/>
  <c r="K91" i="68"/>
  <c r="J91" i="68"/>
  <c r="I91" i="68"/>
  <c r="H91" i="68"/>
  <c r="G91" i="68"/>
  <c r="F91" i="68"/>
  <c r="E91" i="68"/>
  <c r="D91" i="68"/>
  <c r="C91" i="68"/>
  <c r="B91" i="68"/>
  <c r="A91" i="68"/>
  <c r="N90" i="68"/>
  <c r="M90" i="68"/>
  <c r="L90" i="68"/>
  <c r="K90" i="68"/>
  <c r="J90" i="68"/>
  <c r="I90" i="68"/>
  <c r="H90" i="68"/>
  <c r="G90" i="68"/>
  <c r="F90" i="68"/>
  <c r="E90" i="68"/>
  <c r="D90" i="68"/>
  <c r="C90" i="68"/>
  <c r="B90" i="68"/>
  <c r="A90" i="68"/>
  <c r="N89" i="68"/>
  <c r="M89" i="68"/>
  <c r="L89" i="68"/>
  <c r="K89" i="68"/>
  <c r="J89" i="68"/>
  <c r="I89" i="68"/>
  <c r="H89" i="68"/>
  <c r="G89" i="68"/>
  <c r="F89" i="68"/>
  <c r="E89" i="68"/>
  <c r="D89" i="68"/>
  <c r="C89" i="68"/>
  <c r="B89" i="68"/>
  <c r="A89" i="68"/>
  <c r="N88" i="68"/>
  <c r="M88" i="68"/>
  <c r="L88" i="68"/>
  <c r="K88" i="68"/>
  <c r="J88" i="68"/>
  <c r="I88" i="68"/>
  <c r="H88" i="68"/>
  <c r="G88" i="68"/>
  <c r="F88" i="68"/>
  <c r="E88" i="68"/>
  <c r="D88" i="68"/>
  <c r="C88" i="68"/>
  <c r="B88" i="68"/>
  <c r="A88" i="68"/>
  <c r="N87" i="68"/>
  <c r="M87" i="68"/>
  <c r="L87" i="68"/>
  <c r="K87" i="68"/>
  <c r="J87" i="68"/>
  <c r="I87" i="68"/>
  <c r="H87" i="68"/>
  <c r="G87" i="68"/>
  <c r="F87" i="68"/>
  <c r="E87" i="68"/>
  <c r="D87" i="68"/>
  <c r="C87" i="68"/>
  <c r="B87" i="68"/>
  <c r="A87" i="68"/>
  <c r="N86" i="68"/>
  <c r="M86" i="68"/>
  <c r="L86" i="68"/>
  <c r="K86" i="68"/>
  <c r="J86" i="68"/>
  <c r="I86" i="68"/>
  <c r="H86" i="68"/>
  <c r="G86" i="68"/>
  <c r="F86" i="68"/>
  <c r="E86" i="68"/>
  <c r="D86" i="68"/>
  <c r="C86" i="68"/>
  <c r="B86" i="68"/>
  <c r="A86" i="68"/>
  <c r="N85" i="68"/>
  <c r="M85" i="68"/>
  <c r="L85" i="68"/>
  <c r="K85" i="68"/>
  <c r="J85" i="68"/>
  <c r="I85" i="68"/>
  <c r="H85" i="68"/>
  <c r="G85" i="68"/>
  <c r="F85" i="68"/>
  <c r="E85" i="68"/>
  <c r="D85" i="68"/>
  <c r="C85" i="68"/>
  <c r="B85" i="68"/>
  <c r="A85" i="68"/>
  <c r="N84" i="68"/>
  <c r="M84" i="68"/>
  <c r="L84" i="68"/>
  <c r="K84" i="68"/>
  <c r="J84" i="68"/>
  <c r="I84" i="68"/>
  <c r="H84" i="68"/>
  <c r="G84" i="68"/>
  <c r="F84" i="68"/>
  <c r="E84" i="68"/>
  <c r="D84" i="68"/>
  <c r="C84" i="68"/>
  <c r="B84" i="68"/>
  <c r="A84" i="68"/>
  <c r="N83" i="68"/>
  <c r="M83" i="68"/>
  <c r="L83" i="68"/>
  <c r="K83" i="68"/>
  <c r="J83" i="68"/>
  <c r="I83" i="68"/>
  <c r="H83" i="68"/>
  <c r="G83" i="68"/>
  <c r="F83" i="68"/>
  <c r="E83" i="68"/>
  <c r="D83" i="68"/>
  <c r="C83" i="68"/>
  <c r="B83" i="68"/>
  <c r="A83" i="68"/>
  <c r="N82" i="68"/>
  <c r="M82" i="68"/>
  <c r="L82" i="68"/>
  <c r="K82" i="68"/>
  <c r="J82" i="68"/>
  <c r="I82" i="68"/>
  <c r="H82" i="68"/>
  <c r="G82" i="68"/>
  <c r="F82" i="68"/>
  <c r="E82" i="68"/>
  <c r="D82" i="68"/>
  <c r="C82" i="68"/>
  <c r="B82" i="68"/>
  <c r="A82" i="68"/>
  <c r="N81" i="68"/>
  <c r="M81" i="68"/>
  <c r="L81" i="68"/>
  <c r="K81" i="68"/>
  <c r="J81" i="68"/>
  <c r="I81" i="68"/>
  <c r="H81" i="68"/>
  <c r="G81" i="68"/>
  <c r="F81" i="68"/>
  <c r="E81" i="68"/>
  <c r="D81" i="68"/>
  <c r="C81" i="68"/>
  <c r="B81" i="68"/>
  <c r="A81" i="68"/>
  <c r="N80" i="68"/>
  <c r="M80" i="68"/>
  <c r="L80" i="68"/>
  <c r="K80" i="68"/>
  <c r="J80" i="68"/>
  <c r="I80" i="68"/>
  <c r="H80" i="68"/>
  <c r="G80" i="68"/>
  <c r="F80" i="68"/>
  <c r="E80" i="68"/>
  <c r="D80" i="68"/>
  <c r="C80" i="68"/>
  <c r="B80" i="68"/>
  <c r="A80" i="68"/>
  <c r="N79" i="68"/>
  <c r="M79" i="68"/>
  <c r="L79" i="68"/>
  <c r="K79" i="68"/>
  <c r="J79" i="68"/>
  <c r="I79" i="68"/>
  <c r="H79" i="68"/>
  <c r="G79" i="68"/>
  <c r="F79" i="68"/>
  <c r="E79" i="68"/>
  <c r="D79" i="68"/>
  <c r="C79" i="68"/>
  <c r="B79" i="68"/>
  <c r="A79" i="68"/>
  <c r="N78" i="68"/>
  <c r="M78" i="68"/>
  <c r="L78" i="68"/>
  <c r="K78" i="68"/>
  <c r="J78" i="68"/>
  <c r="I78" i="68"/>
  <c r="H78" i="68"/>
  <c r="G78" i="68"/>
  <c r="F78" i="68"/>
  <c r="E78" i="68"/>
  <c r="D78" i="68"/>
  <c r="C78" i="68"/>
  <c r="B78" i="68"/>
  <c r="A78" i="68"/>
  <c r="N77" i="68"/>
  <c r="M77" i="68"/>
  <c r="L77" i="68"/>
  <c r="K77" i="68"/>
  <c r="J77" i="68"/>
  <c r="I77" i="68"/>
  <c r="H77" i="68"/>
  <c r="G77" i="68"/>
  <c r="F77" i="68"/>
  <c r="E77" i="68"/>
  <c r="D77" i="68"/>
  <c r="C77" i="68"/>
  <c r="B77" i="68"/>
  <c r="A77" i="68"/>
  <c r="N76" i="68"/>
  <c r="M76" i="68"/>
  <c r="L76" i="68"/>
  <c r="K76" i="68"/>
  <c r="J76" i="68"/>
  <c r="I76" i="68"/>
  <c r="H76" i="68"/>
  <c r="G76" i="68"/>
  <c r="F76" i="68"/>
  <c r="E76" i="68"/>
  <c r="D76" i="68"/>
  <c r="C76" i="68"/>
  <c r="B76" i="68"/>
  <c r="A76" i="68"/>
  <c r="N75" i="68"/>
  <c r="M75" i="68"/>
  <c r="L75" i="68"/>
  <c r="K75" i="68"/>
  <c r="J75" i="68"/>
  <c r="I75" i="68"/>
  <c r="H75" i="68"/>
  <c r="G75" i="68"/>
  <c r="F75" i="68"/>
  <c r="E75" i="68"/>
  <c r="D75" i="68"/>
  <c r="C75" i="68"/>
  <c r="B75" i="68"/>
  <c r="A75" i="68"/>
  <c r="N74" i="68"/>
  <c r="M74" i="68"/>
  <c r="L74" i="68"/>
  <c r="K74" i="68"/>
  <c r="J74" i="68"/>
  <c r="I74" i="68"/>
  <c r="H74" i="68"/>
  <c r="G74" i="68"/>
  <c r="F74" i="68"/>
  <c r="E74" i="68"/>
  <c r="D74" i="68"/>
  <c r="C74" i="68"/>
  <c r="B74" i="68"/>
  <c r="A74" i="68"/>
  <c r="N73" i="68"/>
  <c r="M73" i="68"/>
  <c r="L73" i="68"/>
  <c r="K73" i="68"/>
  <c r="J73" i="68"/>
  <c r="I73" i="68"/>
  <c r="H73" i="68"/>
  <c r="G73" i="68"/>
  <c r="F73" i="68"/>
  <c r="E73" i="68"/>
  <c r="D73" i="68"/>
  <c r="C73" i="68"/>
  <c r="B73" i="68"/>
  <c r="A73" i="68"/>
  <c r="N72" i="68"/>
  <c r="M72" i="68"/>
  <c r="L72" i="68"/>
  <c r="K72" i="68"/>
  <c r="J72" i="68"/>
  <c r="I72" i="68"/>
  <c r="H72" i="68"/>
  <c r="G72" i="68"/>
  <c r="F72" i="68"/>
  <c r="E72" i="68"/>
  <c r="D72" i="68"/>
  <c r="C72" i="68"/>
  <c r="B72" i="68"/>
  <c r="A72" i="68"/>
  <c r="N71" i="68"/>
  <c r="M71" i="68"/>
  <c r="L71" i="68"/>
  <c r="K71" i="68"/>
  <c r="J71" i="68"/>
  <c r="I71" i="68"/>
  <c r="H71" i="68"/>
  <c r="G71" i="68"/>
  <c r="F71" i="68"/>
  <c r="E71" i="68"/>
  <c r="D71" i="68"/>
  <c r="C71" i="68"/>
  <c r="B71" i="68"/>
  <c r="A71" i="68"/>
  <c r="N70" i="68"/>
  <c r="M70" i="68"/>
  <c r="L70" i="68"/>
  <c r="K70" i="68"/>
  <c r="J70" i="68"/>
  <c r="I70" i="68"/>
  <c r="H70" i="68"/>
  <c r="G70" i="68"/>
  <c r="F70" i="68"/>
  <c r="E70" i="68"/>
  <c r="D70" i="68"/>
  <c r="C70" i="68"/>
  <c r="B70" i="68"/>
  <c r="A70" i="68"/>
  <c r="N69" i="68"/>
  <c r="M69" i="68"/>
  <c r="L69" i="68"/>
  <c r="K69" i="68"/>
  <c r="J69" i="68"/>
  <c r="I69" i="68"/>
  <c r="H69" i="68"/>
  <c r="G69" i="68"/>
  <c r="F69" i="68"/>
  <c r="E69" i="68"/>
  <c r="D69" i="68"/>
  <c r="C69" i="68"/>
  <c r="B69" i="68"/>
  <c r="A69" i="68"/>
  <c r="N68" i="68"/>
  <c r="M68" i="68"/>
  <c r="L68" i="68"/>
  <c r="K68" i="68"/>
  <c r="J68" i="68"/>
  <c r="I68" i="68"/>
  <c r="H68" i="68"/>
  <c r="G68" i="68"/>
  <c r="F68" i="68"/>
  <c r="E68" i="68"/>
  <c r="D68" i="68"/>
  <c r="C68" i="68"/>
  <c r="B68" i="68"/>
  <c r="A68" i="68"/>
  <c r="N67" i="68"/>
  <c r="M67" i="68"/>
  <c r="L67" i="68"/>
  <c r="K67" i="68"/>
  <c r="J67" i="68"/>
  <c r="I67" i="68"/>
  <c r="H67" i="68"/>
  <c r="G67" i="68"/>
  <c r="F67" i="68"/>
  <c r="E67" i="68"/>
  <c r="D67" i="68"/>
  <c r="C67" i="68"/>
  <c r="B67" i="68"/>
  <c r="A67" i="68"/>
  <c r="N66" i="68"/>
  <c r="M66" i="68"/>
  <c r="L66" i="68"/>
  <c r="K66" i="68"/>
  <c r="J66" i="68"/>
  <c r="I66" i="68"/>
  <c r="H66" i="68"/>
  <c r="G66" i="68"/>
  <c r="F66" i="68"/>
  <c r="E66" i="68"/>
  <c r="D66" i="68"/>
  <c r="C66" i="68"/>
  <c r="B66" i="68"/>
  <c r="A66" i="68"/>
  <c r="N65" i="68"/>
  <c r="M65" i="68"/>
  <c r="L65" i="68"/>
  <c r="K65" i="68"/>
  <c r="J65" i="68"/>
  <c r="I65" i="68"/>
  <c r="H65" i="68"/>
  <c r="G65" i="68"/>
  <c r="F65" i="68"/>
  <c r="E65" i="68"/>
  <c r="D65" i="68"/>
  <c r="C65" i="68"/>
  <c r="B65" i="68"/>
  <c r="A65" i="68"/>
  <c r="N64" i="68"/>
  <c r="M64" i="68"/>
  <c r="L64" i="68"/>
  <c r="K64" i="68"/>
  <c r="J64" i="68"/>
  <c r="I64" i="68"/>
  <c r="H64" i="68"/>
  <c r="G64" i="68"/>
  <c r="F64" i="68"/>
  <c r="E64" i="68"/>
  <c r="D64" i="68"/>
  <c r="C64" i="68"/>
  <c r="B64" i="68"/>
  <c r="A64" i="68"/>
  <c r="N63" i="68"/>
  <c r="M63" i="68"/>
  <c r="L63" i="68"/>
  <c r="K63" i="68"/>
  <c r="J63" i="68"/>
  <c r="I63" i="68"/>
  <c r="H63" i="68"/>
  <c r="G63" i="68"/>
  <c r="F63" i="68"/>
  <c r="E63" i="68"/>
  <c r="D63" i="68"/>
  <c r="C63" i="68"/>
  <c r="B63" i="68"/>
  <c r="A63" i="68"/>
  <c r="N62" i="68"/>
  <c r="M62" i="68"/>
  <c r="L62" i="68"/>
  <c r="K62" i="68"/>
  <c r="J62" i="68"/>
  <c r="I62" i="68"/>
  <c r="H62" i="68"/>
  <c r="G62" i="68"/>
  <c r="F62" i="68"/>
  <c r="E62" i="68"/>
  <c r="D62" i="68"/>
  <c r="C62" i="68"/>
  <c r="B62" i="68"/>
  <c r="A62" i="68"/>
  <c r="N61" i="68"/>
  <c r="M61" i="68"/>
  <c r="L61" i="68"/>
  <c r="K61" i="68"/>
  <c r="J61" i="68"/>
  <c r="I61" i="68"/>
  <c r="H61" i="68"/>
  <c r="G61" i="68"/>
  <c r="F61" i="68"/>
  <c r="E61" i="68"/>
  <c r="D61" i="68"/>
  <c r="C61" i="68"/>
  <c r="B61" i="68"/>
  <c r="A61" i="68"/>
  <c r="N60" i="68"/>
  <c r="M60" i="68"/>
  <c r="L60" i="68"/>
  <c r="K60" i="68"/>
  <c r="J60" i="68"/>
  <c r="I60" i="68"/>
  <c r="H60" i="68"/>
  <c r="G60" i="68"/>
  <c r="F60" i="68"/>
  <c r="E60" i="68"/>
  <c r="D60" i="68"/>
  <c r="C60" i="68"/>
  <c r="B60" i="68"/>
  <c r="A60" i="68"/>
  <c r="N59" i="68"/>
  <c r="M59" i="68"/>
  <c r="L59" i="68"/>
  <c r="K59" i="68"/>
  <c r="J59" i="68"/>
  <c r="I59" i="68"/>
  <c r="H59" i="68"/>
  <c r="G59" i="68"/>
  <c r="F59" i="68"/>
  <c r="E59" i="68"/>
  <c r="D59" i="68"/>
  <c r="C59" i="68"/>
  <c r="B59" i="68"/>
  <c r="A59" i="68"/>
  <c r="N58" i="68"/>
  <c r="M58" i="68"/>
  <c r="L58" i="68"/>
  <c r="K58" i="68"/>
  <c r="J58" i="68"/>
  <c r="I58" i="68"/>
  <c r="H58" i="68"/>
  <c r="G58" i="68"/>
  <c r="F58" i="68"/>
  <c r="E58" i="68"/>
  <c r="D58" i="68"/>
  <c r="C58" i="68"/>
  <c r="B58" i="68"/>
  <c r="A58" i="68"/>
  <c r="N57" i="68"/>
  <c r="M57" i="68"/>
  <c r="L57" i="68"/>
  <c r="K57" i="68"/>
  <c r="J57" i="68"/>
  <c r="I57" i="68"/>
  <c r="H57" i="68"/>
  <c r="G57" i="68"/>
  <c r="F57" i="68"/>
  <c r="E57" i="68"/>
  <c r="D57" i="68"/>
  <c r="C57" i="68"/>
  <c r="B57" i="68"/>
  <c r="A57" i="68"/>
  <c r="N56" i="68"/>
  <c r="M56" i="68"/>
  <c r="L56" i="68"/>
  <c r="K56" i="68"/>
  <c r="J56" i="68"/>
  <c r="I56" i="68"/>
  <c r="H56" i="68"/>
  <c r="G56" i="68"/>
  <c r="F56" i="68"/>
  <c r="E56" i="68"/>
  <c r="D56" i="68"/>
  <c r="C56" i="68"/>
  <c r="B56" i="68"/>
  <c r="A56" i="68"/>
  <c r="N55" i="68"/>
  <c r="M55" i="68"/>
  <c r="L55" i="68"/>
  <c r="K55" i="68"/>
  <c r="J55" i="68"/>
  <c r="I55" i="68"/>
  <c r="H55" i="68"/>
  <c r="G55" i="68"/>
  <c r="F55" i="68"/>
  <c r="E55" i="68"/>
  <c r="D55" i="68"/>
  <c r="C55" i="68"/>
  <c r="B55" i="68"/>
  <c r="A55" i="68"/>
  <c r="N54" i="68"/>
  <c r="M54" i="68"/>
  <c r="L54" i="68"/>
  <c r="K54" i="68"/>
  <c r="J54" i="68"/>
  <c r="I54" i="68"/>
  <c r="H54" i="68"/>
  <c r="G54" i="68"/>
  <c r="F54" i="68"/>
  <c r="E54" i="68"/>
  <c r="D54" i="68"/>
  <c r="C54" i="68"/>
  <c r="B54" i="68"/>
  <c r="A54" i="68"/>
  <c r="N53" i="68"/>
  <c r="M53" i="68"/>
  <c r="L53" i="68"/>
  <c r="K53" i="68"/>
  <c r="J53" i="68"/>
  <c r="I53" i="68"/>
  <c r="H53" i="68"/>
  <c r="G53" i="68"/>
  <c r="F53" i="68"/>
  <c r="E53" i="68"/>
  <c r="D53" i="68"/>
  <c r="C53" i="68"/>
  <c r="B53" i="68"/>
  <c r="A53" i="68"/>
  <c r="N52" i="68"/>
  <c r="M52" i="68"/>
  <c r="L52" i="68"/>
  <c r="K52" i="68"/>
  <c r="J52" i="68"/>
  <c r="I52" i="68"/>
  <c r="H52" i="68"/>
  <c r="G52" i="68"/>
  <c r="F52" i="68"/>
  <c r="E52" i="68"/>
  <c r="D52" i="68"/>
  <c r="C52" i="68"/>
  <c r="B52" i="68"/>
  <c r="A52" i="68"/>
  <c r="N51" i="68"/>
  <c r="M51" i="68"/>
  <c r="L51" i="68"/>
  <c r="K51" i="68"/>
  <c r="J51" i="68"/>
  <c r="I51" i="68"/>
  <c r="H51" i="68"/>
  <c r="G51" i="68"/>
  <c r="F51" i="68"/>
  <c r="E51" i="68"/>
  <c r="D51" i="68"/>
  <c r="C51" i="68"/>
  <c r="B51" i="68"/>
  <c r="A51" i="68"/>
  <c r="N50" i="68"/>
  <c r="M50" i="68"/>
  <c r="L50" i="68"/>
  <c r="K50" i="68"/>
  <c r="J50" i="68"/>
  <c r="I50" i="68"/>
  <c r="H50" i="68"/>
  <c r="G50" i="68"/>
  <c r="F50" i="68"/>
  <c r="E50" i="68"/>
  <c r="D50" i="68"/>
  <c r="C50" i="68"/>
  <c r="B50" i="68"/>
  <c r="A50" i="68"/>
  <c r="N49" i="68"/>
  <c r="M49" i="68"/>
  <c r="L49" i="68"/>
  <c r="K49" i="68"/>
  <c r="J49" i="68"/>
  <c r="I49" i="68"/>
  <c r="H49" i="68"/>
  <c r="G49" i="68"/>
  <c r="F49" i="68"/>
  <c r="E49" i="68"/>
  <c r="D49" i="68"/>
  <c r="C49" i="68"/>
  <c r="B49" i="68"/>
  <c r="A49" i="68"/>
  <c r="N48" i="68"/>
  <c r="M48" i="68"/>
  <c r="L48" i="68"/>
  <c r="K48" i="68"/>
  <c r="J48" i="68"/>
  <c r="I48" i="68"/>
  <c r="H48" i="68"/>
  <c r="G48" i="68"/>
  <c r="F48" i="68"/>
  <c r="E48" i="68"/>
  <c r="D48" i="68"/>
  <c r="C48" i="68"/>
  <c r="B48" i="68"/>
  <c r="A48" i="68"/>
  <c r="N47" i="68"/>
  <c r="M47" i="68"/>
  <c r="L47" i="68"/>
  <c r="K47" i="68"/>
  <c r="J47" i="68"/>
  <c r="I47" i="68"/>
  <c r="H47" i="68"/>
  <c r="G47" i="68"/>
  <c r="F47" i="68"/>
  <c r="E47" i="68"/>
  <c r="D47" i="68"/>
  <c r="C47" i="68"/>
  <c r="B47" i="68"/>
  <c r="A47" i="68"/>
  <c r="N46" i="68"/>
  <c r="M46" i="68"/>
  <c r="L46" i="68"/>
  <c r="K46" i="68"/>
  <c r="J46" i="68"/>
  <c r="I46" i="68"/>
  <c r="H46" i="68"/>
  <c r="G46" i="68"/>
  <c r="F46" i="68"/>
  <c r="E46" i="68"/>
  <c r="D46" i="68"/>
  <c r="C46" i="68"/>
  <c r="B46" i="68"/>
  <c r="A46" i="68"/>
  <c r="N45" i="68"/>
  <c r="M45" i="68"/>
  <c r="L45" i="68"/>
  <c r="K45" i="68"/>
  <c r="J45" i="68"/>
  <c r="I45" i="68"/>
  <c r="H45" i="68"/>
  <c r="G45" i="68"/>
  <c r="F45" i="68"/>
  <c r="E45" i="68"/>
  <c r="D45" i="68"/>
  <c r="C45" i="68"/>
  <c r="B45" i="68"/>
  <c r="A45" i="68"/>
  <c r="N44" i="68"/>
  <c r="M44" i="68"/>
  <c r="L44" i="68"/>
  <c r="K44" i="68"/>
  <c r="J44" i="68"/>
  <c r="I44" i="68"/>
  <c r="H44" i="68"/>
  <c r="G44" i="68"/>
  <c r="F44" i="68"/>
  <c r="E44" i="68"/>
  <c r="D44" i="68"/>
  <c r="C44" i="68"/>
  <c r="B44" i="68"/>
  <c r="A44" i="68"/>
  <c r="N43" i="68"/>
  <c r="M43" i="68"/>
  <c r="L43" i="68"/>
  <c r="K43" i="68"/>
  <c r="J43" i="68"/>
  <c r="I43" i="68"/>
  <c r="H43" i="68"/>
  <c r="G43" i="68"/>
  <c r="F43" i="68"/>
  <c r="E43" i="68"/>
  <c r="D43" i="68"/>
  <c r="C43" i="68"/>
  <c r="B43" i="68"/>
  <c r="A43" i="68"/>
  <c r="N42" i="68"/>
  <c r="M42" i="68"/>
  <c r="L42" i="68"/>
  <c r="K42" i="68"/>
  <c r="J42" i="68"/>
  <c r="I42" i="68"/>
  <c r="H42" i="68"/>
  <c r="G42" i="68"/>
  <c r="F42" i="68"/>
  <c r="E42" i="68"/>
  <c r="D42" i="68"/>
  <c r="C42" i="68"/>
  <c r="B42" i="68"/>
  <c r="A42" i="68"/>
  <c r="N41" i="68"/>
  <c r="M41" i="68"/>
  <c r="L41" i="68"/>
  <c r="K41" i="68"/>
  <c r="J41" i="68"/>
  <c r="I41" i="68"/>
  <c r="H41" i="68"/>
  <c r="G41" i="68"/>
  <c r="F41" i="68"/>
  <c r="E41" i="68"/>
  <c r="D41" i="68"/>
  <c r="C41" i="68"/>
  <c r="B41" i="68"/>
  <c r="A41" i="68"/>
  <c r="N40" i="68"/>
  <c r="M40" i="68"/>
  <c r="L40" i="68"/>
  <c r="K40" i="68"/>
  <c r="J40" i="68"/>
  <c r="I40" i="68"/>
  <c r="H40" i="68"/>
  <c r="G40" i="68"/>
  <c r="F40" i="68"/>
  <c r="E40" i="68"/>
  <c r="D40" i="68"/>
  <c r="C40" i="68"/>
  <c r="B40" i="68"/>
  <c r="A40" i="68"/>
  <c r="N39" i="68"/>
  <c r="M39" i="68"/>
  <c r="L39" i="68"/>
  <c r="K39" i="68"/>
  <c r="J39" i="68"/>
  <c r="I39" i="68"/>
  <c r="H39" i="68"/>
  <c r="G39" i="68"/>
  <c r="F39" i="68"/>
  <c r="E39" i="68"/>
  <c r="D39" i="68"/>
  <c r="C39" i="68"/>
  <c r="B39" i="68"/>
  <c r="A39" i="68"/>
  <c r="N38" i="68"/>
  <c r="M38" i="68"/>
  <c r="L38" i="68"/>
  <c r="K38" i="68"/>
  <c r="J38" i="68"/>
  <c r="I38" i="68"/>
  <c r="H38" i="68"/>
  <c r="G38" i="68"/>
  <c r="F38" i="68"/>
  <c r="E38" i="68"/>
  <c r="D38" i="68"/>
  <c r="C38" i="68"/>
  <c r="B38" i="68"/>
  <c r="A38" i="68"/>
  <c r="N37" i="68"/>
  <c r="M37" i="68"/>
  <c r="L37" i="68"/>
  <c r="K37" i="68"/>
  <c r="J37" i="68"/>
  <c r="I37" i="68"/>
  <c r="H37" i="68"/>
  <c r="G37" i="68"/>
  <c r="F37" i="68"/>
  <c r="E37" i="68"/>
  <c r="D37" i="68"/>
  <c r="C37" i="68"/>
  <c r="B37" i="68"/>
  <c r="A37" i="68"/>
  <c r="N36" i="68"/>
  <c r="M36" i="68"/>
  <c r="L36" i="68"/>
  <c r="K36" i="68"/>
  <c r="J36" i="68"/>
  <c r="I36" i="68"/>
  <c r="H36" i="68"/>
  <c r="G36" i="68"/>
  <c r="F36" i="68"/>
  <c r="E36" i="68"/>
  <c r="D36" i="68"/>
  <c r="C36" i="68"/>
  <c r="B36" i="68"/>
  <c r="A36" i="68"/>
  <c r="N35" i="68"/>
  <c r="M35" i="68"/>
  <c r="L35" i="68"/>
  <c r="K35" i="68"/>
  <c r="J35" i="68"/>
  <c r="I35" i="68"/>
  <c r="H35" i="68"/>
  <c r="G35" i="68"/>
  <c r="F35" i="68"/>
  <c r="E35" i="68"/>
  <c r="D35" i="68"/>
  <c r="C35" i="68"/>
  <c r="B35" i="68"/>
  <c r="A35" i="68"/>
  <c r="N34" i="68"/>
  <c r="M34" i="68"/>
  <c r="L34" i="68"/>
  <c r="K34" i="68"/>
  <c r="J34" i="68"/>
  <c r="I34" i="68"/>
  <c r="H34" i="68"/>
  <c r="G34" i="68"/>
  <c r="F34" i="68"/>
  <c r="E34" i="68"/>
  <c r="D34" i="68"/>
  <c r="C34" i="68"/>
  <c r="B34" i="68"/>
  <c r="A34" i="68"/>
  <c r="N33" i="68"/>
  <c r="M33" i="68"/>
  <c r="L33" i="68"/>
  <c r="K33" i="68"/>
  <c r="J33" i="68"/>
  <c r="I33" i="68"/>
  <c r="H33" i="68"/>
  <c r="G33" i="68"/>
  <c r="F33" i="68"/>
  <c r="E33" i="68"/>
  <c r="D33" i="68"/>
  <c r="C33" i="68"/>
  <c r="B33" i="68"/>
  <c r="A33" i="68"/>
  <c r="N32" i="68"/>
  <c r="M32" i="68"/>
  <c r="L32" i="68"/>
  <c r="K32" i="68"/>
  <c r="J32" i="68"/>
  <c r="I32" i="68"/>
  <c r="H32" i="68"/>
  <c r="G32" i="68"/>
  <c r="F32" i="68"/>
  <c r="E32" i="68"/>
  <c r="D32" i="68"/>
  <c r="C32" i="68"/>
  <c r="B32" i="68"/>
  <c r="A32" i="68"/>
  <c r="N31" i="68"/>
  <c r="M31" i="68"/>
  <c r="L31" i="68"/>
  <c r="K31" i="68"/>
  <c r="J31" i="68"/>
  <c r="I31" i="68"/>
  <c r="H31" i="68"/>
  <c r="G31" i="68"/>
  <c r="F31" i="68"/>
  <c r="E31" i="68"/>
  <c r="D31" i="68"/>
  <c r="C31" i="68"/>
  <c r="B31" i="68"/>
  <c r="A31" i="68"/>
  <c r="N30" i="68"/>
  <c r="M30" i="68"/>
  <c r="L30" i="68"/>
  <c r="K30" i="68"/>
  <c r="J30" i="68"/>
  <c r="I30" i="68"/>
  <c r="H30" i="68"/>
  <c r="G30" i="68"/>
  <c r="F30" i="68"/>
  <c r="E30" i="68"/>
  <c r="D30" i="68"/>
  <c r="C30" i="68"/>
  <c r="B30" i="68"/>
  <c r="A30" i="68"/>
  <c r="N29" i="68"/>
  <c r="M29" i="68"/>
  <c r="L29" i="68"/>
  <c r="K29" i="68"/>
  <c r="J29" i="68"/>
  <c r="I29" i="68"/>
  <c r="H29" i="68"/>
  <c r="G29" i="68"/>
  <c r="F29" i="68"/>
  <c r="E29" i="68"/>
  <c r="D29" i="68"/>
  <c r="C29" i="68"/>
  <c r="B29" i="68"/>
  <c r="A29" i="68"/>
  <c r="N28" i="68"/>
  <c r="M28" i="68"/>
  <c r="L28" i="68"/>
  <c r="K28" i="68"/>
  <c r="J28" i="68"/>
  <c r="I28" i="68"/>
  <c r="H28" i="68"/>
  <c r="G28" i="68"/>
  <c r="F28" i="68"/>
  <c r="E28" i="68"/>
  <c r="D28" i="68"/>
  <c r="C28" i="68"/>
  <c r="B28" i="68"/>
  <c r="A28" i="68"/>
  <c r="N27" i="68"/>
  <c r="M27" i="68"/>
  <c r="L27" i="68"/>
  <c r="K27" i="68"/>
  <c r="J27" i="68"/>
  <c r="I27" i="68"/>
  <c r="H27" i="68"/>
  <c r="G27" i="68"/>
  <c r="F27" i="68"/>
  <c r="E27" i="68"/>
  <c r="D27" i="68"/>
  <c r="C27" i="68"/>
  <c r="B27" i="68"/>
  <c r="A27" i="68"/>
  <c r="N26" i="68"/>
  <c r="M26" i="68"/>
  <c r="L26" i="68"/>
  <c r="K26" i="68"/>
  <c r="J26" i="68"/>
  <c r="I26" i="68"/>
  <c r="H26" i="68"/>
  <c r="G26" i="68"/>
  <c r="F26" i="68"/>
  <c r="E26" i="68"/>
  <c r="D26" i="68"/>
  <c r="C26" i="68"/>
  <c r="B26" i="68"/>
  <c r="A26" i="68"/>
  <c r="N25" i="68"/>
  <c r="M25" i="68"/>
  <c r="L25" i="68"/>
  <c r="K25" i="68"/>
  <c r="J25" i="68"/>
  <c r="I25" i="68"/>
  <c r="H25" i="68"/>
  <c r="G25" i="68"/>
  <c r="F25" i="68"/>
  <c r="E25" i="68"/>
  <c r="D25" i="68"/>
  <c r="C25" i="68"/>
  <c r="B25" i="68"/>
  <c r="A25" i="68"/>
  <c r="N24" i="68"/>
  <c r="M24" i="68"/>
  <c r="L24" i="68"/>
  <c r="K24" i="68"/>
  <c r="J24" i="68"/>
  <c r="I24" i="68"/>
  <c r="H24" i="68"/>
  <c r="G24" i="68"/>
  <c r="F24" i="68"/>
  <c r="E24" i="68"/>
  <c r="D24" i="68"/>
  <c r="C24" i="68"/>
  <c r="B24" i="68"/>
  <c r="A24" i="68"/>
  <c r="N23" i="68"/>
  <c r="M23" i="68"/>
  <c r="L23" i="68"/>
  <c r="K23" i="68"/>
  <c r="J23" i="68"/>
  <c r="I23" i="68"/>
  <c r="H23" i="68"/>
  <c r="G23" i="68"/>
  <c r="F23" i="68"/>
  <c r="E23" i="68"/>
  <c r="D23" i="68"/>
  <c r="C23" i="68"/>
  <c r="B23" i="68"/>
  <c r="A23" i="68"/>
  <c r="N22" i="68"/>
  <c r="M22" i="68"/>
  <c r="L22" i="68"/>
  <c r="K22" i="68"/>
  <c r="J22" i="68"/>
  <c r="I22" i="68"/>
  <c r="H22" i="68"/>
  <c r="G22" i="68"/>
  <c r="F22" i="68"/>
  <c r="E22" i="68"/>
  <c r="D22" i="68"/>
  <c r="C22" i="68"/>
  <c r="B22" i="68"/>
  <c r="A22" i="68"/>
  <c r="N21" i="68"/>
  <c r="M21" i="68"/>
  <c r="L21" i="68"/>
  <c r="K21" i="68"/>
  <c r="J21" i="68"/>
  <c r="I21" i="68"/>
  <c r="H21" i="68"/>
  <c r="G21" i="68"/>
  <c r="F21" i="68"/>
  <c r="E21" i="68"/>
  <c r="D21" i="68"/>
  <c r="C21" i="68"/>
  <c r="B21" i="68"/>
  <c r="A21" i="68"/>
  <c r="N20" i="68"/>
  <c r="M20" i="68"/>
  <c r="L20" i="68"/>
  <c r="K20" i="68"/>
  <c r="J20" i="68"/>
  <c r="I20" i="68"/>
  <c r="H20" i="68"/>
  <c r="G20" i="68"/>
  <c r="F20" i="68"/>
  <c r="E20" i="68"/>
  <c r="D20" i="68"/>
  <c r="C20" i="68"/>
  <c r="B20" i="68"/>
  <c r="A20" i="68"/>
  <c r="N19" i="68"/>
  <c r="M19" i="68"/>
  <c r="L19" i="68"/>
  <c r="K19" i="68"/>
  <c r="J19" i="68"/>
  <c r="I19" i="68"/>
  <c r="H19" i="68"/>
  <c r="G19" i="68"/>
  <c r="F19" i="68"/>
  <c r="E19" i="68"/>
  <c r="D19" i="68"/>
  <c r="C19" i="68"/>
  <c r="B19" i="68"/>
  <c r="A19" i="68"/>
  <c r="N18" i="68"/>
  <c r="M18" i="68"/>
  <c r="L18" i="68"/>
  <c r="K18" i="68"/>
  <c r="J18" i="68"/>
  <c r="I18" i="68"/>
  <c r="H18" i="68"/>
  <c r="G18" i="68"/>
  <c r="F18" i="68"/>
  <c r="E18" i="68"/>
  <c r="D18" i="68"/>
  <c r="C18" i="68"/>
  <c r="B18" i="68"/>
  <c r="A18" i="68"/>
  <c r="N17" i="68"/>
  <c r="M17" i="68"/>
  <c r="L17" i="68"/>
  <c r="K17" i="68"/>
  <c r="J17" i="68"/>
  <c r="I17" i="68"/>
  <c r="H17" i="68"/>
  <c r="G17" i="68"/>
  <c r="F17" i="68"/>
  <c r="E17" i="68"/>
  <c r="D17" i="68"/>
  <c r="C17" i="68"/>
  <c r="B17" i="68"/>
  <c r="A17" i="68"/>
  <c r="N16" i="68"/>
  <c r="M16" i="68"/>
  <c r="L16" i="68"/>
  <c r="K16" i="68"/>
  <c r="J16" i="68"/>
  <c r="I16" i="68"/>
  <c r="H16" i="68"/>
  <c r="G16" i="68"/>
  <c r="F16" i="68"/>
  <c r="E16" i="68"/>
  <c r="D16" i="68"/>
  <c r="C16" i="68"/>
  <c r="B16" i="68"/>
  <c r="A16" i="68"/>
  <c r="N15" i="68"/>
  <c r="M15" i="68"/>
  <c r="L15" i="68"/>
  <c r="K15" i="68"/>
  <c r="J15" i="68"/>
  <c r="I15" i="68"/>
  <c r="H15" i="68"/>
  <c r="G15" i="68"/>
  <c r="F15" i="68"/>
  <c r="E15" i="68"/>
  <c r="D15" i="68"/>
  <c r="C15" i="68"/>
  <c r="B15" i="68"/>
  <c r="A15" i="68"/>
  <c r="N14" i="68"/>
  <c r="M14" i="68"/>
  <c r="L14" i="68"/>
  <c r="K14" i="68"/>
  <c r="J14" i="68"/>
  <c r="I14" i="68"/>
  <c r="H14" i="68"/>
  <c r="G14" i="68"/>
  <c r="F14" i="68"/>
  <c r="E14" i="68"/>
  <c r="D14" i="68"/>
  <c r="C14" i="68"/>
  <c r="B14" i="68"/>
  <c r="A14" i="68"/>
  <c r="N13" i="68"/>
  <c r="M13" i="68"/>
  <c r="L13" i="68"/>
  <c r="K13" i="68"/>
  <c r="J13" i="68"/>
  <c r="I13" i="68"/>
  <c r="H13" i="68"/>
  <c r="G13" i="68"/>
  <c r="F13" i="68"/>
  <c r="E13" i="68"/>
  <c r="D13" i="68"/>
  <c r="C13" i="68"/>
  <c r="B13" i="68"/>
  <c r="A13" i="68"/>
  <c r="N12" i="68"/>
  <c r="M12" i="68"/>
  <c r="L12" i="68"/>
  <c r="K12" i="68"/>
  <c r="J12" i="68"/>
  <c r="I12" i="68"/>
  <c r="H12" i="68"/>
  <c r="G12" i="68"/>
  <c r="F12" i="68"/>
  <c r="E12" i="68"/>
  <c r="D12" i="68"/>
  <c r="C12" i="68"/>
  <c r="B12" i="68"/>
  <c r="A12" i="68"/>
  <c r="N11" i="68"/>
  <c r="M11" i="68"/>
  <c r="L11" i="68"/>
  <c r="K11" i="68"/>
  <c r="J11" i="68"/>
  <c r="I11" i="68"/>
  <c r="H11" i="68"/>
  <c r="G11" i="68"/>
  <c r="F11" i="68"/>
  <c r="E11" i="68"/>
  <c r="D11" i="68"/>
  <c r="C11" i="68"/>
  <c r="B11" i="68"/>
  <c r="A11" i="68"/>
  <c r="N10" i="68"/>
  <c r="M10" i="68"/>
  <c r="L10" i="68"/>
  <c r="K10" i="68"/>
  <c r="J10" i="68"/>
  <c r="I10" i="68"/>
  <c r="H10" i="68"/>
  <c r="G10" i="68"/>
  <c r="F10" i="68"/>
  <c r="E10" i="68"/>
  <c r="D10" i="68"/>
  <c r="C10" i="68"/>
  <c r="B10" i="68"/>
  <c r="A10" i="68"/>
  <c r="N9" i="68"/>
  <c r="M9" i="68"/>
  <c r="L9" i="68"/>
  <c r="K9" i="68"/>
  <c r="J9" i="68"/>
  <c r="I9" i="68"/>
  <c r="H9" i="68"/>
  <c r="G9" i="68"/>
  <c r="F9" i="68"/>
  <c r="E9" i="68"/>
  <c r="D9" i="68"/>
  <c r="C9" i="68"/>
  <c r="B9" i="68"/>
  <c r="A9" i="68"/>
  <c r="N8" i="68"/>
  <c r="M8" i="68"/>
  <c r="L8" i="68"/>
  <c r="K8" i="68"/>
  <c r="J8" i="68"/>
  <c r="I8" i="68"/>
  <c r="H8" i="68"/>
  <c r="G8" i="68"/>
  <c r="F8" i="68"/>
  <c r="E8" i="68"/>
  <c r="D8" i="68"/>
  <c r="C8" i="68"/>
  <c r="B8" i="68"/>
  <c r="A8" i="68"/>
  <c r="N7" i="68"/>
  <c r="M7" i="68"/>
  <c r="L7" i="68"/>
  <c r="K7" i="68"/>
  <c r="J7" i="68"/>
  <c r="I7" i="68"/>
  <c r="H7" i="68"/>
  <c r="G7" i="68"/>
  <c r="F7" i="68"/>
  <c r="E7" i="68"/>
  <c r="D7" i="68"/>
  <c r="C7" i="68"/>
  <c r="B7" i="68"/>
  <c r="A7" i="68"/>
  <c r="N6" i="68"/>
  <c r="M6" i="68"/>
  <c r="L6" i="68"/>
  <c r="K6" i="68"/>
  <c r="J6" i="68"/>
  <c r="I6" i="68"/>
  <c r="H6" i="68"/>
  <c r="G6" i="68"/>
  <c r="F6" i="68"/>
  <c r="E6" i="68"/>
  <c r="D6" i="68"/>
  <c r="C6" i="68"/>
  <c r="B6" i="68"/>
  <c r="A6" i="68"/>
  <c r="N5" i="68"/>
  <c r="M5" i="68"/>
  <c r="L5" i="68"/>
  <c r="K5" i="68"/>
  <c r="J5" i="68"/>
  <c r="I5" i="68"/>
  <c r="H5" i="68"/>
  <c r="G5" i="68"/>
  <c r="F5" i="68"/>
  <c r="E5" i="68"/>
  <c r="D5" i="68"/>
  <c r="C5" i="68"/>
  <c r="B5" i="68"/>
  <c r="A5" i="68"/>
  <c r="N4" i="68"/>
  <c r="M4" i="68"/>
  <c r="L4" i="68"/>
  <c r="K4" i="68"/>
  <c r="J4" i="68"/>
  <c r="I4" i="68"/>
  <c r="H4" i="68"/>
  <c r="G4" i="68"/>
  <c r="F4" i="68"/>
  <c r="E4" i="68"/>
  <c r="D4" i="68"/>
  <c r="C4" i="68"/>
  <c r="B4" i="68"/>
  <c r="A4" i="68"/>
  <c r="N3" i="68"/>
  <c r="M3" i="68"/>
  <c r="L3" i="68"/>
  <c r="K3" i="68"/>
  <c r="J3" i="68"/>
  <c r="I3" i="68"/>
  <c r="H3" i="68"/>
  <c r="G3" i="68"/>
  <c r="F3" i="68"/>
  <c r="E3" i="68"/>
  <c r="D3" i="68"/>
  <c r="C3" i="68"/>
  <c r="B3" i="68"/>
  <c r="A3" i="68"/>
  <c r="N2" i="68"/>
  <c r="M2" i="68"/>
  <c r="L2" i="68"/>
  <c r="K2" i="68"/>
  <c r="J2" i="68"/>
  <c r="I2" i="68"/>
  <c r="H2" i="68"/>
  <c r="G2" i="68"/>
  <c r="F2" i="68"/>
  <c r="E2" i="68"/>
  <c r="D2" i="68"/>
  <c r="C2" i="68"/>
  <c r="B2" i="68"/>
  <c r="A2" i="68"/>
  <c r="N1" i="68"/>
  <c r="J1" i="68"/>
  <c r="H1" i="68"/>
  <c r="G1" i="68"/>
  <c r="F1" i="68"/>
  <c r="D1" i="68"/>
  <c r="C1" i="68"/>
  <c r="B1" i="68"/>
  <c r="A1" i="68"/>
  <c r="S327" i="67"/>
  <c r="O96" i="68" s="1"/>
  <c r="S326" i="67"/>
  <c r="O95" i="68" s="1"/>
  <c r="S325" i="67"/>
  <c r="O94" i="68" s="1"/>
  <c r="S324" i="67"/>
  <c r="O93" i="68" s="1"/>
  <c r="S323" i="67"/>
  <c r="O92" i="68" s="1"/>
  <c r="S322" i="67"/>
  <c r="O91" i="68" s="1"/>
  <c r="S321" i="67"/>
  <c r="O90" i="68" s="1"/>
  <c r="S320" i="67"/>
  <c r="O89" i="68" s="1"/>
  <c r="S319" i="67"/>
  <c r="O88" i="68" s="1"/>
  <c r="S318" i="67"/>
  <c r="O87" i="68" s="1"/>
  <c r="S317" i="67"/>
  <c r="O86" i="68" s="1"/>
  <c r="S316" i="67"/>
  <c r="O85" i="68" s="1"/>
  <c r="S315" i="67"/>
  <c r="O84" i="68" s="1"/>
  <c r="S314" i="67"/>
  <c r="O83" i="68" s="1"/>
  <c r="S313" i="67"/>
  <c r="O82" i="68" s="1"/>
  <c r="S312" i="67"/>
  <c r="O81" i="68" s="1"/>
  <c r="S311" i="67"/>
  <c r="O80" i="68" s="1"/>
  <c r="S310" i="67"/>
  <c r="O79" i="68" s="1"/>
  <c r="S309" i="67"/>
  <c r="O78" i="68" s="1"/>
  <c r="S308" i="67"/>
  <c r="O77" i="68" s="1"/>
  <c r="S307" i="67"/>
  <c r="O76" i="68" s="1"/>
  <c r="S306" i="67"/>
  <c r="O75" i="68" s="1"/>
  <c r="S305" i="67"/>
  <c r="O74" i="68" s="1"/>
  <c r="S304" i="67"/>
  <c r="O73" i="68" s="1"/>
  <c r="S303" i="67"/>
  <c r="O72" i="68" s="1"/>
  <c r="S302" i="67"/>
  <c r="O71" i="68" s="1"/>
  <c r="S301" i="67"/>
  <c r="O70" i="68" s="1"/>
  <c r="S300" i="67"/>
  <c r="O69" i="68" s="1"/>
  <c r="S299" i="67"/>
  <c r="O68" i="68" s="1"/>
  <c r="S298" i="67"/>
  <c r="O67" i="68" s="1"/>
  <c r="S297" i="67"/>
  <c r="O66" i="68" s="1"/>
  <c r="S296" i="67"/>
  <c r="O65" i="68" s="1"/>
  <c r="S295" i="67"/>
  <c r="O64" i="68" s="1"/>
  <c r="S294" i="67"/>
  <c r="O63" i="68" s="1"/>
  <c r="S293" i="67"/>
  <c r="O62" i="68" s="1"/>
  <c r="S292" i="67"/>
  <c r="O61" i="68" s="1"/>
  <c r="S291" i="67"/>
  <c r="O60" i="68" s="1"/>
  <c r="S290" i="67"/>
  <c r="O59" i="68" s="1"/>
  <c r="S289" i="67"/>
  <c r="O58" i="68" s="1"/>
  <c r="S288" i="67"/>
  <c r="O57" i="68" s="1"/>
  <c r="S287" i="67"/>
  <c r="O56" i="68" s="1"/>
  <c r="S286" i="67"/>
  <c r="O55" i="68" s="1"/>
  <c r="S285" i="67"/>
  <c r="O54" i="68" s="1"/>
  <c r="S284" i="67"/>
  <c r="O53" i="68" s="1"/>
  <c r="S283" i="67"/>
  <c r="O52" i="68" s="1"/>
  <c r="S282" i="67"/>
  <c r="O51" i="68" s="1"/>
  <c r="S281" i="67"/>
  <c r="O50" i="68" s="1"/>
  <c r="S280" i="67"/>
  <c r="O49" i="68" s="1"/>
  <c r="S279" i="67"/>
  <c r="O48" i="68" s="1"/>
  <c r="S278" i="67"/>
  <c r="O47" i="68" s="1"/>
  <c r="S277" i="67"/>
  <c r="O46" i="68" s="1"/>
  <c r="S276" i="67"/>
  <c r="O45" i="68" s="1"/>
  <c r="S275" i="67"/>
  <c r="O44" i="68" s="1"/>
  <c r="S274" i="67"/>
  <c r="O43" i="68" s="1"/>
  <c r="S273" i="67"/>
  <c r="O42" i="68" s="1"/>
  <c r="S272" i="67"/>
  <c r="O41" i="68" s="1"/>
  <c r="S271" i="67"/>
  <c r="O40" i="68" s="1"/>
  <c r="S270" i="67"/>
  <c r="O39" i="68" s="1"/>
  <c r="S269" i="67"/>
  <c r="O38" i="68" s="1"/>
  <c r="S268" i="67"/>
  <c r="O37" i="68" s="1"/>
  <c r="S267" i="67"/>
  <c r="O36" i="68" s="1"/>
  <c r="S266" i="67"/>
  <c r="O35" i="68" s="1"/>
  <c r="S265" i="67"/>
  <c r="O34" i="68" s="1"/>
  <c r="S264" i="67"/>
  <c r="O33" i="68" s="1"/>
  <c r="S263" i="67"/>
  <c r="O32" i="68" s="1"/>
  <c r="S262" i="67"/>
  <c r="O31" i="68" s="1"/>
  <c r="S261" i="67"/>
  <c r="O30" i="68" s="1"/>
  <c r="S260" i="67"/>
  <c r="O29" i="68" s="1"/>
  <c r="S259" i="67"/>
  <c r="O28" i="68" s="1"/>
  <c r="S258" i="67"/>
  <c r="O27" i="68" s="1"/>
  <c r="S257" i="67"/>
  <c r="O26" i="68" s="1"/>
  <c r="S256" i="67"/>
  <c r="O25" i="68" s="1"/>
  <c r="S255" i="67"/>
  <c r="O24" i="68" s="1"/>
  <c r="S254" i="67"/>
  <c r="O23" i="68" s="1"/>
  <c r="S253" i="67"/>
  <c r="O22" i="68" s="1"/>
  <c r="S252" i="67"/>
  <c r="O21" i="68" s="1"/>
  <c r="S251" i="67"/>
  <c r="O20" i="68" s="1"/>
  <c r="S250" i="67"/>
  <c r="O19" i="68" s="1"/>
  <c r="S249" i="67"/>
  <c r="O18" i="68" s="1"/>
  <c r="S248" i="67"/>
  <c r="O17" i="68" s="1"/>
  <c r="S247" i="67"/>
  <c r="O16" i="68" s="1"/>
  <c r="S246" i="67"/>
  <c r="O15" i="68" s="1"/>
  <c r="S245" i="67"/>
  <c r="O14" i="68" s="1"/>
  <c r="S244" i="67"/>
  <c r="O13" i="68" s="1"/>
  <c r="S243" i="67"/>
  <c r="O12" i="68" s="1"/>
  <c r="S242" i="67"/>
  <c r="O11" i="68" s="1"/>
  <c r="S241" i="67"/>
  <c r="O10" i="68" s="1"/>
  <c r="S240" i="67"/>
  <c r="O9" i="68" s="1"/>
  <c r="S239" i="67"/>
  <c r="O8" i="68" s="1"/>
  <c r="S238" i="67"/>
  <c r="O7" i="68" s="1"/>
  <c r="S237" i="67"/>
  <c r="O6" i="68" s="1"/>
  <c r="S236" i="67"/>
  <c r="O5" i="68" s="1"/>
  <c r="S235" i="67"/>
  <c r="O4" i="68" s="1"/>
  <c r="S234" i="67"/>
  <c r="O3" i="68" s="1"/>
  <c r="S233" i="67"/>
  <c r="O2" i="68" s="1"/>
  <c r="R230" i="67"/>
  <c r="N230" i="67"/>
  <c r="M230" i="67"/>
  <c r="K230" i="67"/>
  <c r="J230" i="67"/>
  <c r="I230" i="67"/>
  <c r="F230" i="67"/>
  <c r="E230" i="67"/>
  <c r="D230" i="67"/>
  <c r="C230" i="67"/>
  <c r="B230" i="67" s="1"/>
  <c r="R229" i="67"/>
  <c r="N229" i="67"/>
  <c r="M229" i="67"/>
  <c r="K229" i="67"/>
  <c r="J229" i="67"/>
  <c r="I229" i="67"/>
  <c r="F229" i="67"/>
  <c r="E229" i="67"/>
  <c r="D229" i="67"/>
  <c r="C229" i="67"/>
  <c r="B229" i="67" s="1"/>
  <c r="R228" i="67"/>
  <c r="N228" i="67"/>
  <c r="M228" i="67"/>
  <c r="K228" i="67"/>
  <c r="I228" i="67"/>
  <c r="F228" i="67"/>
  <c r="E228" i="67"/>
  <c r="D228" i="67"/>
  <c r="C228" i="67"/>
  <c r="B228" i="67" s="1"/>
  <c r="R227" i="67"/>
  <c r="N227" i="67"/>
  <c r="M227" i="67"/>
  <c r="K227" i="67"/>
  <c r="I227" i="67"/>
  <c r="F227" i="67"/>
  <c r="E227" i="67"/>
  <c r="D227" i="67"/>
  <c r="C227" i="67"/>
  <c r="B227" i="67" s="1"/>
  <c r="R226" i="67"/>
  <c r="N226" i="67"/>
  <c r="M226" i="67"/>
  <c r="K226" i="67"/>
  <c r="I226" i="67"/>
  <c r="F226" i="67"/>
  <c r="E226" i="67"/>
  <c r="D226" i="67"/>
  <c r="C226" i="67"/>
  <c r="B226" i="67" s="1"/>
  <c r="R225" i="67"/>
  <c r="N225" i="67"/>
  <c r="M225" i="67"/>
  <c r="K225" i="67"/>
  <c r="J225" i="67"/>
  <c r="I225" i="67"/>
  <c r="F225" i="67"/>
  <c r="E225" i="67"/>
  <c r="D225" i="67"/>
  <c r="C225" i="67"/>
  <c r="B225" i="67" s="1"/>
  <c r="R224" i="67"/>
  <c r="N224" i="67"/>
  <c r="M224" i="67"/>
  <c r="K224" i="67"/>
  <c r="I224" i="67"/>
  <c r="F224" i="67"/>
  <c r="E224" i="67"/>
  <c r="D224" i="67"/>
  <c r="C224" i="67"/>
  <c r="B224" i="67" s="1"/>
  <c r="R223" i="67"/>
  <c r="N223" i="67"/>
  <c r="M223" i="67"/>
  <c r="K223" i="67"/>
  <c r="J223" i="67"/>
  <c r="I223" i="67"/>
  <c r="F223" i="67"/>
  <c r="E223" i="67"/>
  <c r="D223" i="67"/>
  <c r="C223" i="67"/>
  <c r="B223" i="67" s="1"/>
  <c r="R222" i="67"/>
  <c r="N222" i="67"/>
  <c r="M222" i="67"/>
  <c r="K222" i="67"/>
  <c r="J222" i="67"/>
  <c r="I222" i="67"/>
  <c r="F222" i="67"/>
  <c r="E222" i="67"/>
  <c r="D222" i="67"/>
  <c r="C222" i="67"/>
  <c r="B222" i="67" s="1"/>
  <c r="R221" i="67"/>
  <c r="N221" i="67"/>
  <c r="M221" i="67"/>
  <c r="K221" i="67"/>
  <c r="I221" i="67"/>
  <c r="F221" i="67"/>
  <c r="E221" i="67"/>
  <c r="D221" i="67"/>
  <c r="C221" i="67"/>
  <c r="B221" i="67" s="1"/>
  <c r="R220" i="67"/>
  <c r="N220" i="67"/>
  <c r="M220" i="67"/>
  <c r="K220" i="67"/>
  <c r="I220" i="67"/>
  <c r="F220" i="67"/>
  <c r="E220" i="67"/>
  <c r="D220" i="67"/>
  <c r="C220" i="67"/>
  <c r="B220" i="67" s="1"/>
  <c r="R219" i="67"/>
  <c r="N219" i="67"/>
  <c r="M219" i="67"/>
  <c r="K219" i="67"/>
  <c r="I219" i="67"/>
  <c r="F219" i="67"/>
  <c r="E219" i="67"/>
  <c r="D219" i="67"/>
  <c r="C219" i="67"/>
  <c r="B219" i="67" s="1"/>
  <c r="R218" i="67"/>
  <c r="N218" i="67"/>
  <c r="M218" i="67"/>
  <c r="K218" i="67"/>
  <c r="I218" i="67"/>
  <c r="F218" i="67"/>
  <c r="E218" i="67"/>
  <c r="D218" i="67"/>
  <c r="C218" i="67"/>
  <c r="B218" i="67" s="1"/>
  <c r="R217" i="67"/>
  <c r="N217" i="67"/>
  <c r="M217" i="67"/>
  <c r="K217" i="67"/>
  <c r="I217" i="67"/>
  <c r="F217" i="67"/>
  <c r="E217" i="67"/>
  <c r="D217" i="67"/>
  <c r="C217" i="67"/>
  <c r="B217" i="67" s="1"/>
  <c r="R216" i="67"/>
  <c r="N216" i="67"/>
  <c r="M216" i="67"/>
  <c r="K216" i="67"/>
  <c r="I216" i="67"/>
  <c r="F216" i="67"/>
  <c r="E216" i="67"/>
  <c r="D216" i="67"/>
  <c r="C216" i="67"/>
  <c r="B216" i="67" s="1"/>
  <c r="R215" i="67"/>
  <c r="N215" i="67"/>
  <c r="M215" i="67"/>
  <c r="K215" i="67"/>
  <c r="I215" i="67"/>
  <c r="F215" i="67"/>
  <c r="E215" i="67"/>
  <c r="D215" i="67"/>
  <c r="C215" i="67"/>
  <c r="B215" i="67" s="1"/>
  <c r="R214" i="67"/>
  <c r="N214" i="67"/>
  <c r="M214" i="67"/>
  <c r="K214" i="67"/>
  <c r="I214" i="67"/>
  <c r="F214" i="67"/>
  <c r="E214" i="67"/>
  <c r="D214" i="67"/>
  <c r="C214" i="67"/>
  <c r="B214" i="67" s="1"/>
  <c r="R213" i="67"/>
  <c r="N213" i="67"/>
  <c r="M213" i="67"/>
  <c r="K213" i="67"/>
  <c r="I213" i="67"/>
  <c r="F213" i="67"/>
  <c r="E213" i="67"/>
  <c r="D213" i="67"/>
  <c r="C213" i="67"/>
  <c r="B213" i="67" s="1"/>
  <c r="R212" i="67"/>
  <c r="N212" i="67"/>
  <c r="M212" i="67"/>
  <c r="K212" i="67"/>
  <c r="I212" i="67"/>
  <c r="F212" i="67"/>
  <c r="E212" i="67"/>
  <c r="D212" i="67"/>
  <c r="C212" i="67"/>
  <c r="B212" i="67" s="1"/>
  <c r="R211" i="67"/>
  <c r="N211" i="67"/>
  <c r="M211" i="67"/>
  <c r="K211" i="67"/>
  <c r="I211" i="67"/>
  <c r="F211" i="67"/>
  <c r="E211" i="67"/>
  <c r="D211" i="67"/>
  <c r="C211" i="67"/>
  <c r="B211" i="67" s="1"/>
  <c r="R210" i="67"/>
  <c r="N210" i="67"/>
  <c r="M210" i="67"/>
  <c r="K210" i="67"/>
  <c r="I210" i="67"/>
  <c r="F210" i="67"/>
  <c r="E210" i="67"/>
  <c r="D210" i="67"/>
  <c r="C210" i="67"/>
  <c r="B210" i="67" s="1"/>
  <c r="R209" i="67"/>
  <c r="N209" i="67"/>
  <c r="M209" i="67"/>
  <c r="K209" i="67"/>
  <c r="I209" i="67"/>
  <c r="F209" i="67"/>
  <c r="E209" i="67"/>
  <c r="D209" i="67"/>
  <c r="C209" i="67"/>
  <c r="B209" i="67" s="1"/>
  <c r="R208" i="67"/>
  <c r="N208" i="67"/>
  <c r="M208" i="67"/>
  <c r="K208" i="67"/>
  <c r="I208" i="67"/>
  <c r="F208" i="67"/>
  <c r="E208" i="67"/>
  <c r="D208" i="67"/>
  <c r="C208" i="67"/>
  <c r="B208" i="67" s="1"/>
  <c r="R207" i="67"/>
  <c r="N207" i="67"/>
  <c r="M207" i="67"/>
  <c r="K207" i="67"/>
  <c r="I207" i="67"/>
  <c r="F207" i="67"/>
  <c r="E207" i="67"/>
  <c r="D207" i="67"/>
  <c r="C207" i="67"/>
  <c r="B207" i="67" s="1"/>
  <c r="R206" i="67"/>
  <c r="N206" i="67"/>
  <c r="M206" i="67"/>
  <c r="K206" i="67"/>
  <c r="I206" i="67"/>
  <c r="F206" i="67"/>
  <c r="E206" i="67"/>
  <c r="D206" i="67"/>
  <c r="C206" i="67"/>
  <c r="B206" i="67" s="1"/>
  <c r="R205" i="67"/>
  <c r="N205" i="67"/>
  <c r="M205" i="67"/>
  <c r="K205" i="67"/>
  <c r="I205" i="67"/>
  <c r="F205" i="67"/>
  <c r="E205" i="67"/>
  <c r="D205" i="67"/>
  <c r="C205" i="67"/>
  <c r="B205" i="67" s="1"/>
  <c r="R204" i="67"/>
  <c r="N204" i="67"/>
  <c r="M204" i="67"/>
  <c r="K204" i="67"/>
  <c r="I204" i="67"/>
  <c r="F204" i="67"/>
  <c r="E204" i="67"/>
  <c r="D204" i="67"/>
  <c r="C204" i="67"/>
  <c r="B204" i="67" s="1"/>
  <c r="R203" i="67"/>
  <c r="N203" i="67"/>
  <c r="M203" i="67"/>
  <c r="K203" i="67"/>
  <c r="I203" i="67"/>
  <c r="F203" i="67"/>
  <c r="E203" i="67"/>
  <c r="D203" i="67"/>
  <c r="C203" i="67"/>
  <c r="B203" i="67" s="1"/>
  <c r="R202" i="67"/>
  <c r="N202" i="67"/>
  <c r="M202" i="67"/>
  <c r="K202" i="67"/>
  <c r="I202" i="67"/>
  <c r="F202" i="67"/>
  <c r="E202" i="67"/>
  <c r="D202" i="67"/>
  <c r="C202" i="67"/>
  <c r="B202" i="67" s="1"/>
  <c r="R201" i="67"/>
  <c r="N201" i="67"/>
  <c r="M201" i="67"/>
  <c r="K201" i="67"/>
  <c r="I201" i="67"/>
  <c r="F201" i="67"/>
  <c r="E201" i="67"/>
  <c r="D201" i="67"/>
  <c r="C201" i="67"/>
  <c r="B201" i="67" s="1"/>
  <c r="R200" i="67"/>
  <c r="N200" i="67"/>
  <c r="M200" i="67"/>
  <c r="K200" i="67"/>
  <c r="I200" i="67"/>
  <c r="F200" i="67"/>
  <c r="E200" i="67"/>
  <c r="D200" i="67"/>
  <c r="C200" i="67"/>
  <c r="B200" i="67" s="1"/>
  <c r="R199" i="67"/>
  <c r="N199" i="67"/>
  <c r="M199" i="67"/>
  <c r="K199" i="67"/>
  <c r="I199" i="67"/>
  <c r="F199" i="67"/>
  <c r="E199" i="67"/>
  <c r="D199" i="67"/>
  <c r="C199" i="67"/>
  <c r="B199" i="67" s="1"/>
  <c r="R198" i="67"/>
  <c r="N198" i="67"/>
  <c r="M198" i="67"/>
  <c r="K198" i="67"/>
  <c r="I198" i="67"/>
  <c r="F198" i="67"/>
  <c r="E198" i="67"/>
  <c r="D198" i="67"/>
  <c r="C198" i="67"/>
  <c r="B198" i="67" s="1"/>
  <c r="R197" i="67"/>
  <c r="N197" i="67"/>
  <c r="M197" i="67"/>
  <c r="K197" i="67"/>
  <c r="I197" i="67"/>
  <c r="F197" i="67"/>
  <c r="E197" i="67"/>
  <c r="D197" i="67"/>
  <c r="C197" i="67"/>
  <c r="B197" i="67" s="1"/>
  <c r="R196" i="67"/>
  <c r="N196" i="67"/>
  <c r="M196" i="67"/>
  <c r="K196" i="67"/>
  <c r="I196" i="67"/>
  <c r="F196" i="67"/>
  <c r="E196" i="67"/>
  <c r="D196" i="67"/>
  <c r="C196" i="67"/>
  <c r="B196" i="67" s="1"/>
  <c r="R195" i="67"/>
  <c r="N195" i="67"/>
  <c r="M195" i="67"/>
  <c r="K195" i="67"/>
  <c r="I195" i="67"/>
  <c r="F195" i="67"/>
  <c r="E195" i="67"/>
  <c r="D195" i="67"/>
  <c r="C195" i="67"/>
  <c r="B195" i="67" s="1"/>
  <c r="R194" i="67"/>
  <c r="N194" i="67"/>
  <c r="M194" i="67"/>
  <c r="K194" i="67"/>
  <c r="I194" i="67"/>
  <c r="F194" i="67"/>
  <c r="E194" i="67"/>
  <c r="D194" i="67"/>
  <c r="C194" i="67"/>
  <c r="B194" i="67" s="1"/>
  <c r="R193" i="67"/>
  <c r="N193" i="67"/>
  <c r="M193" i="67"/>
  <c r="K193" i="67"/>
  <c r="I193" i="67"/>
  <c r="F193" i="67"/>
  <c r="E193" i="67"/>
  <c r="D193" i="67"/>
  <c r="C193" i="67"/>
  <c r="B193" i="67" s="1"/>
  <c r="R192" i="67"/>
  <c r="N192" i="67"/>
  <c r="M192" i="67"/>
  <c r="K192" i="67"/>
  <c r="I192" i="67"/>
  <c r="F192" i="67"/>
  <c r="E192" i="67"/>
  <c r="D192" i="67"/>
  <c r="C192" i="67"/>
  <c r="B192" i="67" s="1"/>
  <c r="R191" i="67"/>
  <c r="N191" i="67"/>
  <c r="M191" i="67"/>
  <c r="K191" i="67"/>
  <c r="I191" i="67"/>
  <c r="F191" i="67"/>
  <c r="E191" i="67"/>
  <c r="D191" i="67"/>
  <c r="C191" i="67"/>
  <c r="B191" i="67" s="1"/>
  <c r="R190" i="67"/>
  <c r="N190" i="67"/>
  <c r="M190" i="67"/>
  <c r="K190" i="67"/>
  <c r="I190" i="67"/>
  <c r="F190" i="67"/>
  <c r="E190" i="67"/>
  <c r="D190" i="67"/>
  <c r="C190" i="67"/>
  <c r="B190" i="67" s="1"/>
  <c r="R189" i="67"/>
  <c r="N189" i="67"/>
  <c r="M189" i="67"/>
  <c r="K189" i="67"/>
  <c r="I189" i="67"/>
  <c r="F189" i="67"/>
  <c r="E189" i="67"/>
  <c r="D189" i="67"/>
  <c r="C189" i="67"/>
  <c r="B189" i="67" s="1"/>
  <c r="R188" i="67"/>
  <c r="N188" i="67"/>
  <c r="M188" i="67"/>
  <c r="K188" i="67"/>
  <c r="I188" i="67"/>
  <c r="F188" i="67"/>
  <c r="E188" i="67"/>
  <c r="D188" i="67"/>
  <c r="C188" i="67"/>
  <c r="B188" i="67" s="1"/>
  <c r="R187" i="67"/>
  <c r="N187" i="67"/>
  <c r="M187" i="67"/>
  <c r="K187" i="67"/>
  <c r="I187" i="67"/>
  <c r="F187" i="67"/>
  <c r="E187" i="67"/>
  <c r="D187" i="67"/>
  <c r="C187" i="67"/>
  <c r="B187" i="67" s="1"/>
  <c r="R186" i="67"/>
  <c r="N186" i="67"/>
  <c r="M186" i="67"/>
  <c r="K186" i="67"/>
  <c r="I186" i="67"/>
  <c r="F186" i="67"/>
  <c r="E186" i="67"/>
  <c r="D186" i="67"/>
  <c r="C186" i="67"/>
  <c r="B186" i="67" s="1"/>
  <c r="R185" i="67"/>
  <c r="N185" i="67"/>
  <c r="M185" i="67"/>
  <c r="K185" i="67"/>
  <c r="I185" i="67"/>
  <c r="F185" i="67"/>
  <c r="E185" i="67"/>
  <c r="D185" i="67"/>
  <c r="C185" i="67"/>
  <c r="B185" i="67" s="1"/>
  <c r="R184" i="67"/>
  <c r="N184" i="67"/>
  <c r="M184" i="67"/>
  <c r="K184" i="67"/>
  <c r="I184" i="67"/>
  <c r="F184" i="67"/>
  <c r="E184" i="67"/>
  <c r="D184" i="67"/>
  <c r="C184" i="67"/>
  <c r="B184" i="67" s="1"/>
  <c r="R183" i="67"/>
  <c r="N183" i="67"/>
  <c r="M183" i="67"/>
  <c r="K183" i="67"/>
  <c r="I183" i="67"/>
  <c r="F183" i="67"/>
  <c r="E183" i="67"/>
  <c r="D183" i="67"/>
  <c r="C183" i="67"/>
  <c r="B183" i="67" s="1"/>
  <c r="R182" i="67"/>
  <c r="N182" i="67"/>
  <c r="M182" i="67"/>
  <c r="K182" i="67"/>
  <c r="I182" i="67"/>
  <c r="F182" i="67"/>
  <c r="E182" i="67"/>
  <c r="D182" i="67"/>
  <c r="C182" i="67"/>
  <c r="B182" i="67" s="1"/>
  <c r="R181" i="67"/>
  <c r="N181" i="67"/>
  <c r="M181" i="67"/>
  <c r="K181" i="67"/>
  <c r="I181" i="67"/>
  <c r="F181" i="67"/>
  <c r="E181" i="67"/>
  <c r="D181" i="67"/>
  <c r="C181" i="67"/>
  <c r="B181" i="67" s="1"/>
  <c r="R180" i="67"/>
  <c r="N180" i="67"/>
  <c r="M180" i="67"/>
  <c r="K180" i="67"/>
  <c r="I180" i="67"/>
  <c r="F180" i="67"/>
  <c r="E180" i="67"/>
  <c r="D180" i="67"/>
  <c r="C180" i="67"/>
  <c r="B180" i="67" s="1"/>
  <c r="R179" i="67"/>
  <c r="N179" i="67"/>
  <c r="M179" i="67"/>
  <c r="K179" i="67"/>
  <c r="I179" i="67"/>
  <c r="F179" i="67"/>
  <c r="E179" i="67"/>
  <c r="D179" i="67"/>
  <c r="C179" i="67"/>
  <c r="B179" i="67" s="1"/>
  <c r="R178" i="67"/>
  <c r="N178" i="67"/>
  <c r="M178" i="67"/>
  <c r="K178" i="67"/>
  <c r="I178" i="67"/>
  <c r="F178" i="67"/>
  <c r="E178" i="67"/>
  <c r="D178" i="67"/>
  <c r="C178" i="67"/>
  <c r="B178" i="67" s="1"/>
  <c r="R177" i="67"/>
  <c r="N177" i="67"/>
  <c r="M177" i="67"/>
  <c r="K177" i="67"/>
  <c r="I177" i="67"/>
  <c r="F177" i="67"/>
  <c r="E177" i="67"/>
  <c r="D177" i="67"/>
  <c r="C177" i="67"/>
  <c r="B177" i="67" s="1"/>
  <c r="R176" i="67"/>
  <c r="N176" i="67"/>
  <c r="M176" i="67"/>
  <c r="K176" i="67"/>
  <c r="I176" i="67"/>
  <c r="F176" i="67"/>
  <c r="E176" i="67"/>
  <c r="D176" i="67"/>
  <c r="C176" i="67"/>
  <c r="B176" i="67" s="1"/>
  <c r="R175" i="67"/>
  <c r="N175" i="67"/>
  <c r="M175" i="67"/>
  <c r="K175" i="67"/>
  <c r="I175" i="67"/>
  <c r="F175" i="67"/>
  <c r="E175" i="67"/>
  <c r="D175" i="67"/>
  <c r="C175" i="67"/>
  <c r="B175" i="67" s="1"/>
  <c r="R174" i="67"/>
  <c r="N174" i="67"/>
  <c r="M174" i="67"/>
  <c r="K174" i="67"/>
  <c r="I174" i="67"/>
  <c r="F174" i="67"/>
  <c r="E174" i="67"/>
  <c r="D174" i="67"/>
  <c r="C174" i="67"/>
  <c r="B174" i="67" s="1"/>
  <c r="R173" i="67"/>
  <c r="N173" i="67"/>
  <c r="M173" i="67"/>
  <c r="K173" i="67"/>
  <c r="I173" i="67"/>
  <c r="F173" i="67"/>
  <c r="E173" i="67"/>
  <c r="D173" i="67"/>
  <c r="C173" i="67"/>
  <c r="B173" i="67" s="1"/>
  <c r="R172" i="67"/>
  <c r="N172" i="67"/>
  <c r="M172" i="67"/>
  <c r="K172" i="67"/>
  <c r="I172" i="67"/>
  <c r="F172" i="67"/>
  <c r="E172" i="67"/>
  <c r="D172" i="67"/>
  <c r="C172" i="67"/>
  <c r="B172" i="67" s="1"/>
  <c r="R171" i="67"/>
  <c r="N171" i="67"/>
  <c r="M171" i="67"/>
  <c r="K171" i="67"/>
  <c r="I171" i="67"/>
  <c r="F171" i="67"/>
  <c r="E171" i="67"/>
  <c r="D171" i="67"/>
  <c r="C171" i="67"/>
  <c r="B171" i="67" s="1"/>
  <c r="R170" i="67"/>
  <c r="N170" i="67"/>
  <c r="M170" i="67"/>
  <c r="K170" i="67"/>
  <c r="I170" i="67"/>
  <c r="F170" i="67"/>
  <c r="E170" i="67"/>
  <c r="D170" i="67"/>
  <c r="C170" i="67"/>
  <c r="B170" i="67" s="1"/>
  <c r="R169" i="67"/>
  <c r="N169" i="67"/>
  <c r="M169" i="67"/>
  <c r="K169" i="67"/>
  <c r="I169" i="67"/>
  <c r="F169" i="67"/>
  <c r="E169" i="67"/>
  <c r="D169" i="67"/>
  <c r="C169" i="67"/>
  <c r="B169" i="67" s="1"/>
  <c r="R168" i="67"/>
  <c r="N168" i="67"/>
  <c r="M168" i="67"/>
  <c r="K168" i="67"/>
  <c r="I168" i="67"/>
  <c r="F168" i="67"/>
  <c r="E168" i="67"/>
  <c r="D168" i="67"/>
  <c r="C168" i="67"/>
  <c r="B168" i="67" s="1"/>
  <c r="R167" i="67"/>
  <c r="N167" i="67"/>
  <c r="M167" i="67"/>
  <c r="K167" i="67"/>
  <c r="I167" i="67"/>
  <c r="F167" i="67"/>
  <c r="E167" i="67"/>
  <c r="D167" i="67"/>
  <c r="C167" i="67"/>
  <c r="B167" i="67" s="1"/>
  <c r="R166" i="67"/>
  <c r="N166" i="67"/>
  <c r="M166" i="67"/>
  <c r="K166" i="67"/>
  <c r="I166" i="67"/>
  <c r="F166" i="67"/>
  <c r="E166" i="67"/>
  <c r="D166" i="67"/>
  <c r="C166" i="67"/>
  <c r="B166" i="67" s="1"/>
  <c r="R165" i="67"/>
  <c r="N165" i="67"/>
  <c r="M165" i="67"/>
  <c r="K165" i="67"/>
  <c r="I165" i="67"/>
  <c r="F165" i="67"/>
  <c r="E165" i="67"/>
  <c r="D165" i="67"/>
  <c r="C165" i="67"/>
  <c r="B165" i="67" s="1"/>
  <c r="R164" i="67"/>
  <c r="N164" i="67"/>
  <c r="M164" i="67"/>
  <c r="K164" i="67"/>
  <c r="I164" i="67"/>
  <c r="F164" i="67"/>
  <c r="E164" i="67"/>
  <c r="D164" i="67"/>
  <c r="C164" i="67"/>
  <c r="B164" i="67" s="1"/>
  <c r="R163" i="67"/>
  <c r="N163" i="67"/>
  <c r="M163" i="67"/>
  <c r="K163" i="67"/>
  <c r="I163" i="67"/>
  <c r="F163" i="67"/>
  <c r="E163" i="67"/>
  <c r="D163" i="67"/>
  <c r="C163" i="67"/>
  <c r="B163" i="67" s="1"/>
  <c r="R162" i="67"/>
  <c r="N162" i="67"/>
  <c r="M162" i="67"/>
  <c r="K162" i="67"/>
  <c r="I162" i="67"/>
  <c r="F162" i="67"/>
  <c r="E162" i="67"/>
  <c r="D162" i="67"/>
  <c r="C162" i="67"/>
  <c r="B162" i="67" s="1"/>
  <c r="R161" i="67"/>
  <c r="N161" i="67"/>
  <c r="M161" i="67"/>
  <c r="K161" i="67"/>
  <c r="I161" i="67"/>
  <c r="F161" i="67"/>
  <c r="E161" i="67"/>
  <c r="D161" i="67"/>
  <c r="C161" i="67"/>
  <c r="B161" i="67" s="1"/>
  <c r="R160" i="67"/>
  <c r="N160" i="67"/>
  <c r="M160" i="67"/>
  <c r="K160" i="67"/>
  <c r="I160" i="67"/>
  <c r="F160" i="67"/>
  <c r="E160" i="67"/>
  <c r="D160" i="67"/>
  <c r="C160" i="67"/>
  <c r="B160" i="67" s="1"/>
  <c r="R159" i="67"/>
  <c r="N159" i="67"/>
  <c r="M159" i="67"/>
  <c r="K159" i="67"/>
  <c r="I159" i="67"/>
  <c r="F159" i="67"/>
  <c r="E159" i="67"/>
  <c r="D159" i="67"/>
  <c r="C159" i="67"/>
  <c r="B159" i="67" s="1"/>
  <c r="R158" i="67"/>
  <c r="N158" i="67"/>
  <c r="M158" i="67"/>
  <c r="K158" i="67"/>
  <c r="I158" i="67"/>
  <c r="F158" i="67"/>
  <c r="E158" i="67"/>
  <c r="D158" i="67"/>
  <c r="C158" i="67"/>
  <c r="B158" i="67" s="1"/>
  <c r="R157" i="67"/>
  <c r="N157" i="67"/>
  <c r="M157" i="67"/>
  <c r="K157" i="67"/>
  <c r="I157" i="67"/>
  <c r="F157" i="67"/>
  <c r="E157" i="67"/>
  <c r="D157" i="67"/>
  <c r="C157" i="67"/>
  <c r="B157" i="67" s="1"/>
  <c r="R156" i="67"/>
  <c r="N156" i="67"/>
  <c r="M156" i="67"/>
  <c r="K156" i="67"/>
  <c r="I156" i="67"/>
  <c r="F156" i="67"/>
  <c r="E156" i="67"/>
  <c r="D156" i="67"/>
  <c r="C156" i="67"/>
  <c r="B156" i="67" s="1"/>
  <c r="R155" i="67"/>
  <c r="N155" i="67"/>
  <c r="M155" i="67"/>
  <c r="K155" i="67"/>
  <c r="I155" i="67"/>
  <c r="F155" i="67"/>
  <c r="E155" i="67"/>
  <c r="D155" i="67"/>
  <c r="C155" i="67"/>
  <c r="B155" i="67" s="1"/>
  <c r="R154" i="67"/>
  <c r="N154" i="67"/>
  <c r="M154" i="67"/>
  <c r="K154" i="67"/>
  <c r="I154" i="67"/>
  <c r="F154" i="67"/>
  <c r="E154" i="67"/>
  <c r="D154" i="67"/>
  <c r="C154" i="67"/>
  <c r="B154" i="67" s="1"/>
  <c r="R153" i="67"/>
  <c r="N153" i="67"/>
  <c r="M153" i="67"/>
  <c r="K153" i="67"/>
  <c r="I153" i="67"/>
  <c r="F153" i="67"/>
  <c r="E153" i="67"/>
  <c r="D153" i="67"/>
  <c r="C153" i="67"/>
  <c r="B153" i="67" s="1"/>
  <c r="R152" i="67"/>
  <c r="N152" i="67"/>
  <c r="M152" i="67"/>
  <c r="K152" i="67"/>
  <c r="I152" i="67"/>
  <c r="F152" i="67"/>
  <c r="E152" i="67"/>
  <c r="D152" i="67"/>
  <c r="C152" i="67"/>
  <c r="B152" i="67" s="1"/>
  <c r="R151" i="67"/>
  <c r="N151" i="67"/>
  <c r="M151" i="67"/>
  <c r="K151" i="67"/>
  <c r="I151" i="67"/>
  <c r="F151" i="67"/>
  <c r="E151" i="67"/>
  <c r="D151" i="67"/>
  <c r="C151" i="67"/>
  <c r="B151" i="67" s="1"/>
  <c r="R150" i="67"/>
  <c r="N150" i="67"/>
  <c r="M150" i="67"/>
  <c r="K150" i="67"/>
  <c r="I150" i="67"/>
  <c r="F150" i="67"/>
  <c r="E150" i="67"/>
  <c r="D150" i="67"/>
  <c r="C150" i="67"/>
  <c r="B150" i="67" s="1"/>
  <c r="R149" i="67"/>
  <c r="N149" i="67"/>
  <c r="M149" i="67"/>
  <c r="K149" i="67"/>
  <c r="I149" i="67"/>
  <c r="F149" i="67"/>
  <c r="E149" i="67"/>
  <c r="D149" i="67"/>
  <c r="C149" i="67"/>
  <c r="B149" i="67" s="1"/>
  <c r="R148" i="67"/>
  <c r="N148" i="67"/>
  <c r="M148" i="67"/>
  <c r="K148" i="67"/>
  <c r="I148" i="67"/>
  <c r="F148" i="67"/>
  <c r="E148" i="67"/>
  <c r="D148" i="67"/>
  <c r="C148" i="67"/>
  <c r="B148" i="67" s="1"/>
  <c r="R147" i="67"/>
  <c r="N147" i="67"/>
  <c r="M147" i="67"/>
  <c r="K147" i="67"/>
  <c r="I147" i="67"/>
  <c r="F147" i="67"/>
  <c r="E147" i="67"/>
  <c r="D147" i="67"/>
  <c r="C147" i="67"/>
  <c r="B147" i="67" s="1"/>
  <c r="R146" i="67"/>
  <c r="N146" i="67"/>
  <c r="M146" i="67"/>
  <c r="K146" i="67"/>
  <c r="I146" i="67"/>
  <c r="F146" i="67"/>
  <c r="E146" i="67"/>
  <c r="D146" i="67"/>
  <c r="C146" i="67"/>
  <c r="B146" i="67" s="1"/>
  <c r="R145" i="67"/>
  <c r="N145" i="67"/>
  <c r="M145" i="67"/>
  <c r="K145" i="67"/>
  <c r="I145" i="67"/>
  <c r="F145" i="67"/>
  <c r="E145" i="67"/>
  <c r="D145" i="67"/>
  <c r="C145" i="67"/>
  <c r="B145" i="67" s="1"/>
  <c r="R144" i="67"/>
  <c r="N144" i="67"/>
  <c r="M144" i="67"/>
  <c r="K144" i="67"/>
  <c r="I144" i="67"/>
  <c r="F144" i="67"/>
  <c r="E144" i="67"/>
  <c r="D144" i="67"/>
  <c r="C144" i="67"/>
  <c r="B144" i="67" s="1"/>
  <c r="R143" i="67"/>
  <c r="N143" i="67"/>
  <c r="M143" i="67"/>
  <c r="K143" i="67"/>
  <c r="I143" i="67"/>
  <c r="F143" i="67"/>
  <c r="E143" i="67"/>
  <c r="D143" i="67"/>
  <c r="C143" i="67"/>
  <c r="B143" i="67" s="1"/>
  <c r="R142" i="67"/>
  <c r="N142" i="67"/>
  <c r="M142" i="67"/>
  <c r="K142" i="67"/>
  <c r="I142" i="67"/>
  <c r="F142" i="67"/>
  <c r="E142" i="67"/>
  <c r="D142" i="67"/>
  <c r="C142" i="67"/>
  <c r="B142" i="67" s="1"/>
  <c r="R141" i="67"/>
  <c r="N141" i="67"/>
  <c r="M141" i="67"/>
  <c r="K141" i="67"/>
  <c r="I141" i="67"/>
  <c r="F141" i="67"/>
  <c r="E141" i="67"/>
  <c r="D141" i="67"/>
  <c r="C141" i="67"/>
  <c r="B141" i="67" s="1"/>
  <c r="R140" i="67"/>
  <c r="N140" i="67"/>
  <c r="M140" i="67"/>
  <c r="K140" i="67"/>
  <c r="I140" i="67"/>
  <c r="F140" i="67"/>
  <c r="E140" i="67"/>
  <c r="D140" i="67"/>
  <c r="C140" i="67"/>
  <c r="B140" i="67" s="1"/>
  <c r="R139" i="67"/>
  <c r="N139" i="67"/>
  <c r="M139" i="67"/>
  <c r="K139" i="67"/>
  <c r="I139" i="67"/>
  <c r="F139" i="67"/>
  <c r="E139" i="67"/>
  <c r="D139" i="67"/>
  <c r="C139" i="67"/>
  <c r="B139" i="67" s="1"/>
  <c r="R138" i="67"/>
  <c r="N138" i="67"/>
  <c r="M138" i="67"/>
  <c r="K138" i="67"/>
  <c r="I138" i="67"/>
  <c r="F138" i="67"/>
  <c r="E138" i="67"/>
  <c r="D138" i="67"/>
  <c r="C138" i="67"/>
  <c r="B138" i="67" s="1"/>
  <c r="R137" i="67"/>
  <c r="N137" i="67"/>
  <c r="M137" i="67"/>
  <c r="K137" i="67"/>
  <c r="I137" i="67"/>
  <c r="F137" i="67"/>
  <c r="E137" i="67"/>
  <c r="D137" i="67"/>
  <c r="C137" i="67"/>
  <c r="B137" i="67" s="1"/>
  <c r="R136" i="67"/>
  <c r="N136" i="67"/>
  <c r="M136" i="67"/>
  <c r="K136" i="67"/>
  <c r="I136" i="67"/>
  <c r="F136" i="67"/>
  <c r="E136" i="67"/>
  <c r="D136" i="67"/>
  <c r="C136" i="67"/>
  <c r="B136" i="67" s="1"/>
  <c r="R135" i="67"/>
  <c r="N135" i="67"/>
  <c r="M135" i="67"/>
  <c r="K135" i="67"/>
  <c r="I135" i="67"/>
  <c r="F135" i="67"/>
  <c r="E135" i="67"/>
  <c r="D135" i="67"/>
  <c r="C135" i="67"/>
  <c r="B135" i="67" s="1"/>
  <c r="R134" i="67"/>
  <c r="N134" i="67"/>
  <c r="M134" i="67"/>
  <c r="K134" i="67"/>
  <c r="I134" i="67"/>
  <c r="F134" i="67"/>
  <c r="E134" i="67"/>
  <c r="D134" i="67"/>
  <c r="C134" i="67"/>
  <c r="B134" i="67" s="1"/>
  <c r="R133" i="67"/>
  <c r="N133" i="67"/>
  <c r="M133" i="67"/>
  <c r="K133" i="67"/>
  <c r="I133" i="67"/>
  <c r="F133" i="67"/>
  <c r="E133" i="67"/>
  <c r="D133" i="67"/>
  <c r="C133" i="67"/>
  <c r="B133" i="67" s="1"/>
  <c r="R132" i="67"/>
  <c r="N132" i="67"/>
  <c r="M132" i="67"/>
  <c r="K132" i="67"/>
  <c r="I132" i="67"/>
  <c r="F132" i="67"/>
  <c r="E132" i="67"/>
  <c r="D132" i="67"/>
  <c r="C132" i="67"/>
  <c r="B132" i="67" s="1"/>
  <c r="R131" i="67"/>
  <c r="N131" i="67"/>
  <c r="M131" i="67"/>
  <c r="K131" i="67"/>
  <c r="I131" i="67"/>
  <c r="F131" i="67"/>
  <c r="E131" i="67"/>
  <c r="D131" i="67"/>
  <c r="C131" i="67"/>
  <c r="B131" i="67" s="1"/>
  <c r="R130" i="67"/>
  <c r="N130" i="67"/>
  <c r="M130" i="67"/>
  <c r="K130" i="67"/>
  <c r="I130" i="67"/>
  <c r="F130" i="67"/>
  <c r="E130" i="67"/>
  <c r="D130" i="67"/>
  <c r="C130" i="67"/>
  <c r="B130" i="67" s="1"/>
  <c r="R129" i="67"/>
  <c r="N129" i="67"/>
  <c r="M129" i="67"/>
  <c r="K129" i="67"/>
  <c r="I129" i="67"/>
  <c r="F129" i="67"/>
  <c r="E129" i="67"/>
  <c r="D129" i="67"/>
  <c r="C129" i="67"/>
  <c r="B129" i="67" s="1"/>
  <c r="R128" i="67"/>
  <c r="N128" i="67"/>
  <c r="M128" i="67"/>
  <c r="K128" i="67"/>
  <c r="I128" i="67"/>
  <c r="F128" i="67"/>
  <c r="E128" i="67"/>
  <c r="D128" i="67"/>
  <c r="C128" i="67"/>
  <c r="B128" i="67" s="1"/>
  <c r="R127" i="67"/>
  <c r="N127" i="67"/>
  <c r="M127" i="67"/>
  <c r="K127" i="67"/>
  <c r="I127" i="67"/>
  <c r="F127" i="67"/>
  <c r="E127" i="67"/>
  <c r="D127" i="67"/>
  <c r="C127" i="67"/>
  <c r="B127" i="67" s="1"/>
  <c r="R126" i="67"/>
  <c r="N126" i="67"/>
  <c r="M126" i="67"/>
  <c r="K126" i="67"/>
  <c r="I126" i="67"/>
  <c r="F126" i="67"/>
  <c r="E126" i="67"/>
  <c r="D126" i="67"/>
  <c r="C126" i="67"/>
  <c r="B126" i="67" s="1"/>
  <c r="R125" i="67"/>
  <c r="N125" i="67"/>
  <c r="M125" i="67"/>
  <c r="K125" i="67"/>
  <c r="I125" i="67"/>
  <c r="F125" i="67"/>
  <c r="E125" i="67"/>
  <c r="D125" i="67"/>
  <c r="C125" i="67"/>
  <c r="B125" i="67" s="1"/>
  <c r="R124" i="67"/>
  <c r="N124" i="67"/>
  <c r="M124" i="67"/>
  <c r="K124" i="67"/>
  <c r="I124" i="67"/>
  <c r="F124" i="67"/>
  <c r="E124" i="67"/>
  <c r="D124" i="67"/>
  <c r="C124" i="67"/>
  <c r="B124" i="67" s="1"/>
  <c r="R123" i="67"/>
  <c r="N123" i="67"/>
  <c r="M123" i="67"/>
  <c r="K123" i="67"/>
  <c r="I123" i="67"/>
  <c r="F123" i="67"/>
  <c r="E123" i="67"/>
  <c r="D123" i="67"/>
  <c r="C123" i="67"/>
  <c r="B123" i="67" s="1"/>
  <c r="R122" i="67"/>
  <c r="N122" i="67"/>
  <c r="M122" i="67"/>
  <c r="K122" i="67"/>
  <c r="I122" i="67"/>
  <c r="F122" i="67"/>
  <c r="E122" i="67"/>
  <c r="D122" i="67"/>
  <c r="C122" i="67"/>
  <c r="B122" i="67" s="1"/>
  <c r="R121" i="67"/>
  <c r="N121" i="67"/>
  <c r="M121" i="67"/>
  <c r="K121" i="67"/>
  <c r="I121" i="67"/>
  <c r="F121" i="67"/>
  <c r="E121" i="67"/>
  <c r="D121" i="67"/>
  <c r="C121" i="67"/>
  <c r="B121" i="67" s="1"/>
  <c r="R120" i="67"/>
  <c r="N120" i="67"/>
  <c r="M120" i="67"/>
  <c r="K120" i="67"/>
  <c r="I120" i="67"/>
  <c r="F120" i="67"/>
  <c r="E120" i="67"/>
  <c r="D120" i="67"/>
  <c r="C120" i="67"/>
  <c r="B120" i="67" s="1"/>
  <c r="R119" i="67"/>
  <c r="N119" i="67"/>
  <c r="M119" i="67"/>
  <c r="K119" i="67"/>
  <c r="I119" i="67"/>
  <c r="F119" i="67"/>
  <c r="E119" i="67"/>
  <c r="D119" i="67"/>
  <c r="C119" i="67"/>
  <c r="B119" i="67" s="1"/>
  <c r="R118" i="67"/>
  <c r="N118" i="67"/>
  <c r="M118" i="67"/>
  <c r="K118" i="67"/>
  <c r="I118" i="67"/>
  <c r="F118" i="67"/>
  <c r="E118" i="67"/>
  <c r="D118" i="67"/>
  <c r="C118" i="67"/>
  <c r="B118" i="67" s="1"/>
  <c r="R117" i="67"/>
  <c r="N117" i="67"/>
  <c r="M117" i="67"/>
  <c r="K117" i="67"/>
  <c r="I117" i="67"/>
  <c r="F117" i="67"/>
  <c r="E117" i="67"/>
  <c r="D117" i="67"/>
  <c r="C117" i="67"/>
  <c r="B117" i="67" s="1"/>
  <c r="R116" i="67"/>
  <c r="N116" i="67"/>
  <c r="M116" i="67"/>
  <c r="K116" i="67"/>
  <c r="I116" i="67"/>
  <c r="F116" i="67"/>
  <c r="E116" i="67"/>
  <c r="D116" i="67"/>
  <c r="C116" i="67"/>
  <c r="B116" i="67" s="1"/>
  <c r="R115" i="67"/>
  <c r="N115" i="67"/>
  <c r="M115" i="67"/>
  <c r="K115" i="67"/>
  <c r="I115" i="67"/>
  <c r="F115" i="67"/>
  <c r="E115" i="67"/>
  <c r="D115" i="67"/>
  <c r="C115" i="67"/>
  <c r="B115" i="67" s="1"/>
  <c r="R114" i="67"/>
  <c r="N114" i="67"/>
  <c r="M114" i="67"/>
  <c r="K114" i="67"/>
  <c r="I114" i="67"/>
  <c r="F114" i="67"/>
  <c r="E114" i="67"/>
  <c r="D114" i="67"/>
  <c r="C114" i="67"/>
  <c r="B114" i="67" s="1"/>
  <c r="R113" i="67"/>
  <c r="N113" i="67"/>
  <c r="M113" i="67"/>
  <c r="K113" i="67"/>
  <c r="I113" i="67"/>
  <c r="F113" i="67"/>
  <c r="E113" i="67"/>
  <c r="D113" i="67"/>
  <c r="C113" i="67"/>
  <c r="B113" i="67" s="1"/>
  <c r="R112" i="67"/>
  <c r="N112" i="67"/>
  <c r="M112" i="67"/>
  <c r="K112" i="67"/>
  <c r="I112" i="67"/>
  <c r="F112" i="67"/>
  <c r="E112" i="67"/>
  <c r="D112" i="67"/>
  <c r="C112" i="67"/>
  <c r="B112" i="67" s="1"/>
  <c r="R111" i="67"/>
  <c r="N111" i="67"/>
  <c r="M111" i="67"/>
  <c r="K111" i="67"/>
  <c r="I111" i="67"/>
  <c r="F111" i="67"/>
  <c r="E111" i="67"/>
  <c r="D111" i="67"/>
  <c r="C111" i="67"/>
  <c r="B111" i="67" s="1"/>
  <c r="R110" i="67"/>
  <c r="N110" i="67"/>
  <c r="M110" i="67"/>
  <c r="K110" i="67"/>
  <c r="I110" i="67"/>
  <c r="F110" i="67"/>
  <c r="E110" i="67"/>
  <c r="D110" i="67"/>
  <c r="C110" i="67"/>
  <c r="B110" i="67" s="1"/>
  <c r="R109" i="67"/>
  <c r="N109" i="67"/>
  <c r="M109" i="67"/>
  <c r="K109" i="67"/>
  <c r="I109" i="67"/>
  <c r="F109" i="67"/>
  <c r="E109" i="67"/>
  <c r="D109" i="67"/>
  <c r="C109" i="67"/>
  <c r="B109" i="67" s="1"/>
  <c r="R108" i="67"/>
  <c r="N108" i="67"/>
  <c r="M108" i="67"/>
  <c r="K108" i="67"/>
  <c r="I108" i="67"/>
  <c r="F108" i="67"/>
  <c r="E108" i="67"/>
  <c r="D108" i="67"/>
  <c r="C108" i="67"/>
  <c r="B108" i="67" s="1"/>
  <c r="R107" i="67"/>
  <c r="N107" i="67"/>
  <c r="M107" i="67"/>
  <c r="K107" i="67"/>
  <c r="I107" i="67"/>
  <c r="F107" i="67"/>
  <c r="E107" i="67"/>
  <c r="D107" i="67"/>
  <c r="C107" i="67"/>
  <c r="B107" i="67" s="1"/>
  <c r="R106" i="67"/>
  <c r="N106" i="67"/>
  <c r="M106" i="67"/>
  <c r="K106" i="67"/>
  <c r="I106" i="67"/>
  <c r="F106" i="67"/>
  <c r="E106" i="67"/>
  <c r="D106" i="67"/>
  <c r="C106" i="67"/>
  <c r="B106" i="67" s="1"/>
  <c r="R105" i="67"/>
  <c r="N105" i="67"/>
  <c r="M105" i="67"/>
  <c r="K105" i="67"/>
  <c r="I105" i="67"/>
  <c r="F105" i="67"/>
  <c r="E105" i="67"/>
  <c r="D105" i="67"/>
  <c r="C105" i="67"/>
  <c r="B105" i="67" s="1"/>
  <c r="R104" i="67"/>
  <c r="N104" i="67"/>
  <c r="M104" i="67"/>
  <c r="K104" i="67"/>
  <c r="I104" i="67"/>
  <c r="F104" i="67"/>
  <c r="E104" i="67"/>
  <c r="D104" i="67"/>
  <c r="C104" i="67"/>
  <c r="B104" i="67" s="1"/>
  <c r="R103" i="67"/>
  <c r="N103" i="67"/>
  <c r="M103" i="67"/>
  <c r="K103" i="67"/>
  <c r="I103" i="67"/>
  <c r="F103" i="67"/>
  <c r="E103" i="67"/>
  <c r="D103" i="67"/>
  <c r="C103" i="67"/>
  <c r="B103" i="67" s="1"/>
  <c r="R102" i="67"/>
  <c r="N102" i="67"/>
  <c r="M102" i="67"/>
  <c r="K102" i="67"/>
  <c r="I102" i="67"/>
  <c r="F102" i="67"/>
  <c r="E102" i="67"/>
  <c r="D102" i="67"/>
  <c r="C102" i="67"/>
  <c r="B102" i="67" s="1"/>
  <c r="R101" i="67"/>
  <c r="N101" i="67"/>
  <c r="M101" i="67"/>
  <c r="K101" i="67"/>
  <c r="I101" i="67"/>
  <c r="F101" i="67"/>
  <c r="E101" i="67"/>
  <c r="D101" i="67"/>
  <c r="C101" i="67"/>
  <c r="B101" i="67" s="1"/>
  <c r="R100" i="67"/>
  <c r="N100" i="67"/>
  <c r="M100" i="67"/>
  <c r="K100" i="67"/>
  <c r="I100" i="67"/>
  <c r="F100" i="67"/>
  <c r="E100" i="67"/>
  <c r="D100" i="67"/>
  <c r="C100" i="67"/>
  <c r="B100" i="67" s="1"/>
  <c r="R99" i="67"/>
  <c r="N99" i="67"/>
  <c r="M99" i="67"/>
  <c r="K99" i="67"/>
  <c r="I99" i="67"/>
  <c r="F99" i="67"/>
  <c r="E99" i="67"/>
  <c r="D99" i="67"/>
  <c r="C99" i="67"/>
  <c r="B99" i="67" s="1"/>
  <c r="R98" i="67"/>
  <c r="N98" i="67"/>
  <c r="M98" i="67"/>
  <c r="K98" i="67"/>
  <c r="I98" i="67"/>
  <c r="F98" i="67"/>
  <c r="E98" i="67"/>
  <c r="D98" i="67"/>
  <c r="C98" i="67"/>
  <c r="B98" i="67" s="1"/>
  <c r="R97" i="67"/>
  <c r="N97" i="67"/>
  <c r="M97" i="67"/>
  <c r="K97" i="67"/>
  <c r="I97" i="67"/>
  <c r="F97" i="67"/>
  <c r="E97" i="67"/>
  <c r="D97" i="67"/>
  <c r="C97" i="67"/>
  <c r="B97" i="67" s="1"/>
  <c r="R96" i="67"/>
  <c r="N96" i="67"/>
  <c r="M96" i="67"/>
  <c r="K96" i="67"/>
  <c r="I96" i="67"/>
  <c r="F96" i="67"/>
  <c r="E96" i="67"/>
  <c r="D96" i="67"/>
  <c r="C96" i="67"/>
  <c r="B96" i="67" s="1"/>
  <c r="R95" i="67"/>
  <c r="N95" i="67"/>
  <c r="M95" i="67"/>
  <c r="K95" i="67"/>
  <c r="I95" i="67"/>
  <c r="F95" i="67"/>
  <c r="E95" i="67"/>
  <c r="D95" i="67"/>
  <c r="C95" i="67"/>
  <c r="B95" i="67" s="1"/>
  <c r="R94" i="67"/>
  <c r="N94" i="67"/>
  <c r="M94" i="67"/>
  <c r="K94" i="67"/>
  <c r="I94" i="67"/>
  <c r="F94" i="67"/>
  <c r="E94" i="67"/>
  <c r="D94" i="67"/>
  <c r="C94" i="67"/>
  <c r="B94" i="67" s="1"/>
  <c r="R93" i="67"/>
  <c r="N93" i="67"/>
  <c r="M93" i="67"/>
  <c r="K93" i="67"/>
  <c r="I93" i="67"/>
  <c r="F93" i="67"/>
  <c r="E93" i="67"/>
  <c r="D93" i="67"/>
  <c r="C93" i="67"/>
  <c r="B93" i="67" s="1"/>
  <c r="R92" i="67"/>
  <c r="N92" i="67"/>
  <c r="M92" i="67"/>
  <c r="K92" i="67"/>
  <c r="I92" i="67"/>
  <c r="F92" i="67"/>
  <c r="E92" i="67"/>
  <c r="D92" i="67"/>
  <c r="C92" i="67"/>
  <c r="B92" i="67" s="1"/>
  <c r="R91" i="67"/>
  <c r="N91" i="67"/>
  <c r="M91" i="67"/>
  <c r="K91" i="67"/>
  <c r="I91" i="67"/>
  <c r="F91" i="67"/>
  <c r="E91" i="67"/>
  <c r="D91" i="67"/>
  <c r="C91" i="67"/>
  <c r="B91" i="67" s="1"/>
  <c r="R90" i="67"/>
  <c r="N90" i="67"/>
  <c r="M90" i="67"/>
  <c r="K90" i="67"/>
  <c r="I90" i="67"/>
  <c r="F90" i="67"/>
  <c r="E90" i="67"/>
  <c r="D90" i="67"/>
  <c r="C90" i="67"/>
  <c r="B90" i="67" s="1"/>
  <c r="R89" i="67"/>
  <c r="N89" i="67"/>
  <c r="M89" i="67"/>
  <c r="K89" i="67"/>
  <c r="I89" i="67"/>
  <c r="F89" i="67"/>
  <c r="E89" i="67"/>
  <c r="D89" i="67"/>
  <c r="C89" i="67"/>
  <c r="B89" i="67" s="1"/>
  <c r="R88" i="67"/>
  <c r="N88" i="67"/>
  <c r="M88" i="67"/>
  <c r="K88" i="67"/>
  <c r="I88" i="67"/>
  <c r="F88" i="67"/>
  <c r="E88" i="67"/>
  <c r="D88" i="67"/>
  <c r="C88" i="67"/>
  <c r="B88" i="67" s="1"/>
  <c r="R87" i="67"/>
  <c r="N87" i="67"/>
  <c r="M87" i="67"/>
  <c r="K87" i="67"/>
  <c r="I87" i="67"/>
  <c r="F87" i="67"/>
  <c r="E87" i="67"/>
  <c r="D87" i="67"/>
  <c r="C87" i="67"/>
  <c r="B87" i="67" s="1"/>
  <c r="R86" i="67"/>
  <c r="N86" i="67"/>
  <c r="M86" i="67"/>
  <c r="K86" i="67"/>
  <c r="I86" i="67"/>
  <c r="F86" i="67"/>
  <c r="E86" i="67"/>
  <c r="D86" i="67"/>
  <c r="C86" i="67"/>
  <c r="B86" i="67" s="1"/>
  <c r="R85" i="67"/>
  <c r="N85" i="67"/>
  <c r="M85" i="67"/>
  <c r="K85" i="67"/>
  <c r="I85" i="67"/>
  <c r="F85" i="67"/>
  <c r="E85" i="67"/>
  <c r="D85" i="67"/>
  <c r="C85" i="67"/>
  <c r="B85" i="67" s="1"/>
  <c r="R84" i="67"/>
  <c r="N84" i="67"/>
  <c r="M84" i="67"/>
  <c r="K84" i="67"/>
  <c r="I84" i="67"/>
  <c r="F84" i="67"/>
  <c r="E84" i="67"/>
  <c r="D84" i="67"/>
  <c r="C84" i="67"/>
  <c r="B84" i="67" s="1"/>
  <c r="R83" i="67"/>
  <c r="N83" i="67"/>
  <c r="M83" i="67"/>
  <c r="K83" i="67"/>
  <c r="I83" i="67"/>
  <c r="F83" i="67"/>
  <c r="E83" i="67"/>
  <c r="D83" i="67"/>
  <c r="C83" i="67"/>
  <c r="B83" i="67" s="1"/>
  <c r="R82" i="67"/>
  <c r="N82" i="67"/>
  <c r="M82" i="67"/>
  <c r="K82" i="67"/>
  <c r="I82" i="67"/>
  <c r="F82" i="67"/>
  <c r="E82" i="67"/>
  <c r="D82" i="67"/>
  <c r="C82" i="67"/>
  <c r="B82" i="67" s="1"/>
  <c r="R81" i="67"/>
  <c r="N81" i="67"/>
  <c r="M81" i="67"/>
  <c r="K81" i="67"/>
  <c r="I81" i="67"/>
  <c r="F81" i="67"/>
  <c r="E81" i="67"/>
  <c r="D81" i="67"/>
  <c r="C81" i="67"/>
  <c r="B81" i="67" s="1"/>
  <c r="R80" i="67"/>
  <c r="N80" i="67"/>
  <c r="M80" i="67"/>
  <c r="K80" i="67"/>
  <c r="I80" i="67"/>
  <c r="F80" i="67"/>
  <c r="E80" i="67"/>
  <c r="D80" i="67"/>
  <c r="C80" i="67"/>
  <c r="B80" i="67" s="1"/>
  <c r="R79" i="67"/>
  <c r="N79" i="67"/>
  <c r="M79" i="67"/>
  <c r="K79" i="67"/>
  <c r="I79" i="67"/>
  <c r="F79" i="67"/>
  <c r="E79" i="67"/>
  <c r="D79" i="67"/>
  <c r="C79" i="67"/>
  <c r="B79" i="67" s="1"/>
  <c r="R78" i="67"/>
  <c r="N78" i="67"/>
  <c r="M78" i="67"/>
  <c r="K78" i="67"/>
  <c r="I78" i="67"/>
  <c r="F78" i="67"/>
  <c r="E78" i="67"/>
  <c r="D78" i="67"/>
  <c r="C78" i="67"/>
  <c r="B78" i="67" s="1"/>
  <c r="R77" i="67"/>
  <c r="N77" i="67"/>
  <c r="M77" i="67"/>
  <c r="K77" i="67"/>
  <c r="I77" i="67"/>
  <c r="F77" i="67"/>
  <c r="E77" i="67"/>
  <c r="D77" i="67"/>
  <c r="C77" i="67"/>
  <c r="B77" i="67" s="1"/>
  <c r="R76" i="67"/>
  <c r="N76" i="67"/>
  <c r="M76" i="67"/>
  <c r="K76" i="67"/>
  <c r="I76" i="67"/>
  <c r="F76" i="67"/>
  <c r="E76" i="67"/>
  <c r="D76" i="67"/>
  <c r="C76" i="67"/>
  <c r="B76" i="67" s="1"/>
  <c r="R75" i="67"/>
  <c r="N75" i="67"/>
  <c r="M75" i="67"/>
  <c r="K75" i="67"/>
  <c r="I75" i="67"/>
  <c r="F75" i="67"/>
  <c r="E75" i="67"/>
  <c r="D75" i="67"/>
  <c r="C75" i="67"/>
  <c r="B75" i="67" s="1"/>
  <c r="R74" i="67"/>
  <c r="N74" i="67"/>
  <c r="M74" i="67"/>
  <c r="K74" i="67"/>
  <c r="I74" i="67"/>
  <c r="F74" i="67"/>
  <c r="E74" i="67"/>
  <c r="D74" i="67"/>
  <c r="C74" i="67"/>
  <c r="B74" i="67" s="1"/>
  <c r="R73" i="67"/>
  <c r="N73" i="67"/>
  <c r="M73" i="67"/>
  <c r="K73" i="67"/>
  <c r="I73" i="67"/>
  <c r="F73" i="67"/>
  <c r="E73" i="67"/>
  <c r="D73" i="67"/>
  <c r="C73" i="67"/>
  <c r="B73" i="67" s="1"/>
  <c r="R72" i="67"/>
  <c r="N72" i="67"/>
  <c r="M72" i="67"/>
  <c r="K72" i="67"/>
  <c r="I72" i="67"/>
  <c r="F72" i="67"/>
  <c r="E72" i="67"/>
  <c r="D72" i="67"/>
  <c r="C72" i="67"/>
  <c r="B72" i="67" s="1"/>
  <c r="R71" i="67"/>
  <c r="N71" i="67"/>
  <c r="M71" i="67"/>
  <c r="K71" i="67"/>
  <c r="I71" i="67"/>
  <c r="F71" i="67"/>
  <c r="E71" i="67"/>
  <c r="D71" i="67"/>
  <c r="C71" i="67"/>
  <c r="B71" i="67" s="1"/>
  <c r="R70" i="67"/>
  <c r="N70" i="67"/>
  <c r="M70" i="67"/>
  <c r="K70" i="67"/>
  <c r="I70" i="67"/>
  <c r="F70" i="67"/>
  <c r="E70" i="67"/>
  <c r="D70" i="67"/>
  <c r="C70" i="67"/>
  <c r="B70" i="67" s="1"/>
  <c r="R69" i="67"/>
  <c r="N69" i="67"/>
  <c r="M69" i="67"/>
  <c r="K69" i="67"/>
  <c r="I69" i="67"/>
  <c r="F69" i="67"/>
  <c r="E69" i="67"/>
  <c r="D69" i="67"/>
  <c r="C69" i="67"/>
  <c r="B69" i="67" s="1"/>
  <c r="R68" i="67"/>
  <c r="N68" i="67"/>
  <c r="M68" i="67"/>
  <c r="K68" i="67"/>
  <c r="I68" i="67"/>
  <c r="F68" i="67"/>
  <c r="E68" i="67"/>
  <c r="D68" i="67"/>
  <c r="C68" i="67"/>
  <c r="B68" i="67" s="1"/>
  <c r="R67" i="67"/>
  <c r="N67" i="67"/>
  <c r="M67" i="67"/>
  <c r="K67" i="67"/>
  <c r="I67" i="67"/>
  <c r="F67" i="67"/>
  <c r="E67" i="67"/>
  <c r="D67" i="67"/>
  <c r="C67" i="67"/>
  <c r="B67" i="67" s="1"/>
  <c r="R66" i="67"/>
  <c r="N66" i="67"/>
  <c r="M66" i="67"/>
  <c r="K66" i="67"/>
  <c r="I66" i="67"/>
  <c r="F66" i="67"/>
  <c r="E66" i="67"/>
  <c r="D66" i="67"/>
  <c r="C66" i="67"/>
  <c r="B66" i="67" s="1"/>
  <c r="R65" i="67"/>
  <c r="Q65" i="67"/>
  <c r="P65" i="67"/>
  <c r="O65" i="67"/>
  <c r="N65" i="67"/>
  <c r="M65" i="67"/>
  <c r="L65" i="67"/>
  <c r="K65" i="67"/>
  <c r="J65" i="67"/>
  <c r="I65" i="67"/>
  <c r="H65" i="67"/>
  <c r="G65" i="67"/>
  <c r="F65" i="67"/>
  <c r="E65" i="67"/>
  <c r="D65" i="67"/>
  <c r="C65" i="67"/>
  <c r="B65" i="67" s="1"/>
  <c r="R64" i="67"/>
  <c r="N64" i="67"/>
  <c r="M64" i="67"/>
  <c r="K64" i="67"/>
  <c r="I64" i="67"/>
  <c r="F64" i="67"/>
  <c r="E64" i="67"/>
  <c r="D64" i="67"/>
  <c r="C64" i="67"/>
  <c r="B64" i="67" s="1"/>
  <c r="R63" i="67"/>
  <c r="N63" i="67"/>
  <c r="M63" i="67"/>
  <c r="K63" i="67"/>
  <c r="I63" i="67"/>
  <c r="F63" i="67"/>
  <c r="E63" i="67"/>
  <c r="D63" i="67"/>
  <c r="C63" i="67"/>
  <c r="B63" i="67" s="1"/>
  <c r="R62" i="67"/>
  <c r="N62" i="67"/>
  <c r="M62" i="67"/>
  <c r="K62" i="67"/>
  <c r="I62" i="67"/>
  <c r="F62" i="67"/>
  <c r="E62" i="67"/>
  <c r="D62" i="67"/>
  <c r="C62" i="67"/>
  <c r="B62" i="67" s="1"/>
  <c r="R61" i="67"/>
  <c r="N61" i="67"/>
  <c r="M61" i="67"/>
  <c r="K61" i="67"/>
  <c r="I61" i="67"/>
  <c r="F61" i="67"/>
  <c r="E61" i="67"/>
  <c r="D61" i="67"/>
  <c r="C61" i="67"/>
  <c r="B61" i="67" s="1"/>
  <c r="R60" i="67"/>
  <c r="N60" i="67"/>
  <c r="M60" i="67"/>
  <c r="K60" i="67"/>
  <c r="I60" i="67"/>
  <c r="F60" i="67"/>
  <c r="E60" i="67"/>
  <c r="D60" i="67"/>
  <c r="C60" i="67"/>
  <c r="B60" i="67" s="1"/>
  <c r="R59" i="67"/>
  <c r="N59" i="67"/>
  <c r="M59" i="67"/>
  <c r="K59" i="67"/>
  <c r="I59" i="67"/>
  <c r="F59" i="67"/>
  <c r="E59" i="67"/>
  <c r="D59" i="67"/>
  <c r="C59" i="67"/>
  <c r="B59" i="67" s="1"/>
  <c r="R58" i="67"/>
  <c r="N58" i="67"/>
  <c r="M58" i="67"/>
  <c r="K58" i="67"/>
  <c r="I58" i="67"/>
  <c r="F58" i="67"/>
  <c r="E58" i="67"/>
  <c r="D58" i="67"/>
  <c r="C58" i="67"/>
  <c r="B58" i="67" s="1"/>
  <c r="R57" i="67"/>
  <c r="Q57" i="67"/>
  <c r="P57" i="67"/>
  <c r="O57" i="67"/>
  <c r="N57" i="67"/>
  <c r="M57" i="67"/>
  <c r="L57" i="67"/>
  <c r="K57" i="67"/>
  <c r="J57" i="67"/>
  <c r="I57" i="67"/>
  <c r="H57" i="67"/>
  <c r="G57" i="67"/>
  <c r="F57" i="67"/>
  <c r="E57" i="67"/>
  <c r="D57" i="67"/>
  <c r="C57" i="67"/>
  <c r="B57" i="67" s="1"/>
  <c r="R56" i="67"/>
  <c r="Q56" i="67"/>
  <c r="P56" i="67"/>
  <c r="O56" i="67"/>
  <c r="N56" i="67"/>
  <c r="M56" i="67"/>
  <c r="L56" i="67"/>
  <c r="K56" i="67"/>
  <c r="J56" i="67"/>
  <c r="H56" i="67"/>
  <c r="G56" i="67"/>
  <c r="F56" i="67"/>
  <c r="E56" i="67"/>
  <c r="D56" i="67"/>
  <c r="C56" i="67"/>
  <c r="B56" i="67" s="1"/>
  <c r="R55" i="67"/>
  <c r="N55" i="67"/>
  <c r="M55" i="67"/>
  <c r="K55" i="67"/>
  <c r="I55" i="67"/>
  <c r="F55" i="67"/>
  <c r="E55" i="67"/>
  <c r="D55" i="67"/>
  <c r="C55" i="67"/>
  <c r="B55" i="67" s="1"/>
  <c r="R54" i="67"/>
  <c r="N54" i="67"/>
  <c r="M54" i="67"/>
  <c r="K54" i="67"/>
  <c r="I54" i="67"/>
  <c r="F54" i="67"/>
  <c r="E54" i="67"/>
  <c r="D54" i="67"/>
  <c r="C54" i="67"/>
  <c r="B54" i="67" s="1"/>
  <c r="R53" i="67"/>
  <c r="N53" i="67"/>
  <c r="M53" i="67"/>
  <c r="K53" i="67"/>
  <c r="I53" i="67"/>
  <c r="F53" i="67"/>
  <c r="E53" i="67"/>
  <c r="D53" i="67"/>
  <c r="C53" i="67"/>
  <c r="B53" i="67" s="1"/>
  <c r="R52" i="67"/>
  <c r="N52" i="67"/>
  <c r="M52" i="67"/>
  <c r="K52" i="67"/>
  <c r="I52" i="67"/>
  <c r="F52" i="67"/>
  <c r="E52" i="67"/>
  <c r="D52" i="67"/>
  <c r="C52" i="67"/>
  <c r="B52" i="67" s="1"/>
  <c r="R51" i="67"/>
  <c r="N51" i="67"/>
  <c r="M51" i="67"/>
  <c r="K51" i="67"/>
  <c r="I51" i="67"/>
  <c r="F51" i="67"/>
  <c r="E51" i="67"/>
  <c r="D51" i="67"/>
  <c r="C51" i="67"/>
  <c r="B51" i="67" s="1"/>
  <c r="R50" i="67"/>
  <c r="N50" i="67"/>
  <c r="M50" i="67"/>
  <c r="K50" i="67"/>
  <c r="I50" i="67"/>
  <c r="F50" i="67"/>
  <c r="E50" i="67"/>
  <c r="D50" i="67"/>
  <c r="C50" i="67"/>
  <c r="B50" i="67" s="1"/>
  <c r="R49" i="67"/>
  <c r="N49" i="67"/>
  <c r="M49" i="67"/>
  <c r="K49" i="67"/>
  <c r="I49" i="67"/>
  <c r="F49" i="67"/>
  <c r="E49" i="67"/>
  <c r="D49" i="67"/>
  <c r="C49" i="67"/>
  <c r="B49" i="67" s="1"/>
  <c r="R48" i="67"/>
  <c r="N48" i="67"/>
  <c r="M48" i="67"/>
  <c r="K48" i="67"/>
  <c r="I48" i="67"/>
  <c r="F48" i="67"/>
  <c r="E48" i="67"/>
  <c r="D48" i="67"/>
  <c r="C48" i="67"/>
  <c r="B48" i="67" s="1"/>
  <c r="R47" i="67"/>
  <c r="N47" i="67"/>
  <c r="M47" i="67"/>
  <c r="K47" i="67"/>
  <c r="I47" i="67"/>
  <c r="F47" i="67"/>
  <c r="E47" i="67"/>
  <c r="D47" i="67"/>
  <c r="C47" i="67"/>
  <c r="B47" i="67" s="1"/>
  <c r="R46" i="67"/>
  <c r="N46" i="67"/>
  <c r="M46" i="67"/>
  <c r="K46" i="67"/>
  <c r="I46" i="67"/>
  <c r="F46" i="67"/>
  <c r="E46" i="67"/>
  <c r="D46" i="67"/>
  <c r="C46" i="67"/>
  <c r="B46" i="67" s="1"/>
  <c r="R45" i="67"/>
  <c r="N45" i="67"/>
  <c r="M45" i="67"/>
  <c r="K45" i="67"/>
  <c r="I45" i="67"/>
  <c r="F45" i="67"/>
  <c r="E45" i="67"/>
  <c r="D45" i="67"/>
  <c r="C45" i="67"/>
  <c r="B45" i="67" s="1"/>
  <c r="R44" i="67"/>
  <c r="N44" i="67"/>
  <c r="M44" i="67"/>
  <c r="K44" i="67"/>
  <c r="I44" i="67"/>
  <c r="F44" i="67"/>
  <c r="E44" i="67"/>
  <c r="D44" i="67"/>
  <c r="C44" i="67"/>
  <c r="B44" i="67" s="1"/>
  <c r="R43" i="67"/>
  <c r="N43" i="67"/>
  <c r="M43" i="67"/>
  <c r="K43" i="67"/>
  <c r="I43" i="67"/>
  <c r="F43" i="67"/>
  <c r="E43" i="67"/>
  <c r="D43" i="67"/>
  <c r="C43" i="67"/>
  <c r="B43" i="67" s="1"/>
  <c r="R42" i="67"/>
  <c r="N42" i="67"/>
  <c r="M42" i="67"/>
  <c r="K42" i="67"/>
  <c r="I42" i="67"/>
  <c r="F42" i="67"/>
  <c r="E42" i="67"/>
  <c r="D42" i="67"/>
  <c r="C42" i="67"/>
  <c r="B42" i="67" s="1"/>
  <c r="R41" i="67"/>
  <c r="N41" i="67"/>
  <c r="M41" i="67"/>
  <c r="K41" i="67"/>
  <c r="I41" i="67"/>
  <c r="F41" i="67"/>
  <c r="E41" i="67"/>
  <c r="D41" i="67"/>
  <c r="C41" i="67"/>
  <c r="B41" i="67" s="1"/>
  <c r="R40" i="67"/>
  <c r="N40" i="67"/>
  <c r="M40" i="67"/>
  <c r="K40" i="67"/>
  <c r="I40" i="67"/>
  <c r="F40" i="67"/>
  <c r="E40" i="67"/>
  <c r="D40" i="67"/>
  <c r="C40" i="67"/>
  <c r="B40" i="67" s="1"/>
  <c r="R39" i="67"/>
  <c r="N39" i="67"/>
  <c r="M39" i="67"/>
  <c r="K39" i="67"/>
  <c r="I39" i="67"/>
  <c r="F39" i="67"/>
  <c r="E39" i="67"/>
  <c r="D39" i="67"/>
  <c r="C39" i="67"/>
  <c r="B39" i="67" s="1"/>
  <c r="R38" i="67"/>
  <c r="N38" i="67"/>
  <c r="M38" i="67"/>
  <c r="K38" i="67"/>
  <c r="I38" i="67"/>
  <c r="F38" i="67"/>
  <c r="E38" i="67"/>
  <c r="D38" i="67"/>
  <c r="C38" i="67"/>
  <c r="B38" i="67" s="1"/>
  <c r="R37" i="67"/>
  <c r="N37" i="67"/>
  <c r="M37" i="67"/>
  <c r="K37" i="67"/>
  <c r="I37" i="67"/>
  <c r="F37" i="67"/>
  <c r="E37" i="67"/>
  <c r="D37" i="67"/>
  <c r="C37" i="67"/>
  <c r="B37" i="67" s="1"/>
  <c r="R36" i="67"/>
  <c r="N36" i="67"/>
  <c r="M36" i="67"/>
  <c r="K36" i="67"/>
  <c r="I36" i="67"/>
  <c r="F36" i="67"/>
  <c r="E36" i="67"/>
  <c r="D36" i="67"/>
  <c r="C36" i="67"/>
  <c r="B36" i="67" s="1"/>
  <c r="R35" i="67"/>
  <c r="N35" i="67"/>
  <c r="M35" i="67"/>
  <c r="K35" i="67"/>
  <c r="I35" i="67"/>
  <c r="F35" i="67"/>
  <c r="E35" i="67"/>
  <c r="D35" i="67"/>
  <c r="C35" i="67"/>
  <c r="B35" i="67" s="1"/>
  <c r="R34" i="67"/>
  <c r="N34" i="67"/>
  <c r="M34" i="67"/>
  <c r="K34" i="67"/>
  <c r="I34" i="67"/>
  <c r="F34" i="67"/>
  <c r="E34" i="67"/>
  <c r="D34" i="67"/>
  <c r="C34" i="67"/>
  <c r="B34" i="67" s="1"/>
  <c r="R33" i="67"/>
  <c r="N33" i="67"/>
  <c r="M33" i="67"/>
  <c r="K33" i="67"/>
  <c r="I33" i="67"/>
  <c r="F33" i="67"/>
  <c r="E33" i="67"/>
  <c r="D33" i="67"/>
  <c r="C33" i="67"/>
  <c r="B33" i="67" s="1"/>
  <c r="R32" i="67"/>
  <c r="Q32" i="67"/>
  <c r="P32" i="67"/>
  <c r="O32" i="67"/>
  <c r="N32" i="67"/>
  <c r="M32" i="67"/>
  <c r="L32" i="67"/>
  <c r="K32" i="67"/>
  <c r="J32" i="67"/>
  <c r="I32" i="67"/>
  <c r="H32" i="67"/>
  <c r="G32" i="67"/>
  <c r="F32" i="67"/>
  <c r="E32" i="67"/>
  <c r="D32" i="67"/>
  <c r="C32" i="67"/>
  <c r="B32" i="67" s="1"/>
  <c r="R31" i="67"/>
  <c r="Q31" i="67"/>
  <c r="P31" i="67"/>
  <c r="O31" i="67"/>
  <c r="N31" i="67"/>
  <c r="M31" i="67"/>
  <c r="L31" i="67"/>
  <c r="K31" i="67"/>
  <c r="J31" i="67"/>
  <c r="H31" i="67"/>
  <c r="G31" i="67"/>
  <c r="F31" i="67"/>
  <c r="E31" i="67"/>
  <c r="D31" i="67"/>
  <c r="C31" i="67"/>
  <c r="B31" i="67" s="1"/>
  <c r="R30" i="67"/>
  <c r="N30" i="67"/>
  <c r="M30" i="67"/>
  <c r="K30" i="67"/>
  <c r="I30" i="67"/>
  <c r="F30" i="67"/>
  <c r="E30" i="67"/>
  <c r="D30" i="67"/>
  <c r="C30" i="67"/>
  <c r="B30" i="67" s="1"/>
  <c r="R29" i="67"/>
  <c r="N29" i="67"/>
  <c r="M29" i="67"/>
  <c r="K29" i="67"/>
  <c r="I29" i="67"/>
  <c r="F29" i="67"/>
  <c r="E29" i="67"/>
  <c r="D29" i="67"/>
  <c r="C29" i="67"/>
  <c r="B29" i="67" s="1"/>
  <c r="R28" i="67"/>
  <c r="N28" i="67"/>
  <c r="M28" i="67"/>
  <c r="K28" i="67"/>
  <c r="I28" i="67"/>
  <c r="F28" i="67"/>
  <c r="E28" i="67"/>
  <c r="D28" i="67"/>
  <c r="C28" i="67"/>
  <c r="B28" i="67" s="1"/>
  <c r="R27" i="67"/>
  <c r="N27" i="67"/>
  <c r="M27" i="67"/>
  <c r="K27" i="67"/>
  <c r="I27" i="67"/>
  <c r="F27" i="67"/>
  <c r="E27" i="67"/>
  <c r="D27" i="67"/>
  <c r="C27" i="67"/>
  <c r="B27" i="67" s="1"/>
  <c r="R26" i="67"/>
  <c r="N26" i="67"/>
  <c r="M26" i="67"/>
  <c r="K26" i="67"/>
  <c r="I26" i="67"/>
  <c r="F26" i="67"/>
  <c r="E26" i="67"/>
  <c r="D26" i="67"/>
  <c r="C26" i="67"/>
  <c r="B26" i="67" s="1"/>
  <c r="R25" i="67"/>
  <c r="N25" i="67"/>
  <c r="M25" i="67"/>
  <c r="K25" i="67"/>
  <c r="I25" i="67"/>
  <c r="F25" i="67"/>
  <c r="E25" i="67"/>
  <c r="D25" i="67"/>
  <c r="C25" i="67"/>
  <c r="B25" i="67" s="1"/>
  <c r="R24" i="67"/>
  <c r="N24" i="67"/>
  <c r="M24" i="67"/>
  <c r="K24" i="67"/>
  <c r="I24" i="67"/>
  <c r="F24" i="67"/>
  <c r="E24" i="67"/>
  <c r="D24" i="67"/>
  <c r="C24" i="67"/>
  <c r="B24" i="67" s="1"/>
  <c r="R23" i="67"/>
  <c r="N23" i="67"/>
  <c r="M23" i="67"/>
  <c r="K23" i="67"/>
  <c r="I23" i="67"/>
  <c r="F23" i="67"/>
  <c r="E23" i="67"/>
  <c r="D23" i="67"/>
  <c r="C23" i="67"/>
  <c r="B23" i="67" s="1"/>
  <c r="R22" i="67"/>
  <c r="N22" i="67"/>
  <c r="M22" i="67"/>
  <c r="K22" i="67"/>
  <c r="I22" i="67"/>
  <c r="F22" i="67"/>
  <c r="E22" i="67"/>
  <c r="D22" i="67"/>
  <c r="C22" i="67"/>
  <c r="B22" i="67" s="1"/>
  <c r="R21" i="67"/>
  <c r="N21" i="67"/>
  <c r="M21" i="67"/>
  <c r="K21" i="67"/>
  <c r="I21" i="67"/>
  <c r="F21" i="67"/>
  <c r="E21" i="67"/>
  <c r="D21" i="67"/>
  <c r="C21" i="67"/>
  <c r="B21" i="67" s="1"/>
  <c r="R20" i="67"/>
  <c r="Q20" i="67"/>
  <c r="P20" i="67"/>
  <c r="O20" i="67"/>
  <c r="N20" i="67"/>
  <c r="M20" i="67"/>
  <c r="L20" i="67"/>
  <c r="K20" i="67"/>
  <c r="J20" i="67"/>
  <c r="I20" i="67"/>
  <c r="H20" i="67"/>
  <c r="G20" i="67"/>
  <c r="F20" i="67"/>
  <c r="E20" i="67"/>
  <c r="D20" i="67"/>
  <c r="C20" i="67"/>
  <c r="B20" i="67" s="1"/>
  <c r="R19" i="67"/>
  <c r="Q19" i="67"/>
  <c r="P19" i="67"/>
  <c r="O19" i="67"/>
  <c r="N19" i="67"/>
  <c r="M19" i="67"/>
  <c r="L19" i="67"/>
  <c r="K19" i="67"/>
  <c r="J19" i="67"/>
  <c r="H19" i="67"/>
  <c r="G19" i="67"/>
  <c r="F19" i="67"/>
  <c r="E19" i="67"/>
  <c r="D19" i="67"/>
  <c r="C19" i="67"/>
  <c r="B19" i="67" s="1"/>
  <c r="R18" i="67"/>
  <c r="N18" i="67"/>
  <c r="M18" i="67"/>
  <c r="K18" i="67"/>
  <c r="I18" i="67"/>
  <c r="F18" i="67"/>
  <c r="E18" i="67"/>
  <c r="D18" i="67"/>
  <c r="C18" i="67"/>
  <c r="B18" i="67" s="1"/>
  <c r="R17" i="67"/>
  <c r="N17" i="67"/>
  <c r="M17" i="67"/>
  <c r="K17" i="67"/>
  <c r="I17" i="67"/>
  <c r="F17" i="67"/>
  <c r="E17" i="67"/>
  <c r="D17" i="67"/>
  <c r="C17" i="67"/>
  <c r="B17" i="67" s="1"/>
  <c r="R16" i="67"/>
  <c r="N16" i="67"/>
  <c r="M16" i="67"/>
  <c r="K16" i="67"/>
  <c r="I16" i="67"/>
  <c r="F16" i="67"/>
  <c r="E16" i="67"/>
  <c r="D16" i="67"/>
  <c r="C16" i="67"/>
  <c r="B16" i="67" s="1"/>
  <c r="R15" i="67"/>
  <c r="N15" i="67"/>
  <c r="M15" i="67"/>
  <c r="K15" i="67"/>
  <c r="I15" i="67"/>
  <c r="F15" i="67"/>
  <c r="E15" i="67"/>
  <c r="D15" i="67"/>
  <c r="C15" i="67"/>
  <c r="B15" i="67" s="1"/>
  <c r="R14" i="67"/>
  <c r="N14" i="67"/>
  <c r="M14" i="67"/>
  <c r="K14" i="67"/>
  <c r="I14" i="67"/>
  <c r="F14" i="67"/>
  <c r="E14" i="67"/>
  <c r="D14" i="67"/>
  <c r="C14" i="67"/>
  <c r="B14" i="67" s="1"/>
  <c r="R13" i="67"/>
  <c r="N13" i="67"/>
  <c r="M13" i="67"/>
  <c r="K13" i="67"/>
  <c r="I13" i="67"/>
  <c r="F13" i="67"/>
  <c r="E13" i="67"/>
  <c r="D13" i="67"/>
  <c r="C13" i="67"/>
  <c r="B13" i="67" s="1"/>
  <c r="R12" i="67"/>
  <c r="N12" i="67"/>
  <c r="M12" i="67"/>
  <c r="K12" i="67"/>
  <c r="I12" i="67"/>
  <c r="F12" i="67"/>
  <c r="E12" i="67"/>
  <c r="D12" i="67"/>
  <c r="C12" i="67"/>
  <c r="B12" i="67" s="1"/>
  <c r="A12" i="67"/>
  <c r="A22" i="67" s="1"/>
  <c r="R11" i="67"/>
  <c r="N11" i="67"/>
  <c r="M11" i="67"/>
  <c r="K11" i="67"/>
  <c r="I11" i="67"/>
  <c r="F11" i="67"/>
  <c r="E11" i="67"/>
  <c r="D11" i="67"/>
  <c r="C11" i="67"/>
  <c r="B11" i="67" s="1"/>
  <c r="R10" i="67"/>
  <c r="Q10" i="67"/>
  <c r="P10" i="67"/>
  <c r="O10" i="67"/>
  <c r="N10" i="67"/>
  <c r="M10" i="67"/>
  <c r="L10" i="67"/>
  <c r="K10" i="67"/>
  <c r="J10" i="67"/>
  <c r="I10" i="67"/>
  <c r="H10" i="67"/>
  <c r="G10" i="67"/>
  <c r="F10" i="67"/>
  <c r="E10" i="67"/>
  <c r="D10" i="67"/>
  <c r="C10" i="67"/>
  <c r="B10" i="67" s="1"/>
  <c r="R9" i="67"/>
  <c r="Q9" i="67"/>
  <c r="P9" i="67"/>
  <c r="O9" i="67"/>
  <c r="N9" i="67"/>
  <c r="M9" i="67"/>
  <c r="L9" i="67"/>
  <c r="K9" i="67"/>
  <c r="J9" i="67"/>
  <c r="H9" i="67"/>
  <c r="G9" i="67"/>
  <c r="F9" i="67"/>
  <c r="E9" i="67"/>
  <c r="D9" i="67"/>
  <c r="C9" i="67"/>
  <c r="B9" i="67" s="1"/>
  <c r="R8" i="67"/>
  <c r="N8" i="67"/>
  <c r="M8" i="67"/>
  <c r="K8" i="67"/>
  <c r="I8" i="67"/>
  <c r="F8" i="67"/>
  <c r="E8" i="67"/>
  <c r="D8" i="67"/>
  <c r="C8" i="67"/>
  <c r="B8" i="67" s="1"/>
  <c r="R7" i="67"/>
  <c r="N7" i="67"/>
  <c r="M7" i="67"/>
  <c r="K7" i="67"/>
  <c r="I7" i="67"/>
  <c r="F7" i="67"/>
  <c r="E7" i="67"/>
  <c r="D7" i="67"/>
  <c r="C7" i="67"/>
  <c r="B7" i="67" s="1"/>
  <c r="R6" i="67"/>
  <c r="N6" i="67"/>
  <c r="M6" i="67"/>
  <c r="K6" i="67"/>
  <c r="I6" i="67"/>
  <c r="F6" i="67"/>
  <c r="E6" i="67"/>
  <c r="D6" i="67"/>
  <c r="C6" i="67"/>
  <c r="B6" i="67" s="1"/>
  <c r="R5" i="67"/>
  <c r="N5" i="67"/>
  <c r="M5" i="67"/>
  <c r="K5" i="67"/>
  <c r="I5" i="67"/>
  <c r="F5" i="67"/>
  <c r="E5" i="67"/>
  <c r="D5" i="67"/>
  <c r="C5" i="67"/>
  <c r="B5" i="67" s="1"/>
  <c r="R4" i="67"/>
  <c r="N4" i="67"/>
  <c r="M4" i="67"/>
  <c r="K4" i="67"/>
  <c r="I4" i="67"/>
  <c r="F4" i="67"/>
  <c r="E4" i="67"/>
  <c r="D4" i="67"/>
  <c r="C4" i="67"/>
  <c r="B4" i="67" s="1"/>
  <c r="A4" i="67"/>
  <c r="A14" i="67" s="1"/>
  <c r="A24" i="67" s="1"/>
  <c r="R3" i="67"/>
  <c r="N3" i="67"/>
  <c r="M3" i="67"/>
  <c r="K3" i="67"/>
  <c r="I3" i="67"/>
  <c r="F3" i="67"/>
  <c r="E3" i="67"/>
  <c r="D3" i="67"/>
  <c r="C3" i="67"/>
  <c r="B3" i="67" s="1"/>
  <c r="A3" i="67"/>
  <c r="A13" i="67" s="1"/>
  <c r="A23" i="67" s="1"/>
  <c r="R2" i="67"/>
  <c r="N2" i="67"/>
  <c r="M2" i="67"/>
  <c r="K2" i="67"/>
  <c r="I2" i="67"/>
  <c r="F2" i="67"/>
  <c r="E2" i="67"/>
  <c r="D2" i="67"/>
  <c r="C2" i="67"/>
  <c r="B2" i="67" s="1"/>
  <c r="S294" i="22"/>
  <c r="S293" i="22"/>
  <c r="S292" i="22"/>
  <c r="S291" i="22"/>
  <c r="S290" i="22"/>
  <c r="S289" i="22"/>
  <c r="S288" i="22"/>
  <c r="S287" i="22"/>
  <c r="S286" i="22"/>
  <c r="S285" i="22"/>
  <c r="S284" i="22"/>
  <c r="O53" i="20" s="1"/>
  <c r="S283" i="22"/>
  <c r="O52" i="20" s="1"/>
  <c r="S282" i="22"/>
  <c r="O51" i="20" s="1"/>
  <c r="S281" i="22"/>
  <c r="O50" i="20" s="1"/>
  <c r="S280" i="22"/>
  <c r="O49" i="20" s="1"/>
  <c r="S279" i="22"/>
  <c r="O48" i="20" s="1"/>
  <c r="S278" i="22"/>
  <c r="O47" i="20" s="1"/>
  <c r="S277" i="22"/>
  <c r="O46" i="20" s="1"/>
  <c r="S276" i="22"/>
  <c r="O45" i="20" s="1"/>
  <c r="S275" i="22"/>
  <c r="O44" i="20" s="1"/>
  <c r="S274" i="22"/>
  <c r="O43" i="20" s="1"/>
  <c r="S273" i="22"/>
  <c r="O42" i="20" s="1"/>
  <c r="S272" i="22"/>
  <c r="O41" i="20" s="1"/>
  <c r="S271" i="22"/>
  <c r="O40" i="20" s="1"/>
  <c r="S270" i="22"/>
  <c r="O39" i="20" s="1"/>
  <c r="S269" i="22"/>
  <c r="O38" i="20" s="1"/>
  <c r="S268" i="22"/>
  <c r="O37" i="20" s="1"/>
  <c r="S267" i="22"/>
  <c r="O36" i="20" s="1"/>
  <c r="S266" i="22"/>
  <c r="O35" i="20" s="1"/>
  <c r="S265" i="22"/>
  <c r="O34" i="20" s="1"/>
  <c r="S264" i="22"/>
  <c r="O33" i="20" s="1"/>
  <c r="S263" i="22"/>
  <c r="O32" i="20" s="1"/>
  <c r="S262" i="22"/>
  <c r="O31" i="20" s="1"/>
  <c r="S261" i="22"/>
  <c r="O30" i="20" s="1"/>
  <c r="S260" i="22"/>
  <c r="O29" i="20" s="1"/>
  <c r="S259" i="22"/>
  <c r="O28" i="20" s="1"/>
  <c r="S258" i="22"/>
  <c r="O27" i="20" s="1"/>
  <c r="S257" i="22"/>
  <c r="O26" i="20" s="1"/>
  <c r="S256" i="22"/>
  <c r="O25" i="20" s="1"/>
  <c r="S255" i="22"/>
  <c r="O24" i="20" s="1"/>
  <c r="S254" i="22"/>
  <c r="O23" i="20" s="1"/>
  <c r="S253" i="22"/>
  <c r="O22" i="20" s="1"/>
  <c r="S252" i="22"/>
  <c r="O21" i="20" s="1"/>
  <c r="S251" i="22"/>
  <c r="O20" i="20" s="1"/>
  <c r="S250" i="22"/>
  <c r="O19" i="20" s="1"/>
  <c r="S249" i="22"/>
  <c r="O18" i="20" s="1"/>
  <c r="S248" i="22"/>
  <c r="O17" i="20" s="1"/>
  <c r="S247" i="22"/>
  <c r="O16" i="20" s="1"/>
  <c r="S246" i="22"/>
  <c r="O15" i="20" s="1"/>
  <c r="S245" i="22"/>
  <c r="O14" i="20" s="1"/>
  <c r="S244" i="22"/>
  <c r="O13" i="20" s="1"/>
  <c r="S243" i="22"/>
  <c r="O12" i="20" s="1"/>
  <c r="S242" i="22"/>
  <c r="O11" i="20" s="1"/>
  <c r="S241" i="22"/>
  <c r="O10" i="20" s="1"/>
  <c r="S240" i="22"/>
  <c r="O9" i="20" s="1"/>
  <c r="S239" i="22"/>
  <c r="O8" i="20" s="1"/>
  <c r="S238" i="22"/>
  <c r="O7" i="20" s="1"/>
  <c r="S237" i="22"/>
  <c r="O6" i="20" s="1"/>
  <c r="S236" i="22"/>
  <c r="O5" i="20" s="1"/>
  <c r="S235" i="22"/>
  <c r="O4" i="20" s="1"/>
  <c r="S234" i="22"/>
  <c r="O3" i="20" s="1"/>
  <c r="S233" i="22"/>
  <c r="O2" i="20" s="1"/>
  <c r="R230" i="22"/>
  <c r="N230" i="22"/>
  <c r="M230" i="22"/>
  <c r="L230" i="22"/>
  <c r="K230" i="22"/>
  <c r="J230" i="22"/>
  <c r="I230" i="22"/>
  <c r="F230" i="22"/>
  <c r="E230" i="22"/>
  <c r="D230" i="22"/>
  <c r="C230" i="22"/>
  <c r="B230" i="22" s="1"/>
  <c r="R229" i="22"/>
  <c r="N229" i="22"/>
  <c r="M229" i="22"/>
  <c r="L229" i="22"/>
  <c r="K229" i="22"/>
  <c r="I229" i="22"/>
  <c r="F229" i="22"/>
  <c r="E229" i="22"/>
  <c r="D229" i="22"/>
  <c r="C229" i="22"/>
  <c r="B229" i="22" s="1"/>
  <c r="R228" i="22"/>
  <c r="N228" i="22"/>
  <c r="M228" i="22"/>
  <c r="L228" i="22"/>
  <c r="K228" i="22"/>
  <c r="I228" i="22"/>
  <c r="F228" i="22"/>
  <c r="E228" i="22"/>
  <c r="D228" i="22"/>
  <c r="C228" i="22"/>
  <c r="B228" i="22" s="1"/>
  <c r="R227" i="22"/>
  <c r="N227" i="22"/>
  <c r="M227" i="22"/>
  <c r="L227" i="22"/>
  <c r="K227" i="22"/>
  <c r="I227" i="22"/>
  <c r="F227" i="22"/>
  <c r="E227" i="22"/>
  <c r="D227" i="22"/>
  <c r="C227" i="22"/>
  <c r="B227" i="22" s="1"/>
  <c r="R226" i="22"/>
  <c r="N226" i="22"/>
  <c r="M226" i="22"/>
  <c r="L226" i="22"/>
  <c r="K226" i="22"/>
  <c r="J226" i="22"/>
  <c r="I226" i="22"/>
  <c r="F226" i="22"/>
  <c r="E226" i="22"/>
  <c r="D226" i="22"/>
  <c r="C226" i="22"/>
  <c r="B226" i="22" s="1"/>
  <c r="R225" i="22"/>
  <c r="N225" i="22"/>
  <c r="M225" i="22"/>
  <c r="L225" i="22"/>
  <c r="K225" i="22"/>
  <c r="I225" i="22"/>
  <c r="F225" i="22"/>
  <c r="E225" i="22"/>
  <c r="D225" i="22"/>
  <c r="C225" i="22"/>
  <c r="B225" i="22" s="1"/>
  <c r="R224" i="22"/>
  <c r="N224" i="22"/>
  <c r="M224" i="22"/>
  <c r="L224" i="22"/>
  <c r="K224" i="22"/>
  <c r="J224" i="22"/>
  <c r="I224" i="22"/>
  <c r="F224" i="22"/>
  <c r="E224" i="22"/>
  <c r="D224" i="22"/>
  <c r="C224" i="22"/>
  <c r="B224" i="22" s="1"/>
  <c r="R223" i="22"/>
  <c r="N223" i="22"/>
  <c r="M223" i="22"/>
  <c r="L223" i="22"/>
  <c r="K223" i="22"/>
  <c r="J223" i="22"/>
  <c r="I223" i="22"/>
  <c r="F223" i="22"/>
  <c r="E223" i="22"/>
  <c r="D223" i="22"/>
  <c r="C223" i="22"/>
  <c r="B223" i="22" s="1"/>
  <c r="R222" i="22"/>
  <c r="N222" i="22"/>
  <c r="M222" i="22"/>
  <c r="L222" i="22"/>
  <c r="K222" i="22"/>
  <c r="I222" i="22"/>
  <c r="F222" i="22"/>
  <c r="E222" i="22"/>
  <c r="D222" i="22"/>
  <c r="C222" i="22"/>
  <c r="B222" i="22" s="1"/>
  <c r="R221" i="22"/>
  <c r="N221" i="22"/>
  <c r="M221" i="22"/>
  <c r="L221" i="22"/>
  <c r="K221" i="22"/>
  <c r="I221" i="22"/>
  <c r="F221" i="22"/>
  <c r="E221" i="22"/>
  <c r="D221" i="22"/>
  <c r="C221" i="22"/>
  <c r="B221" i="22" s="1"/>
  <c r="R220" i="22"/>
  <c r="N220" i="22"/>
  <c r="M220" i="22"/>
  <c r="L220" i="22"/>
  <c r="K220" i="22"/>
  <c r="I220" i="22"/>
  <c r="F220" i="22"/>
  <c r="E220" i="22"/>
  <c r="D220" i="22"/>
  <c r="C220" i="22"/>
  <c r="B220" i="22" s="1"/>
  <c r="R219" i="22"/>
  <c r="N219" i="22"/>
  <c r="M219" i="22"/>
  <c r="L219" i="22"/>
  <c r="K219" i="22"/>
  <c r="I219" i="22"/>
  <c r="F219" i="22"/>
  <c r="E219" i="22"/>
  <c r="D219" i="22"/>
  <c r="C219" i="22"/>
  <c r="B219" i="22" s="1"/>
  <c r="R218" i="22"/>
  <c r="N218" i="22"/>
  <c r="M218" i="22"/>
  <c r="L218" i="22"/>
  <c r="K218" i="22"/>
  <c r="I218" i="22"/>
  <c r="F218" i="22"/>
  <c r="E218" i="22"/>
  <c r="D218" i="22"/>
  <c r="C218" i="22"/>
  <c r="B218" i="22" s="1"/>
  <c r="R217" i="22"/>
  <c r="N217" i="22"/>
  <c r="M217" i="22"/>
  <c r="L217" i="22"/>
  <c r="K217" i="22"/>
  <c r="I217" i="22"/>
  <c r="F217" i="22"/>
  <c r="E217" i="22"/>
  <c r="D217" i="22"/>
  <c r="C217" i="22"/>
  <c r="B217" i="22" s="1"/>
  <c r="R216" i="22"/>
  <c r="N216" i="22"/>
  <c r="M216" i="22"/>
  <c r="L216" i="22"/>
  <c r="K216" i="22"/>
  <c r="I216" i="22"/>
  <c r="F216" i="22"/>
  <c r="E216" i="22"/>
  <c r="D216" i="22"/>
  <c r="C216" i="22"/>
  <c r="B216" i="22" s="1"/>
  <c r="R215" i="22"/>
  <c r="N215" i="22"/>
  <c r="M215" i="22"/>
  <c r="L215" i="22"/>
  <c r="K215" i="22"/>
  <c r="I215" i="22"/>
  <c r="F215" i="22"/>
  <c r="E215" i="22"/>
  <c r="D215" i="22"/>
  <c r="C215" i="22"/>
  <c r="B215" i="22" s="1"/>
  <c r="R214" i="22"/>
  <c r="N214" i="22"/>
  <c r="M214" i="22"/>
  <c r="L214" i="22"/>
  <c r="K214" i="22"/>
  <c r="I214" i="22"/>
  <c r="F214" i="22"/>
  <c r="E214" i="22"/>
  <c r="D214" i="22"/>
  <c r="C214" i="22"/>
  <c r="B214" i="22" s="1"/>
  <c r="R213" i="22"/>
  <c r="N213" i="22"/>
  <c r="M213" i="22"/>
  <c r="L213" i="22"/>
  <c r="K213" i="22"/>
  <c r="J213" i="22"/>
  <c r="I213" i="22"/>
  <c r="F213" i="22"/>
  <c r="E213" i="22"/>
  <c r="D213" i="22"/>
  <c r="C213" i="22"/>
  <c r="B213" i="22" s="1"/>
  <c r="R212" i="22"/>
  <c r="N212" i="22"/>
  <c r="M212" i="22"/>
  <c r="L212" i="22"/>
  <c r="K212" i="22"/>
  <c r="I212" i="22"/>
  <c r="F212" i="22"/>
  <c r="E212" i="22"/>
  <c r="D212" i="22"/>
  <c r="C212" i="22"/>
  <c r="B212" i="22" s="1"/>
  <c r="R211" i="22"/>
  <c r="N211" i="22"/>
  <c r="M211" i="22"/>
  <c r="L211" i="22"/>
  <c r="K211" i="22"/>
  <c r="I211" i="22"/>
  <c r="F211" i="22"/>
  <c r="E211" i="22"/>
  <c r="D211" i="22"/>
  <c r="C211" i="22"/>
  <c r="B211" i="22" s="1"/>
  <c r="R210" i="22"/>
  <c r="N210" i="22"/>
  <c r="M210" i="22"/>
  <c r="L210" i="22"/>
  <c r="K210" i="22"/>
  <c r="I210" i="22"/>
  <c r="F210" i="22"/>
  <c r="E210" i="22"/>
  <c r="D210" i="22"/>
  <c r="C210" i="22"/>
  <c r="B210" i="22" s="1"/>
  <c r="R209" i="22"/>
  <c r="N209" i="22"/>
  <c r="M209" i="22"/>
  <c r="L209" i="22"/>
  <c r="K209" i="22"/>
  <c r="I209" i="22"/>
  <c r="F209" i="22"/>
  <c r="E209" i="22"/>
  <c r="D209" i="22"/>
  <c r="C209" i="22"/>
  <c r="B209" i="22" s="1"/>
  <c r="R208" i="22"/>
  <c r="N208" i="22"/>
  <c r="M208" i="22"/>
  <c r="L208" i="22"/>
  <c r="K208" i="22"/>
  <c r="I208" i="22"/>
  <c r="F208" i="22"/>
  <c r="E208" i="22"/>
  <c r="D208" i="22"/>
  <c r="C208" i="22"/>
  <c r="B208" i="22" s="1"/>
  <c r="R207" i="22"/>
  <c r="N207" i="22"/>
  <c r="M207" i="22"/>
  <c r="L207" i="22"/>
  <c r="K207" i="22"/>
  <c r="I207" i="22"/>
  <c r="F207" i="22"/>
  <c r="E207" i="22"/>
  <c r="D207" i="22"/>
  <c r="C207" i="22"/>
  <c r="B207" i="22" s="1"/>
  <c r="R206" i="22"/>
  <c r="N206" i="22"/>
  <c r="M206" i="22"/>
  <c r="L206" i="22"/>
  <c r="K206" i="22"/>
  <c r="I206" i="22"/>
  <c r="F206" i="22"/>
  <c r="E206" i="22"/>
  <c r="D206" i="22"/>
  <c r="C206" i="22"/>
  <c r="B206" i="22" s="1"/>
  <c r="R205" i="22"/>
  <c r="N205" i="22"/>
  <c r="M205" i="22"/>
  <c r="L205" i="22"/>
  <c r="K205" i="22"/>
  <c r="I205" i="22"/>
  <c r="F205" i="22"/>
  <c r="E205" i="22"/>
  <c r="D205" i="22"/>
  <c r="C205" i="22"/>
  <c r="B205" i="22" s="1"/>
  <c r="R204" i="22"/>
  <c r="N204" i="22"/>
  <c r="M204" i="22"/>
  <c r="L204" i="22"/>
  <c r="K204" i="22"/>
  <c r="I204" i="22"/>
  <c r="F204" i="22"/>
  <c r="E204" i="22"/>
  <c r="D204" i="22"/>
  <c r="C204" i="22"/>
  <c r="B204" i="22" s="1"/>
  <c r="R203" i="22"/>
  <c r="N203" i="22"/>
  <c r="M203" i="22"/>
  <c r="L203" i="22"/>
  <c r="K203" i="22"/>
  <c r="I203" i="22"/>
  <c r="F203" i="22"/>
  <c r="E203" i="22"/>
  <c r="D203" i="22"/>
  <c r="C203" i="22"/>
  <c r="B203" i="22" s="1"/>
  <c r="R202" i="22"/>
  <c r="N202" i="22"/>
  <c r="M202" i="22"/>
  <c r="L202" i="22"/>
  <c r="K202" i="22"/>
  <c r="I202" i="22"/>
  <c r="F202" i="22"/>
  <c r="E202" i="22"/>
  <c r="D202" i="22"/>
  <c r="C202" i="22"/>
  <c r="B202" i="22" s="1"/>
  <c r="R201" i="22"/>
  <c r="N201" i="22"/>
  <c r="M201" i="22"/>
  <c r="L201" i="22"/>
  <c r="K201" i="22"/>
  <c r="I201" i="22"/>
  <c r="F201" i="22"/>
  <c r="E201" i="22"/>
  <c r="D201" i="22"/>
  <c r="C201" i="22"/>
  <c r="B201" i="22" s="1"/>
  <c r="R200" i="22"/>
  <c r="N200" i="22"/>
  <c r="M200" i="22"/>
  <c r="L200" i="22"/>
  <c r="K200" i="22"/>
  <c r="I200" i="22"/>
  <c r="F200" i="22"/>
  <c r="E200" i="22"/>
  <c r="D200" i="22"/>
  <c r="C200" i="22"/>
  <c r="B200" i="22" s="1"/>
  <c r="R199" i="22"/>
  <c r="N199" i="22"/>
  <c r="M199" i="22"/>
  <c r="L199" i="22"/>
  <c r="K199" i="22"/>
  <c r="I199" i="22"/>
  <c r="F199" i="22"/>
  <c r="E199" i="22"/>
  <c r="D199" i="22"/>
  <c r="C199" i="22"/>
  <c r="B199" i="22" s="1"/>
  <c r="R198" i="22"/>
  <c r="N198" i="22"/>
  <c r="M198" i="22"/>
  <c r="L198" i="22"/>
  <c r="K198" i="22"/>
  <c r="I198" i="22"/>
  <c r="F198" i="22"/>
  <c r="E198" i="22"/>
  <c r="D198" i="22"/>
  <c r="C198" i="22"/>
  <c r="B198" i="22" s="1"/>
  <c r="R197" i="22"/>
  <c r="N197" i="22"/>
  <c r="M197" i="22"/>
  <c r="L197" i="22"/>
  <c r="K197" i="22"/>
  <c r="I197" i="22"/>
  <c r="F197" i="22"/>
  <c r="E197" i="22"/>
  <c r="D197" i="22"/>
  <c r="C197" i="22"/>
  <c r="B197" i="22" s="1"/>
  <c r="R196" i="22"/>
  <c r="N196" i="22"/>
  <c r="M196" i="22"/>
  <c r="L196" i="22"/>
  <c r="K196" i="22"/>
  <c r="I196" i="22"/>
  <c r="F196" i="22"/>
  <c r="E196" i="22"/>
  <c r="D196" i="22"/>
  <c r="C196" i="22"/>
  <c r="B196" i="22" s="1"/>
  <c r="R195" i="22"/>
  <c r="N195" i="22"/>
  <c r="M195" i="22"/>
  <c r="L195" i="22"/>
  <c r="K195" i="22"/>
  <c r="I195" i="22"/>
  <c r="F195" i="22"/>
  <c r="E195" i="22"/>
  <c r="D195" i="22"/>
  <c r="C195" i="22"/>
  <c r="B195" i="22" s="1"/>
  <c r="R194" i="22"/>
  <c r="N194" i="22"/>
  <c r="M194" i="22"/>
  <c r="L194" i="22"/>
  <c r="K194" i="22"/>
  <c r="I194" i="22"/>
  <c r="F194" i="22"/>
  <c r="E194" i="22"/>
  <c r="D194" i="22"/>
  <c r="C194" i="22"/>
  <c r="B194" i="22" s="1"/>
  <c r="R193" i="22"/>
  <c r="N193" i="22"/>
  <c r="M193" i="22"/>
  <c r="L193" i="22"/>
  <c r="K193" i="22"/>
  <c r="I193" i="22"/>
  <c r="F193" i="22"/>
  <c r="E193" i="22"/>
  <c r="D193" i="22"/>
  <c r="C193" i="22"/>
  <c r="B193" i="22" s="1"/>
  <c r="R192" i="22"/>
  <c r="N192" i="22"/>
  <c r="M192" i="22"/>
  <c r="L192" i="22"/>
  <c r="K192" i="22"/>
  <c r="I192" i="22"/>
  <c r="F192" i="22"/>
  <c r="E192" i="22"/>
  <c r="D192" i="22"/>
  <c r="C192" i="22"/>
  <c r="B192" i="22" s="1"/>
  <c r="R191" i="22"/>
  <c r="N191" i="22"/>
  <c r="M191" i="22"/>
  <c r="L191" i="22"/>
  <c r="K191" i="22"/>
  <c r="I191" i="22"/>
  <c r="F191" i="22"/>
  <c r="E191" i="22"/>
  <c r="D191" i="22"/>
  <c r="C191" i="22"/>
  <c r="B191" i="22" s="1"/>
  <c r="R190" i="22"/>
  <c r="N190" i="22"/>
  <c r="M190" i="22"/>
  <c r="L190" i="22"/>
  <c r="K190" i="22"/>
  <c r="I190" i="22"/>
  <c r="F190" i="22"/>
  <c r="E190" i="22"/>
  <c r="D190" i="22"/>
  <c r="C190" i="22"/>
  <c r="B190" i="22" s="1"/>
  <c r="R189" i="22"/>
  <c r="N189" i="22"/>
  <c r="M189" i="22"/>
  <c r="L189" i="22"/>
  <c r="K189" i="22"/>
  <c r="I189" i="22"/>
  <c r="F189" i="22"/>
  <c r="E189" i="22"/>
  <c r="D189" i="22"/>
  <c r="C189" i="22"/>
  <c r="B189" i="22" s="1"/>
  <c r="R188" i="22"/>
  <c r="N188" i="22"/>
  <c r="M188" i="22"/>
  <c r="L188" i="22"/>
  <c r="K188" i="22"/>
  <c r="I188" i="22"/>
  <c r="F188" i="22"/>
  <c r="E188" i="22"/>
  <c r="D188" i="22"/>
  <c r="C188" i="22"/>
  <c r="B188" i="22" s="1"/>
  <c r="R187" i="22"/>
  <c r="N187" i="22"/>
  <c r="M187" i="22"/>
  <c r="L187" i="22"/>
  <c r="K187" i="22"/>
  <c r="I187" i="22"/>
  <c r="F187" i="22"/>
  <c r="E187" i="22"/>
  <c r="D187" i="22"/>
  <c r="C187" i="22"/>
  <c r="B187" i="22" s="1"/>
  <c r="R186" i="22"/>
  <c r="N186" i="22"/>
  <c r="M186" i="22"/>
  <c r="L186" i="22"/>
  <c r="K186" i="22"/>
  <c r="I186" i="22"/>
  <c r="F186" i="22"/>
  <c r="E186" i="22"/>
  <c r="D186" i="22"/>
  <c r="C186" i="22"/>
  <c r="B186" i="22" s="1"/>
  <c r="R185" i="22"/>
  <c r="N185" i="22"/>
  <c r="M185" i="22"/>
  <c r="L185" i="22"/>
  <c r="K185" i="22"/>
  <c r="I185" i="22"/>
  <c r="F185" i="22"/>
  <c r="E185" i="22"/>
  <c r="D185" i="22"/>
  <c r="C185" i="22"/>
  <c r="B185" i="22" s="1"/>
  <c r="R184" i="22"/>
  <c r="N184" i="22"/>
  <c r="M184" i="22"/>
  <c r="L184" i="22"/>
  <c r="K184" i="22"/>
  <c r="I184" i="22"/>
  <c r="F184" i="22"/>
  <c r="E184" i="22"/>
  <c r="D184" i="22"/>
  <c r="C184" i="22"/>
  <c r="B184" i="22" s="1"/>
  <c r="R183" i="22"/>
  <c r="N183" i="22"/>
  <c r="M183" i="22"/>
  <c r="L183" i="22"/>
  <c r="K183" i="22"/>
  <c r="I183" i="22"/>
  <c r="F183" i="22"/>
  <c r="E183" i="22"/>
  <c r="D183" i="22"/>
  <c r="C183" i="22"/>
  <c r="B183" i="22" s="1"/>
  <c r="R182" i="22"/>
  <c r="N182" i="22"/>
  <c r="M182" i="22"/>
  <c r="L182" i="22"/>
  <c r="K182" i="22"/>
  <c r="I182" i="22"/>
  <c r="F182" i="22"/>
  <c r="E182" i="22"/>
  <c r="D182" i="22"/>
  <c r="C182" i="22"/>
  <c r="B182" i="22" s="1"/>
  <c r="R181" i="22"/>
  <c r="N181" i="22"/>
  <c r="M181" i="22"/>
  <c r="L181" i="22"/>
  <c r="K181" i="22"/>
  <c r="I181" i="22"/>
  <c r="F181" i="22"/>
  <c r="E181" i="22"/>
  <c r="D181" i="22"/>
  <c r="C181" i="22"/>
  <c r="B181" i="22" s="1"/>
  <c r="R180" i="22"/>
  <c r="N180" i="22"/>
  <c r="M180" i="22"/>
  <c r="L180" i="22"/>
  <c r="K180" i="22"/>
  <c r="I180" i="22"/>
  <c r="F180" i="22"/>
  <c r="E180" i="22"/>
  <c r="D180" i="22"/>
  <c r="C180" i="22"/>
  <c r="B180" i="22" s="1"/>
  <c r="R179" i="22"/>
  <c r="N179" i="22"/>
  <c r="M179" i="22"/>
  <c r="L179" i="22"/>
  <c r="K179" i="22"/>
  <c r="I179" i="22"/>
  <c r="F179" i="22"/>
  <c r="E179" i="22"/>
  <c r="D179" i="22"/>
  <c r="C179" i="22"/>
  <c r="B179" i="22" s="1"/>
  <c r="R178" i="22"/>
  <c r="N178" i="22"/>
  <c r="M178" i="22"/>
  <c r="L178" i="22"/>
  <c r="K178" i="22"/>
  <c r="I178" i="22"/>
  <c r="F178" i="22"/>
  <c r="E178" i="22"/>
  <c r="D178" i="22"/>
  <c r="C178" i="22"/>
  <c r="B178" i="22" s="1"/>
  <c r="R177" i="22"/>
  <c r="N177" i="22"/>
  <c r="M177" i="22"/>
  <c r="L177" i="22"/>
  <c r="K177" i="22"/>
  <c r="I177" i="22"/>
  <c r="F177" i="22"/>
  <c r="E177" i="22"/>
  <c r="D177" i="22"/>
  <c r="C177" i="22"/>
  <c r="B177" i="22" s="1"/>
  <c r="R176" i="22"/>
  <c r="N176" i="22"/>
  <c r="M176" i="22"/>
  <c r="L176" i="22"/>
  <c r="K176" i="22"/>
  <c r="I176" i="22"/>
  <c r="F176" i="22"/>
  <c r="E176" i="22"/>
  <c r="D176" i="22"/>
  <c r="C176" i="22"/>
  <c r="B176" i="22" s="1"/>
  <c r="R175" i="22"/>
  <c r="N175" i="22"/>
  <c r="M175" i="22"/>
  <c r="L175" i="22"/>
  <c r="K175" i="22"/>
  <c r="I175" i="22"/>
  <c r="F175" i="22"/>
  <c r="E175" i="22"/>
  <c r="D175" i="22"/>
  <c r="C175" i="22"/>
  <c r="B175" i="22" s="1"/>
  <c r="R174" i="22"/>
  <c r="N174" i="22"/>
  <c r="M174" i="22"/>
  <c r="L174" i="22"/>
  <c r="K174" i="22"/>
  <c r="I174" i="22"/>
  <c r="F174" i="22"/>
  <c r="E174" i="22"/>
  <c r="D174" i="22"/>
  <c r="C174" i="22"/>
  <c r="B174" i="22" s="1"/>
  <c r="R173" i="22"/>
  <c r="N173" i="22"/>
  <c r="M173" i="22"/>
  <c r="L173" i="22"/>
  <c r="K173" i="22"/>
  <c r="I173" i="22"/>
  <c r="F173" i="22"/>
  <c r="E173" i="22"/>
  <c r="D173" i="22"/>
  <c r="C173" i="22"/>
  <c r="B173" i="22" s="1"/>
  <c r="R172" i="22"/>
  <c r="N172" i="22"/>
  <c r="M172" i="22"/>
  <c r="L172" i="22"/>
  <c r="K172" i="22"/>
  <c r="I172" i="22"/>
  <c r="F172" i="22"/>
  <c r="E172" i="22"/>
  <c r="D172" i="22"/>
  <c r="C172" i="22"/>
  <c r="B172" i="22" s="1"/>
  <c r="R171" i="22"/>
  <c r="N171" i="22"/>
  <c r="M171" i="22"/>
  <c r="L171" i="22"/>
  <c r="K171" i="22"/>
  <c r="I171" i="22"/>
  <c r="F171" i="22"/>
  <c r="E171" i="22"/>
  <c r="D171" i="22"/>
  <c r="C171" i="22"/>
  <c r="B171" i="22" s="1"/>
  <c r="R170" i="22"/>
  <c r="N170" i="22"/>
  <c r="M170" i="22"/>
  <c r="L170" i="22"/>
  <c r="K170" i="22"/>
  <c r="I170" i="22"/>
  <c r="F170" i="22"/>
  <c r="E170" i="22"/>
  <c r="D170" i="22"/>
  <c r="C170" i="22"/>
  <c r="B170" i="22" s="1"/>
  <c r="R169" i="22"/>
  <c r="N169" i="22"/>
  <c r="M169" i="22"/>
  <c r="L169" i="22"/>
  <c r="K169" i="22"/>
  <c r="I169" i="22"/>
  <c r="F169" i="22"/>
  <c r="E169" i="22"/>
  <c r="D169" i="22"/>
  <c r="C169" i="22"/>
  <c r="B169" i="22" s="1"/>
  <c r="R168" i="22"/>
  <c r="N168" i="22"/>
  <c r="M168" i="22"/>
  <c r="L168" i="22"/>
  <c r="K168" i="22"/>
  <c r="I168" i="22"/>
  <c r="F168" i="22"/>
  <c r="E168" i="22"/>
  <c r="D168" i="22"/>
  <c r="C168" i="22"/>
  <c r="B168" i="22" s="1"/>
  <c r="R167" i="22"/>
  <c r="N167" i="22"/>
  <c r="M167" i="22"/>
  <c r="L167" i="22"/>
  <c r="K167" i="22"/>
  <c r="I167" i="22"/>
  <c r="F167" i="22"/>
  <c r="E167" i="22"/>
  <c r="D167" i="22"/>
  <c r="C167" i="22"/>
  <c r="B167" i="22" s="1"/>
  <c r="R166" i="22"/>
  <c r="N166" i="22"/>
  <c r="M166" i="22"/>
  <c r="L166" i="22"/>
  <c r="K166" i="22"/>
  <c r="I166" i="22"/>
  <c r="F166" i="22"/>
  <c r="E166" i="22"/>
  <c r="D166" i="22"/>
  <c r="C166" i="22"/>
  <c r="B166" i="22" s="1"/>
  <c r="R165" i="22"/>
  <c r="N165" i="22"/>
  <c r="M165" i="22"/>
  <c r="L165" i="22"/>
  <c r="K165" i="22"/>
  <c r="I165" i="22"/>
  <c r="F165" i="22"/>
  <c r="E165" i="22"/>
  <c r="D165" i="22"/>
  <c r="C165" i="22"/>
  <c r="B165" i="22" s="1"/>
  <c r="R164" i="22"/>
  <c r="N164" i="22"/>
  <c r="M164" i="22"/>
  <c r="L164" i="22"/>
  <c r="K164" i="22"/>
  <c r="I164" i="22"/>
  <c r="F164" i="22"/>
  <c r="E164" i="22"/>
  <c r="D164" i="22"/>
  <c r="C164" i="22"/>
  <c r="B164" i="22" s="1"/>
  <c r="R163" i="22"/>
  <c r="N163" i="22"/>
  <c r="M163" i="22"/>
  <c r="L163" i="22"/>
  <c r="K163" i="22"/>
  <c r="I163" i="22"/>
  <c r="F163" i="22"/>
  <c r="E163" i="22"/>
  <c r="D163" i="22"/>
  <c r="C163" i="22"/>
  <c r="B163" i="22" s="1"/>
  <c r="R162" i="22"/>
  <c r="N162" i="22"/>
  <c r="M162" i="22"/>
  <c r="L162" i="22"/>
  <c r="K162" i="22"/>
  <c r="I162" i="22"/>
  <c r="F162" i="22"/>
  <c r="E162" i="22"/>
  <c r="D162" i="22"/>
  <c r="C162" i="22"/>
  <c r="B162" i="22" s="1"/>
  <c r="R161" i="22"/>
  <c r="N161" i="22"/>
  <c r="M161" i="22"/>
  <c r="L161" i="22"/>
  <c r="K161" i="22"/>
  <c r="I161" i="22"/>
  <c r="F161" i="22"/>
  <c r="E161" i="22"/>
  <c r="D161" i="22"/>
  <c r="C161" i="22"/>
  <c r="B161" i="22" s="1"/>
  <c r="R160" i="22"/>
  <c r="N160" i="22"/>
  <c r="M160" i="22"/>
  <c r="L160" i="22"/>
  <c r="K160" i="22"/>
  <c r="I160" i="22"/>
  <c r="F160" i="22"/>
  <c r="E160" i="22"/>
  <c r="D160" i="22"/>
  <c r="C160" i="22"/>
  <c r="B160" i="22" s="1"/>
  <c r="R159" i="22"/>
  <c r="N159" i="22"/>
  <c r="M159" i="22"/>
  <c r="L159" i="22"/>
  <c r="K159" i="22"/>
  <c r="I159" i="22"/>
  <c r="F159" i="22"/>
  <c r="E159" i="22"/>
  <c r="D159" i="22"/>
  <c r="C159" i="22"/>
  <c r="B159" i="22" s="1"/>
  <c r="R158" i="22"/>
  <c r="N158" i="22"/>
  <c r="M158" i="22"/>
  <c r="L158" i="22"/>
  <c r="K158" i="22"/>
  <c r="I158" i="22"/>
  <c r="F158" i="22"/>
  <c r="E158" i="22"/>
  <c r="D158" i="22"/>
  <c r="C158" i="22"/>
  <c r="B158" i="22" s="1"/>
  <c r="R157" i="22"/>
  <c r="N157" i="22"/>
  <c r="M157" i="22"/>
  <c r="L157" i="22"/>
  <c r="K157" i="22"/>
  <c r="I157" i="22"/>
  <c r="F157" i="22"/>
  <c r="E157" i="22"/>
  <c r="D157" i="22"/>
  <c r="C157" i="22"/>
  <c r="B157" i="22" s="1"/>
  <c r="R156" i="22"/>
  <c r="N156" i="22"/>
  <c r="M156" i="22"/>
  <c r="L156" i="22"/>
  <c r="K156" i="22"/>
  <c r="I156" i="22"/>
  <c r="F156" i="22"/>
  <c r="E156" i="22"/>
  <c r="D156" i="22"/>
  <c r="C156" i="22"/>
  <c r="B156" i="22" s="1"/>
  <c r="R155" i="22"/>
  <c r="N155" i="22"/>
  <c r="M155" i="22"/>
  <c r="L155" i="22"/>
  <c r="K155" i="22"/>
  <c r="I155" i="22"/>
  <c r="F155" i="22"/>
  <c r="E155" i="22"/>
  <c r="D155" i="22"/>
  <c r="C155" i="22"/>
  <c r="B155" i="22" s="1"/>
  <c r="R154" i="22"/>
  <c r="N154" i="22"/>
  <c r="M154" i="22"/>
  <c r="L154" i="22"/>
  <c r="K154" i="22"/>
  <c r="I154" i="22"/>
  <c r="F154" i="22"/>
  <c r="E154" i="22"/>
  <c r="D154" i="22"/>
  <c r="C154" i="22"/>
  <c r="B154" i="22" s="1"/>
  <c r="R153" i="22"/>
  <c r="N153" i="22"/>
  <c r="M153" i="22"/>
  <c r="L153" i="22"/>
  <c r="K153" i="22"/>
  <c r="I153" i="22"/>
  <c r="F153" i="22"/>
  <c r="E153" i="22"/>
  <c r="D153" i="22"/>
  <c r="C153" i="22"/>
  <c r="B153" i="22" s="1"/>
  <c r="R152" i="22"/>
  <c r="N152" i="22"/>
  <c r="M152" i="22"/>
  <c r="L152" i="22"/>
  <c r="K152" i="22"/>
  <c r="I152" i="22"/>
  <c r="F152" i="22"/>
  <c r="E152" i="22"/>
  <c r="D152" i="22"/>
  <c r="C152" i="22"/>
  <c r="B152" i="22" s="1"/>
  <c r="R151" i="22"/>
  <c r="N151" i="22"/>
  <c r="M151" i="22"/>
  <c r="L151" i="22"/>
  <c r="K151" i="22"/>
  <c r="I151" i="22"/>
  <c r="F151" i="22"/>
  <c r="E151" i="22"/>
  <c r="D151" i="22"/>
  <c r="C151" i="22"/>
  <c r="B151" i="22" s="1"/>
  <c r="R150" i="22"/>
  <c r="N150" i="22"/>
  <c r="M150" i="22"/>
  <c r="L150" i="22"/>
  <c r="K150" i="22"/>
  <c r="I150" i="22"/>
  <c r="F150" i="22"/>
  <c r="E150" i="22"/>
  <c r="D150" i="22"/>
  <c r="C150" i="22"/>
  <c r="B150" i="22" s="1"/>
  <c r="R149" i="22"/>
  <c r="N149" i="22"/>
  <c r="M149" i="22"/>
  <c r="L149" i="22"/>
  <c r="K149" i="22"/>
  <c r="I149" i="22"/>
  <c r="F149" i="22"/>
  <c r="E149" i="22"/>
  <c r="D149" i="22"/>
  <c r="C149" i="22"/>
  <c r="B149" i="22" s="1"/>
  <c r="R148" i="22"/>
  <c r="N148" i="22"/>
  <c r="M148" i="22"/>
  <c r="L148" i="22"/>
  <c r="K148" i="22"/>
  <c r="I148" i="22"/>
  <c r="F148" i="22"/>
  <c r="E148" i="22"/>
  <c r="D148" i="22"/>
  <c r="C148" i="22"/>
  <c r="B148" i="22" s="1"/>
  <c r="R147" i="22"/>
  <c r="N147" i="22"/>
  <c r="M147" i="22"/>
  <c r="L147" i="22"/>
  <c r="K147" i="22"/>
  <c r="I147" i="22"/>
  <c r="F147" i="22"/>
  <c r="E147" i="22"/>
  <c r="D147" i="22"/>
  <c r="C147" i="22"/>
  <c r="B147" i="22" s="1"/>
  <c r="R146" i="22"/>
  <c r="N146" i="22"/>
  <c r="M146" i="22"/>
  <c r="L146" i="22"/>
  <c r="K146" i="22"/>
  <c r="I146" i="22"/>
  <c r="F146" i="22"/>
  <c r="E146" i="22"/>
  <c r="D146" i="22"/>
  <c r="C146" i="22"/>
  <c r="B146" i="22" s="1"/>
  <c r="R145" i="22"/>
  <c r="N145" i="22"/>
  <c r="M145" i="22"/>
  <c r="L145" i="22"/>
  <c r="K145" i="22"/>
  <c r="I145" i="22"/>
  <c r="F145" i="22"/>
  <c r="E145" i="22"/>
  <c r="D145" i="22"/>
  <c r="C145" i="22"/>
  <c r="B145" i="22" s="1"/>
  <c r="R144" i="22"/>
  <c r="N144" i="22"/>
  <c r="M144" i="22"/>
  <c r="L144" i="22"/>
  <c r="K144" i="22"/>
  <c r="I144" i="22"/>
  <c r="F144" i="22"/>
  <c r="E144" i="22"/>
  <c r="D144" i="22"/>
  <c r="C144" i="22"/>
  <c r="B144" i="22" s="1"/>
  <c r="R143" i="22"/>
  <c r="N143" i="22"/>
  <c r="M143" i="22"/>
  <c r="L143" i="22"/>
  <c r="K143" i="22"/>
  <c r="I143" i="22"/>
  <c r="F143" i="22"/>
  <c r="E143" i="22"/>
  <c r="D143" i="22"/>
  <c r="C143" i="22"/>
  <c r="B143" i="22" s="1"/>
  <c r="R142" i="22"/>
  <c r="N142" i="22"/>
  <c r="M142" i="22"/>
  <c r="L142" i="22"/>
  <c r="K142" i="22"/>
  <c r="I142" i="22"/>
  <c r="F142" i="22"/>
  <c r="E142" i="22"/>
  <c r="D142" i="22"/>
  <c r="C142" i="22"/>
  <c r="B142" i="22" s="1"/>
  <c r="R141" i="22"/>
  <c r="N141" i="22"/>
  <c r="M141" i="22"/>
  <c r="L141" i="22"/>
  <c r="K141" i="22"/>
  <c r="I141" i="22"/>
  <c r="F141" i="22"/>
  <c r="E141" i="22"/>
  <c r="D141" i="22"/>
  <c r="C141" i="22"/>
  <c r="B141" i="22" s="1"/>
  <c r="R140" i="22"/>
  <c r="N140" i="22"/>
  <c r="M140" i="22"/>
  <c r="L140" i="22"/>
  <c r="K140" i="22"/>
  <c r="I140" i="22"/>
  <c r="F140" i="22"/>
  <c r="E140" i="22"/>
  <c r="D140" i="22"/>
  <c r="C140" i="22"/>
  <c r="B140" i="22" s="1"/>
  <c r="R139" i="22"/>
  <c r="N139" i="22"/>
  <c r="M139" i="22"/>
  <c r="L139" i="22"/>
  <c r="K139" i="22"/>
  <c r="I139" i="22"/>
  <c r="F139" i="22"/>
  <c r="E139" i="22"/>
  <c r="D139" i="22"/>
  <c r="C139" i="22"/>
  <c r="B139" i="22" s="1"/>
  <c r="R138" i="22"/>
  <c r="N138" i="22"/>
  <c r="M138" i="22"/>
  <c r="L138" i="22"/>
  <c r="K138" i="22"/>
  <c r="I138" i="22"/>
  <c r="F138" i="22"/>
  <c r="E138" i="22"/>
  <c r="D138" i="22"/>
  <c r="C138" i="22"/>
  <c r="B138" i="22" s="1"/>
  <c r="R137" i="22"/>
  <c r="N137" i="22"/>
  <c r="M137" i="22"/>
  <c r="L137" i="22"/>
  <c r="K137" i="22"/>
  <c r="I137" i="22"/>
  <c r="F137" i="22"/>
  <c r="E137" i="22"/>
  <c r="D137" i="22"/>
  <c r="C137" i="22"/>
  <c r="B137" i="22" s="1"/>
  <c r="R136" i="22"/>
  <c r="N136" i="22"/>
  <c r="M136" i="22"/>
  <c r="L136" i="22"/>
  <c r="K136" i="22"/>
  <c r="I136" i="22"/>
  <c r="F136" i="22"/>
  <c r="E136" i="22"/>
  <c r="D136" i="22"/>
  <c r="C136" i="22"/>
  <c r="B136" i="22" s="1"/>
  <c r="R135" i="22"/>
  <c r="N135" i="22"/>
  <c r="M135" i="22"/>
  <c r="L135" i="22"/>
  <c r="K135" i="22"/>
  <c r="I135" i="22"/>
  <c r="F135" i="22"/>
  <c r="E135" i="22"/>
  <c r="D135" i="22"/>
  <c r="C135" i="22"/>
  <c r="B135" i="22" s="1"/>
  <c r="R134" i="22"/>
  <c r="N134" i="22"/>
  <c r="M134" i="22"/>
  <c r="L134" i="22"/>
  <c r="K134" i="22"/>
  <c r="I134" i="22"/>
  <c r="F134" i="22"/>
  <c r="E134" i="22"/>
  <c r="D134" i="22"/>
  <c r="C134" i="22"/>
  <c r="B134" i="22" s="1"/>
  <c r="R133" i="22"/>
  <c r="N133" i="22"/>
  <c r="M133" i="22"/>
  <c r="L133" i="22"/>
  <c r="K133" i="22"/>
  <c r="I133" i="22"/>
  <c r="F133" i="22"/>
  <c r="E133" i="22"/>
  <c r="D133" i="22"/>
  <c r="C133" i="22"/>
  <c r="B133" i="22" s="1"/>
  <c r="R132" i="22"/>
  <c r="N132" i="22"/>
  <c r="M132" i="22"/>
  <c r="L132" i="22"/>
  <c r="K132" i="22"/>
  <c r="I132" i="22"/>
  <c r="F132" i="22"/>
  <c r="E132" i="22"/>
  <c r="D132" i="22"/>
  <c r="C132" i="22"/>
  <c r="B132" i="22" s="1"/>
  <c r="R131" i="22"/>
  <c r="N131" i="22"/>
  <c r="M131" i="22"/>
  <c r="L131" i="22"/>
  <c r="K131" i="22"/>
  <c r="I131" i="22"/>
  <c r="F131" i="22"/>
  <c r="E131" i="22"/>
  <c r="D131" i="22"/>
  <c r="C131" i="22"/>
  <c r="B131" i="22" s="1"/>
  <c r="R130" i="22"/>
  <c r="N130" i="22"/>
  <c r="M130" i="22"/>
  <c r="L130" i="22"/>
  <c r="K130" i="22"/>
  <c r="I130" i="22"/>
  <c r="F130" i="22"/>
  <c r="E130" i="22"/>
  <c r="D130" i="22"/>
  <c r="C130" i="22"/>
  <c r="B130" i="22" s="1"/>
  <c r="R129" i="22"/>
  <c r="N129" i="22"/>
  <c r="M129" i="22"/>
  <c r="L129" i="22"/>
  <c r="K129" i="22"/>
  <c r="I129" i="22"/>
  <c r="F129" i="22"/>
  <c r="E129" i="22"/>
  <c r="D129" i="22"/>
  <c r="C129" i="22"/>
  <c r="B129" i="22" s="1"/>
  <c r="R128" i="22"/>
  <c r="N128" i="22"/>
  <c r="M128" i="22"/>
  <c r="L128" i="22"/>
  <c r="K128" i="22"/>
  <c r="I128" i="22"/>
  <c r="F128" i="22"/>
  <c r="E128" i="22"/>
  <c r="D128" i="22"/>
  <c r="C128" i="22"/>
  <c r="B128" i="22" s="1"/>
  <c r="R127" i="22"/>
  <c r="N127" i="22"/>
  <c r="M127" i="22"/>
  <c r="L127" i="22"/>
  <c r="K127" i="22"/>
  <c r="I127" i="22"/>
  <c r="F127" i="22"/>
  <c r="E127" i="22"/>
  <c r="D127" i="22"/>
  <c r="C127" i="22"/>
  <c r="B127" i="22" s="1"/>
  <c r="R126" i="22"/>
  <c r="N126" i="22"/>
  <c r="M126" i="22"/>
  <c r="L126" i="22"/>
  <c r="K126" i="22"/>
  <c r="I126" i="22"/>
  <c r="F126" i="22"/>
  <c r="E126" i="22"/>
  <c r="D126" i="22"/>
  <c r="C126" i="22"/>
  <c r="B126" i="22" s="1"/>
  <c r="R125" i="22"/>
  <c r="N125" i="22"/>
  <c r="M125" i="22"/>
  <c r="L125" i="22"/>
  <c r="K125" i="22"/>
  <c r="I125" i="22"/>
  <c r="F125" i="22"/>
  <c r="E125" i="22"/>
  <c r="D125" i="22"/>
  <c r="C125" i="22"/>
  <c r="B125" i="22" s="1"/>
  <c r="R124" i="22"/>
  <c r="N124" i="22"/>
  <c r="M124" i="22"/>
  <c r="L124" i="22"/>
  <c r="K124" i="22"/>
  <c r="I124" i="22"/>
  <c r="F124" i="22"/>
  <c r="E124" i="22"/>
  <c r="D124" i="22"/>
  <c r="C124" i="22"/>
  <c r="B124" i="22" s="1"/>
  <c r="R123" i="22"/>
  <c r="N123" i="22"/>
  <c r="M123" i="22"/>
  <c r="L123" i="22"/>
  <c r="K123" i="22"/>
  <c r="I123" i="22"/>
  <c r="F123" i="22"/>
  <c r="E123" i="22"/>
  <c r="D123" i="22"/>
  <c r="C123" i="22"/>
  <c r="B123" i="22" s="1"/>
  <c r="R122" i="22"/>
  <c r="N122" i="22"/>
  <c r="M122" i="22"/>
  <c r="L122" i="22"/>
  <c r="K122" i="22"/>
  <c r="I122" i="22"/>
  <c r="F122" i="22"/>
  <c r="E122" i="22"/>
  <c r="D122" i="22"/>
  <c r="C122" i="22"/>
  <c r="B122" i="22" s="1"/>
  <c r="R121" i="22"/>
  <c r="N121" i="22"/>
  <c r="M121" i="22"/>
  <c r="L121" i="22"/>
  <c r="K121" i="22"/>
  <c r="I121" i="22"/>
  <c r="F121" i="22"/>
  <c r="E121" i="22"/>
  <c r="D121" i="22"/>
  <c r="C121" i="22"/>
  <c r="B121" i="22" s="1"/>
  <c r="R120" i="22"/>
  <c r="N120" i="22"/>
  <c r="M120" i="22"/>
  <c r="L120" i="22"/>
  <c r="K120" i="22"/>
  <c r="I120" i="22"/>
  <c r="F120" i="22"/>
  <c r="E120" i="22"/>
  <c r="D120" i="22"/>
  <c r="C120" i="22"/>
  <c r="B120" i="22" s="1"/>
  <c r="R119" i="22"/>
  <c r="N119" i="22"/>
  <c r="M119" i="22"/>
  <c r="L119" i="22"/>
  <c r="K119" i="22"/>
  <c r="I119" i="22"/>
  <c r="F119" i="22"/>
  <c r="E119" i="22"/>
  <c r="D119" i="22"/>
  <c r="C119" i="22"/>
  <c r="B119" i="22" s="1"/>
  <c r="R118" i="22"/>
  <c r="N118" i="22"/>
  <c r="M118" i="22"/>
  <c r="L118" i="22"/>
  <c r="K118" i="22"/>
  <c r="I118" i="22"/>
  <c r="F118" i="22"/>
  <c r="E118" i="22"/>
  <c r="D118" i="22"/>
  <c r="C118" i="22"/>
  <c r="B118" i="22" s="1"/>
  <c r="R117" i="22"/>
  <c r="N117" i="22"/>
  <c r="M117" i="22"/>
  <c r="L117" i="22"/>
  <c r="K117" i="22"/>
  <c r="I117" i="22"/>
  <c r="F117" i="22"/>
  <c r="E117" i="22"/>
  <c r="D117" i="22"/>
  <c r="C117" i="22"/>
  <c r="B117" i="22" s="1"/>
  <c r="R116" i="22"/>
  <c r="N116" i="22"/>
  <c r="M116" i="22"/>
  <c r="L116" i="22"/>
  <c r="K116" i="22"/>
  <c r="I116" i="22"/>
  <c r="F116" i="22"/>
  <c r="E116" i="22"/>
  <c r="D116" i="22"/>
  <c r="C116" i="22"/>
  <c r="B116" i="22" s="1"/>
  <c r="R115" i="22"/>
  <c r="N115" i="22"/>
  <c r="M115" i="22"/>
  <c r="L115" i="22"/>
  <c r="K115" i="22"/>
  <c r="I115" i="22"/>
  <c r="F115" i="22"/>
  <c r="E115" i="22"/>
  <c r="D115" i="22"/>
  <c r="C115" i="22"/>
  <c r="B115" i="22" s="1"/>
  <c r="R114" i="22"/>
  <c r="N114" i="22"/>
  <c r="M114" i="22"/>
  <c r="L114" i="22"/>
  <c r="K114" i="22"/>
  <c r="I114" i="22"/>
  <c r="F114" i="22"/>
  <c r="E114" i="22"/>
  <c r="D114" i="22"/>
  <c r="C114" i="22"/>
  <c r="B114" i="22" s="1"/>
  <c r="R113" i="22"/>
  <c r="N113" i="22"/>
  <c r="M113" i="22"/>
  <c r="L113" i="22"/>
  <c r="K113" i="22"/>
  <c r="I113" i="22"/>
  <c r="F113" i="22"/>
  <c r="E113" i="22"/>
  <c r="D113" i="22"/>
  <c r="C113" i="22"/>
  <c r="B113" i="22" s="1"/>
  <c r="R112" i="22"/>
  <c r="N112" i="22"/>
  <c r="M112" i="22"/>
  <c r="L112" i="22"/>
  <c r="K112" i="22"/>
  <c r="I112" i="22"/>
  <c r="F112" i="22"/>
  <c r="E112" i="22"/>
  <c r="D112" i="22"/>
  <c r="C112" i="22"/>
  <c r="B112" i="22" s="1"/>
  <c r="R111" i="22"/>
  <c r="N111" i="22"/>
  <c r="M111" i="22"/>
  <c r="L111" i="22"/>
  <c r="K111" i="22"/>
  <c r="I111" i="22"/>
  <c r="F111" i="22"/>
  <c r="E111" i="22"/>
  <c r="D111" i="22"/>
  <c r="C111" i="22"/>
  <c r="B111" i="22" s="1"/>
  <c r="R110" i="22"/>
  <c r="N110" i="22"/>
  <c r="M110" i="22"/>
  <c r="L110" i="22"/>
  <c r="K110" i="22"/>
  <c r="I110" i="22"/>
  <c r="F110" i="22"/>
  <c r="E110" i="22"/>
  <c r="D110" i="22"/>
  <c r="C110" i="22"/>
  <c r="B110" i="22" s="1"/>
  <c r="R109" i="22"/>
  <c r="N109" i="22"/>
  <c r="M109" i="22"/>
  <c r="L109" i="22"/>
  <c r="K109" i="22"/>
  <c r="I109" i="22"/>
  <c r="F109" i="22"/>
  <c r="E109" i="22"/>
  <c r="D109" i="22"/>
  <c r="C109" i="22"/>
  <c r="B109" i="22" s="1"/>
  <c r="R108" i="22"/>
  <c r="N108" i="22"/>
  <c r="M108" i="22"/>
  <c r="L108" i="22"/>
  <c r="K108" i="22"/>
  <c r="I108" i="22"/>
  <c r="F108" i="22"/>
  <c r="E108" i="22"/>
  <c r="D108" i="22"/>
  <c r="C108" i="22"/>
  <c r="B108" i="22" s="1"/>
  <c r="R107" i="22"/>
  <c r="N107" i="22"/>
  <c r="M107" i="22"/>
  <c r="L107" i="22"/>
  <c r="K107" i="22"/>
  <c r="I107" i="22"/>
  <c r="F107" i="22"/>
  <c r="E107" i="22"/>
  <c r="D107" i="22"/>
  <c r="C107" i="22"/>
  <c r="B107" i="22" s="1"/>
  <c r="R106" i="22"/>
  <c r="N106" i="22"/>
  <c r="M106" i="22"/>
  <c r="L106" i="22"/>
  <c r="K106" i="22"/>
  <c r="I106" i="22"/>
  <c r="F106" i="22"/>
  <c r="E106" i="22"/>
  <c r="D106" i="22"/>
  <c r="C106" i="22"/>
  <c r="B106" i="22" s="1"/>
  <c r="R105" i="22"/>
  <c r="N105" i="22"/>
  <c r="M105" i="22"/>
  <c r="L105" i="22"/>
  <c r="K105" i="22"/>
  <c r="I105" i="22"/>
  <c r="F105" i="22"/>
  <c r="E105" i="22"/>
  <c r="D105" i="22"/>
  <c r="C105" i="22"/>
  <c r="B105" i="22" s="1"/>
  <c r="R104" i="22"/>
  <c r="N104" i="22"/>
  <c r="M104" i="22"/>
  <c r="L104" i="22"/>
  <c r="K104" i="22"/>
  <c r="I104" i="22"/>
  <c r="F104" i="22"/>
  <c r="E104" i="22"/>
  <c r="D104" i="22"/>
  <c r="C104" i="22"/>
  <c r="B104" i="22" s="1"/>
  <c r="R103" i="22"/>
  <c r="N103" i="22"/>
  <c r="M103" i="22"/>
  <c r="L103" i="22"/>
  <c r="K103" i="22"/>
  <c r="I103" i="22"/>
  <c r="F103" i="22"/>
  <c r="E103" i="22"/>
  <c r="D103" i="22"/>
  <c r="C103" i="22"/>
  <c r="B103" i="22" s="1"/>
  <c r="R102" i="22"/>
  <c r="N102" i="22"/>
  <c r="M102" i="22"/>
  <c r="L102" i="22"/>
  <c r="K102" i="22"/>
  <c r="I102" i="22"/>
  <c r="F102" i="22"/>
  <c r="E102" i="22"/>
  <c r="D102" i="22"/>
  <c r="C102" i="22"/>
  <c r="B102" i="22" s="1"/>
  <c r="R101" i="22"/>
  <c r="N101" i="22"/>
  <c r="M101" i="22"/>
  <c r="L101" i="22"/>
  <c r="K101" i="22"/>
  <c r="I101" i="22"/>
  <c r="F101" i="22"/>
  <c r="E101" i="22"/>
  <c r="D101" i="22"/>
  <c r="C101" i="22"/>
  <c r="B101" i="22" s="1"/>
  <c r="R100" i="22"/>
  <c r="N100" i="22"/>
  <c r="M100" i="22"/>
  <c r="L100" i="22"/>
  <c r="K100" i="22"/>
  <c r="I100" i="22"/>
  <c r="F100" i="22"/>
  <c r="E100" i="22"/>
  <c r="D100" i="22"/>
  <c r="C100" i="22"/>
  <c r="B100" i="22" s="1"/>
  <c r="R99" i="22"/>
  <c r="N99" i="22"/>
  <c r="M99" i="22"/>
  <c r="L99" i="22"/>
  <c r="K99" i="22"/>
  <c r="I99" i="22"/>
  <c r="F99" i="22"/>
  <c r="E99" i="22"/>
  <c r="D99" i="22"/>
  <c r="C99" i="22"/>
  <c r="B99" i="22" s="1"/>
  <c r="R98" i="22"/>
  <c r="N98" i="22"/>
  <c r="M98" i="22"/>
  <c r="L98" i="22"/>
  <c r="K98" i="22"/>
  <c r="I98" i="22"/>
  <c r="F98" i="22"/>
  <c r="E98" i="22"/>
  <c r="D98" i="22"/>
  <c r="C98" i="22"/>
  <c r="B98" i="22" s="1"/>
  <c r="R97" i="22"/>
  <c r="N97" i="22"/>
  <c r="M97" i="22"/>
  <c r="L97" i="22"/>
  <c r="K97" i="22"/>
  <c r="I97" i="22"/>
  <c r="F97" i="22"/>
  <c r="E97" i="22"/>
  <c r="D97" i="22"/>
  <c r="C97" i="22"/>
  <c r="B97" i="22" s="1"/>
  <c r="R96" i="22"/>
  <c r="N96" i="22"/>
  <c r="M96" i="22"/>
  <c r="L96" i="22"/>
  <c r="K96" i="22"/>
  <c r="I96" i="22"/>
  <c r="F96" i="22"/>
  <c r="E96" i="22"/>
  <c r="D96" i="22"/>
  <c r="C96" i="22"/>
  <c r="B96" i="22" s="1"/>
  <c r="R95" i="22"/>
  <c r="N95" i="22"/>
  <c r="M95" i="22"/>
  <c r="L95" i="22"/>
  <c r="K95" i="22"/>
  <c r="I95" i="22"/>
  <c r="F95" i="22"/>
  <c r="E95" i="22"/>
  <c r="D95" i="22"/>
  <c r="C95" i="22"/>
  <c r="B95" i="22" s="1"/>
  <c r="R94" i="22"/>
  <c r="N94" i="22"/>
  <c r="M94" i="22"/>
  <c r="L94" i="22"/>
  <c r="K94" i="22"/>
  <c r="I94" i="22"/>
  <c r="F94" i="22"/>
  <c r="E94" i="22"/>
  <c r="D94" i="22"/>
  <c r="C94" i="22"/>
  <c r="B94" i="22" s="1"/>
  <c r="R93" i="22"/>
  <c r="N93" i="22"/>
  <c r="M93" i="22"/>
  <c r="L93" i="22"/>
  <c r="K93" i="22"/>
  <c r="I93" i="22"/>
  <c r="F93" i="22"/>
  <c r="E93" i="22"/>
  <c r="D93" i="22"/>
  <c r="C93" i="22"/>
  <c r="B93" i="22" s="1"/>
  <c r="R92" i="22"/>
  <c r="N92" i="22"/>
  <c r="M92" i="22"/>
  <c r="L92" i="22"/>
  <c r="K92" i="22"/>
  <c r="I92" i="22"/>
  <c r="F92" i="22"/>
  <c r="E92" i="22"/>
  <c r="D92" i="22"/>
  <c r="C92" i="22"/>
  <c r="B92" i="22" s="1"/>
  <c r="R91" i="22"/>
  <c r="N91" i="22"/>
  <c r="M91" i="22"/>
  <c r="L91" i="22"/>
  <c r="K91" i="22"/>
  <c r="I91" i="22"/>
  <c r="F91" i="22"/>
  <c r="E91" i="22"/>
  <c r="D91" i="22"/>
  <c r="C91" i="22"/>
  <c r="B91" i="22" s="1"/>
  <c r="R90" i="22"/>
  <c r="N90" i="22"/>
  <c r="M90" i="22"/>
  <c r="L90" i="22"/>
  <c r="K90" i="22"/>
  <c r="I90" i="22"/>
  <c r="F90" i="22"/>
  <c r="E90" i="22"/>
  <c r="D90" i="22"/>
  <c r="C90" i="22"/>
  <c r="B90" i="22" s="1"/>
  <c r="R89" i="22"/>
  <c r="N89" i="22"/>
  <c r="M89" i="22"/>
  <c r="L89" i="22"/>
  <c r="K89" i="22"/>
  <c r="I89" i="22"/>
  <c r="F89" i="22"/>
  <c r="E89" i="22"/>
  <c r="D89" i="22"/>
  <c r="C89" i="22"/>
  <c r="B89" i="22" s="1"/>
  <c r="R88" i="22"/>
  <c r="N88" i="22"/>
  <c r="M88" i="22"/>
  <c r="L88" i="22"/>
  <c r="K88" i="22"/>
  <c r="I88" i="22"/>
  <c r="F88" i="22"/>
  <c r="E88" i="22"/>
  <c r="D88" i="22"/>
  <c r="C88" i="22"/>
  <c r="B88" i="22" s="1"/>
  <c r="R87" i="22"/>
  <c r="N87" i="22"/>
  <c r="M87" i="22"/>
  <c r="L87" i="22"/>
  <c r="K87" i="22"/>
  <c r="I87" i="22"/>
  <c r="F87" i="22"/>
  <c r="E87" i="22"/>
  <c r="D87" i="22"/>
  <c r="C87" i="22"/>
  <c r="B87" i="22" s="1"/>
  <c r="R86" i="22"/>
  <c r="N86" i="22"/>
  <c r="M86" i="22"/>
  <c r="L86" i="22"/>
  <c r="K86" i="22"/>
  <c r="I86" i="22"/>
  <c r="F86" i="22"/>
  <c r="E86" i="22"/>
  <c r="D86" i="22"/>
  <c r="C86" i="22"/>
  <c r="B86" i="22" s="1"/>
  <c r="R85" i="22"/>
  <c r="N85" i="22"/>
  <c r="M85" i="22"/>
  <c r="L85" i="22"/>
  <c r="K85" i="22"/>
  <c r="I85" i="22"/>
  <c r="F85" i="22"/>
  <c r="E85" i="22"/>
  <c r="D85" i="22"/>
  <c r="C85" i="22"/>
  <c r="B85" i="22" s="1"/>
  <c r="R84" i="22"/>
  <c r="N84" i="22"/>
  <c r="M84" i="22"/>
  <c r="L84" i="22"/>
  <c r="K84" i="22"/>
  <c r="I84" i="22"/>
  <c r="F84" i="22"/>
  <c r="E84" i="22"/>
  <c r="D84" i="22"/>
  <c r="C84" i="22"/>
  <c r="B84" i="22" s="1"/>
  <c r="R83" i="22"/>
  <c r="N83" i="22"/>
  <c r="M83" i="22"/>
  <c r="L83" i="22"/>
  <c r="K83" i="22"/>
  <c r="I83" i="22"/>
  <c r="F83" i="22"/>
  <c r="E83" i="22"/>
  <c r="D83" i="22"/>
  <c r="C83" i="22"/>
  <c r="B83" i="22" s="1"/>
  <c r="R82" i="22"/>
  <c r="N82" i="22"/>
  <c r="M82" i="22"/>
  <c r="L82" i="22"/>
  <c r="K82" i="22"/>
  <c r="I82" i="22"/>
  <c r="F82" i="22"/>
  <c r="E82" i="22"/>
  <c r="D82" i="22"/>
  <c r="C82" i="22"/>
  <c r="B82" i="22" s="1"/>
  <c r="R81" i="22"/>
  <c r="N81" i="22"/>
  <c r="M81" i="22"/>
  <c r="L81" i="22"/>
  <c r="K81" i="22"/>
  <c r="I81" i="22"/>
  <c r="F81" i="22"/>
  <c r="E81" i="22"/>
  <c r="D81" i="22"/>
  <c r="C81" i="22"/>
  <c r="B81" i="22" s="1"/>
  <c r="R80" i="22"/>
  <c r="N80" i="22"/>
  <c r="M80" i="22"/>
  <c r="L80" i="22"/>
  <c r="K80" i="22"/>
  <c r="I80" i="22"/>
  <c r="F80" i="22"/>
  <c r="E80" i="22"/>
  <c r="D80" i="22"/>
  <c r="C80" i="22"/>
  <c r="B80" i="22" s="1"/>
  <c r="R79" i="22"/>
  <c r="N79" i="22"/>
  <c r="M79" i="22"/>
  <c r="L79" i="22"/>
  <c r="K79" i="22"/>
  <c r="I79" i="22"/>
  <c r="F79" i="22"/>
  <c r="E79" i="22"/>
  <c r="D79" i="22"/>
  <c r="C79" i="22"/>
  <c r="B79" i="22" s="1"/>
  <c r="R78" i="22"/>
  <c r="N78" i="22"/>
  <c r="M78" i="22"/>
  <c r="L78" i="22"/>
  <c r="K78" i="22"/>
  <c r="I78" i="22"/>
  <c r="F78" i="22"/>
  <c r="E78" i="22"/>
  <c r="D78" i="22"/>
  <c r="C78" i="22"/>
  <c r="B78" i="22" s="1"/>
  <c r="R77" i="22"/>
  <c r="N77" i="22"/>
  <c r="M77" i="22"/>
  <c r="L77" i="22"/>
  <c r="K77" i="22"/>
  <c r="I77" i="22"/>
  <c r="F77" i="22"/>
  <c r="E77" i="22"/>
  <c r="D77" i="22"/>
  <c r="C77" i="22"/>
  <c r="B77" i="22" s="1"/>
  <c r="R76" i="22"/>
  <c r="N76" i="22"/>
  <c r="M76" i="22"/>
  <c r="L76" i="22"/>
  <c r="K76" i="22"/>
  <c r="I76" i="22"/>
  <c r="F76" i="22"/>
  <c r="E76" i="22"/>
  <c r="D76" i="22"/>
  <c r="C76" i="22"/>
  <c r="B76" i="22" s="1"/>
  <c r="R75" i="22"/>
  <c r="N75" i="22"/>
  <c r="M75" i="22"/>
  <c r="L75" i="22"/>
  <c r="K75" i="22"/>
  <c r="I75" i="22"/>
  <c r="F75" i="22"/>
  <c r="E75" i="22"/>
  <c r="D75" i="22"/>
  <c r="C75" i="22"/>
  <c r="B75" i="22" s="1"/>
  <c r="R74" i="22"/>
  <c r="N74" i="22"/>
  <c r="M74" i="22"/>
  <c r="L74" i="22"/>
  <c r="K74" i="22"/>
  <c r="I74" i="22"/>
  <c r="F74" i="22"/>
  <c r="E74" i="22"/>
  <c r="D74" i="22"/>
  <c r="C74" i="22"/>
  <c r="B74" i="22" s="1"/>
  <c r="R73" i="22"/>
  <c r="N73" i="22"/>
  <c r="M73" i="22"/>
  <c r="L73" i="22"/>
  <c r="K73" i="22"/>
  <c r="I73" i="22"/>
  <c r="F73" i="22"/>
  <c r="E73" i="22"/>
  <c r="D73" i="22"/>
  <c r="C73" i="22"/>
  <c r="B73" i="22" s="1"/>
  <c r="R72" i="22"/>
  <c r="N72" i="22"/>
  <c r="M72" i="22"/>
  <c r="L72" i="22"/>
  <c r="K72" i="22"/>
  <c r="I72" i="22"/>
  <c r="F72" i="22"/>
  <c r="E72" i="22"/>
  <c r="D72" i="22"/>
  <c r="C72" i="22"/>
  <c r="B72" i="22" s="1"/>
  <c r="R71" i="22"/>
  <c r="N71" i="22"/>
  <c r="M71" i="22"/>
  <c r="L71" i="22"/>
  <c r="K71" i="22"/>
  <c r="I71" i="22"/>
  <c r="F71" i="22"/>
  <c r="E71" i="22"/>
  <c r="D71" i="22"/>
  <c r="C71" i="22"/>
  <c r="B71" i="22" s="1"/>
  <c r="R70" i="22"/>
  <c r="N70" i="22"/>
  <c r="M70" i="22"/>
  <c r="L70" i="22"/>
  <c r="K70" i="22"/>
  <c r="I70" i="22"/>
  <c r="F70" i="22"/>
  <c r="E70" i="22"/>
  <c r="D70" i="22"/>
  <c r="C70" i="22"/>
  <c r="B70" i="22" s="1"/>
  <c r="R69" i="22"/>
  <c r="N69" i="22"/>
  <c r="M69" i="22"/>
  <c r="L69" i="22"/>
  <c r="K69" i="22"/>
  <c r="I69" i="22"/>
  <c r="F69" i="22"/>
  <c r="E69" i="22"/>
  <c r="D69" i="22"/>
  <c r="C69" i="22"/>
  <c r="B69" i="22" s="1"/>
  <c r="R68" i="22"/>
  <c r="N68" i="22"/>
  <c r="M68" i="22"/>
  <c r="L68" i="22"/>
  <c r="K68" i="22"/>
  <c r="I68" i="22"/>
  <c r="F68" i="22"/>
  <c r="E68" i="22"/>
  <c r="D68" i="22"/>
  <c r="C68" i="22"/>
  <c r="B68" i="22" s="1"/>
  <c r="R67" i="22"/>
  <c r="N67" i="22"/>
  <c r="M67" i="22"/>
  <c r="L67" i="22"/>
  <c r="K67" i="22"/>
  <c r="I67" i="22"/>
  <c r="F67" i="22"/>
  <c r="E67" i="22"/>
  <c r="D67" i="22"/>
  <c r="C67" i="22"/>
  <c r="B67" i="22" s="1"/>
  <c r="R66" i="22"/>
  <c r="Q66" i="22"/>
  <c r="P66" i="22"/>
  <c r="O66" i="22"/>
  <c r="N66" i="22"/>
  <c r="M66" i="22"/>
  <c r="L66" i="22"/>
  <c r="K66" i="22"/>
  <c r="J66" i="22"/>
  <c r="I66" i="22"/>
  <c r="H66" i="22"/>
  <c r="G66" i="22"/>
  <c r="F66" i="22"/>
  <c r="E66" i="22"/>
  <c r="D66" i="22"/>
  <c r="C66" i="22"/>
  <c r="B66" i="22" s="1"/>
  <c r="R65" i="22"/>
  <c r="N65" i="22"/>
  <c r="M65" i="22"/>
  <c r="L65" i="22"/>
  <c r="K65" i="22"/>
  <c r="I65" i="22"/>
  <c r="F65" i="22"/>
  <c r="E65" i="22"/>
  <c r="D65" i="22"/>
  <c r="C65" i="22"/>
  <c r="B65" i="22" s="1"/>
  <c r="R64" i="22"/>
  <c r="N64" i="22"/>
  <c r="M64" i="22"/>
  <c r="L64" i="22"/>
  <c r="K64" i="22"/>
  <c r="I64" i="22"/>
  <c r="F64" i="22"/>
  <c r="E64" i="22"/>
  <c r="D64" i="22"/>
  <c r="C64" i="22"/>
  <c r="B64" i="22" s="1"/>
  <c r="R63" i="22"/>
  <c r="N63" i="22"/>
  <c r="M63" i="22"/>
  <c r="L63" i="22"/>
  <c r="K63" i="22"/>
  <c r="I63" i="22"/>
  <c r="F63" i="22"/>
  <c r="E63" i="22"/>
  <c r="D63" i="22"/>
  <c r="C63" i="22"/>
  <c r="B63" i="22" s="1"/>
  <c r="R62" i="22"/>
  <c r="N62" i="22"/>
  <c r="M62" i="22"/>
  <c r="L62" i="22"/>
  <c r="K62" i="22"/>
  <c r="I62" i="22"/>
  <c r="F62" i="22"/>
  <c r="E62" i="22"/>
  <c r="D62" i="22"/>
  <c r="C62" i="22"/>
  <c r="B62" i="22" s="1"/>
  <c r="R61" i="22"/>
  <c r="N61" i="22"/>
  <c r="M61" i="22"/>
  <c r="L61" i="22"/>
  <c r="K61" i="22"/>
  <c r="I61" i="22"/>
  <c r="F61" i="22"/>
  <c r="E61" i="22"/>
  <c r="D61" i="22"/>
  <c r="C61" i="22"/>
  <c r="B61" i="22" s="1"/>
  <c r="R60" i="22"/>
  <c r="N60" i="22"/>
  <c r="M60" i="22"/>
  <c r="L60" i="22"/>
  <c r="K60" i="22"/>
  <c r="I60" i="22"/>
  <c r="F60" i="22"/>
  <c r="E60" i="22"/>
  <c r="D60" i="22"/>
  <c r="C60" i="22"/>
  <c r="B60" i="22" s="1"/>
  <c r="R59" i="22"/>
  <c r="N59" i="22"/>
  <c r="M59" i="22"/>
  <c r="L59" i="22"/>
  <c r="K59" i="22"/>
  <c r="I59" i="22"/>
  <c r="F59" i="22"/>
  <c r="E59" i="22"/>
  <c r="D59" i="22"/>
  <c r="C59" i="22"/>
  <c r="B59" i="22" s="1"/>
  <c r="R58" i="22"/>
  <c r="N58" i="22"/>
  <c r="M58" i="22"/>
  <c r="L58" i="22"/>
  <c r="K58" i="22"/>
  <c r="I58" i="22"/>
  <c r="F58" i="22"/>
  <c r="E58" i="22"/>
  <c r="D58" i="22"/>
  <c r="C58" i="22"/>
  <c r="B58" i="22" s="1"/>
  <c r="R57" i="22"/>
  <c r="Q57" i="22"/>
  <c r="P57" i="22"/>
  <c r="O57" i="22"/>
  <c r="N57" i="22"/>
  <c r="M57" i="22"/>
  <c r="L57" i="22"/>
  <c r="K57" i="22"/>
  <c r="J57" i="22"/>
  <c r="I57" i="22"/>
  <c r="H57" i="22"/>
  <c r="G57" i="22"/>
  <c r="F57" i="22"/>
  <c r="E57" i="22"/>
  <c r="D57" i="22"/>
  <c r="C57" i="22"/>
  <c r="B57" i="22" s="1"/>
  <c r="R56" i="22"/>
  <c r="Q56" i="22"/>
  <c r="P56" i="22"/>
  <c r="O56" i="22"/>
  <c r="N56" i="22"/>
  <c r="M56" i="22"/>
  <c r="L56" i="22"/>
  <c r="K56" i="22"/>
  <c r="J56" i="22"/>
  <c r="H56" i="22"/>
  <c r="G56" i="22"/>
  <c r="F56" i="22"/>
  <c r="E56" i="22"/>
  <c r="D56" i="22"/>
  <c r="C56" i="22"/>
  <c r="B56" i="22" s="1"/>
  <c r="R55" i="22"/>
  <c r="N55" i="22"/>
  <c r="M55" i="22"/>
  <c r="L55" i="22"/>
  <c r="K55" i="22"/>
  <c r="I55" i="22"/>
  <c r="F55" i="22"/>
  <c r="E55" i="22"/>
  <c r="D55" i="22"/>
  <c r="C55" i="22"/>
  <c r="B55" i="22" s="1"/>
  <c r="R54" i="22"/>
  <c r="N54" i="22"/>
  <c r="M54" i="22"/>
  <c r="L54" i="22"/>
  <c r="K54" i="22"/>
  <c r="I54" i="22"/>
  <c r="F54" i="22"/>
  <c r="E54" i="22"/>
  <c r="D54" i="22"/>
  <c r="C54" i="22"/>
  <c r="B54" i="22" s="1"/>
  <c r="R53" i="22"/>
  <c r="N53" i="22"/>
  <c r="M53" i="22"/>
  <c r="L53" i="22"/>
  <c r="K53" i="22"/>
  <c r="I53" i="22"/>
  <c r="F53" i="22"/>
  <c r="E53" i="22"/>
  <c r="D53" i="22"/>
  <c r="C53" i="22"/>
  <c r="B53" i="22" s="1"/>
  <c r="R52" i="22"/>
  <c r="N52" i="22"/>
  <c r="M52" i="22"/>
  <c r="L52" i="22"/>
  <c r="K52" i="22"/>
  <c r="I52" i="22"/>
  <c r="F52" i="22"/>
  <c r="E52" i="22"/>
  <c r="D52" i="22"/>
  <c r="C52" i="22"/>
  <c r="B52" i="22" s="1"/>
  <c r="R51" i="22"/>
  <c r="N51" i="22"/>
  <c r="M51" i="22"/>
  <c r="L51" i="22"/>
  <c r="K51" i="22"/>
  <c r="I51" i="22"/>
  <c r="F51" i="22"/>
  <c r="E51" i="22"/>
  <c r="D51" i="22"/>
  <c r="C51" i="22"/>
  <c r="B51" i="22" s="1"/>
  <c r="R50" i="22"/>
  <c r="N50" i="22"/>
  <c r="M50" i="22"/>
  <c r="L50" i="22"/>
  <c r="K50" i="22"/>
  <c r="I50" i="22"/>
  <c r="F50" i="22"/>
  <c r="E50" i="22"/>
  <c r="D50" i="22"/>
  <c r="C50" i="22"/>
  <c r="B50" i="22" s="1"/>
  <c r="R49" i="22"/>
  <c r="N49" i="22"/>
  <c r="M49" i="22"/>
  <c r="L49" i="22"/>
  <c r="K49" i="22"/>
  <c r="I49" i="22"/>
  <c r="F49" i="22"/>
  <c r="E49" i="22"/>
  <c r="D49" i="22"/>
  <c r="C49" i="22"/>
  <c r="B49" i="22" s="1"/>
  <c r="R48" i="22"/>
  <c r="N48" i="22"/>
  <c r="M48" i="22"/>
  <c r="L48" i="22"/>
  <c r="K48" i="22"/>
  <c r="I48" i="22"/>
  <c r="F48" i="22"/>
  <c r="E48" i="22"/>
  <c r="D48" i="22"/>
  <c r="C48" i="22"/>
  <c r="B48" i="22" s="1"/>
  <c r="R47" i="22"/>
  <c r="N47" i="22"/>
  <c r="M47" i="22"/>
  <c r="L47" i="22"/>
  <c r="K47" i="22"/>
  <c r="I47" i="22"/>
  <c r="F47" i="22"/>
  <c r="E47" i="22"/>
  <c r="D47" i="22"/>
  <c r="C47" i="22"/>
  <c r="B47" i="22" s="1"/>
  <c r="R46" i="22"/>
  <c r="N46" i="22"/>
  <c r="M46" i="22"/>
  <c r="L46" i="22"/>
  <c r="K46" i="22"/>
  <c r="I46" i="22"/>
  <c r="F46" i="22"/>
  <c r="E46" i="22"/>
  <c r="D46" i="22"/>
  <c r="C46" i="22"/>
  <c r="B46" i="22" s="1"/>
  <c r="R45" i="22"/>
  <c r="N45" i="22"/>
  <c r="M45" i="22"/>
  <c r="L45" i="22"/>
  <c r="K45" i="22"/>
  <c r="I45" i="22"/>
  <c r="F45" i="22"/>
  <c r="E45" i="22"/>
  <c r="D45" i="22"/>
  <c r="C45" i="22"/>
  <c r="B45" i="22" s="1"/>
  <c r="R44" i="22"/>
  <c r="N44" i="22"/>
  <c r="M44" i="22"/>
  <c r="L44" i="22"/>
  <c r="K44" i="22"/>
  <c r="I44" i="22"/>
  <c r="F44" i="22"/>
  <c r="E44" i="22"/>
  <c r="D44" i="22"/>
  <c r="C44" i="22"/>
  <c r="B44" i="22" s="1"/>
  <c r="R43" i="22"/>
  <c r="N43" i="22"/>
  <c r="M43" i="22"/>
  <c r="L43" i="22"/>
  <c r="K43" i="22"/>
  <c r="I43" i="22"/>
  <c r="F43" i="22"/>
  <c r="E43" i="22"/>
  <c r="D43" i="22"/>
  <c r="C43" i="22"/>
  <c r="B43" i="22" s="1"/>
  <c r="R42" i="22"/>
  <c r="N42" i="22"/>
  <c r="M42" i="22"/>
  <c r="L42" i="22"/>
  <c r="K42" i="22"/>
  <c r="I42" i="22"/>
  <c r="F42" i="22"/>
  <c r="E42" i="22"/>
  <c r="D42" i="22"/>
  <c r="C42" i="22"/>
  <c r="B42" i="22" s="1"/>
  <c r="R41" i="22"/>
  <c r="N41" i="22"/>
  <c r="M41" i="22"/>
  <c r="L41" i="22"/>
  <c r="K41" i="22"/>
  <c r="I41" i="22"/>
  <c r="F41" i="22"/>
  <c r="E41" i="22"/>
  <c r="D41" i="22"/>
  <c r="C41" i="22"/>
  <c r="B41" i="22" s="1"/>
  <c r="R40" i="22"/>
  <c r="N40" i="22"/>
  <c r="M40" i="22"/>
  <c r="L40" i="22"/>
  <c r="K40" i="22"/>
  <c r="I40" i="22"/>
  <c r="F40" i="22"/>
  <c r="E40" i="22"/>
  <c r="D40" i="22"/>
  <c r="C40" i="22"/>
  <c r="B40" i="22" s="1"/>
  <c r="R39" i="22"/>
  <c r="N39" i="22"/>
  <c r="M39" i="22"/>
  <c r="L39" i="22"/>
  <c r="K39" i="22"/>
  <c r="I39" i="22"/>
  <c r="F39" i="22"/>
  <c r="E39" i="22"/>
  <c r="D39" i="22"/>
  <c r="C39" i="22"/>
  <c r="B39" i="22" s="1"/>
  <c r="R38" i="22"/>
  <c r="N38" i="22"/>
  <c r="M38" i="22"/>
  <c r="L38" i="22"/>
  <c r="K38" i="22"/>
  <c r="I38" i="22"/>
  <c r="F38" i="22"/>
  <c r="E38" i="22"/>
  <c r="D38" i="22"/>
  <c r="C38" i="22"/>
  <c r="B38" i="22" s="1"/>
  <c r="R37" i="22"/>
  <c r="N37" i="22"/>
  <c r="M37" i="22"/>
  <c r="L37" i="22"/>
  <c r="K37" i="22"/>
  <c r="I37" i="22"/>
  <c r="F37" i="22"/>
  <c r="E37" i="22"/>
  <c r="D37" i="22"/>
  <c r="C37" i="22"/>
  <c r="B37" i="22" s="1"/>
  <c r="R36" i="22"/>
  <c r="N36" i="22"/>
  <c r="M36" i="22"/>
  <c r="L36" i="22"/>
  <c r="K36" i="22"/>
  <c r="I36" i="22"/>
  <c r="F36" i="22"/>
  <c r="E36" i="22"/>
  <c r="D36" i="22"/>
  <c r="C36" i="22"/>
  <c r="B36" i="22" s="1"/>
  <c r="R35" i="22"/>
  <c r="N35" i="22"/>
  <c r="M35" i="22"/>
  <c r="L35" i="22"/>
  <c r="K35" i="22"/>
  <c r="I35" i="22"/>
  <c r="F35" i="22"/>
  <c r="E35" i="22"/>
  <c r="D35" i="22"/>
  <c r="C35" i="22"/>
  <c r="B35" i="22" s="1"/>
  <c r="R34" i="22"/>
  <c r="N34" i="22"/>
  <c r="M34" i="22"/>
  <c r="L34" i="22"/>
  <c r="K34" i="22"/>
  <c r="I34" i="22"/>
  <c r="F34" i="22"/>
  <c r="E34" i="22"/>
  <c r="D34" i="22"/>
  <c r="C34" i="22"/>
  <c r="B34" i="22" s="1"/>
  <c r="R33" i="22"/>
  <c r="N33" i="22"/>
  <c r="M33" i="22"/>
  <c r="L33" i="22"/>
  <c r="K33" i="22"/>
  <c r="I33" i="22"/>
  <c r="F33" i="22"/>
  <c r="E33" i="22"/>
  <c r="D33" i="22"/>
  <c r="C33" i="22"/>
  <c r="B33" i="22" s="1"/>
  <c r="R32" i="22"/>
  <c r="Q32" i="22"/>
  <c r="P32" i="22"/>
  <c r="O32" i="22"/>
  <c r="N32" i="22"/>
  <c r="M32" i="22"/>
  <c r="L32" i="22"/>
  <c r="K32" i="22"/>
  <c r="J32" i="22"/>
  <c r="I32" i="22"/>
  <c r="H32" i="22"/>
  <c r="G32" i="22"/>
  <c r="F32" i="22"/>
  <c r="E32" i="22"/>
  <c r="D32" i="22"/>
  <c r="C32" i="22"/>
  <c r="B32" i="22" s="1"/>
  <c r="R31" i="22"/>
  <c r="Q31" i="22"/>
  <c r="P31" i="22"/>
  <c r="O31" i="22"/>
  <c r="N31" i="22"/>
  <c r="M31" i="22"/>
  <c r="L31" i="22"/>
  <c r="K31" i="22"/>
  <c r="J31" i="22"/>
  <c r="H31" i="22"/>
  <c r="G31" i="22"/>
  <c r="F31" i="22"/>
  <c r="E31" i="22"/>
  <c r="D31" i="22"/>
  <c r="C31" i="22"/>
  <c r="B31" i="22" s="1"/>
  <c r="R30" i="22"/>
  <c r="N30" i="22"/>
  <c r="M30" i="22"/>
  <c r="L30" i="22"/>
  <c r="K30" i="22"/>
  <c r="I30" i="22"/>
  <c r="F30" i="22"/>
  <c r="E30" i="22"/>
  <c r="D30" i="22"/>
  <c r="C30" i="22"/>
  <c r="B30" i="22" s="1"/>
  <c r="R29" i="22"/>
  <c r="N29" i="22"/>
  <c r="M29" i="22"/>
  <c r="L29" i="22"/>
  <c r="K29" i="22"/>
  <c r="I29" i="22"/>
  <c r="F29" i="22"/>
  <c r="E29" i="22"/>
  <c r="D29" i="22"/>
  <c r="C29" i="22"/>
  <c r="B29" i="22" s="1"/>
  <c r="R28" i="22"/>
  <c r="N28" i="22"/>
  <c r="M28" i="22"/>
  <c r="L28" i="22"/>
  <c r="K28" i="22"/>
  <c r="I28" i="22"/>
  <c r="F28" i="22"/>
  <c r="E28" i="22"/>
  <c r="D28" i="22"/>
  <c r="C28" i="22"/>
  <c r="B28" i="22" s="1"/>
  <c r="R27" i="22"/>
  <c r="N27" i="22"/>
  <c r="M27" i="22"/>
  <c r="L27" i="22"/>
  <c r="K27" i="22"/>
  <c r="I27" i="22"/>
  <c r="F27" i="22"/>
  <c r="E27" i="22"/>
  <c r="D27" i="22"/>
  <c r="C27" i="22"/>
  <c r="B27" i="22" s="1"/>
  <c r="R26" i="22"/>
  <c r="N26" i="22"/>
  <c r="M26" i="22"/>
  <c r="L26" i="22"/>
  <c r="K26" i="22"/>
  <c r="I26" i="22"/>
  <c r="F26" i="22"/>
  <c r="E26" i="22"/>
  <c r="D26" i="22"/>
  <c r="C26" i="22"/>
  <c r="B26" i="22" s="1"/>
  <c r="R25" i="22"/>
  <c r="N25" i="22"/>
  <c r="M25" i="22"/>
  <c r="L25" i="22"/>
  <c r="K25" i="22"/>
  <c r="I25" i="22"/>
  <c r="F25" i="22"/>
  <c r="E25" i="22"/>
  <c r="D25" i="22"/>
  <c r="C25" i="22"/>
  <c r="B25" i="22" s="1"/>
  <c r="R24" i="22"/>
  <c r="N24" i="22"/>
  <c r="M24" i="22"/>
  <c r="L24" i="22"/>
  <c r="K24" i="22"/>
  <c r="I24" i="22"/>
  <c r="F24" i="22"/>
  <c r="E24" i="22"/>
  <c r="D24" i="22"/>
  <c r="C24" i="22"/>
  <c r="B24" i="22" s="1"/>
  <c r="R23" i="22"/>
  <c r="N23" i="22"/>
  <c r="M23" i="22"/>
  <c r="L23" i="22"/>
  <c r="K23" i="22"/>
  <c r="I23" i="22"/>
  <c r="F23" i="22"/>
  <c r="E23" i="22"/>
  <c r="D23" i="22"/>
  <c r="C23" i="22"/>
  <c r="B23" i="22" s="1"/>
  <c r="R22" i="22"/>
  <c r="N22" i="22"/>
  <c r="M22" i="22"/>
  <c r="L22" i="22"/>
  <c r="K22" i="22"/>
  <c r="I22" i="22"/>
  <c r="F22" i="22"/>
  <c r="E22" i="22"/>
  <c r="D22" i="22"/>
  <c r="C22" i="22"/>
  <c r="B22" i="22" s="1"/>
  <c r="R21" i="22"/>
  <c r="N21" i="22"/>
  <c r="M21" i="22"/>
  <c r="L21" i="22"/>
  <c r="K21" i="22"/>
  <c r="I21" i="22"/>
  <c r="F21" i="22"/>
  <c r="E21" i="22"/>
  <c r="D21" i="22"/>
  <c r="C21" i="22"/>
  <c r="B21" i="22" s="1"/>
  <c r="R20" i="22"/>
  <c r="Q20" i="22"/>
  <c r="P20" i="22"/>
  <c r="O20" i="22"/>
  <c r="N20" i="22"/>
  <c r="M20" i="22"/>
  <c r="L20" i="22"/>
  <c r="K20" i="22"/>
  <c r="J20" i="22"/>
  <c r="I20" i="22"/>
  <c r="H20" i="22"/>
  <c r="G20" i="22"/>
  <c r="F20" i="22"/>
  <c r="E20" i="22"/>
  <c r="D20" i="22"/>
  <c r="C20" i="22"/>
  <c r="B20" i="22" s="1"/>
  <c r="R19" i="22"/>
  <c r="Q19" i="22"/>
  <c r="P19" i="22"/>
  <c r="O19" i="22"/>
  <c r="N19" i="22"/>
  <c r="M19" i="22"/>
  <c r="L19" i="22"/>
  <c r="K19" i="22"/>
  <c r="J19" i="22"/>
  <c r="H19" i="22"/>
  <c r="G19" i="22"/>
  <c r="F19" i="22"/>
  <c r="E19" i="22"/>
  <c r="D19" i="22"/>
  <c r="C19" i="22"/>
  <c r="B19" i="22" s="1"/>
  <c r="R18" i="22"/>
  <c r="N18" i="22"/>
  <c r="M18" i="22"/>
  <c r="L18" i="22"/>
  <c r="K18" i="22"/>
  <c r="I18" i="22"/>
  <c r="F18" i="22"/>
  <c r="E18" i="22"/>
  <c r="D18" i="22"/>
  <c r="C18" i="22"/>
  <c r="B18" i="22" s="1"/>
  <c r="R17" i="22"/>
  <c r="N17" i="22"/>
  <c r="M17" i="22"/>
  <c r="L17" i="22"/>
  <c r="K17" i="22"/>
  <c r="I17" i="22"/>
  <c r="F17" i="22"/>
  <c r="E17" i="22"/>
  <c r="D17" i="22"/>
  <c r="C17" i="22"/>
  <c r="B17" i="22" s="1"/>
  <c r="R16" i="22"/>
  <c r="N16" i="22"/>
  <c r="M16" i="22"/>
  <c r="L16" i="22"/>
  <c r="K16" i="22"/>
  <c r="I16" i="22"/>
  <c r="F16" i="22"/>
  <c r="E16" i="22"/>
  <c r="D16" i="22"/>
  <c r="C16" i="22"/>
  <c r="B16" i="22" s="1"/>
  <c r="R15" i="22"/>
  <c r="N15" i="22"/>
  <c r="M15" i="22"/>
  <c r="L15" i="22"/>
  <c r="K15" i="22"/>
  <c r="I15" i="22"/>
  <c r="F15" i="22"/>
  <c r="E15" i="22"/>
  <c r="D15" i="22"/>
  <c r="C15" i="22"/>
  <c r="B15" i="22" s="1"/>
  <c r="R14" i="22"/>
  <c r="N14" i="22"/>
  <c r="M14" i="22"/>
  <c r="L14" i="22"/>
  <c r="K14" i="22"/>
  <c r="I14" i="22"/>
  <c r="F14" i="22"/>
  <c r="E14" i="22"/>
  <c r="D14" i="22"/>
  <c r="C14" i="22"/>
  <c r="B14" i="22" s="1"/>
  <c r="R13" i="22"/>
  <c r="N13" i="22"/>
  <c r="M13" i="22"/>
  <c r="L13" i="22"/>
  <c r="K13" i="22"/>
  <c r="I13" i="22"/>
  <c r="F13" i="22"/>
  <c r="E13" i="22"/>
  <c r="D13" i="22"/>
  <c r="C13" i="22"/>
  <c r="B13" i="22" s="1"/>
  <c r="R12" i="22"/>
  <c r="N12" i="22"/>
  <c r="M12" i="22"/>
  <c r="L12" i="22"/>
  <c r="K12" i="22"/>
  <c r="I12" i="22"/>
  <c r="F12" i="22"/>
  <c r="E12" i="22"/>
  <c r="D12" i="22"/>
  <c r="C12" i="22"/>
  <c r="B12" i="22" s="1"/>
  <c r="A12" i="22"/>
  <c r="A22" i="22" s="1"/>
  <c r="R11" i="22"/>
  <c r="N11" i="22"/>
  <c r="M11" i="22"/>
  <c r="L11" i="22"/>
  <c r="K11" i="22"/>
  <c r="I11" i="22"/>
  <c r="F11" i="22"/>
  <c r="E11" i="22"/>
  <c r="D11" i="22"/>
  <c r="C11" i="22"/>
  <c r="B11" i="22" s="1"/>
  <c r="R10" i="22"/>
  <c r="Q10" i="22"/>
  <c r="P10" i="22"/>
  <c r="O10" i="22"/>
  <c r="N10" i="22"/>
  <c r="M10" i="22"/>
  <c r="L10" i="22"/>
  <c r="K10" i="22"/>
  <c r="J10" i="22"/>
  <c r="I10" i="22"/>
  <c r="H10" i="22"/>
  <c r="G10" i="22"/>
  <c r="F10" i="22"/>
  <c r="E10" i="22"/>
  <c r="D10" i="22"/>
  <c r="C10" i="22"/>
  <c r="B10" i="22" s="1"/>
  <c r="R9" i="22"/>
  <c r="Q9" i="22"/>
  <c r="P9" i="22"/>
  <c r="O9" i="22"/>
  <c r="N9" i="22"/>
  <c r="M9" i="22"/>
  <c r="L9" i="22"/>
  <c r="K9" i="22"/>
  <c r="J9" i="22"/>
  <c r="H9" i="22"/>
  <c r="G9" i="22"/>
  <c r="F9" i="22"/>
  <c r="E9" i="22"/>
  <c r="D9" i="22"/>
  <c r="C9" i="22"/>
  <c r="B9" i="22" s="1"/>
  <c r="R8" i="22"/>
  <c r="N8" i="22"/>
  <c r="M8" i="22"/>
  <c r="L8" i="22"/>
  <c r="K8" i="22"/>
  <c r="I8" i="22"/>
  <c r="F8" i="22"/>
  <c r="E8" i="22"/>
  <c r="D8" i="22"/>
  <c r="C8" i="22"/>
  <c r="B8" i="22" s="1"/>
  <c r="R7" i="22"/>
  <c r="N7" i="22"/>
  <c r="M7" i="22"/>
  <c r="L7" i="22"/>
  <c r="K7" i="22"/>
  <c r="I7" i="22"/>
  <c r="F7" i="22"/>
  <c r="E7" i="22"/>
  <c r="D7" i="22"/>
  <c r="C7" i="22"/>
  <c r="B7" i="22" s="1"/>
  <c r="R6" i="22"/>
  <c r="N6" i="22"/>
  <c r="M6" i="22"/>
  <c r="L6" i="22"/>
  <c r="K6" i="22"/>
  <c r="I6" i="22"/>
  <c r="F6" i="22"/>
  <c r="E6" i="22"/>
  <c r="D6" i="22"/>
  <c r="C6" i="22"/>
  <c r="B6" i="22" s="1"/>
  <c r="R5" i="22"/>
  <c r="N5" i="22"/>
  <c r="M5" i="22"/>
  <c r="L5" i="22"/>
  <c r="K5" i="22"/>
  <c r="I5" i="22"/>
  <c r="F5" i="22"/>
  <c r="E5" i="22"/>
  <c r="D5" i="22"/>
  <c r="C5" i="22"/>
  <c r="B5" i="22" s="1"/>
  <c r="R4" i="22"/>
  <c r="N4" i="22"/>
  <c r="M4" i="22"/>
  <c r="L4" i="22"/>
  <c r="K4" i="22"/>
  <c r="I4" i="22"/>
  <c r="F4" i="22"/>
  <c r="E4" i="22"/>
  <c r="D4" i="22"/>
  <c r="C4" i="22"/>
  <c r="B4" i="22" s="1"/>
  <c r="R3" i="22"/>
  <c r="N3" i="22"/>
  <c r="M3" i="22"/>
  <c r="L3" i="22"/>
  <c r="K3" i="22"/>
  <c r="I3" i="22"/>
  <c r="F3" i="22"/>
  <c r="E3" i="22"/>
  <c r="D3" i="22"/>
  <c r="C3" i="22"/>
  <c r="B3" i="22" s="1"/>
  <c r="A3" i="22"/>
  <c r="A13" i="22" s="1"/>
  <c r="A23" i="22" s="1"/>
  <c r="R2" i="22"/>
  <c r="N2" i="22"/>
  <c r="M2" i="22"/>
  <c r="L2" i="22"/>
  <c r="K2" i="22"/>
  <c r="I2" i="22"/>
  <c r="F2" i="22"/>
  <c r="E2" i="22"/>
  <c r="D2" i="22"/>
  <c r="C2" i="22"/>
  <c r="B2" i="22" s="1"/>
  <c r="S310" i="11"/>
  <c r="S309" i="11"/>
  <c r="S308" i="11"/>
  <c r="S307" i="11"/>
  <c r="S306" i="11"/>
  <c r="S305" i="11"/>
  <c r="S304" i="11"/>
  <c r="S303" i="11"/>
  <c r="S302" i="11"/>
  <c r="S301" i="11"/>
  <c r="S300" i="11"/>
  <c r="S299" i="11"/>
  <c r="S298" i="11"/>
  <c r="S297" i="11"/>
  <c r="S296" i="11"/>
  <c r="S295" i="11"/>
  <c r="S294" i="11"/>
  <c r="S293" i="11"/>
  <c r="S292" i="11"/>
  <c r="S291" i="11"/>
  <c r="S290" i="11"/>
  <c r="S289" i="11"/>
  <c r="S288" i="11"/>
  <c r="S287" i="11"/>
  <c r="S286" i="11"/>
  <c r="S285" i="11"/>
  <c r="R231" i="11"/>
  <c r="N231" i="11"/>
  <c r="M231" i="11"/>
  <c r="L231" i="11"/>
  <c r="K231" i="11"/>
  <c r="J231" i="11"/>
  <c r="I231" i="11"/>
  <c r="F231" i="11"/>
  <c r="E231" i="11"/>
  <c r="D231" i="11"/>
  <c r="C231" i="11"/>
  <c r="B231" i="11" s="1"/>
  <c r="R230" i="11"/>
  <c r="N230" i="11"/>
  <c r="M230" i="11"/>
  <c r="L230" i="11"/>
  <c r="K230" i="11"/>
  <c r="I230" i="11"/>
  <c r="F230" i="11"/>
  <c r="E230" i="11"/>
  <c r="D230" i="11"/>
  <c r="C230" i="11"/>
  <c r="B230" i="11" s="1"/>
  <c r="R229" i="11"/>
  <c r="N229" i="11"/>
  <c r="M229" i="11"/>
  <c r="L229" i="11"/>
  <c r="K229" i="11"/>
  <c r="I229" i="11"/>
  <c r="F229" i="11"/>
  <c r="E229" i="11"/>
  <c r="D229" i="11"/>
  <c r="C229" i="11"/>
  <c r="B229" i="11" s="1"/>
  <c r="R228" i="11"/>
  <c r="N228" i="11"/>
  <c r="M228" i="11"/>
  <c r="L228" i="11"/>
  <c r="K228" i="11"/>
  <c r="I228" i="11"/>
  <c r="F228" i="11"/>
  <c r="E228" i="11"/>
  <c r="D228" i="11"/>
  <c r="C228" i="11"/>
  <c r="B228" i="11" s="1"/>
  <c r="R227" i="11"/>
  <c r="N227" i="11"/>
  <c r="M227" i="11"/>
  <c r="L227" i="11"/>
  <c r="K227" i="11"/>
  <c r="J227" i="11"/>
  <c r="I227" i="11"/>
  <c r="F227" i="11"/>
  <c r="E227" i="11"/>
  <c r="D227" i="11"/>
  <c r="C227" i="11"/>
  <c r="B227" i="11" s="1"/>
  <c r="R226" i="11"/>
  <c r="N226" i="11"/>
  <c r="M226" i="11"/>
  <c r="L226" i="11"/>
  <c r="K226" i="11"/>
  <c r="I226" i="11"/>
  <c r="F226" i="11"/>
  <c r="E226" i="11"/>
  <c r="D226" i="11"/>
  <c r="C226" i="11"/>
  <c r="B226" i="11" s="1"/>
  <c r="R225" i="11"/>
  <c r="N225" i="11"/>
  <c r="M225" i="11"/>
  <c r="L225" i="11"/>
  <c r="K225" i="11"/>
  <c r="J225" i="11"/>
  <c r="I225" i="11"/>
  <c r="F225" i="11"/>
  <c r="E225" i="11"/>
  <c r="D225" i="11"/>
  <c r="C225" i="11"/>
  <c r="B225" i="11" s="1"/>
  <c r="R224" i="11"/>
  <c r="N224" i="11"/>
  <c r="M224" i="11"/>
  <c r="L224" i="11"/>
  <c r="K224" i="11"/>
  <c r="J224" i="11"/>
  <c r="I224" i="11"/>
  <c r="F224" i="11"/>
  <c r="E224" i="11"/>
  <c r="D224" i="11"/>
  <c r="C224" i="11"/>
  <c r="B224" i="11" s="1"/>
  <c r="R223" i="11"/>
  <c r="N223" i="11"/>
  <c r="M223" i="11"/>
  <c r="L223" i="11"/>
  <c r="K223" i="11"/>
  <c r="I223" i="11"/>
  <c r="F223" i="11"/>
  <c r="E223" i="11"/>
  <c r="D223" i="11"/>
  <c r="C223" i="11"/>
  <c r="B223" i="11" s="1"/>
  <c r="R222" i="11"/>
  <c r="N222" i="11"/>
  <c r="M222" i="11"/>
  <c r="L222" i="11"/>
  <c r="K222" i="11"/>
  <c r="I222" i="11"/>
  <c r="F222" i="11"/>
  <c r="E222" i="11"/>
  <c r="D222" i="11"/>
  <c r="C222" i="11"/>
  <c r="B222" i="11" s="1"/>
  <c r="R221" i="11"/>
  <c r="N221" i="11"/>
  <c r="M221" i="11"/>
  <c r="L221" i="11"/>
  <c r="K221" i="11"/>
  <c r="I221" i="11"/>
  <c r="F221" i="11"/>
  <c r="E221" i="11"/>
  <c r="D221" i="11"/>
  <c r="C221" i="11"/>
  <c r="B221" i="11" s="1"/>
  <c r="R220" i="11"/>
  <c r="N220" i="11"/>
  <c r="M220" i="11"/>
  <c r="L220" i="11"/>
  <c r="K220" i="11"/>
  <c r="I220" i="11"/>
  <c r="F220" i="11"/>
  <c r="E220" i="11"/>
  <c r="D220" i="11"/>
  <c r="C220" i="11"/>
  <c r="B220" i="11" s="1"/>
  <c r="R219" i="11"/>
  <c r="N219" i="11"/>
  <c r="M219" i="11"/>
  <c r="L219" i="11"/>
  <c r="K219" i="11"/>
  <c r="I219" i="11"/>
  <c r="F219" i="11"/>
  <c r="E219" i="11"/>
  <c r="D219" i="11"/>
  <c r="C219" i="11"/>
  <c r="B219" i="11" s="1"/>
  <c r="R218" i="11"/>
  <c r="N218" i="11"/>
  <c r="M218" i="11"/>
  <c r="L218" i="11"/>
  <c r="K218" i="11"/>
  <c r="I218" i="11"/>
  <c r="F218" i="11"/>
  <c r="E218" i="11"/>
  <c r="D218" i="11"/>
  <c r="C218" i="11"/>
  <c r="B218" i="11" s="1"/>
  <c r="R217" i="11"/>
  <c r="N217" i="11"/>
  <c r="M217" i="11"/>
  <c r="L217" i="11"/>
  <c r="K217" i="11"/>
  <c r="I217" i="11"/>
  <c r="F217" i="11"/>
  <c r="E217" i="11"/>
  <c r="D217" i="11"/>
  <c r="C217" i="11"/>
  <c r="B217" i="11" s="1"/>
  <c r="R216" i="11"/>
  <c r="N216" i="11"/>
  <c r="M216" i="11"/>
  <c r="L216" i="11"/>
  <c r="K216" i="11"/>
  <c r="I216" i="11"/>
  <c r="F216" i="11"/>
  <c r="E216" i="11"/>
  <c r="D216" i="11"/>
  <c r="C216" i="11"/>
  <c r="B216" i="11" s="1"/>
  <c r="R215" i="11"/>
  <c r="N215" i="11"/>
  <c r="M215" i="11"/>
  <c r="L215" i="11"/>
  <c r="K215" i="11"/>
  <c r="I215" i="11"/>
  <c r="F215" i="11"/>
  <c r="E215" i="11"/>
  <c r="D215" i="11"/>
  <c r="C215" i="11"/>
  <c r="B215" i="11" s="1"/>
  <c r="R214" i="11"/>
  <c r="N214" i="11"/>
  <c r="M214" i="11"/>
  <c r="L214" i="11"/>
  <c r="K214" i="11"/>
  <c r="J214" i="11"/>
  <c r="I214" i="11"/>
  <c r="F214" i="11"/>
  <c r="E214" i="11"/>
  <c r="D214" i="11"/>
  <c r="C214" i="11"/>
  <c r="B214" i="11" s="1"/>
  <c r="R213" i="11"/>
  <c r="N213" i="11"/>
  <c r="M213" i="11"/>
  <c r="L213" i="11"/>
  <c r="K213" i="11"/>
  <c r="I213" i="11"/>
  <c r="F213" i="11"/>
  <c r="E213" i="11"/>
  <c r="D213" i="11"/>
  <c r="C213" i="11"/>
  <c r="B213" i="11" s="1"/>
  <c r="R212" i="11"/>
  <c r="N212" i="11"/>
  <c r="M212" i="11"/>
  <c r="L212" i="11"/>
  <c r="K212" i="11"/>
  <c r="I212" i="11"/>
  <c r="F212" i="11"/>
  <c r="E212" i="11"/>
  <c r="D212" i="11"/>
  <c r="C212" i="11"/>
  <c r="B212" i="11" s="1"/>
  <c r="R211" i="11"/>
  <c r="N211" i="11"/>
  <c r="M211" i="11"/>
  <c r="L211" i="11"/>
  <c r="K211" i="11"/>
  <c r="I211" i="11"/>
  <c r="F211" i="11"/>
  <c r="E211" i="11"/>
  <c r="D211" i="11"/>
  <c r="C211" i="11"/>
  <c r="B211" i="11" s="1"/>
  <c r="R210" i="11"/>
  <c r="N210" i="11"/>
  <c r="M210" i="11"/>
  <c r="L210" i="11"/>
  <c r="K210" i="11"/>
  <c r="I210" i="11"/>
  <c r="F210" i="11"/>
  <c r="E210" i="11"/>
  <c r="D210" i="11"/>
  <c r="C210" i="11"/>
  <c r="B210" i="11" s="1"/>
  <c r="R209" i="11"/>
  <c r="N209" i="11"/>
  <c r="M209" i="11"/>
  <c r="L209" i="11"/>
  <c r="K209" i="11"/>
  <c r="I209" i="11"/>
  <c r="F209" i="11"/>
  <c r="E209" i="11"/>
  <c r="D209" i="11"/>
  <c r="C209" i="11"/>
  <c r="B209" i="11" s="1"/>
  <c r="R208" i="11"/>
  <c r="N208" i="11"/>
  <c r="M208" i="11"/>
  <c r="L208" i="11"/>
  <c r="K208" i="11"/>
  <c r="I208" i="11"/>
  <c r="F208" i="11"/>
  <c r="E208" i="11"/>
  <c r="D208" i="11"/>
  <c r="C208" i="11"/>
  <c r="B208" i="11" s="1"/>
  <c r="R207" i="11"/>
  <c r="N207" i="11"/>
  <c r="M207" i="11"/>
  <c r="L207" i="11"/>
  <c r="K207" i="11"/>
  <c r="I207" i="11"/>
  <c r="F207" i="11"/>
  <c r="E207" i="11"/>
  <c r="D207" i="11"/>
  <c r="C207" i="11"/>
  <c r="B207" i="11" s="1"/>
  <c r="R206" i="11"/>
  <c r="N206" i="11"/>
  <c r="M206" i="11"/>
  <c r="L206" i="11"/>
  <c r="K206" i="11"/>
  <c r="I206" i="11"/>
  <c r="F206" i="11"/>
  <c r="E206" i="11"/>
  <c r="D206" i="11"/>
  <c r="C206" i="11"/>
  <c r="B206" i="11" s="1"/>
  <c r="R205" i="11"/>
  <c r="N205" i="11"/>
  <c r="M205" i="11"/>
  <c r="L205" i="11"/>
  <c r="K205" i="11"/>
  <c r="I205" i="11"/>
  <c r="F205" i="11"/>
  <c r="E205" i="11"/>
  <c r="D205" i="11"/>
  <c r="C205" i="11"/>
  <c r="B205" i="11" s="1"/>
  <c r="R204" i="11"/>
  <c r="N204" i="11"/>
  <c r="M204" i="11"/>
  <c r="L204" i="11"/>
  <c r="K204" i="11"/>
  <c r="I204" i="11"/>
  <c r="F204" i="11"/>
  <c r="E204" i="11"/>
  <c r="D204" i="11"/>
  <c r="C204" i="11"/>
  <c r="B204" i="11" s="1"/>
  <c r="R203" i="11"/>
  <c r="N203" i="11"/>
  <c r="M203" i="11"/>
  <c r="L203" i="11"/>
  <c r="K203" i="11"/>
  <c r="I203" i="11"/>
  <c r="F203" i="11"/>
  <c r="E203" i="11"/>
  <c r="D203" i="11"/>
  <c r="C203" i="11"/>
  <c r="B203" i="11" s="1"/>
  <c r="R202" i="11"/>
  <c r="N202" i="11"/>
  <c r="M202" i="11"/>
  <c r="L202" i="11"/>
  <c r="K202" i="11"/>
  <c r="I202" i="11"/>
  <c r="F202" i="11"/>
  <c r="E202" i="11"/>
  <c r="D202" i="11"/>
  <c r="C202" i="11"/>
  <c r="B202" i="11" s="1"/>
  <c r="R201" i="11"/>
  <c r="N201" i="11"/>
  <c r="M201" i="11"/>
  <c r="L201" i="11"/>
  <c r="K201" i="11"/>
  <c r="I201" i="11"/>
  <c r="F201" i="11"/>
  <c r="E201" i="11"/>
  <c r="D201" i="11"/>
  <c r="C201" i="11"/>
  <c r="B201" i="11" s="1"/>
  <c r="R200" i="11"/>
  <c r="N200" i="11"/>
  <c r="M200" i="11"/>
  <c r="L200" i="11"/>
  <c r="K200" i="11"/>
  <c r="I200" i="11"/>
  <c r="F200" i="11"/>
  <c r="E200" i="11"/>
  <c r="D200" i="11"/>
  <c r="C200" i="11"/>
  <c r="B200" i="11" s="1"/>
  <c r="R199" i="11"/>
  <c r="N199" i="11"/>
  <c r="M199" i="11"/>
  <c r="L199" i="11"/>
  <c r="K199" i="11"/>
  <c r="I199" i="11"/>
  <c r="F199" i="11"/>
  <c r="E199" i="11"/>
  <c r="D199" i="11"/>
  <c r="C199" i="11"/>
  <c r="B199" i="11" s="1"/>
  <c r="R198" i="11"/>
  <c r="N198" i="11"/>
  <c r="M198" i="11"/>
  <c r="L198" i="11"/>
  <c r="K198" i="11"/>
  <c r="I198" i="11"/>
  <c r="F198" i="11"/>
  <c r="E198" i="11"/>
  <c r="D198" i="11"/>
  <c r="C198" i="11"/>
  <c r="B198" i="11" s="1"/>
  <c r="R197" i="11"/>
  <c r="N197" i="11"/>
  <c r="M197" i="11"/>
  <c r="L197" i="11"/>
  <c r="K197" i="11"/>
  <c r="I197" i="11"/>
  <c r="F197" i="11"/>
  <c r="E197" i="11"/>
  <c r="D197" i="11"/>
  <c r="C197" i="11"/>
  <c r="B197" i="11" s="1"/>
  <c r="R196" i="11"/>
  <c r="N196" i="11"/>
  <c r="M196" i="11"/>
  <c r="L196" i="11"/>
  <c r="K196" i="11"/>
  <c r="I196" i="11"/>
  <c r="F196" i="11"/>
  <c r="E196" i="11"/>
  <c r="D196" i="11"/>
  <c r="C196" i="11"/>
  <c r="B196" i="11" s="1"/>
  <c r="R195" i="11"/>
  <c r="N195" i="11"/>
  <c r="M195" i="11"/>
  <c r="L195" i="11"/>
  <c r="K195" i="11"/>
  <c r="I195" i="11"/>
  <c r="F195" i="11"/>
  <c r="E195" i="11"/>
  <c r="D195" i="11"/>
  <c r="C195" i="11"/>
  <c r="B195" i="11" s="1"/>
  <c r="R194" i="11"/>
  <c r="N194" i="11"/>
  <c r="M194" i="11"/>
  <c r="L194" i="11"/>
  <c r="K194" i="11"/>
  <c r="I194" i="11"/>
  <c r="F194" i="11"/>
  <c r="E194" i="11"/>
  <c r="D194" i="11"/>
  <c r="C194" i="11"/>
  <c r="B194" i="11" s="1"/>
  <c r="R193" i="11"/>
  <c r="N193" i="11"/>
  <c r="M193" i="11"/>
  <c r="L193" i="11"/>
  <c r="K193" i="11"/>
  <c r="I193" i="11"/>
  <c r="F193" i="11"/>
  <c r="E193" i="11"/>
  <c r="D193" i="11"/>
  <c r="C193" i="11"/>
  <c r="B193" i="11" s="1"/>
  <c r="R192" i="11"/>
  <c r="N192" i="11"/>
  <c r="M192" i="11"/>
  <c r="L192" i="11"/>
  <c r="K192" i="11"/>
  <c r="I192" i="11"/>
  <c r="F192" i="11"/>
  <c r="E192" i="11"/>
  <c r="D192" i="11"/>
  <c r="C192" i="11"/>
  <c r="B192" i="11" s="1"/>
  <c r="R191" i="11"/>
  <c r="N191" i="11"/>
  <c r="M191" i="11"/>
  <c r="L191" i="11"/>
  <c r="K191" i="11"/>
  <c r="I191" i="11"/>
  <c r="F191" i="11"/>
  <c r="E191" i="11"/>
  <c r="D191" i="11"/>
  <c r="C191" i="11"/>
  <c r="B191" i="11" s="1"/>
  <c r="R190" i="11"/>
  <c r="N190" i="11"/>
  <c r="M190" i="11"/>
  <c r="L190" i="11"/>
  <c r="K190" i="11"/>
  <c r="I190" i="11"/>
  <c r="F190" i="11"/>
  <c r="E190" i="11"/>
  <c r="D190" i="11"/>
  <c r="C190" i="11"/>
  <c r="B190" i="11" s="1"/>
  <c r="R189" i="11"/>
  <c r="N189" i="11"/>
  <c r="M189" i="11"/>
  <c r="L189" i="11"/>
  <c r="K189" i="11"/>
  <c r="I189" i="11"/>
  <c r="F189" i="11"/>
  <c r="E189" i="11"/>
  <c r="D189" i="11"/>
  <c r="C189" i="11"/>
  <c r="B189" i="11" s="1"/>
  <c r="R188" i="11"/>
  <c r="N188" i="11"/>
  <c r="M188" i="11"/>
  <c r="L188" i="11"/>
  <c r="K188" i="11"/>
  <c r="I188" i="11"/>
  <c r="F188" i="11"/>
  <c r="E188" i="11"/>
  <c r="D188" i="11"/>
  <c r="C188" i="11"/>
  <c r="B188" i="11" s="1"/>
  <c r="R187" i="11"/>
  <c r="N187" i="11"/>
  <c r="M187" i="11"/>
  <c r="L187" i="11"/>
  <c r="K187" i="11"/>
  <c r="I187" i="11"/>
  <c r="F187" i="11"/>
  <c r="E187" i="11"/>
  <c r="D187" i="11"/>
  <c r="C187" i="11"/>
  <c r="B187" i="11" s="1"/>
  <c r="R186" i="11"/>
  <c r="N186" i="11"/>
  <c r="M186" i="11"/>
  <c r="L186" i="11"/>
  <c r="K186" i="11"/>
  <c r="I186" i="11"/>
  <c r="F186" i="11"/>
  <c r="E186" i="11"/>
  <c r="D186" i="11"/>
  <c r="C186" i="11"/>
  <c r="B186" i="11" s="1"/>
  <c r="R185" i="11"/>
  <c r="N185" i="11"/>
  <c r="M185" i="11"/>
  <c r="L185" i="11"/>
  <c r="K185" i="11"/>
  <c r="I185" i="11"/>
  <c r="F185" i="11"/>
  <c r="E185" i="11"/>
  <c r="D185" i="11"/>
  <c r="C185" i="11"/>
  <c r="B185" i="11" s="1"/>
  <c r="R184" i="11"/>
  <c r="N184" i="11"/>
  <c r="M184" i="11"/>
  <c r="L184" i="11"/>
  <c r="K184" i="11"/>
  <c r="I184" i="11"/>
  <c r="F184" i="11"/>
  <c r="E184" i="11"/>
  <c r="D184" i="11"/>
  <c r="C184" i="11"/>
  <c r="B184" i="11" s="1"/>
  <c r="R183" i="11"/>
  <c r="N183" i="11"/>
  <c r="M183" i="11"/>
  <c r="L183" i="11"/>
  <c r="K183" i="11"/>
  <c r="I183" i="11"/>
  <c r="F183" i="11"/>
  <c r="E183" i="11"/>
  <c r="D183" i="11"/>
  <c r="C183" i="11"/>
  <c r="B183" i="11" s="1"/>
  <c r="R182" i="11"/>
  <c r="N182" i="11"/>
  <c r="M182" i="11"/>
  <c r="L182" i="11"/>
  <c r="K182" i="11"/>
  <c r="I182" i="11"/>
  <c r="F182" i="11"/>
  <c r="E182" i="11"/>
  <c r="D182" i="11"/>
  <c r="C182" i="11"/>
  <c r="B182" i="11" s="1"/>
  <c r="R181" i="11"/>
  <c r="N181" i="11"/>
  <c r="M181" i="11"/>
  <c r="L181" i="11"/>
  <c r="K181" i="11"/>
  <c r="I181" i="11"/>
  <c r="F181" i="11"/>
  <c r="E181" i="11"/>
  <c r="D181" i="11"/>
  <c r="C181" i="11"/>
  <c r="B181" i="11" s="1"/>
  <c r="R180" i="11"/>
  <c r="N180" i="11"/>
  <c r="M180" i="11"/>
  <c r="L180" i="11"/>
  <c r="K180" i="11"/>
  <c r="I180" i="11"/>
  <c r="F180" i="11"/>
  <c r="E180" i="11"/>
  <c r="D180" i="11"/>
  <c r="C180" i="11"/>
  <c r="B180" i="11" s="1"/>
  <c r="R179" i="11"/>
  <c r="N179" i="11"/>
  <c r="M179" i="11"/>
  <c r="L179" i="11"/>
  <c r="K179" i="11"/>
  <c r="I179" i="11"/>
  <c r="F179" i="11"/>
  <c r="E179" i="11"/>
  <c r="D179" i="11"/>
  <c r="C179" i="11"/>
  <c r="B179" i="11" s="1"/>
  <c r="R178" i="11"/>
  <c r="N178" i="11"/>
  <c r="M178" i="11"/>
  <c r="L178" i="11"/>
  <c r="K178" i="11"/>
  <c r="I178" i="11"/>
  <c r="F178" i="11"/>
  <c r="E178" i="11"/>
  <c r="D178" i="11"/>
  <c r="C178" i="11"/>
  <c r="B178" i="11" s="1"/>
  <c r="R177" i="11"/>
  <c r="N177" i="11"/>
  <c r="M177" i="11"/>
  <c r="L177" i="11"/>
  <c r="K177" i="11"/>
  <c r="I177" i="11"/>
  <c r="F177" i="11"/>
  <c r="E177" i="11"/>
  <c r="D177" i="11"/>
  <c r="C177" i="11"/>
  <c r="B177" i="11" s="1"/>
  <c r="R176" i="11"/>
  <c r="N176" i="11"/>
  <c r="M176" i="11"/>
  <c r="L176" i="11"/>
  <c r="K176" i="11"/>
  <c r="I176" i="11"/>
  <c r="F176" i="11"/>
  <c r="E176" i="11"/>
  <c r="D176" i="11"/>
  <c r="C176" i="11"/>
  <c r="B176" i="11" s="1"/>
  <c r="R175" i="11"/>
  <c r="N175" i="11"/>
  <c r="M175" i="11"/>
  <c r="L175" i="11"/>
  <c r="K175" i="11"/>
  <c r="I175" i="11"/>
  <c r="F175" i="11"/>
  <c r="E175" i="11"/>
  <c r="D175" i="11"/>
  <c r="C175" i="11"/>
  <c r="B175" i="11" s="1"/>
  <c r="R174" i="11"/>
  <c r="N174" i="11"/>
  <c r="M174" i="11"/>
  <c r="L174" i="11"/>
  <c r="K174" i="11"/>
  <c r="I174" i="11"/>
  <c r="F174" i="11"/>
  <c r="E174" i="11"/>
  <c r="D174" i="11"/>
  <c r="C174" i="11"/>
  <c r="B174" i="11" s="1"/>
  <c r="R173" i="11"/>
  <c r="N173" i="11"/>
  <c r="M173" i="11"/>
  <c r="L173" i="11"/>
  <c r="K173" i="11"/>
  <c r="I173" i="11"/>
  <c r="F173" i="11"/>
  <c r="E173" i="11"/>
  <c r="D173" i="11"/>
  <c r="C173" i="11"/>
  <c r="B173" i="11" s="1"/>
  <c r="R172" i="11"/>
  <c r="N172" i="11"/>
  <c r="M172" i="11"/>
  <c r="L172" i="11"/>
  <c r="K172" i="11"/>
  <c r="I172" i="11"/>
  <c r="F172" i="11"/>
  <c r="E172" i="11"/>
  <c r="D172" i="11"/>
  <c r="C172" i="11"/>
  <c r="B172" i="11" s="1"/>
  <c r="R171" i="11"/>
  <c r="N171" i="11"/>
  <c r="M171" i="11"/>
  <c r="L171" i="11"/>
  <c r="K171" i="11"/>
  <c r="I171" i="11"/>
  <c r="F171" i="11"/>
  <c r="E171" i="11"/>
  <c r="D171" i="11"/>
  <c r="C171" i="11"/>
  <c r="B171" i="11" s="1"/>
  <c r="R170" i="11"/>
  <c r="N170" i="11"/>
  <c r="M170" i="11"/>
  <c r="L170" i="11"/>
  <c r="K170" i="11"/>
  <c r="I170" i="11"/>
  <c r="F170" i="11"/>
  <c r="E170" i="11"/>
  <c r="D170" i="11"/>
  <c r="C170" i="11"/>
  <c r="B170" i="11" s="1"/>
  <c r="R169" i="11"/>
  <c r="N169" i="11"/>
  <c r="M169" i="11"/>
  <c r="L169" i="11"/>
  <c r="K169" i="11"/>
  <c r="I169" i="11"/>
  <c r="F169" i="11"/>
  <c r="E169" i="11"/>
  <c r="D169" i="11"/>
  <c r="C169" i="11"/>
  <c r="B169" i="11" s="1"/>
  <c r="R168" i="11"/>
  <c r="N168" i="11"/>
  <c r="M168" i="11"/>
  <c r="L168" i="11"/>
  <c r="K168" i="11"/>
  <c r="I168" i="11"/>
  <c r="F168" i="11"/>
  <c r="E168" i="11"/>
  <c r="D168" i="11"/>
  <c r="C168" i="11"/>
  <c r="B168" i="11" s="1"/>
  <c r="R167" i="11"/>
  <c r="N167" i="11"/>
  <c r="M167" i="11"/>
  <c r="L167" i="11"/>
  <c r="K167" i="11"/>
  <c r="I167" i="11"/>
  <c r="F167" i="11"/>
  <c r="E167" i="11"/>
  <c r="D167" i="11"/>
  <c r="C167" i="11"/>
  <c r="B167" i="11" s="1"/>
  <c r="R166" i="11"/>
  <c r="N166" i="11"/>
  <c r="M166" i="11"/>
  <c r="L166" i="11"/>
  <c r="K166" i="11"/>
  <c r="I166" i="11"/>
  <c r="F166" i="11"/>
  <c r="E166" i="11"/>
  <c r="D166" i="11"/>
  <c r="C166" i="11"/>
  <c r="B166" i="11" s="1"/>
  <c r="R165" i="11"/>
  <c r="N165" i="11"/>
  <c r="M165" i="11"/>
  <c r="L165" i="11"/>
  <c r="K165" i="11"/>
  <c r="I165" i="11"/>
  <c r="F165" i="11"/>
  <c r="E165" i="11"/>
  <c r="D165" i="11"/>
  <c r="C165" i="11"/>
  <c r="B165" i="11" s="1"/>
  <c r="R164" i="11"/>
  <c r="N164" i="11"/>
  <c r="M164" i="11"/>
  <c r="L164" i="11"/>
  <c r="K164" i="11"/>
  <c r="I164" i="11"/>
  <c r="F164" i="11"/>
  <c r="E164" i="11"/>
  <c r="D164" i="11"/>
  <c r="C164" i="11"/>
  <c r="B164" i="11" s="1"/>
  <c r="R163" i="11"/>
  <c r="N163" i="11"/>
  <c r="M163" i="11"/>
  <c r="L163" i="11"/>
  <c r="K163" i="11"/>
  <c r="I163" i="11"/>
  <c r="F163" i="11"/>
  <c r="E163" i="11"/>
  <c r="D163" i="11"/>
  <c r="C163" i="11"/>
  <c r="B163" i="11" s="1"/>
  <c r="R162" i="11"/>
  <c r="N162" i="11"/>
  <c r="M162" i="11"/>
  <c r="L162" i="11"/>
  <c r="K162" i="11"/>
  <c r="I162" i="11"/>
  <c r="F162" i="11"/>
  <c r="E162" i="11"/>
  <c r="D162" i="11"/>
  <c r="C162" i="11"/>
  <c r="B162" i="11" s="1"/>
  <c r="R161" i="11"/>
  <c r="N161" i="11"/>
  <c r="M161" i="11"/>
  <c r="L161" i="11"/>
  <c r="K161" i="11"/>
  <c r="I161" i="11"/>
  <c r="F161" i="11"/>
  <c r="E161" i="11"/>
  <c r="D161" i="11"/>
  <c r="C161" i="11"/>
  <c r="B161" i="11" s="1"/>
  <c r="R160" i="11"/>
  <c r="N160" i="11"/>
  <c r="M160" i="11"/>
  <c r="L160" i="11"/>
  <c r="K160" i="11"/>
  <c r="I160" i="11"/>
  <c r="F160" i="11"/>
  <c r="E160" i="11"/>
  <c r="D160" i="11"/>
  <c r="C160" i="11"/>
  <c r="B160" i="11" s="1"/>
  <c r="R159" i="11"/>
  <c r="N159" i="11"/>
  <c r="M159" i="11"/>
  <c r="L159" i="11"/>
  <c r="K159" i="11"/>
  <c r="I159" i="11"/>
  <c r="F159" i="11"/>
  <c r="E159" i="11"/>
  <c r="D159" i="11"/>
  <c r="C159" i="11"/>
  <c r="B159" i="11" s="1"/>
  <c r="R158" i="11"/>
  <c r="N158" i="11"/>
  <c r="M158" i="11"/>
  <c r="L158" i="11"/>
  <c r="K158" i="11"/>
  <c r="I158" i="11"/>
  <c r="F158" i="11"/>
  <c r="E158" i="11"/>
  <c r="D158" i="11"/>
  <c r="C158" i="11"/>
  <c r="B158" i="11" s="1"/>
  <c r="R157" i="11"/>
  <c r="N157" i="11"/>
  <c r="M157" i="11"/>
  <c r="L157" i="11"/>
  <c r="K157" i="11"/>
  <c r="I157" i="11"/>
  <c r="F157" i="11"/>
  <c r="E157" i="11"/>
  <c r="D157" i="11"/>
  <c r="C157" i="11"/>
  <c r="B157" i="11" s="1"/>
  <c r="R156" i="11"/>
  <c r="N156" i="11"/>
  <c r="M156" i="11"/>
  <c r="L156" i="11"/>
  <c r="K156" i="11"/>
  <c r="I156" i="11"/>
  <c r="F156" i="11"/>
  <c r="E156" i="11"/>
  <c r="D156" i="11"/>
  <c r="C156" i="11"/>
  <c r="B156" i="11" s="1"/>
  <c r="R155" i="11"/>
  <c r="N155" i="11"/>
  <c r="M155" i="11"/>
  <c r="L155" i="11"/>
  <c r="K155" i="11"/>
  <c r="I155" i="11"/>
  <c r="F155" i="11"/>
  <c r="E155" i="11"/>
  <c r="D155" i="11"/>
  <c r="C155" i="11"/>
  <c r="B155" i="11" s="1"/>
  <c r="R154" i="11"/>
  <c r="N154" i="11"/>
  <c r="M154" i="11"/>
  <c r="L154" i="11"/>
  <c r="K154" i="11"/>
  <c r="I154" i="11"/>
  <c r="F154" i="11"/>
  <c r="E154" i="11"/>
  <c r="D154" i="11"/>
  <c r="C154" i="11"/>
  <c r="B154" i="11" s="1"/>
  <c r="R153" i="11"/>
  <c r="N153" i="11"/>
  <c r="M153" i="11"/>
  <c r="L153" i="11"/>
  <c r="K153" i="11"/>
  <c r="I153" i="11"/>
  <c r="F153" i="11"/>
  <c r="E153" i="11"/>
  <c r="D153" i="11"/>
  <c r="C153" i="11"/>
  <c r="B153" i="11" s="1"/>
  <c r="R152" i="11"/>
  <c r="N152" i="11"/>
  <c r="M152" i="11"/>
  <c r="L152" i="11"/>
  <c r="K152" i="11"/>
  <c r="I152" i="11"/>
  <c r="F152" i="11"/>
  <c r="E152" i="11"/>
  <c r="D152" i="11"/>
  <c r="C152" i="11"/>
  <c r="B152" i="11" s="1"/>
  <c r="R151" i="11"/>
  <c r="N151" i="11"/>
  <c r="M151" i="11"/>
  <c r="L151" i="11"/>
  <c r="K151" i="11"/>
  <c r="I151" i="11"/>
  <c r="F151" i="11"/>
  <c r="E151" i="11"/>
  <c r="D151" i="11"/>
  <c r="C151" i="11"/>
  <c r="B151" i="11" s="1"/>
  <c r="R150" i="11"/>
  <c r="N150" i="11"/>
  <c r="M150" i="11"/>
  <c r="L150" i="11"/>
  <c r="K150" i="11"/>
  <c r="I150" i="11"/>
  <c r="F150" i="11"/>
  <c r="E150" i="11"/>
  <c r="D150" i="11"/>
  <c r="C150" i="11"/>
  <c r="B150" i="11" s="1"/>
  <c r="R149" i="11"/>
  <c r="N149" i="11"/>
  <c r="M149" i="11"/>
  <c r="L149" i="11"/>
  <c r="K149" i="11"/>
  <c r="I149" i="11"/>
  <c r="F149" i="11"/>
  <c r="E149" i="11"/>
  <c r="D149" i="11"/>
  <c r="C149" i="11"/>
  <c r="B149" i="11" s="1"/>
  <c r="R148" i="11"/>
  <c r="N148" i="11"/>
  <c r="M148" i="11"/>
  <c r="L148" i="11"/>
  <c r="K148" i="11"/>
  <c r="I148" i="11"/>
  <c r="F148" i="11"/>
  <c r="E148" i="11"/>
  <c r="D148" i="11"/>
  <c r="C148" i="11"/>
  <c r="B148" i="11" s="1"/>
  <c r="R147" i="11"/>
  <c r="N147" i="11"/>
  <c r="M147" i="11"/>
  <c r="L147" i="11"/>
  <c r="K147" i="11"/>
  <c r="I147" i="11"/>
  <c r="F147" i="11"/>
  <c r="E147" i="11"/>
  <c r="D147" i="11"/>
  <c r="C147" i="11"/>
  <c r="B147" i="11" s="1"/>
  <c r="R146" i="11"/>
  <c r="N146" i="11"/>
  <c r="M146" i="11"/>
  <c r="L146" i="11"/>
  <c r="K146" i="11"/>
  <c r="I146" i="11"/>
  <c r="F146" i="11"/>
  <c r="E146" i="11"/>
  <c r="D146" i="11"/>
  <c r="C146" i="11"/>
  <c r="B146" i="11" s="1"/>
  <c r="R145" i="11"/>
  <c r="N145" i="11"/>
  <c r="M145" i="11"/>
  <c r="L145" i="11"/>
  <c r="K145" i="11"/>
  <c r="I145" i="11"/>
  <c r="F145" i="11"/>
  <c r="E145" i="11"/>
  <c r="D145" i="11"/>
  <c r="C145" i="11"/>
  <c r="B145" i="11" s="1"/>
  <c r="R144" i="11"/>
  <c r="N144" i="11"/>
  <c r="M144" i="11"/>
  <c r="L144" i="11"/>
  <c r="K144" i="11"/>
  <c r="I144" i="11"/>
  <c r="F144" i="11"/>
  <c r="E144" i="11"/>
  <c r="D144" i="11"/>
  <c r="C144" i="11"/>
  <c r="B144" i="11" s="1"/>
  <c r="R143" i="11"/>
  <c r="N143" i="11"/>
  <c r="M143" i="11"/>
  <c r="L143" i="11"/>
  <c r="K143" i="11"/>
  <c r="I143" i="11"/>
  <c r="F143" i="11"/>
  <c r="E143" i="11"/>
  <c r="D143" i="11"/>
  <c r="C143" i="11"/>
  <c r="B143" i="11" s="1"/>
  <c r="R142" i="11"/>
  <c r="N142" i="11"/>
  <c r="M142" i="11"/>
  <c r="L142" i="11"/>
  <c r="K142" i="11"/>
  <c r="I142" i="11"/>
  <c r="F142" i="11"/>
  <c r="E142" i="11"/>
  <c r="D142" i="11"/>
  <c r="C142" i="11"/>
  <c r="B142" i="11" s="1"/>
  <c r="R141" i="11"/>
  <c r="N141" i="11"/>
  <c r="M141" i="11"/>
  <c r="L141" i="11"/>
  <c r="K141" i="11"/>
  <c r="I141" i="11"/>
  <c r="F141" i="11"/>
  <c r="E141" i="11"/>
  <c r="D141" i="11"/>
  <c r="C141" i="11"/>
  <c r="B141" i="11" s="1"/>
  <c r="R140" i="11"/>
  <c r="N140" i="11"/>
  <c r="M140" i="11"/>
  <c r="L140" i="11"/>
  <c r="K140" i="11"/>
  <c r="I140" i="11"/>
  <c r="F140" i="11"/>
  <c r="E140" i="11"/>
  <c r="D140" i="11"/>
  <c r="C140" i="11"/>
  <c r="B140" i="11" s="1"/>
  <c r="R139" i="11"/>
  <c r="N139" i="11"/>
  <c r="M139" i="11"/>
  <c r="L139" i="11"/>
  <c r="K139" i="11"/>
  <c r="I139" i="11"/>
  <c r="F139" i="11"/>
  <c r="E139" i="11"/>
  <c r="D139" i="11"/>
  <c r="C139" i="11"/>
  <c r="B139" i="11" s="1"/>
  <c r="R138" i="11"/>
  <c r="N138" i="11"/>
  <c r="M138" i="11"/>
  <c r="L138" i="11"/>
  <c r="K138" i="11"/>
  <c r="I138" i="11"/>
  <c r="F138" i="11"/>
  <c r="E138" i="11"/>
  <c r="D138" i="11"/>
  <c r="C138" i="11"/>
  <c r="B138" i="11" s="1"/>
  <c r="R137" i="11"/>
  <c r="N137" i="11"/>
  <c r="M137" i="11"/>
  <c r="L137" i="11"/>
  <c r="K137" i="11"/>
  <c r="I137" i="11"/>
  <c r="F137" i="11"/>
  <c r="E137" i="11"/>
  <c r="D137" i="11"/>
  <c r="C137" i="11"/>
  <c r="B137" i="11" s="1"/>
  <c r="R136" i="11"/>
  <c r="N136" i="11"/>
  <c r="M136" i="11"/>
  <c r="L136" i="11"/>
  <c r="K136" i="11"/>
  <c r="I136" i="11"/>
  <c r="F136" i="11"/>
  <c r="E136" i="11"/>
  <c r="D136" i="11"/>
  <c r="C136" i="11"/>
  <c r="B136" i="11" s="1"/>
  <c r="R135" i="11"/>
  <c r="N135" i="11"/>
  <c r="M135" i="11"/>
  <c r="L135" i="11"/>
  <c r="K135" i="11"/>
  <c r="I135" i="11"/>
  <c r="F135" i="11"/>
  <c r="E135" i="11"/>
  <c r="D135" i="11"/>
  <c r="C135" i="11"/>
  <c r="B135" i="11" s="1"/>
  <c r="R134" i="11"/>
  <c r="N134" i="11"/>
  <c r="M134" i="11"/>
  <c r="L134" i="11"/>
  <c r="K134" i="11"/>
  <c r="I134" i="11"/>
  <c r="F134" i="11"/>
  <c r="E134" i="11"/>
  <c r="D134" i="11"/>
  <c r="C134" i="11"/>
  <c r="B134" i="11" s="1"/>
  <c r="R133" i="11"/>
  <c r="N133" i="11"/>
  <c r="M133" i="11"/>
  <c r="L133" i="11"/>
  <c r="K133" i="11"/>
  <c r="I133" i="11"/>
  <c r="F133" i="11"/>
  <c r="E133" i="11"/>
  <c r="D133" i="11"/>
  <c r="C133" i="11"/>
  <c r="B133" i="11" s="1"/>
  <c r="R132" i="11"/>
  <c r="N132" i="11"/>
  <c r="M132" i="11"/>
  <c r="L132" i="11"/>
  <c r="K132" i="11"/>
  <c r="I132" i="11"/>
  <c r="F132" i="11"/>
  <c r="E132" i="11"/>
  <c r="D132" i="11"/>
  <c r="C132" i="11"/>
  <c r="B132" i="11" s="1"/>
  <c r="R131" i="11"/>
  <c r="N131" i="11"/>
  <c r="M131" i="11"/>
  <c r="L131" i="11"/>
  <c r="K131" i="11"/>
  <c r="I131" i="11"/>
  <c r="F131" i="11"/>
  <c r="E131" i="11"/>
  <c r="D131" i="11"/>
  <c r="C131" i="11"/>
  <c r="B131" i="11" s="1"/>
  <c r="R130" i="11"/>
  <c r="N130" i="11"/>
  <c r="M130" i="11"/>
  <c r="L130" i="11"/>
  <c r="K130" i="11"/>
  <c r="I130" i="11"/>
  <c r="F130" i="11"/>
  <c r="E130" i="11"/>
  <c r="D130" i="11"/>
  <c r="C130" i="11"/>
  <c r="B130" i="11" s="1"/>
  <c r="R129" i="11"/>
  <c r="N129" i="11"/>
  <c r="M129" i="11"/>
  <c r="L129" i="11"/>
  <c r="K129" i="11"/>
  <c r="I129" i="11"/>
  <c r="F129" i="11"/>
  <c r="E129" i="11"/>
  <c r="D129" i="11"/>
  <c r="C129" i="11"/>
  <c r="B129" i="11" s="1"/>
  <c r="R128" i="11"/>
  <c r="N128" i="11"/>
  <c r="M128" i="11"/>
  <c r="L128" i="11"/>
  <c r="K128" i="11"/>
  <c r="I128" i="11"/>
  <c r="F128" i="11"/>
  <c r="E128" i="11"/>
  <c r="D128" i="11"/>
  <c r="C128" i="11"/>
  <c r="B128" i="11" s="1"/>
  <c r="R127" i="11"/>
  <c r="N127" i="11"/>
  <c r="M127" i="11"/>
  <c r="L127" i="11"/>
  <c r="K127" i="11"/>
  <c r="I127" i="11"/>
  <c r="F127" i="11"/>
  <c r="E127" i="11"/>
  <c r="D127" i="11"/>
  <c r="C127" i="11"/>
  <c r="B127" i="11" s="1"/>
  <c r="R126" i="11"/>
  <c r="N126" i="11"/>
  <c r="M126" i="11"/>
  <c r="L126" i="11"/>
  <c r="K126" i="11"/>
  <c r="I126" i="11"/>
  <c r="F126" i="11"/>
  <c r="E126" i="11"/>
  <c r="D126" i="11"/>
  <c r="C126" i="11"/>
  <c r="B126" i="11" s="1"/>
  <c r="R125" i="11"/>
  <c r="N125" i="11"/>
  <c r="M125" i="11"/>
  <c r="L125" i="11"/>
  <c r="K125" i="11"/>
  <c r="I125" i="11"/>
  <c r="F125" i="11"/>
  <c r="E125" i="11"/>
  <c r="D125" i="11"/>
  <c r="C125" i="11"/>
  <c r="B125" i="11" s="1"/>
  <c r="R124" i="11"/>
  <c r="N124" i="11"/>
  <c r="M124" i="11"/>
  <c r="L124" i="11"/>
  <c r="K124" i="11"/>
  <c r="I124" i="11"/>
  <c r="F124" i="11"/>
  <c r="E124" i="11"/>
  <c r="D124" i="11"/>
  <c r="C124" i="11"/>
  <c r="B124" i="11" s="1"/>
  <c r="R123" i="11"/>
  <c r="N123" i="11"/>
  <c r="M123" i="11"/>
  <c r="L123" i="11"/>
  <c r="K123" i="11"/>
  <c r="I123" i="11"/>
  <c r="F123" i="11"/>
  <c r="E123" i="11"/>
  <c r="D123" i="11"/>
  <c r="C123" i="11"/>
  <c r="B123" i="11" s="1"/>
  <c r="R122" i="11"/>
  <c r="N122" i="11"/>
  <c r="M122" i="11"/>
  <c r="L122" i="11"/>
  <c r="K122" i="11"/>
  <c r="I122" i="11"/>
  <c r="F122" i="11"/>
  <c r="E122" i="11"/>
  <c r="D122" i="11"/>
  <c r="C122" i="11"/>
  <c r="B122" i="11" s="1"/>
  <c r="R121" i="11"/>
  <c r="N121" i="11"/>
  <c r="M121" i="11"/>
  <c r="L121" i="11"/>
  <c r="K121" i="11"/>
  <c r="I121" i="11"/>
  <c r="F121" i="11"/>
  <c r="E121" i="11"/>
  <c r="D121" i="11"/>
  <c r="C121" i="11"/>
  <c r="B121" i="11" s="1"/>
  <c r="R120" i="11"/>
  <c r="N120" i="11"/>
  <c r="M120" i="11"/>
  <c r="L120" i="11"/>
  <c r="K120" i="11"/>
  <c r="I120" i="11"/>
  <c r="F120" i="11"/>
  <c r="E120" i="11"/>
  <c r="D120" i="11"/>
  <c r="C120" i="11"/>
  <c r="B120" i="11" s="1"/>
  <c r="R119" i="11"/>
  <c r="N119" i="11"/>
  <c r="M119" i="11"/>
  <c r="L119" i="11"/>
  <c r="K119" i="11"/>
  <c r="I119" i="11"/>
  <c r="F119" i="11"/>
  <c r="E119" i="11"/>
  <c r="D119" i="11"/>
  <c r="C119" i="11"/>
  <c r="B119" i="11" s="1"/>
  <c r="R118" i="11"/>
  <c r="N118" i="11"/>
  <c r="M118" i="11"/>
  <c r="L118" i="11"/>
  <c r="K118" i="11"/>
  <c r="I118" i="11"/>
  <c r="F118" i="11"/>
  <c r="E118" i="11"/>
  <c r="D118" i="11"/>
  <c r="C118" i="11"/>
  <c r="B118" i="11" s="1"/>
  <c r="R117" i="11"/>
  <c r="N117" i="11"/>
  <c r="M117" i="11"/>
  <c r="L117" i="11"/>
  <c r="K117" i="11"/>
  <c r="I117" i="11"/>
  <c r="F117" i="11"/>
  <c r="E117" i="11"/>
  <c r="D117" i="11"/>
  <c r="C117" i="11"/>
  <c r="B117" i="11" s="1"/>
  <c r="R116" i="11"/>
  <c r="N116" i="11"/>
  <c r="M116" i="11"/>
  <c r="L116" i="11"/>
  <c r="K116" i="11"/>
  <c r="I116" i="11"/>
  <c r="F116" i="11"/>
  <c r="E116" i="11"/>
  <c r="D116" i="11"/>
  <c r="C116" i="11"/>
  <c r="B116" i="11" s="1"/>
  <c r="R115" i="11"/>
  <c r="N115" i="11"/>
  <c r="M115" i="11"/>
  <c r="L115" i="11"/>
  <c r="K115" i="11"/>
  <c r="I115" i="11"/>
  <c r="F115" i="11"/>
  <c r="E115" i="11"/>
  <c r="D115" i="11"/>
  <c r="C115" i="11"/>
  <c r="B115" i="11" s="1"/>
  <c r="R114" i="11"/>
  <c r="N114" i="11"/>
  <c r="M114" i="11"/>
  <c r="L114" i="11"/>
  <c r="K114" i="11"/>
  <c r="I114" i="11"/>
  <c r="F114" i="11"/>
  <c r="E114" i="11"/>
  <c r="D114" i="11"/>
  <c r="C114" i="11"/>
  <c r="B114" i="11" s="1"/>
  <c r="R113" i="11"/>
  <c r="N113" i="11"/>
  <c r="M113" i="11"/>
  <c r="L113" i="11"/>
  <c r="K113" i="11"/>
  <c r="I113" i="11"/>
  <c r="F113" i="11"/>
  <c r="E113" i="11"/>
  <c r="D113" i="11"/>
  <c r="C113" i="11"/>
  <c r="B113" i="11" s="1"/>
  <c r="R112" i="11"/>
  <c r="N112" i="11"/>
  <c r="M112" i="11"/>
  <c r="L112" i="11"/>
  <c r="K112" i="11"/>
  <c r="I112" i="11"/>
  <c r="F112" i="11"/>
  <c r="E112" i="11"/>
  <c r="D112" i="11"/>
  <c r="C112" i="11"/>
  <c r="B112" i="11" s="1"/>
  <c r="R111" i="11"/>
  <c r="N111" i="11"/>
  <c r="M111" i="11"/>
  <c r="L111" i="11"/>
  <c r="K111" i="11"/>
  <c r="I111" i="11"/>
  <c r="F111" i="11"/>
  <c r="E111" i="11"/>
  <c r="D111" i="11"/>
  <c r="C111" i="11"/>
  <c r="B111" i="11" s="1"/>
  <c r="R110" i="11"/>
  <c r="N110" i="11"/>
  <c r="M110" i="11"/>
  <c r="L110" i="11"/>
  <c r="K110" i="11"/>
  <c r="I110" i="11"/>
  <c r="F110" i="11"/>
  <c r="E110" i="11"/>
  <c r="D110" i="11"/>
  <c r="C110" i="11"/>
  <c r="B110" i="11" s="1"/>
  <c r="R109" i="11"/>
  <c r="N109" i="11"/>
  <c r="M109" i="11"/>
  <c r="L109" i="11"/>
  <c r="K109" i="11"/>
  <c r="I109" i="11"/>
  <c r="F109" i="11"/>
  <c r="E109" i="11"/>
  <c r="D109" i="11"/>
  <c r="C109" i="11"/>
  <c r="B109" i="11" s="1"/>
  <c r="R108" i="11"/>
  <c r="N108" i="11"/>
  <c r="M108" i="11"/>
  <c r="L108" i="11"/>
  <c r="K108" i="11"/>
  <c r="I108" i="11"/>
  <c r="F108" i="11"/>
  <c r="E108" i="11"/>
  <c r="D108" i="11"/>
  <c r="C108" i="11"/>
  <c r="B108" i="11" s="1"/>
  <c r="R107" i="11"/>
  <c r="N107" i="11"/>
  <c r="M107" i="11"/>
  <c r="L107" i="11"/>
  <c r="K107" i="11"/>
  <c r="I107" i="11"/>
  <c r="F107" i="11"/>
  <c r="E107" i="11"/>
  <c r="D107" i="11"/>
  <c r="C107" i="11"/>
  <c r="B107" i="11" s="1"/>
  <c r="R106" i="11"/>
  <c r="N106" i="11"/>
  <c r="M106" i="11"/>
  <c r="L106" i="11"/>
  <c r="K106" i="11"/>
  <c r="I106" i="11"/>
  <c r="F106" i="11"/>
  <c r="E106" i="11"/>
  <c r="D106" i="11"/>
  <c r="C106" i="11"/>
  <c r="B106" i="11" s="1"/>
  <c r="R105" i="11"/>
  <c r="N105" i="11"/>
  <c r="M105" i="11"/>
  <c r="L105" i="11"/>
  <c r="K105" i="11"/>
  <c r="I105" i="11"/>
  <c r="F105" i="11"/>
  <c r="E105" i="11"/>
  <c r="D105" i="11"/>
  <c r="C105" i="11"/>
  <c r="B105" i="11" s="1"/>
  <c r="R104" i="11"/>
  <c r="N104" i="11"/>
  <c r="M104" i="11"/>
  <c r="L104" i="11"/>
  <c r="K104" i="11"/>
  <c r="I104" i="11"/>
  <c r="F104" i="11"/>
  <c r="E104" i="11"/>
  <c r="D104" i="11"/>
  <c r="C104" i="11"/>
  <c r="B104" i="11" s="1"/>
  <c r="R103" i="11"/>
  <c r="N103" i="11"/>
  <c r="M103" i="11"/>
  <c r="L103" i="11"/>
  <c r="K103" i="11"/>
  <c r="I103" i="11"/>
  <c r="F103" i="11"/>
  <c r="E103" i="11"/>
  <c r="D103" i="11"/>
  <c r="C103" i="11"/>
  <c r="B103" i="11" s="1"/>
  <c r="R102" i="11"/>
  <c r="N102" i="11"/>
  <c r="M102" i="11"/>
  <c r="L102" i="11"/>
  <c r="K102" i="11"/>
  <c r="I102" i="11"/>
  <c r="F102" i="11"/>
  <c r="E102" i="11"/>
  <c r="D102" i="11"/>
  <c r="C102" i="11"/>
  <c r="B102" i="11" s="1"/>
  <c r="R101" i="11"/>
  <c r="N101" i="11"/>
  <c r="M101" i="11"/>
  <c r="L101" i="11"/>
  <c r="K101" i="11"/>
  <c r="I101" i="11"/>
  <c r="F101" i="11"/>
  <c r="E101" i="11"/>
  <c r="D101" i="11"/>
  <c r="C101" i="11"/>
  <c r="B101" i="11" s="1"/>
  <c r="R100" i="11"/>
  <c r="N100" i="11"/>
  <c r="M100" i="11"/>
  <c r="L100" i="11"/>
  <c r="K100" i="11"/>
  <c r="I100" i="11"/>
  <c r="F100" i="11"/>
  <c r="E100" i="11"/>
  <c r="D100" i="11"/>
  <c r="C100" i="11"/>
  <c r="B100" i="11" s="1"/>
  <c r="R99" i="11"/>
  <c r="N99" i="11"/>
  <c r="M99" i="11"/>
  <c r="L99" i="11"/>
  <c r="K99" i="11"/>
  <c r="I99" i="11"/>
  <c r="F99" i="11"/>
  <c r="E99" i="11"/>
  <c r="D99" i="11"/>
  <c r="C99" i="11"/>
  <c r="B99" i="11" s="1"/>
  <c r="R98" i="11"/>
  <c r="N98" i="11"/>
  <c r="M98" i="11"/>
  <c r="L98" i="11"/>
  <c r="K98" i="11"/>
  <c r="I98" i="11"/>
  <c r="F98" i="11"/>
  <c r="E98" i="11"/>
  <c r="D98" i="11"/>
  <c r="C98" i="11"/>
  <c r="B98" i="11" s="1"/>
  <c r="R97" i="11"/>
  <c r="N97" i="11"/>
  <c r="M97" i="11"/>
  <c r="L97" i="11"/>
  <c r="K97" i="11"/>
  <c r="I97" i="11"/>
  <c r="F97" i="11"/>
  <c r="E97" i="11"/>
  <c r="D97" i="11"/>
  <c r="C97" i="11"/>
  <c r="B97" i="11" s="1"/>
  <c r="R96" i="11"/>
  <c r="N96" i="11"/>
  <c r="M96" i="11"/>
  <c r="L96" i="11"/>
  <c r="K96" i="11"/>
  <c r="I96" i="11"/>
  <c r="F96" i="11"/>
  <c r="E96" i="11"/>
  <c r="D96" i="11"/>
  <c r="C96" i="11"/>
  <c r="B96" i="11" s="1"/>
  <c r="R95" i="11"/>
  <c r="N95" i="11"/>
  <c r="M95" i="11"/>
  <c r="L95" i="11"/>
  <c r="K95" i="11"/>
  <c r="I95" i="11"/>
  <c r="F95" i="11"/>
  <c r="E95" i="11"/>
  <c r="D95" i="11"/>
  <c r="C95" i="11"/>
  <c r="B95" i="11" s="1"/>
  <c r="R94" i="11"/>
  <c r="N94" i="11"/>
  <c r="M94" i="11"/>
  <c r="L94" i="11"/>
  <c r="K94" i="11"/>
  <c r="I94" i="11"/>
  <c r="F94" i="11"/>
  <c r="E94" i="11"/>
  <c r="D94" i="11"/>
  <c r="C94" i="11"/>
  <c r="B94" i="11" s="1"/>
  <c r="R93" i="11"/>
  <c r="N93" i="11"/>
  <c r="M93" i="11"/>
  <c r="L93" i="11"/>
  <c r="K93" i="11"/>
  <c r="I93" i="11"/>
  <c r="F93" i="11"/>
  <c r="E93" i="11"/>
  <c r="D93" i="11"/>
  <c r="C93" i="11"/>
  <c r="B93" i="11" s="1"/>
  <c r="R92" i="11"/>
  <c r="N92" i="11"/>
  <c r="M92" i="11"/>
  <c r="L92" i="11"/>
  <c r="K92" i="11"/>
  <c r="I92" i="11"/>
  <c r="F92" i="11"/>
  <c r="E92" i="11"/>
  <c r="D92" i="11"/>
  <c r="C92" i="11"/>
  <c r="B92" i="11" s="1"/>
  <c r="R91" i="11"/>
  <c r="N91" i="11"/>
  <c r="M91" i="11"/>
  <c r="L91" i="11"/>
  <c r="K91" i="11"/>
  <c r="I91" i="11"/>
  <c r="F91" i="11"/>
  <c r="E91" i="11"/>
  <c r="D91" i="11"/>
  <c r="C91" i="11"/>
  <c r="B91" i="11" s="1"/>
  <c r="R90" i="11"/>
  <c r="N90" i="11"/>
  <c r="M90" i="11"/>
  <c r="L90" i="11"/>
  <c r="K90" i="11"/>
  <c r="I90" i="11"/>
  <c r="F90" i="11"/>
  <c r="E90" i="11"/>
  <c r="D90" i="11"/>
  <c r="C90" i="11"/>
  <c r="B90" i="11" s="1"/>
  <c r="R89" i="11"/>
  <c r="N89" i="11"/>
  <c r="M89" i="11"/>
  <c r="L89" i="11"/>
  <c r="K89" i="11"/>
  <c r="I89" i="11"/>
  <c r="F89" i="11"/>
  <c r="E89" i="11"/>
  <c r="D89" i="11"/>
  <c r="C89" i="11"/>
  <c r="B89" i="11" s="1"/>
  <c r="R88" i="11"/>
  <c r="N88" i="11"/>
  <c r="M88" i="11"/>
  <c r="L88" i="11"/>
  <c r="K88" i="11"/>
  <c r="I88" i="11"/>
  <c r="F88" i="11"/>
  <c r="E88" i="11"/>
  <c r="D88" i="11"/>
  <c r="C88" i="11"/>
  <c r="B88" i="11" s="1"/>
  <c r="R87" i="11"/>
  <c r="N87" i="11"/>
  <c r="M87" i="11"/>
  <c r="L87" i="11"/>
  <c r="K87" i="11"/>
  <c r="I87" i="11"/>
  <c r="F87" i="11"/>
  <c r="E87" i="11"/>
  <c r="D87" i="11"/>
  <c r="C87" i="11"/>
  <c r="B87" i="11" s="1"/>
  <c r="R86" i="11"/>
  <c r="N86" i="11"/>
  <c r="M86" i="11"/>
  <c r="L86" i="11"/>
  <c r="K86" i="11"/>
  <c r="I86" i="11"/>
  <c r="F86" i="11"/>
  <c r="E86" i="11"/>
  <c r="D86" i="11"/>
  <c r="C86" i="11"/>
  <c r="B86" i="11" s="1"/>
  <c r="R85" i="11"/>
  <c r="N85" i="11"/>
  <c r="M85" i="11"/>
  <c r="L85" i="11"/>
  <c r="K85" i="11"/>
  <c r="I85" i="11"/>
  <c r="F85" i="11"/>
  <c r="E85" i="11"/>
  <c r="D85" i="11"/>
  <c r="C85" i="11"/>
  <c r="B85" i="11" s="1"/>
  <c r="R84" i="11"/>
  <c r="N84" i="11"/>
  <c r="M84" i="11"/>
  <c r="L84" i="11"/>
  <c r="K84" i="11"/>
  <c r="I84" i="11"/>
  <c r="F84" i="11"/>
  <c r="E84" i="11"/>
  <c r="D84" i="11"/>
  <c r="C84" i="11"/>
  <c r="B84" i="11" s="1"/>
  <c r="R83" i="11"/>
  <c r="N83" i="11"/>
  <c r="M83" i="11"/>
  <c r="L83" i="11"/>
  <c r="K83" i="11"/>
  <c r="I83" i="11"/>
  <c r="F83" i="11"/>
  <c r="E83" i="11"/>
  <c r="D83" i="11"/>
  <c r="C83" i="11"/>
  <c r="B83" i="11" s="1"/>
  <c r="R82" i="11"/>
  <c r="N82" i="11"/>
  <c r="M82" i="11"/>
  <c r="L82" i="11"/>
  <c r="K82" i="11"/>
  <c r="I82" i="11"/>
  <c r="F82" i="11"/>
  <c r="E82" i="11"/>
  <c r="D82" i="11"/>
  <c r="C82" i="11"/>
  <c r="B82" i="11" s="1"/>
  <c r="R81" i="11"/>
  <c r="N81" i="11"/>
  <c r="M81" i="11"/>
  <c r="L81" i="11"/>
  <c r="K81" i="11"/>
  <c r="I81" i="11"/>
  <c r="F81" i="11"/>
  <c r="E81" i="11"/>
  <c r="D81" i="11"/>
  <c r="C81" i="11"/>
  <c r="B81" i="11" s="1"/>
  <c r="R80" i="11"/>
  <c r="N80" i="11"/>
  <c r="M80" i="11"/>
  <c r="L80" i="11"/>
  <c r="K80" i="11"/>
  <c r="I80" i="11"/>
  <c r="F80" i="11"/>
  <c r="E80" i="11"/>
  <c r="D80" i="11"/>
  <c r="C80" i="11"/>
  <c r="B80" i="11" s="1"/>
  <c r="R79" i="11"/>
  <c r="N79" i="11"/>
  <c r="M79" i="11"/>
  <c r="L79" i="11"/>
  <c r="K79" i="11"/>
  <c r="I79" i="11"/>
  <c r="F79" i="11"/>
  <c r="E79" i="11"/>
  <c r="D79" i="11"/>
  <c r="C79" i="11"/>
  <c r="B79" i="11" s="1"/>
  <c r="R78" i="11"/>
  <c r="N78" i="11"/>
  <c r="M78" i="11"/>
  <c r="L78" i="11"/>
  <c r="K78" i="11"/>
  <c r="I78" i="11"/>
  <c r="F78" i="11"/>
  <c r="E78" i="11"/>
  <c r="D78" i="11"/>
  <c r="C78" i="11"/>
  <c r="B78" i="11" s="1"/>
  <c r="R77" i="11"/>
  <c r="N77" i="11"/>
  <c r="M77" i="11"/>
  <c r="L77" i="11"/>
  <c r="K77" i="11"/>
  <c r="I77" i="11"/>
  <c r="F77" i="11"/>
  <c r="E77" i="11"/>
  <c r="D77" i="11"/>
  <c r="C77" i="11"/>
  <c r="B77" i="11" s="1"/>
  <c r="R76" i="11"/>
  <c r="N76" i="11"/>
  <c r="M76" i="11"/>
  <c r="L76" i="11"/>
  <c r="K76" i="11"/>
  <c r="I76" i="11"/>
  <c r="F76" i="11"/>
  <c r="E76" i="11"/>
  <c r="D76" i="11"/>
  <c r="C76" i="11"/>
  <c r="B76" i="11" s="1"/>
  <c r="R75" i="11"/>
  <c r="N75" i="11"/>
  <c r="M75" i="11"/>
  <c r="L75" i="11"/>
  <c r="K75" i="11"/>
  <c r="I75" i="11"/>
  <c r="F75" i="11"/>
  <c r="E75" i="11"/>
  <c r="D75" i="11"/>
  <c r="C75" i="11"/>
  <c r="B75" i="11" s="1"/>
  <c r="R74" i="11"/>
  <c r="N74" i="11"/>
  <c r="M74" i="11"/>
  <c r="L74" i="11"/>
  <c r="K74" i="11"/>
  <c r="I74" i="11"/>
  <c r="F74" i="11"/>
  <c r="E74" i="11"/>
  <c r="D74" i="11"/>
  <c r="C74" i="11"/>
  <c r="B74" i="11" s="1"/>
  <c r="R73" i="11"/>
  <c r="N73" i="11"/>
  <c r="M73" i="11"/>
  <c r="L73" i="11"/>
  <c r="K73" i="11"/>
  <c r="I73" i="11"/>
  <c r="F73" i="11"/>
  <c r="E73" i="11"/>
  <c r="D73" i="11"/>
  <c r="C73" i="11"/>
  <c r="B73" i="11" s="1"/>
  <c r="R72" i="11"/>
  <c r="N72" i="11"/>
  <c r="M72" i="11"/>
  <c r="L72" i="11"/>
  <c r="K72" i="11"/>
  <c r="I72" i="11"/>
  <c r="F72" i="11"/>
  <c r="E72" i="11"/>
  <c r="D72" i="11"/>
  <c r="C72" i="11"/>
  <c r="B72" i="11" s="1"/>
  <c r="R71" i="11"/>
  <c r="N71" i="11"/>
  <c r="M71" i="11"/>
  <c r="L71" i="11"/>
  <c r="K71" i="11"/>
  <c r="I71" i="11"/>
  <c r="F71" i="11"/>
  <c r="E71" i="11"/>
  <c r="D71" i="11"/>
  <c r="C71" i="11"/>
  <c r="B71" i="11" s="1"/>
  <c r="R70" i="11"/>
  <c r="N70" i="11"/>
  <c r="M70" i="11"/>
  <c r="L70" i="11"/>
  <c r="K70" i="11"/>
  <c r="I70" i="11"/>
  <c r="F70" i="11"/>
  <c r="E70" i="11"/>
  <c r="D70" i="11"/>
  <c r="C70" i="11"/>
  <c r="B70" i="11" s="1"/>
  <c r="R69" i="11"/>
  <c r="N69" i="11"/>
  <c r="M69" i="11"/>
  <c r="L69" i="11"/>
  <c r="K69" i="11"/>
  <c r="I69" i="11"/>
  <c r="F69" i="11"/>
  <c r="E69" i="11"/>
  <c r="D69" i="11"/>
  <c r="C69" i="11"/>
  <c r="B69" i="11" s="1"/>
  <c r="R68" i="11"/>
  <c r="N68" i="11"/>
  <c r="M68" i="11"/>
  <c r="L68" i="11"/>
  <c r="K68" i="11"/>
  <c r="I68" i="11"/>
  <c r="F68" i="11"/>
  <c r="E68" i="11"/>
  <c r="D68" i="11"/>
  <c r="C68" i="11"/>
  <c r="B68" i="11" s="1"/>
  <c r="R67" i="11"/>
  <c r="Q67" i="11"/>
  <c r="P67" i="11"/>
  <c r="O67" i="11"/>
  <c r="N67" i="11"/>
  <c r="M67" i="11"/>
  <c r="L67" i="11"/>
  <c r="K67" i="11"/>
  <c r="J67" i="11"/>
  <c r="I67" i="11"/>
  <c r="H67" i="11"/>
  <c r="G67" i="11"/>
  <c r="F67" i="11"/>
  <c r="E67" i="11"/>
  <c r="D67" i="11"/>
  <c r="C67" i="11"/>
  <c r="B67" i="11" s="1"/>
  <c r="R66" i="11"/>
  <c r="N66" i="11"/>
  <c r="M66" i="11"/>
  <c r="L66" i="11"/>
  <c r="K66" i="11"/>
  <c r="I66" i="11"/>
  <c r="F66" i="11"/>
  <c r="E66" i="11"/>
  <c r="D66" i="11"/>
  <c r="C66" i="11"/>
  <c r="B66" i="11" s="1"/>
  <c r="R65" i="11"/>
  <c r="N65" i="11"/>
  <c r="M65" i="11"/>
  <c r="L65" i="11"/>
  <c r="K65" i="11"/>
  <c r="I65" i="11"/>
  <c r="F65" i="11"/>
  <c r="E65" i="11"/>
  <c r="D65" i="11"/>
  <c r="C65" i="11"/>
  <c r="B65" i="11" s="1"/>
  <c r="R64" i="11"/>
  <c r="N64" i="11"/>
  <c r="M64" i="11"/>
  <c r="L64" i="11"/>
  <c r="K64" i="11"/>
  <c r="I64" i="11"/>
  <c r="F64" i="11"/>
  <c r="E64" i="11"/>
  <c r="D64" i="11"/>
  <c r="C64" i="11"/>
  <c r="B64" i="11" s="1"/>
  <c r="R63" i="11"/>
  <c r="N63" i="11"/>
  <c r="M63" i="11"/>
  <c r="L63" i="11"/>
  <c r="K63" i="11"/>
  <c r="I63" i="11"/>
  <c r="F63" i="11"/>
  <c r="E63" i="11"/>
  <c r="D63" i="11"/>
  <c r="C63" i="11"/>
  <c r="B63" i="11" s="1"/>
  <c r="R62" i="11"/>
  <c r="N62" i="11"/>
  <c r="M62" i="11"/>
  <c r="L62" i="11"/>
  <c r="K62" i="11"/>
  <c r="I62" i="11"/>
  <c r="F62" i="11"/>
  <c r="E62" i="11"/>
  <c r="D62" i="11"/>
  <c r="C62" i="11"/>
  <c r="B62" i="11" s="1"/>
  <c r="R61" i="11"/>
  <c r="N61" i="11"/>
  <c r="M61" i="11"/>
  <c r="L61" i="11"/>
  <c r="K61" i="11"/>
  <c r="I61" i="11"/>
  <c r="F61" i="11"/>
  <c r="E61" i="11"/>
  <c r="D61" i="11"/>
  <c r="C61" i="11"/>
  <c r="B61" i="11" s="1"/>
  <c r="R60" i="11"/>
  <c r="N60" i="11"/>
  <c r="M60" i="11"/>
  <c r="L60" i="11"/>
  <c r="K60" i="11"/>
  <c r="I60" i="11"/>
  <c r="F60" i="11"/>
  <c r="E60" i="11"/>
  <c r="D60" i="11"/>
  <c r="C60" i="11"/>
  <c r="B60" i="11" s="1"/>
  <c r="R59" i="11"/>
  <c r="N59" i="11"/>
  <c r="M59" i="11"/>
  <c r="L59" i="11"/>
  <c r="K59" i="11"/>
  <c r="I59" i="11"/>
  <c r="F59" i="11"/>
  <c r="E59" i="11"/>
  <c r="D59" i="11"/>
  <c r="C59" i="11"/>
  <c r="B59" i="11" s="1"/>
  <c r="R58" i="11"/>
  <c r="Q58" i="11"/>
  <c r="P58" i="11"/>
  <c r="O58" i="11"/>
  <c r="N58" i="11"/>
  <c r="M58" i="11"/>
  <c r="L58" i="11"/>
  <c r="K58" i="11"/>
  <c r="J58" i="11"/>
  <c r="I58" i="11"/>
  <c r="H58" i="11"/>
  <c r="G58" i="11"/>
  <c r="F58" i="11"/>
  <c r="E58" i="11"/>
  <c r="D58" i="11"/>
  <c r="C58" i="11"/>
  <c r="B58" i="11" s="1"/>
  <c r="R57" i="11"/>
  <c r="Q57" i="11"/>
  <c r="P57" i="11"/>
  <c r="O57" i="11"/>
  <c r="N57" i="11"/>
  <c r="M57" i="11"/>
  <c r="L57" i="11"/>
  <c r="K57" i="11"/>
  <c r="J57" i="11"/>
  <c r="H57" i="11"/>
  <c r="G57" i="11"/>
  <c r="F57" i="11"/>
  <c r="E57" i="11"/>
  <c r="D57" i="11"/>
  <c r="C57" i="11"/>
  <c r="B57" i="11" s="1"/>
  <c r="R56" i="11"/>
  <c r="N56" i="11"/>
  <c r="M56" i="11"/>
  <c r="L56" i="11"/>
  <c r="K56" i="11"/>
  <c r="I56" i="11"/>
  <c r="F56" i="11"/>
  <c r="E56" i="11"/>
  <c r="D56" i="11"/>
  <c r="C56" i="11"/>
  <c r="B56" i="11" s="1"/>
  <c r="R55" i="11"/>
  <c r="N55" i="11"/>
  <c r="M55" i="11"/>
  <c r="L55" i="11"/>
  <c r="K55" i="11"/>
  <c r="I55" i="11"/>
  <c r="F55" i="11"/>
  <c r="E55" i="11"/>
  <c r="D55" i="11"/>
  <c r="C55" i="11"/>
  <c r="B55" i="11" s="1"/>
  <c r="R54" i="11"/>
  <c r="N54" i="11"/>
  <c r="M54" i="11"/>
  <c r="L54" i="11"/>
  <c r="K54" i="11"/>
  <c r="I54" i="11"/>
  <c r="F54" i="11"/>
  <c r="E54" i="11"/>
  <c r="D54" i="11"/>
  <c r="C54" i="11"/>
  <c r="B54" i="11" s="1"/>
  <c r="R53" i="11"/>
  <c r="N53" i="11"/>
  <c r="M53" i="11"/>
  <c r="L53" i="11"/>
  <c r="K53" i="11"/>
  <c r="I53" i="11"/>
  <c r="F53" i="11"/>
  <c r="E53" i="11"/>
  <c r="D53" i="11"/>
  <c r="C53" i="11"/>
  <c r="B53" i="11" s="1"/>
  <c r="R52" i="11"/>
  <c r="N52" i="11"/>
  <c r="M52" i="11"/>
  <c r="L52" i="11"/>
  <c r="K52" i="11"/>
  <c r="I52" i="11"/>
  <c r="F52" i="11"/>
  <c r="E52" i="11"/>
  <c r="D52" i="11"/>
  <c r="C52" i="11"/>
  <c r="B52" i="11" s="1"/>
  <c r="R51" i="11"/>
  <c r="N51" i="11"/>
  <c r="M51" i="11"/>
  <c r="L51" i="11"/>
  <c r="K51" i="11"/>
  <c r="I51" i="11"/>
  <c r="F51" i="11"/>
  <c r="E51" i="11"/>
  <c r="D51" i="11"/>
  <c r="C51" i="11"/>
  <c r="B51" i="11" s="1"/>
  <c r="R50" i="11"/>
  <c r="N50" i="11"/>
  <c r="M50" i="11"/>
  <c r="L50" i="11"/>
  <c r="K50" i="11"/>
  <c r="I50" i="11"/>
  <c r="F50" i="11"/>
  <c r="E50" i="11"/>
  <c r="D50" i="11"/>
  <c r="C50" i="11"/>
  <c r="B50" i="11" s="1"/>
  <c r="R49" i="11"/>
  <c r="N49" i="11"/>
  <c r="M49" i="11"/>
  <c r="L49" i="11"/>
  <c r="K49" i="11"/>
  <c r="I49" i="11"/>
  <c r="F49" i="11"/>
  <c r="E49" i="11"/>
  <c r="D49" i="11"/>
  <c r="C49" i="11"/>
  <c r="B49" i="11" s="1"/>
  <c r="R48" i="11"/>
  <c r="N48" i="11"/>
  <c r="M48" i="11"/>
  <c r="L48" i="11"/>
  <c r="K48" i="11"/>
  <c r="I48" i="11"/>
  <c r="F48" i="11"/>
  <c r="E48" i="11"/>
  <c r="D48" i="11"/>
  <c r="C48" i="11"/>
  <c r="B48" i="11" s="1"/>
  <c r="R47" i="11"/>
  <c r="N47" i="11"/>
  <c r="M47" i="11"/>
  <c r="L47" i="11"/>
  <c r="K47" i="11"/>
  <c r="I47" i="11"/>
  <c r="F47" i="11"/>
  <c r="E47" i="11"/>
  <c r="D47" i="11"/>
  <c r="C47" i="11"/>
  <c r="B47" i="11" s="1"/>
  <c r="R46" i="11"/>
  <c r="N46" i="11"/>
  <c r="M46" i="11"/>
  <c r="L46" i="11"/>
  <c r="K46" i="11"/>
  <c r="I46" i="11"/>
  <c r="F46" i="11"/>
  <c r="E46" i="11"/>
  <c r="D46" i="11"/>
  <c r="C46" i="11"/>
  <c r="B46" i="11" s="1"/>
  <c r="R45" i="11"/>
  <c r="N45" i="11"/>
  <c r="M45" i="11"/>
  <c r="L45" i="11"/>
  <c r="K45" i="11"/>
  <c r="I45" i="11"/>
  <c r="F45" i="11"/>
  <c r="E45" i="11"/>
  <c r="D45" i="11"/>
  <c r="C45" i="11"/>
  <c r="B45" i="11" s="1"/>
  <c r="R44" i="11"/>
  <c r="N44" i="11"/>
  <c r="M44" i="11"/>
  <c r="L44" i="11"/>
  <c r="K44" i="11"/>
  <c r="I44" i="11"/>
  <c r="F44" i="11"/>
  <c r="E44" i="11"/>
  <c r="D44" i="11"/>
  <c r="C44" i="11"/>
  <c r="B44" i="11" s="1"/>
  <c r="R43" i="11"/>
  <c r="N43" i="11"/>
  <c r="M43" i="11"/>
  <c r="L43" i="11"/>
  <c r="K43" i="11"/>
  <c r="I43" i="11"/>
  <c r="F43" i="11"/>
  <c r="E43" i="11"/>
  <c r="D43" i="11"/>
  <c r="C43" i="11"/>
  <c r="B43" i="11" s="1"/>
  <c r="R42" i="11"/>
  <c r="N42" i="11"/>
  <c r="M42" i="11"/>
  <c r="L42" i="11"/>
  <c r="K42" i="11"/>
  <c r="I42" i="11"/>
  <c r="F42" i="11"/>
  <c r="E42" i="11"/>
  <c r="D42" i="11"/>
  <c r="C42" i="11"/>
  <c r="B42" i="11" s="1"/>
  <c r="R41" i="11"/>
  <c r="N41" i="11"/>
  <c r="M41" i="11"/>
  <c r="L41" i="11"/>
  <c r="K41" i="11"/>
  <c r="I41" i="11"/>
  <c r="F41" i="11"/>
  <c r="E41" i="11"/>
  <c r="D41" i="11"/>
  <c r="C41" i="11"/>
  <c r="B41" i="11" s="1"/>
  <c r="R40" i="11"/>
  <c r="N40" i="11"/>
  <c r="M40" i="11"/>
  <c r="L40" i="11"/>
  <c r="K40" i="11"/>
  <c r="I40" i="11"/>
  <c r="F40" i="11"/>
  <c r="E40" i="11"/>
  <c r="D40" i="11"/>
  <c r="C40" i="11"/>
  <c r="B40" i="11" s="1"/>
  <c r="R39" i="11"/>
  <c r="N39" i="11"/>
  <c r="M39" i="11"/>
  <c r="L39" i="11"/>
  <c r="K39" i="11"/>
  <c r="I39" i="11"/>
  <c r="F39" i="11"/>
  <c r="E39" i="11"/>
  <c r="D39" i="11"/>
  <c r="C39" i="11"/>
  <c r="B39" i="11" s="1"/>
  <c r="R38" i="11"/>
  <c r="N38" i="11"/>
  <c r="M38" i="11"/>
  <c r="L38" i="11"/>
  <c r="K38" i="11"/>
  <c r="I38" i="11"/>
  <c r="F38" i="11"/>
  <c r="E38" i="11"/>
  <c r="D38" i="11"/>
  <c r="C38" i="11"/>
  <c r="B38" i="11" s="1"/>
  <c r="R37" i="11"/>
  <c r="N37" i="11"/>
  <c r="M37" i="11"/>
  <c r="L37" i="11"/>
  <c r="K37" i="11"/>
  <c r="I37" i="11"/>
  <c r="F37" i="11"/>
  <c r="E37" i="11"/>
  <c r="D37" i="11"/>
  <c r="C37" i="11"/>
  <c r="B37" i="11" s="1"/>
  <c r="R36" i="11"/>
  <c r="N36" i="11"/>
  <c r="M36" i="11"/>
  <c r="L36" i="11"/>
  <c r="K36" i="11"/>
  <c r="I36" i="11"/>
  <c r="F36" i="11"/>
  <c r="E36" i="11"/>
  <c r="D36" i="11"/>
  <c r="C36" i="11"/>
  <c r="B36" i="11" s="1"/>
  <c r="R35" i="11"/>
  <c r="N35" i="11"/>
  <c r="M35" i="11"/>
  <c r="L35" i="11"/>
  <c r="K35" i="11"/>
  <c r="I35" i="11"/>
  <c r="F35" i="11"/>
  <c r="E35" i="11"/>
  <c r="D35" i="11"/>
  <c r="C35" i="11"/>
  <c r="B35" i="11" s="1"/>
  <c r="R34" i="11"/>
  <c r="N34" i="11"/>
  <c r="M34" i="11"/>
  <c r="L34" i="11"/>
  <c r="K34" i="11"/>
  <c r="I34" i="11"/>
  <c r="F34" i="11"/>
  <c r="E34" i="11"/>
  <c r="D34" i="11"/>
  <c r="C34" i="11"/>
  <c r="B34" i="11" s="1"/>
  <c r="R33" i="11"/>
  <c r="Q33" i="11"/>
  <c r="P33" i="11"/>
  <c r="O33" i="11"/>
  <c r="N33" i="11"/>
  <c r="M33" i="11"/>
  <c r="L33" i="11"/>
  <c r="K33" i="11"/>
  <c r="J33" i="11"/>
  <c r="I33" i="11"/>
  <c r="H33" i="11"/>
  <c r="G33" i="11"/>
  <c r="F33" i="11"/>
  <c r="E33" i="11"/>
  <c r="D33" i="11"/>
  <c r="C33" i="11"/>
  <c r="B33" i="11" s="1"/>
  <c r="R32" i="11"/>
  <c r="Q32" i="11"/>
  <c r="P32" i="11"/>
  <c r="O32" i="11"/>
  <c r="N32" i="11"/>
  <c r="M32" i="11"/>
  <c r="L32" i="11"/>
  <c r="K32" i="11"/>
  <c r="J32" i="11"/>
  <c r="H32" i="11"/>
  <c r="G32" i="11"/>
  <c r="F32" i="11"/>
  <c r="E32" i="11"/>
  <c r="D32" i="11"/>
  <c r="C32" i="11"/>
  <c r="B32" i="11" s="1"/>
  <c r="R31" i="11"/>
  <c r="N31" i="11"/>
  <c r="M31" i="11"/>
  <c r="L31" i="11"/>
  <c r="K31" i="11"/>
  <c r="I31" i="11"/>
  <c r="F31" i="11"/>
  <c r="E31" i="11"/>
  <c r="D31" i="11"/>
  <c r="C31" i="11"/>
  <c r="B31" i="11" s="1"/>
  <c r="R30" i="11"/>
  <c r="N30" i="11"/>
  <c r="M30" i="11"/>
  <c r="L30" i="11"/>
  <c r="K30" i="11"/>
  <c r="I30" i="11"/>
  <c r="F30" i="11"/>
  <c r="E30" i="11"/>
  <c r="D30" i="11"/>
  <c r="C30" i="11"/>
  <c r="B30" i="11" s="1"/>
  <c r="R29" i="11"/>
  <c r="N29" i="11"/>
  <c r="M29" i="11"/>
  <c r="L29" i="11"/>
  <c r="K29" i="11"/>
  <c r="I29" i="11"/>
  <c r="F29" i="11"/>
  <c r="E29" i="11"/>
  <c r="D29" i="11"/>
  <c r="C29" i="11"/>
  <c r="B29" i="11" s="1"/>
  <c r="R28" i="11"/>
  <c r="N28" i="11"/>
  <c r="M28" i="11"/>
  <c r="L28" i="11"/>
  <c r="K28" i="11"/>
  <c r="I28" i="11"/>
  <c r="F28" i="11"/>
  <c r="E28" i="11"/>
  <c r="D28" i="11"/>
  <c r="C28" i="11"/>
  <c r="B28" i="11" s="1"/>
  <c r="R27" i="11"/>
  <c r="N27" i="11"/>
  <c r="M27" i="11"/>
  <c r="L27" i="11"/>
  <c r="K27" i="11"/>
  <c r="I27" i="11"/>
  <c r="F27" i="11"/>
  <c r="E27" i="11"/>
  <c r="D27" i="11"/>
  <c r="C27" i="11"/>
  <c r="B27" i="11" s="1"/>
  <c r="R26" i="11"/>
  <c r="N26" i="11"/>
  <c r="M26" i="11"/>
  <c r="L26" i="11"/>
  <c r="K26" i="11"/>
  <c r="I26" i="11"/>
  <c r="F26" i="11"/>
  <c r="E26" i="11"/>
  <c r="D26" i="11"/>
  <c r="C26" i="11"/>
  <c r="B26" i="11" s="1"/>
  <c r="R25" i="11"/>
  <c r="N25" i="11"/>
  <c r="M25" i="11"/>
  <c r="L25" i="11"/>
  <c r="K25" i="11"/>
  <c r="I25" i="11"/>
  <c r="F25" i="11"/>
  <c r="E25" i="11"/>
  <c r="D25" i="11"/>
  <c r="C25" i="11"/>
  <c r="B25" i="11" s="1"/>
  <c r="R24" i="11"/>
  <c r="N24" i="11"/>
  <c r="M24" i="11"/>
  <c r="L24" i="11"/>
  <c r="K24" i="11"/>
  <c r="I24" i="11"/>
  <c r="F24" i="11"/>
  <c r="E24" i="11"/>
  <c r="D24" i="11"/>
  <c r="C24" i="11"/>
  <c r="B24" i="11" s="1"/>
  <c r="R23" i="11"/>
  <c r="N23" i="11"/>
  <c r="M23" i="11"/>
  <c r="L23" i="11"/>
  <c r="K23" i="11"/>
  <c r="I23" i="11"/>
  <c r="F23" i="11"/>
  <c r="E23" i="11"/>
  <c r="D23" i="11"/>
  <c r="C23" i="11"/>
  <c r="B23" i="11" s="1"/>
  <c r="R22" i="11"/>
  <c r="N22" i="11"/>
  <c r="M22" i="11"/>
  <c r="L22" i="11"/>
  <c r="K22" i="11"/>
  <c r="I22" i="11"/>
  <c r="F22" i="11"/>
  <c r="E22" i="11"/>
  <c r="D22" i="11"/>
  <c r="C22" i="11"/>
  <c r="B22" i="11" s="1"/>
  <c r="R21" i="11"/>
  <c r="Q21" i="11"/>
  <c r="P21" i="11"/>
  <c r="O21" i="11"/>
  <c r="N21" i="11"/>
  <c r="M21" i="11"/>
  <c r="L21" i="11"/>
  <c r="K21" i="11"/>
  <c r="J21" i="11"/>
  <c r="I21" i="11"/>
  <c r="H21" i="11"/>
  <c r="G21" i="11"/>
  <c r="F21" i="11"/>
  <c r="E21" i="11"/>
  <c r="D21" i="11"/>
  <c r="C21" i="11"/>
  <c r="B21" i="11" s="1"/>
  <c r="R20" i="11"/>
  <c r="Q20" i="11"/>
  <c r="P20" i="11"/>
  <c r="O20" i="11"/>
  <c r="N20" i="11"/>
  <c r="M20" i="11"/>
  <c r="L20" i="11"/>
  <c r="K20" i="11"/>
  <c r="J20" i="11"/>
  <c r="H20" i="11"/>
  <c r="G20" i="11"/>
  <c r="F20" i="11"/>
  <c r="E20" i="11"/>
  <c r="D20" i="11"/>
  <c r="C20" i="11"/>
  <c r="B20" i="11" s="1"/>
  <c r="R19" i="11"/>
  <c r="N19" i="11"/>
  <c r="M19" i="11"/>
  <c r="L19" i="11"/>
  <c r="K19" i="11"/>
  <c r="I19" i="11"/>
  <c r="F19" i="11"/>
  <c r="E19" i="11"/>
  <c r="D19" i="11"/>
  <c r="C19" i="11"/>
  <c r="B19" i="11" s="1"/>
  <c r="R18" i="11"/>
  <c r="N18" i="11"/>
  <c r="M18" i="11"/>
  <c r="L18" i="11"/>
  <c r="K18" i="11"/>
  <c r="I18" i="11"/>
  <c r="F18" i="11"/>
  <c r="E18" i="11"/>
  <c r="D18" i="11"/>
  <c r="C18" i="11"/>
  <c r="B18" i="11" s="1"/>
  <c r="R17" i="11"/>
  <c r="N17" i="11"/>
  <c r="M17" i="11"/>
  <c r="L17" i="11"/>
  <c r="K17" i="11"/>
  <c r="I17" i="11"/>
  <c r="F17" i="11"/>
  <c r="E17" i="11"/>
  <c r="D17" i="11"/>
  <c r="C17" i="11"/>
  <c r="B17" i="11" s="1"/>
  <c r="R16" i="11"/>
  <c r="N16" i="11"/>
  <c r="M16" i="11"/>
  <c r="L16" i="11"/>
  <c r="K16" i="11"/>
  <c r="I16" i="11"/>
  <c r="F16" i="11"/>
  <c r="E16" i="11"/>
  <c r="D16" i="11"/>
  <c r="C16" i="11"/>
  <c r="B16" i="11" s="1"/>
  <c r="R15" i="11"/>
  <c r="N15" i="11"/>
  <c r="M15" i="11"/>
  <c r="L15" i="11"/>
  <c r="K15" i="11"/>
  <c r="I15" i="11"/>
  <c r="F15" i="11"/>
  <c r="E15" i="11"/>
  <c r="D15" i="11"/>
  <c r="C15" i="11"/>
  <c r="B15" i="11" s="1"/>
  <c r="R14" i="11"/>
  <c r="N14" i="11"/>
  <c r="M14" i="11"/>
  <c r="L14" i="11"/>
  <c r="K14" i="11"/>
  <c r="I14" i="11"/>
  <c r="F14" i="11"/>
  <c r="E14" i="11"/>
  <c r="D14" i="11"/>
  <c r="C14" i="11"/>
  <c r="B14" i="11" s="1"/>
  <c r="R13" i="11"/>
  <c r="N13" i="11"/>
  <c r="M13" i="11"/>
  <c r="L13" i="11"/>
  <c r="K13" i="11"/>
  <c r="I13" i="11"/>
  <c r="F13" i="11"/>
  <c r="E13" i="11"/>
  <c r="D13" i="11"/>
  <c r="C13" i="11"/>
  <c r="B13" i="11" s="1"/>
  <c r="A13" i="11"/>
  <c r="A23" i="11" s="1"/>
  <c r="R12" i="11"/>
  <c r="N12" i="11"/>
  <c r="M12" i="11"/>
  <c r="L12" i="11"/>
  <c r="K12" i="11"/>
  <c r="I12" i="11"/>
  <c r="F12" i="11"/>
  <c r="E12" i="11"/>
  <c r="D12" i="11"/>
  <c r="C12" i="11"/>
  <c r="B12" i="11" s="1"/>
  <c r="R11" i="11"/>
  <c r="Q11" i="11"/>
  <c r="P11" i="11"/>
  <c r="O11" i="11"/>
  <c r="N11" i="11"/>
  <c r="M11" i="11"/>
  <c r="L11" i="11"/>
  <c r="K11" i="11"/>
  <c r="J11" i="11"/>
  <c r="I11" i="11"/>
  <c r="H11" i="11"/>
  <c r="G11" i="11"/>
  <c r="F11" i="11"/>
  <c r="E11" i="11"/>
  <c r="D11" i="11"/>
  <c r="C11" i="11"/>
  <c r="B11" i="11" s="1"/>
  <c r="R10" i="11"/>
  <c r="Q10" i="11"/>
  <c r="P10" i="11"/>
  <c r="O10" i="11"/>
  <c r="N10" i="11"/>
  <c r="M10" i="11"/>
  <c r="L10" i="11"/>
  <c r="K10" i="11"/>
  <c r="J10" i="11"/>
  <c r="H10" i="11"/>
  <c r="G10" i="11"/>
  <c r="F10" i="11"/>
  <c r="E10" i="11"/>
  <c r="D10" i="11"/>
  <c r="C10" i="11"/>
  <c r="B10" i="11" s="1"/>
  <c r="R9" i="11"/>
  <c r="N9" i="11"/>
  <c r="M9" i="11"/>
  <c r="L9" i="11"/>
  <c r="K9" i="11"/>
  <c r="I9" i="11"/>
  <c r="F9" i="11"/>
  <c r="E9" i="11"/>
  <c r="D9" i="11"/>
  <c r="C9" i="11"/>
  <c r="B9" i="11" s="1"/>
  <c r="R8" i="11"/>
  <c r="N8" i="11"/>
  <c r="M8" i="11"/>
  <c r="L8" i="11"/>
  <c r="K8" i="11"/>
  <c r="I8" i="11"/>
  <c r="F8" i="11"/>
  <c r="E8" i="11"/>
  <c r="D8" i="11"/>
  <c r="C8" i="11"/>
  <c r="B8" i="11" s="1"/>
  <c r="R7" i="11"/>
  <c r="N7" i="11"/>
  <c r="M7" i="11"/>
  <c r="L7" i="11"/>
  <c r="K7" i="11"/>
  <c r="I7" i="11"/>
  <c r="F7" i="11"/>
  <c r="E7" i="11"/>
  <c r="D7" i="11"/>
  <c r="C7" i="11"/>
  <c r="B7" i="11" s="1"/>
  <c r="R6" i="11"/>
  <c r="N6" i="11"/>
  <c r="M6" i="11"/>
  <c r="L6" i="11"/>
  <c r="K6" i="11"/>
  <c r="I6" i="11"/>
  <c r="F6" i="11"/>
  <c r="E6" i="11"/>
  <c r="D6" i="11"/>
  <c r="C6" i="11"/>
  <c r="B6" i="11" s="1"/>
  <c r="R5" i="11"/>
  <c r="N5" i="11"/>
  <c r="M5" i="11"/>
  <c r="L5" i="11"/>
  <c r="K5" i="11"/>
  <c r="I5" i="11"/>
  <c r="F5" i="11"/>
  <c r="E5" i="11"/>
  <c r="D5" i="11"/>
  <c r="C5" i="11"/>
  <c r="B5" i="11" s="1"/>
  <c r="R4" i="11"/>
  <c r="N4" i="11"/>
  <c r="M4" i="11"/>
  <c r="L4" i="11"/>
  <c r="K4" i="11"/>
  <c r="I4" i="11"/>
  <c r="F4" i="11"/>
  <c r="E4" i="11"/>
  <c r="D4" i="11"/>
  <c r="C4" i="11"/>
  <c r="B4" i="11" s="1"/>
  <c r="A4" i="11"/>
  <c r="A14" i="11" s="1"/>
  <c r="A24" i="11" s="1"/>
  <c r="R3" i="11"/>
  <c r="N3" i="11"/>
  <c r="M3" i="11"/>
  <c r="L3" i="11"/>
  <c r="K3" i="11"/>
  <c r="I3" i="11"/>
  <c r="F3" i="11"/>
  <c r="E3" i="11"/>
  <c r="D3" i="11"/>
  <c r="C3" i="11"/>
  <c r="B3" i="11" s="1"/>
  <c r="D16" i="5"/>
  <c r="D15" i="5"/>
  <c r="E10" i="5"/>
  <c r="E9" i="5"/>
  <c r="F18" i="5" s="1"/>
  <c r="E7" i="5"/>
  <c r="A4" i="2"/>
  <c r="T92" i="8"/>
  <c r="T91" i="8"/>
  <c r="T90" i="8"/>
  <c r="T89" i="8"/>
  <c r="T88" i="8"/>
  <c r="T87" i="8"/>
  <c r="T85" i="8"/>
  <c r="T84" i="8"/>
  <c r="T83" i="8"/>
  <c r="T82" i="8"/>
  <c r="T81" i="8"/>
  <c r="T80" i="8"/>
  <c r="T78" i="8"/>
  <c r="T77" i="8"/>
  <c r="T76" i="8"/>
  <c r="T75" i="8"/>
  <c r="T74" i="8"/>
  <c r="T73" i="8"/>
  <c r="T71" i="8"/>
  <c r="T70" i="8"/>
  <c r="T69" i="8"/>
  <c r="T68" i="8"/>
  <c r="T67" i="8"/>
  <c r="T66" i="8"/>
  <c r="T64" i="8"/>
  <c r="T63" i="8"/>
  <c r="T62" i="8"/>
  <c r="T61" i="8"/>
  <c r="T60" i="8"/>
  <c r="T59" i="8"/>
  <c r="T57" i="8"/>
  <c r="T56" i="8"/>
  <c r="T55" i="8"/>
  <c r="T54" i="8"/>
  <c r="T53" i="8"/>
  <c r="T52" i="8"/>
  <c r="T50" i="8"/>
  <c r="T49" i="8"/>
  <c r="T48" i="8"/>
  <c r="T47" i="8"/>
  <c r="T46" i="8"/>
  <c r="T45" i="8"/>
  <c r="T34" i="8"/>
  <c r="T33" i="8"/>
  <c r="T32" i="8"/>
  <c r="T31" i="8"/>
  <c r="T30" i="8"/>
  <c r="T29" i="8"/>
  <c r="T28" i="8"/>
  <c r="T27" i="8"/>
  <c r="T26" i="8"/>
  <c r="T25" i="8"/>
  <c r="T24" i="8"/>
  <c r="T23" i="8"/>
  <c r="T22" i="8"/>
  <c r="T21" i="8"/>
  <c r="T20" i="8"/>
  <c r="T19" i="8"/>
  <c r="T18" i="8"/>
  <c r="T17" i="8"/>
  <c r="T16" i="8"/>
  <c r="T15" i="8"/>
  <c r="T14" i="8"/>
  <c r="T13" i="8"/>
  <c r="T12" i="8"/>
  <c r="T11" i="8"/>
  <c r="T10" i="8"/>
  <c r="T9" i="8"/>
  <c r="T8" i="8"/>
  <c r="T7" i="8"/>
  <c r="T6" i="8"/>
  <c r="T35" i="8" s="1"/>
  <c r="A2" i="8"/>
  <c r="AR35" i="4"/>
  <c r="AQ35" i="4"/>
  <c r="AP35" i="4"/>
  <c r="AO35" i="4"/>
  <c r="AN35" i="4"/>
  <c r="AM35" i="4"/>
  <c r="AL35" i="4"/>
  <c r="AK35" i="4"/>
  <c r="AE35" i="4"/>
  <c r="AD35" i="4"/>
  <c r="AC35" i="4"/>
  <c r="AB35" i="4"/>
  <c r="AA35" i="4"/>
  <c r="Z35" i="4"/>
  <c r="Y35" i="4"/>
  <c r="X35" i="4"/>
  <c r="X33" i="4"/>
  <c r="AU29" i="4"/>
  <c r="AT29" i="4"/>
  <c r="AH29" i="4"/>
  <c r="AG29" i="4"/>
  <c r="AU28" i="4"/>
  <c r="AT28" i="4"/>
  <c r="AH28" i="4"/>
  <c r="AG28" i="4"/>
  <c r="BF27" i="4"/>
  <c r="AU27" i="4"/>
  <c r="AT27" i="4"/>
  <c r="AS27" i="4"/>
  <c r="AH27" i="4"/>
  <c r="AG27" i="4"/>
  <c r="AF27" i="4"/>
  <c r="U27" i="4"/>
  <c r="J27" i="4"/>
  <c r="AU25" i="4"/>
  <c r="AT25" i="4"/>
  <c r="AH25" i="4"/>
  <c r="AG25" i="4"/>
  <c r="AU24" i="4"/>
  <c r="AT24" i="4"/>
  <c r="AH24" i="4"/>
  <c r="AG24" i="4"/>
  <c r="AU23" i="4"/>
  <c r="AT23" i="4"/>
  <c r="AH23" i="4"/>
  <c r="AG23" i="4"/>
  <c r="AU21" i="4"/>
  <c r="AT21" i="4"/>
  <c r="AH21" i="4"/>
  <c r="AG21" i="4"/>
  <c r="AU20" i="4"/>
  <c r="AT20" i="4"/>
  <c r="AH20" i="4"/>
  <c r="AG20" i="4"/>
  <c r="AU19" i="4"/>
  <c r="AT19" i="4"/>
  <c r="AH19" i="4"/>
  <c r="AG19" i="4"/>
  <c r="AU17" i="4"/>
  <c r="AT17" i="4"/>
  <c r="AH17" i="4"/>
  <c r="AG17" i="4"/>
  <c r="AU16" i="4"/>
  <c r="AT16" i="4"/>
  <c r="AH16" i="4"/>
  <c r="AG16" i="4"/>
  <c r="AU15" i="4"/>
  <c r="AT15" i="4"/>
  <c r="AH15" i="4"/>
  <c r="AG15" i="4"/>
  <c r="AU14" i="4"/>
  <c r="AT14" i="4"/>
  <c r="AH14" i="4"/>
  <c r="AG14" i="4"/>
  <c r="AU12" i="4"/>
  <c r="AT12" i="4"/>
  <c r="AH12" i="4"/>
  <c r="AG12" i="4"/>
  <c r="AU10" i="4"/>
  <c r="AT10" i="4"/>
  <c r="AH10" i="4"/>
  <c r="AG10" i="4"/>
  <c r="AU9" i="4"/>
  <c r="AT9" i="4"/>
  <c r="AH9" i="4"/>
  <c r="AG9" i="4"/>
  <c r="AU7" i="4"/>
  <c r="AT7" i="4"/>
  <c r="AH7" i="4"/>
  <c r="AG7" i="4"/>
  <c r="AU6" i="4"/>
  <c r="AT6" i="4"/>
  <c r="AH6" i="4"/>
  <c r="AG6" i="4"/>
  <c r="AU5" i="4"/>
  <c r="AT5" i="4"/>
  <c r="AH5" i="4"/>
  <c r="AG5" i="4"/>
  <c r="AU4" i="4"/>
  <c r="AT4" i="4"/>
  <c r="AH4" i="4"/>
  <c r="AG4" i="4"/>
  <c r="AU3" i="4"/>
  <c r="AT3" i="4"/>
  <c r="AH3" i="4"/>
  <c r="AG3" i="4"/>
  <c r="AU2" i="4"/>
  <c r="AT2" i="4"/>
  <c r="AH2" i="4"/>
  <c r="AG2" i="4"/>
  <c r="G254" i="42"/>
  <c r="F254" i="42"/>
  <c r="E254" i="42"/>
  <c r="D254" i="42"/>
  <c r="C254" i="42"/>
  <c r="B254" i="42"/>
  <c r="A254" i="42"/>
  <c r="G253" i="42"/>
  <c r="F253" i="42"/>
  <c r="E253" i="42"/>
  <c r="D253" i="42"/>
  <c r="C253" i="42"/>
  <c r="B253" i="42"/>
  <c r="A253" i="42"/>
  <c r="G252" i="42"/>
  <c r="F252" i="42"/>
  <c r="E252" i="42"/>
  <c r="D252" i="42"/>
  <c r="C252" i="42"/>
  <c r="B252" i="42"/>
  <c r="A252" i="42"/>
  <c r="G251" i="42"/>
  <c r="F251" i="42"/>
  <c r="E251" i="42"/>
  <c r="D251" i="42"/>
  <c r="C251" i="42"/>
  <c r="B251" i="42"/>
  <c r="A251" i="42"/>
  <c r="G250" i="42"/>
  <c r="F250" i="42"/>
  <c r="E250" i="42"/>
  <c r="D250" i="42"/>
  <c r="C250" i="42"/>
  <c r="B250" i="42"/>
  <c r="A250" i="42"/>
  <c r="G249" i="42"/>
  <c r="F249" i="42"/>
  <c r="E249" i="42"/>
  <c r="D249" i="42"/>
  <c r="C249" i="42"/>
  <c r="B249" i="42"/>
  <c r="A249" i="42"/>
  <c r="G248" i="42"/>
  <c r="F248" i="42"/>
  <c r="E248" i="42"/>
  <c r="D248" i="42"/>
  <c r="C248" i="42"/>
  <c r="B248" i="42"/>
  <c r="A248" i="42"/>
  <c r="G247" i="42"/>
  <c r="F247" i="42"/>
  <c r="E247" i="42"/>
  <c r="D247" i="42"/>
  <c r="C247" i="42"/>
  <c r="B247" i="42"/>
  <c r="A247" i="42"/>
  <c r="G246" i="42"/>
  <c r="F246" i="42"/>
  <c r="E246" i="42"/>
  <c r="D246" i="42"/>
  <c r="C246" i="42"/>
  <c r="B246" i="42"/>
  <c r="A246" i="42"/>
  <c r="G245" i="42"/>
  <c r="F245" i="42"/>
  <c r="E245" i="42"/>
  <c r="D245" i="42"/>
  <c r="C245" i="42"/>
  <c r="B245" i="42"/>
  <c r="A245" i="42"/>
  <c r="G244" i="42"/>
  <c r="F244" i="42"/>
  <c r="E244" i="42"/>
  <c r="D244" i="42"/>
  <c r="C244" i="42"/>
  <c r="B244" i="42"/>
  <c r="A244" i="42"/>
  <c r="G243" i="42"/>
  <c r="F243" i="42"/>
  <c r="E243" i="42"/>
  <c r="D243" i="42"/>
  <c r="C243" i="42"/>
  <c r="B243" i="42"/>
  <c r="A243" i="42"/>
  <c r="G242" i="42"/>
  <c r="F242" i="42"/>
  <c r="E242" i="42"/>
  <c r="D242" i="42"/>
  <c r="C242" i="42"/>
  <c r="B242" i="42"/>
  <c r="A242" i="42"/>
  <c r="G241" i="42"/>
  <c r="F241" i="42"/>
  <c r="E241" i="42"/>
  <c r="D241" i="42"/>
  <c r="C241" i="42"/>
  <c r="B241" i="42"/>
  <c r="A241" i="42"/>
  <c r="M240" i="42"/>
  <c r="G240" i="42"/>
  <c r="F240" i="42"/>
  <c r="E240" i="42"/>
  <c r="D240" i="42"/>
  <c r="C240" i="42"/>
  <c r="B240" i="42"/>
  <c r="A240" i="42"/>
  <c r="G239" i="42"/>
  <c r="F239" i="42"/>
  <c r="E239" i="42"/>
  <c r="D239" i="42"/>
  <c r="C239" i="42"/>
  <c r="B239" i="42"/>
  <c r="A239" i="42"/>
  <c r="G238" i="42"/>
  <c r="F238" i="42"/>
  <c r="E238" i="42"/>
  <c r="D238" i="42"/>
  <c r="C238" i="42"/>
  <c r="B238" i="42"/>
  <c r="A238" i="42"/>
  <c r="G237" i="42"/>
  <c r="F237" i="42"/>
  <c r="E237" i="42"/>
  <c r="D237" i="42"/>
  <c r="C237" i="42"/>
  <c r="B237" i="42"/>
  <c r="A237" i="42"/>
  <c r="G236" i="42"/>
  <c r="F236" i="42"/>
  <c r="E236" i="42"/>
  <c r="D236" i="42"/>
  <c r="C236" i="42"/>
  <c r="B236" i="42"/>
  <c r="A236" i="42"/>
  <c r="G235" i="42"/>
  <c r="F235" i="42"/>
  <c r="E235" i="42"/>
  <c r="D235" i="42"/>
  <c r="C235" i="42"/>
  <c r="B235" i="42"/>
  <c r="A235" i="42"/>
  <c r="G234" i="42"/>
  <c r="F234" i="42"/>
  <c r="E234" i="42"/>
  <c r="D234" i="42"/>
  <c r="C234" i="42"/>
  <c r="B234" i="42"/>
  <c r="A234" i="42"/>
  <c r="G233" i="42"/>
  <c r="F233" i="42"/>
  <c r="E233" i="42"/>
  <c r="D233" i="42"/>
  <c r="C233" i="42"/>
  <c r="B233" i="42"/>
  <c r="A233" i="42"/>
  <c r="G232" i="42"/>
  <c r="F232" i="42"/>
  <c r="E232" i="42"/>
  <c r="D232" i="42"/>
  <c r="C232" i="42"/>
  <c r="B232" i="42"/>
  <c r="A232" i="42"/>
  <c r="G231" i="42"/>
  <c r="F231" i="42"/>
  <c r="E231" i="42"/>
  <c r="D231" i="42"/>
  <c r="C231" i="42"/>
  <c r="B231" i="42"/>
  <c r="A231" i="42"/>
  <c r="G228" i="42"/>
  <c r="F228" i="42"/>
  <c r="E228" i="42"/>
  <c r="D228" i="42"/>
  <c r="C228" i="42"/>
  <c r="B228" i="42"/>
  <c r="A228" i="42"/>
  <c r="G227" i="42"/>
  <c r="F227" i="42"/>
  <c r="E227" i="42"/>
  <c r="D227" i="42"/>
  <c r="C227" i="42"/>
  <c r="B227" i="42"/>
  <c r="A227" i="42"/>
  <c r="G226" i="42"/>
  <c r="F226" i="42"/>
  <c r="E226" i="42"/>
  <c r="D226" i="42"/>
  <c r="C226" i="42"/>
  <c r="B226" i="42"/>
  <c r="A226" i="42"/>
  <c r="G225" i="42"/>
  <c r="F225" i="42"/>
  <c r="E225" i="42"/>
  <c r="D225" i="42"/>
  <c r="C225" i="42"/>
  <c r="B225" i="42"/>
  <c r="A225" i="42"/>
  <c r="G224" i="42"/>
  <c r="F224" i="42"/>
  <c r="E224" i="42"/>
  <c r="D224" i="42"/>
  <c r="C224" i="42"/>
  <c r="B224" i="42"/>
  <c r="A224" i="42"/>
  <c r="G222" i="42"/>
  <c r="F222" i="42"/>
  <c r="E222" i="42"/>
  <c r="D222" i="42"/>
  <c r="C222" i="42"/>
  <c r="B222" i="42"/>
  <c r="A222" i="42"/>
  <c r="G221" i="42"/>
  <c r="F221" i="42"/>
  <c r="E221" i="42"/>
  <c r="D221" i="42"/>
  <c r="C221" i="42"/>
  <c r="B221" i="42"/>
  <c r="A221" i="42"/>
  <c r="G220" i="42"/>
  <c r="F220" i="42"/>
  <c r="E220" i="42"/>
  <c r="D220" i="42"/>
  <c r="C220" i="42"/>
  <c r="B220" i="42"/>
  <c r="A220" i="42"/>
  <c r="G219" i="42"/>
  <c r="F219" i="42"/>
  <c r="E219" i="42"/>
  <c r="D219" i="42"/>
  <c r="C219" i="42"/>
  <c r="B219" i="42"/>
  <c r="A219" i="42"/>
  <c r="G218" i="42"/>
  <c r="F218" i="42"/>
  <c r="E218" i="42"/>
  <c r="D218" i="42"/>
  <c r="C218" i="42"/>
  <c r="B218" i="42"/>
  <c r="A218" i="42"/>
  <c r="M217" i="42"/>
  <c r="G217" i="42"/>
  <c r="F217" i="42"/>
  <c r="E217" i="42"/>
  <c r="D217" i="42"/>
  <c r="C217" i="42"/>
  <c r="B217" i="42"/>
  <c r="A217" i="42"/>
  <c r="G216" i="42"/>
  <c r="F216" i="42"/>
  <c r="E216" i="42"/>
  <c r="D216" i="42"/>
  <c r="C216" i="42"/>
  <c r="B216" i="42"/>
  <c r="A216" i="42"/>
  <c r="G215" i="42"/>
  <c r="F215" i="42"/>
  <c r="E215" i="42"/>
  <c r="D215" i="42"/>
  <c r="C215" i="42"/>
  <c r="B215" i="42"/>
  <c r="A215" i="42"/>
  <c r="G214" i="42"/>
  <c r="F214" i="42"/>
  <c r="E214" i="42"/>
  <c r="D214" i="42"/>
  <c r="C214" i="42"/>
  <c r="B214" i="42"/>
  <c r="A214" i="42"/>
  <c r="G213" i="42"/>
  <c r="F213" i="42"/>
  <c r="E213" i="42"/>
  <c r="D213" i="42"/>
  <c r="C213" i="42"/>
  <c r="B213" i="42"/>
  <c r="A213" i="42"/>
  <c r="G212" i="42"/>
  <c r="F212" i="42"/>
  <c r="E212" i="42"/>
  <c r="D212" i="42"/>
  <c r="C212" i="42"/>
  <c r="B212" i="42"/>
  <c r="A212" i="42"/>
  <c r="G211" i="42"/>
  <c r="F211" i="42"/>
  <c r="E211" i="42"/>
  <c r="D211" i="42"/>
  <c r="C211" i="42"/>
  <c r="B211" i="42"/>
  <c r="A211" i="42"/>
  <c r="G210" i="42"/>
  <c r="F210" i="42"/>
  <c r="E210" i="42"/>
  <c r="D210" i="42"/>
  <c r="C210" i="42"/>
  <c r="B210" i="42"/>
  <c r="A210" i="42"/>
  <c r="G209" i="42"/>
  <c r="F209" i="42"/>
  <c r="E209" i="42"/>
  <c r="D209" i="42"/>
  <c r="C209" i="42"/>
  <c r="B209" i="42"/>
  <c r="A209" i="42"/>
  <c r="G208" i="42"/>
  <c r="F208" i="42"/>
  <c r="E208" i="42"/>
  <c r="D208" i="42"/>
  <c r="C208" i="42"/>
  <c r="B208" i="42"/>
  <c r="A208" i="42"/>
  <c r="G207" i="42"/>
  <c r="F207" i="42"/>
  <c r="E207" i="42"/>
  <c r="D207" i="42"/>
  <c r="C207" i="42"/>
  <c r="B207" i="42"/>
  <c r="A207" i="42"/>
  <c r="G206" i="42"/>
  <c r="F206" i="42"/>
  <c r="E206" i="42"/>
  <c r="D206" i="42"/>
  <c r="C206" i="42"/>
  <c r="B206" i="42"/>
  <c r="A206" i="42"/>
  <c r="G203" i="42"/>
  <c r="F203" i="42"/>
  <c r="E203" i="42"/>
  <c r="D203" i="42"/>
  <c r="C203" i="42"/>
  <c r="B203" i="42"/>
  <c r="A203" i="42"/>
  <c r="G202" i="42"/>
  <c r="F202" i="42"/>
  <c r="E202" i="42"/>
  <c r="D202" i="42"/>
  <c r="C202" i="42"/>
  <c r="B202" i="42"/>
  <c r="A202" i="42"/>
  <c r="G201" i="42"/>
  <c r="F201" i="42"/>
  <c r="E201" i="42"/>
  <c r="D201" i="42"/>
  <c r="C201" i="42"/>
  <c r="B201" i="42"/>
  <c r="A201" i="42"/>
  <c r="G200" i="42"/>
  <c r="F200" i="42"/>
  <c r="E200" i="42"/>
  <c r="D200" i="42"/>
  <c r="C200" i="42"/>
  <c r="B200" i="42"/>
  <c r="A200" i="42"/>
  <c r="G199" i="42"/>
  <c r="F199" i="42"/>
  <c r="E199" i="42"/>
  <c r="D199" i="42"/>
  <c r="C199" i="42"/>
  <c r="B199" i="42"/>
  <c r="A199" i="42"/>
  <c r="G198" i="42"/>
  <c r="F198" i="42"/>
  <c r="E198" i="42"/>
  <c r="D198" i="42"/>
  <c r="C198" i="42"/>
  <c r="B198" i="42"/>
  <c r="A198" i="42"/>
  <c r="G197" i="42"/>
  <c r="F197" i="42"/>
  <c r="E197" i="42"/>
  <c r="D197" i="42"/>
  <c r="C197" i="42"/>
  <c r="B197" i="42"/>
  <c r="A197" i="42"/>
  <c r="G196" i="42"/>
  <c r="F196" i="42"/>
  <c r="E196" i="42"/>
  <c r="D196" i="42"/>
  <c r="C196" i="42"/>
  <c r="B196" i="42"/>
  <c r="A196" i="42"/>
  <c r="G195" i="42"/>
  <c r="F195" i="42"/>
  <c r="E195" i="42"/>
  <c r="D195" i="42"/>
  <c r="C195" i="42"/>
  <c r="B195" i="42"/>
  <c r="A195" i="42"/>
  <c r="G194" i="42"/>
  <c r="F194" i="42"/>
  <c r="E194" i="42"/>
  <c r="D194" i="42"/>
  <c r="C194" i="42"/>
  <c r="B194" i="42"/>
  <c r="A194" i="42"/>
  <c r="G193" i="42"/>
  <c r="F193" i="42"/>
  <c r="E193" i="42"/>
  <c r="D193" i="42"/>
  <c r="C193" i="42"/>
  <c r="B193" i="42"/>
  <c r="A193" i="42"/>
  <c r="G191" i="42"/>
  <c r="F191" i="42"/>
  <c r="E191" i="42"/>
  <c r="D191" i="42"/>
  <c r="C191" i="42"/>
  <c r="B191" i="42"/>
  <c r="A191" i="42"/>
  <c r="G190" i="42"/>
  <c r="F190" i="42"/>
  <c r="E190" i="42"/>
  <c r="D190" i="42"/>
  <c r="C190" i="42"/>
  <c r="B190" i="42"/>
  <c r="A190" i="42"/>
  <c r="G189" i="42"/>
  <c r="F189" i="42"/>
  <c r="E189" i="42"/>
  <c r="D189" i="42"/>
  <c r="C189" i="42"/>
  <c r="B189" i="42"/>
  <c r="A189" i="42"/>
  <c r="G188" i="42"/>
  <c r="F188" i="42"/>
  <c r="E188" i="42"/>
  <c r="D188" i="42"/>
  <c r="C188" i="42"/>
  <c r="B188" i="42"/>
  <c r="A188" i="42"/>
  <c r="M187" i="42"/>
  <c r="G187" i="42"/>
  <c r="F187" i="42"/>
  <c r="E187" i="42"/>
  <c r="D187" i="42"/>
  <c r="C187" i="42"/>
  <c r="B187" i="42"/>
  <c r="A187" i="42"/>
  <c r="G186" i="42"/>
  <c r="F186" i="42"/>
  <c r="E186" i="42"/>
  <c r="D186" i="42"/>
  <c r="C186" i="42"/>
  <c r="B186" i="42"/>
  <c r="A186" i="42"/>
  <c r="G185" i="42"/>
  <c r="F185" i="42"/>
  <c r="E185" i="42"/>
  <c r="D185" i="42"/>
  <c r="C185" i="42"/>
  <c r="B185" i="42"/>
  <c r="A185" i="42"/>
  <c r="G184" i="42"/>
  <c r="F184" i="42"/>
  <c r="E184" i="42"/>
  <c r="D184" i="42"/>
  <c r="C184" i="42"/>
  <c r="B184" i="42"/>
  <c r="A184" i="42"/>
  <c r="G183" i="42"/>
  <c r="F183" i="42"/>
  <c r="E183" i="42"/>
  <c r="D183" i="42"/>
  <c r="C183" i="42"/>
  <c r="B183" i="42"/>
  <c r="A183" i="42"/>
  <c r="G182" i="42"/>
  <c r="F182" i="42"/>
  <c r="E182" i="42"/>
  <c r="D182" i="42"/>
  <c r="C182" i="42"/>
  <c r="B182" i="42"/>
  <c r="A182" i="42"/>
  <c r="G181" i="42"/>
  <c r="J181" i="42" s="1"/>
  <c r="F181" i="42"/>
  <c r="D181" i="42"/>
  <c r="C181" i="42"/>
  <c r="B181" i="42"/>
  <c r="A181" i="42"/>
  <c r="G180" i="42"/>
  <c r="F180" i="42"/>
  <c r="E180" i="42"/>
  <c r="D180" i="42"/>
  <c r="C180" i="42"/>
  <c r="B180" i="42"/>
  <c r="A180" i="42"/>
  <c r="G179" i="42"/>
  <c r="F179" i="42"/>
  <c r="E179" i="42"/>
  <c r="D179" i="42"/>
  <c r="C179" i="42"/>
  <c r="B179" i="42"/>
  <c r="A179" i="42"/>
  <c r="G176" i="42"/>
  <c r="F176" i="42"/>
  <c r="E176" i="42"/>
  <c r="D176" i="42"/>
  <c r="C176" i="42"/>
  <c r="B176" i="42"/>
  <c r="A176" i="42"/>
  <c r="G175" i="42"/>
  <c r="F175" i="42"/>
  <c r="E175" i="42"/>
  <c r="D175" i="42"/>
  <c r="C175" i="42"/>
  <c r="B175" i="42"/>
  <c r="A175" i="42"/>
  <c r="G174" i="42"/>
  <c r="F174" i="42"/>
  <c r="E174" i="42"/>
  <c r="D174" i="42"/>
  <c r="C174" i="42"/>
  <c r="B174" i="42"/>
  <c r="A174" i="42"/>
  <c r="G173" i="42"/>
  <c r="F173" i="42"/>
  <c r="E173" i="42"/>
  <c r="D173" i="42"/>
  <c r="C173" i="42"/>
  <c r="B173" i="42"/>
  <c r="A173" i="42"/>
  <c r="G172" i="42"/>
  <c r="F172" i="42"/>
  <c r="E172" i="42"/>
  <c r="D172" i="42"/>
  <c r="C172" i="42"/>
  <c r="B172" i="42"/>
  <c r="A172" i="42"/>
  <c r="G171" i="42"/>
  <c r="F171" i="42"/>
  <c r="E171" i="42"/>
  <c r="D171" i="42"/>
  <c r="C171" i="42"/>
  <c r="B171" i="42"/>
  <c r="A171" i="42"/>
  <c r="G170" i="42"/>
  <c r="F170" i="42"/>
  <c r="E170" i="42"/>
  <c r="D170" i="42"/>
  <c r="C170" i="42"/>
  <c r="B170" i="42"/>
  <c r="A170" i="42"/>
  <c r="G169" i="42"/>
  <c r="F169" i="42"/>
  <c r="E169" i="42"/>
  <c r="D169" i="42"/>
  <c r="C169" i="42"/>
  <c r="B169" i="42"/>
  <c r="A169" i="42"/>
  <c r="G168" i="42"/>
  <c r="F168" i="42"/>
  <c r="E168" i="42"/>
  <c r="D168" i="42"/>
  <c r="C168" i="42"/>
  <c r="B168" i="42"/>
  <c r="A168" i="42"/>
  <c r="G166" i="42"/>
  <c r="F166" i="42"/>
  <c r="E166" i="42"/>
  <c r="D166" i="42"/>
  <c r="C166" i="42"/>
  <c r="B166" i="42"/>
  <c r="A166" i="42"/>
  <c r="G165" i="42"/>
  <c r="F165" i="42"/>
  <c r="E165" i="42"/>
  <c r="D165" i="42"/>
  <c r="C165" i="42"/>
  <c r="B165" i="42"/>
  <c r="A165" i="42"/>
  <c r="G164" i="42"/>
  <c r="F164" i="42"/>
  <c r="E164" i="42"/>
  <c r="D164" i="42"/>
  <c r="C164" i="42"/>
  <c r="B164" i="42"/>
  <c r="A164" i="42"/>
  <c r="H161" i="42"/>
  <c r="G161" i="42"/>
  <c r="F161" i="42"/>
  <c r="E161" i="42"/>
  <c r="D161" i="42"/>
  <c r="C161" i="42"/>
  <c r="B161" i="42"/>
  <c r="A161" i="42"/>
  <c r="G160" i="42"/>
  <c r="F160" i="42"/>
  <c r="E160" i="42"/>
  <c r="D160" i="42"/>
  <c r="C160" i="42"/>
  <c r="B160" i="42"/>
  <c r="A160" i="42"/>
  <c r="G159" i="42"/>
  <c r="F159" i="42"/>
  <c r="E159" i="42"/>
  <c r="D159" i="42"/>
  <c r="C159" i="42"/>
  <c r="B159" i="42"/>
  <c r="A159" i="42"/>
  <c r="G158" i="42"/>
  <c r="F158" i="42"/>
  <c r="E158" i="42"/>
  <c r="D158" i="42"/>
  <c r="C158" i="42"/>
  <c r="B158" i="42"/>
  <c r="A158" i="42"/>
  <c r="G157" i="42"/>
  <c r="F157" i="42"/>
  <c r="E157" i="42"/>
  <c r="D157" i="42"/>
  <c r="C157" i="42"/>
  <c r="B157" i="42"/>
  <c r="A157" i="42"/>
  <c r="G156" i="42"/>
  <c r="F156" i="42"/>
  <c r="E156" i="42"/>
  <c r="D156" i="42"/>
  <c r="C156" i="42"/>
  <c r="B156" i="42"/>
  <c r="A156" i="42"/>
  <c r="M155" i="42"/>
  <c r="G155" i="42"/>
  <c r="F155" i="42"/>
  <c r="E155" i="42"/>
  <c r="D155" i="42"/>
  <c r="C155" i="42"/>
  <c r="B155" i="42"/>
  <c r="A155" i="42"/>
  <c r="G154" i="42"/>
  <c r="F154" i="42"/>
  <c r="E154" i="42"/>
  <c r="D154" i="42"/>
  <c r="C154" i="42"/>
  <c r="B154" i="42"/>
  <c r="A154" i="42"/>
  <c r="G153" i="42"/>
  <c r="F153" i="42"/>
  <c r="E153" i="42"/>
  <c r="D153" i="42"/>
  <c r="C153" i="42"/>
  <c r="B153" i="42"/>
  <c r="A153" i="42"/>
  <c r="G152" i="42"/>
  <c r="F152" i="42"/>
  <c r="E152" i="42"/>
  <c r="D152" i="42"/>
  <c r="C152" i="42"/>
  <c r="B152" i="42"/>
  <c r="A152" i="42"/>
  <c r="G151" i="42"/>
  <c r="F151" i="42"/>
  <c r="E151" i="42"/>
  <c r="D151" i="42"/>
  <c r="C151" i="42"/>
  <c r="B151" i="42"/>
  <c r="A151" i="42"/>
  <c r="G150" i="42"/>
  <c r="F150" i="42"/>
  <c r="E150" i="42"/>
  <c r="D150" i="42"/>
  <c r="C150" i="42"/>
  <c r="B150" i="42"/>
  <c r="A150" i="42"/>
  <c r="G149" i="42"/>
  <c r="F149" i="42"/>
  <c r="E149" i="42"/>
  <c r="D149" i="42"/>
  <c r="C149" i="42"/>
  <c r="B149" i="42"/>
  <c r="A149" i="42"/>
  <c r="G148" i="42"/>
  <c r="F148" i="42"/>
  <c r="E148" i="42"/>
  <c r="D148" i="42"/>
  <c r="C148" i="42"/>
  <c r="B148" i="42"/>
  <c r="A148" i="42"/>
  <c r="G147" i="42"/>
  <c r="F147" i="42"/>
  <c r="E147" i="42"/>
  <c r="D147" i="42"/>
  <c r="C147" i="42"/>
  <c r="B147" i="42"/>
  <c r="A147" i="42"/>
  <c r="G144" i="42"/>
  <c r="F144" i="42"/>
  <c r="E144" i="42"/>
  <c r="D144" i="42"/>
  <c r="C144" i="42"/>
  <c r="A144" i="42"/>
  <c r="M143" i="42"/>
  <c r="G143" i="42"/>
  <c r="F143" i="42"/>
  <c r="E143" i="42"/>
  <c r="D143" i="42"/>
  <c r="C143" i="42"/>
  <c r="B143" i="42"/>
  <c r="A143" i="42"/>
  <c r="G142" i="42"/>
  <c r="F142" i="42"/>
  <c r="E142" i="42"/>
  <c r="D142" i="42"/>
  <c r="C142" i="42"/>
  <c r="B142" i="42"/>
  <c r="A142" i="42"/>
  <c r="G141" i="42"/>
  <c r="F141" i="42"/>
  <c r="E141" i="42"/>
  <c r="D141" i="42"/>
  <c r="C141" i="42"/>
  <c r="B141" i="42"/>
  <c r="A141" i="42"/>
  <c r="G140" i="42"/>
  <c r="F140" i="42"/>
  <c r="E140" i="42"/>
  <c r="D140" i="42"/>
  <c r="C140" i="42"/>
  <c r="B140" i="42"/>
  <c r="A140" i="42"/>
  <c r="G139" i="42"/>
  <c r="F139" i="42"/>
  <c r="E139" i="42"/>
  <c r="D139" i="42"/>
  <c r="C139" i="42"/>
  <c r="B139" i="42"/>
  <c r="A139" i="42"/>
  <c r="G138" i="42"/>
  <c r="F138" i="42"/>
  <c r="E138" i="42"/>
  <c r="D138" i="42"/>
  <c r="C138" i="42"/>
  <c r="B138" i="42"/>
  <c r="A138" i="42"/>
  <c r="G135" i="42"/>
  <c r="F135" i="42"/>
  <c r="E135" i="42"/>
  <c r="D135" i="42"/>
  <c r="C135" i="42"/>
  <c r="B135" i="42"/>
  <c r="A135" i="42"/>
  <c r="G132" i="42"/>
  <c r="F132" i="42"/>
  <c r="E132" i="42"/>
  <c r="D132" i="42"/>
  <c r="C132" i="42"/>
  <c r="B132" i="42"/>
  <c r="A132" i="42"/>
  <c r="G131" i="42"/>
  <c r="F131" i="42"/>
  <c r="E131" i="42"/>
  <c r="D131" i="42"/>
  <c r="C131" i="42"/>
  <c r="B131" i="42"/>
  <c r="A131" i="42"/>
  <c r="G130" i="42"/>
  <c r="F130" i="42"/>
  <c r="E130" i="42"/>
  <c r="D130" i="42"/>
  <c r="C130" i="42"/>
  <c r="B130" i="42"/>
  <c r="A130" i="42"/>
  <c r="G129" i="42"/>
  <c r="F129" i="42"/>
  <c r="E129" i="42"/>
  <c r="D129" i="42"/>
  <c r="C129" i="42"/>
  <c r="B129" i="42"/>
  <c r="A129" i="42"/>
  <c r="G128" i="42"/>
  <c r="F128" i="42"/>
  <c r="E128" i="42"/>
  <c r="D128" i="42"/>
  <c r="C128" i="42"/>
  <c r="B128" i="42"/>
  <c r="A128" i="42"/>
  <c r="G127" i="42"/>
  <c r="F127" i="42"/>
  <c r="E127" i="42"/>
  <c r="D127" i="42"/>
  <c r="C127" i="42"/>
  <c r="B127" i="42"/>
  <c r="A127" i="42"/>
  <c r="G126" i="42"/>
  <c r="F126" i="42"/>
  <c r="E126" i="42"/>
  <c r="D126" i="42"/>
  <c r="C126" i="42"/>
  <c r="B126" i="42"/>
  <c r="A126" i="42"/>
  <c r="G125" i="42"/>
  <c r="F125" i="42"/>
  <c r="E125" i="42"/>
  <c r="D125" i="42"/>
  <c r="C125" i="42"/>
  <c r="B125" i="42"/>
  <c r="A125" i="42"/>
  <c r="G124" i="42"/>
  <c r="F124" i="42"/>
  <c r="E124" i="42"/>
  <c r="D124" i="42"/>
  <c r="C124" i="42"/>
  <c r="B124" i="42"/>
  <c r="A124" i="42"/>
  <c r="G123" i="42"/>
  <c r="F123" i="42"/>
  <c r="E123" i="42"/>
  <c r="D123" i="42"/>
  <c r="C123" i="42"/>
  <c r="B123" i="42"/>
  <c r="A123" i="42"/>
  <c r="G122" i="42"/>
  <c r="F122" i="42"/>
  <c r="E122" i="42"/>
  <c r="D122" i="42"/>
  <c r="C122" i="42"/>
  <c r="B122" i="42"/>
  <c r="A122" i="42"/>
  <c r="M121" i="42"/>
  <c r="G121" i="42"/>
  <c r="F121" i="42"/>
  <c r="E121" i="42"/>
  <c r="D121" i="42"/>
  <c r="C121" i="42"/>
  <c r="B121" i="42"/>
  <c r="A121" i="42"/>
  <c r="G120" i="42"/>
  <c r="F120" i="42"/>
  <c r="E120" i="42"/>
  <c r="D120" i="42"/>
  <c r="C120" i="42"/>
  <c r="B120" i="42"/>
  <c r="A120" i="42"/>
  <c r="G119" i="42"/>
  <c r="F119" i="42"/>
  <c r="E119" i="42"/>
  <c r="D119" i="42"/>
  <c r="C119" i="42"/>
  <c r="B119" i="42"/>
  <c r="A119" i="42"/>
  <c r="G118" i="42"/>
  <c r="F118" i="42"/>
  <c r="E118" i="42"/>
  <c r="D118" i="42"/>
  <c r="C118" i="42"/>
  <c r="B118" i="42"/>
  <c r="A118" i="42"/>
  <c r="G117" i="42"/>
  <c r="F117" i="42"/>
  <c r="E117" i="42"/>
  <c r="D117" i="42"/>
  <c r="C117" i="42"/>
  <c r="B117" i="42"/>
  <c r="A117" i="42"/>
  <c r="G116" i="42"/>
  <c r="F116" i="42"/>
  <c r="E116" i="42"/>
  <c r="D116" i="42"/>
  <c r="C116" i="42"/>
  <c r="B116" i="42"/>
  <c r="A116" i="42"/>
  <c r="G115" i="42"/>
  <c r="F115" i="42"/>
  <c r="E115" i="42"/>
  <c r="D115" i="42"/>
  <c r="C115" i="42"/>
  <c r="B115" i="42"/>
  <c r="A115" i="42"/>
  <c r="G114" i="42"/>
  <c r="F114" i="42"/>
  <c r="E114" i="42"/>
  <c r="D114" i="42"/>
  <c r="C114" i="42"/>
  <c r="B114" i="42"/>
  <c r="A114" i="42"/>
  <c r="G113" i="42"/>
  <c r="F113" i="42"/>
  <c r="E113" i="42"/>
  <c r="D113" i="42"/>
  <c r="C113" i="42"/>
  <c r="B113" i="42"/>
  <c r="A113" i="42"/>
  <c r="G110" i="42"/>
  <c r="F110" i="42"/>
  <c r="E110" i="42"/>
  <c r="D110" i="42"/>
  <c r="C110" i="42"/>
  <c r="B110" i="42"/>
  <c r="A110" i="42"/>
  <c r="G109" i="42"/>
  <c r="F109" i="42"/>
  <c r="E109" i="42"/>
  <c r="D109" i="42"/>
  <c r="C109" i="42"/>
  <c r="B109" i="42"/>
  <c r="A109" i="42"/>
  <c r="G108" i="42"/>
  <c r="F108" i="42"/>
  <c r="E108" i="42"/>
  <c r="D108" i="42"/>
  <c r="C108" i="42"/>
  <c r="B108" i="42"/>
  <c r="A108" i="42"/>
  <c r="G106" i="42"/>
  <c r="F106" i="42"/>
  <c r="E106" i="42"/>
  <c r="D106" i="42"/>
  <c r="C106" i="42"/>
  <c r="B106" i="42"/>
  <c r="A106" i="42"/>
  <c r="G105" i="42"/>
  <c r="F105" i="42"/>
  <c r="E105" i="42"/>
  <c r="D105" i="42"/>
  <c r="C105" i="42"/>
  <c r="B105" i="42"/>
  <c r="A105" i="42"/>
  <c r="G104" i="42"/>
  <c r="F104" i="42"/>
  <c r="E104" i="42"/>
  <c r="D104" i="42"/>
  <c r="C104" i="42"/>
  <c r="B104" i="42"/>
  <c r="A104" i="42"/>
  <c r="G103" i="42"/>
  <c r="F103" i="42"/>
  <c r="E103" i="42"/>
  <c r="D103" i="42"/>
  <c r="C103" i="42"/>
  <c r="B103" i="42"/>
  <c r="A103" i="42"/>
  <c r="G102" i="42"/>
  <c r="F102" i="42"/>
  <c r="E102" i="42"/>
  <c r="D102" i="42"/>
  <c r="C102" i="42"/>
  <c r="B102" i="42"/>
  <c r="A102" i="42"/>
  <c r="G101" i="42"/>
  <c r="F101" i="42"/>
  <c r="E101" i="42"/>
  <c r="D101" i="42"/>
  <c r="C101" i="42"/>
  <c r="B101" i="42"/>
  <c r="A101" i="42"/>
  <c r="G100" i="42"/>
  <c r="F100" i="42"/>
  <c r="E100" i="42"/>
  <c r="D100" i="42"/>
  <c r="C100" i="42"/>
  <c r="B100" i="42"/>
  <c r="A100" i="42"/>
  <c r="G99" i="42"/>
  <c r="F99" i="42"/>
  <c r="E99" i="42"/>
  <c r="D99" i="42"/>
  <c r="C99" i="42"/>
  <c r="B99" i="42"/>
  <c r="A99" i="42"/>
  <c r="G98" i="42"/>
  <c r="F98" i="42"/>
  <c r="E98" i="42"/>
  <c r="D98" i="42"/>
  <c r="C98" i="42"/>
  <c r="B98" i="42"/>
  <c r="A98" i="42"/>
  <c r="G97" i="42"/>
  <c r="F97" i="42"/>
  <c r="E97" i="42"/>
  <c r="D97" i="42"/>
  <c r="C97" i="42"/>
  <c r="B97" i="42"/>
  <c r="A97" i="42"/>
  <c r="G96" i="42"/>
  <c r="F96" i="42"/>
  <c r="E96" i="42"/>
  <c r="D96" i="42"/>
  <c r="C96" i="42"/>
  <c r="B96" i="42"/>
  <c r="A96" i="42"/>
  <c r="G95" i="42"/>
  <c r="F95" i="42"/>
  <c r="E95" i="42"/>
  <c r="D95" i="42"/>
  <c r="C95" i="42"/>
  <c r="B95" i="42"/>
  <c r="A95" i="42"/>
  <c r="G94" i="42"/>
  <c r="F94" i="42"/>
  <c r="E94" i="42"/>
  <c r="D94" i="42"/>
  <c r="C94" i="42"/>
  <c r="B94" i="42"/>
  <c r="A94" i="42"/>
  <c r="G93" i="42"/>
  <c r="F93" i="42"/>
  <c r="E93" i="42"/>
  <c r="D93" i="42"/>
  <c r="C93" i="42"/>
  <c r="B93" i="42"/>
  <c r="A93" i="42"/>
  <c r="G92" i="42"/>
  <c r="F92" i="42"/>
  <c r="E92" i="42"/>
  <c r="D92" i="42"/>
  <c r="C92" i="42"/>
  <c r="B92" i="42"/>
  <c r="A92" i="42"/>
  <c r="G91" i="42"/>
  <c r="F91" i="42"/>
  <c r="E91" i="42"/>
  <c r="D91" i="42"/>
  <c r="C91" i="42"/>
  <c r="B91" i="42"/>
  <c r="A91" i="42"/>
  <c r="G90" i="42"/>
  <c r="F90" i="42"/>
  <c r="E90" i="42"/>
  <c r="D90" i="42"/>
  <c r="C90" i="42"/>
  <c r="B90" i="42"/>
  <c r="A90" i="42"/>
  <c r="G89" i="42"/>
  <c r="F89" i="42"/>
  <c r="E89" i="42"/>
  <c r="D89" i="42"/>
  <c r="C89" i="42"/>
  <c r="B89" i="42"/>
  <c r="A89" i="42"/>
  <c r="G88" i="42"/>
  <c r="F88" i="42"/>
  <c r="E88" i="42"/>
  <c r="D88" i="42"/>
  <c r="C88" i="42"/>
  <c r="B88" i="42"/>
  <c r="A88" i="42"/>
  <c r="G85" i="42"/>
  <c r="F85" i="42"/>
  <c r="E85" i="42"/>
  <c r="D85" i="42"/>
  <c r="C85" i="42"/>
  <c r="B85" i="42"/>
  <c r="A85" i="42"/>
  <c r="G84" i="42"/>
  <c r="F84" i="42"/>
  <c r="E84" i="42"/>
  <c r="D84" i="42"/>
  <c r="C84" i="42"/>
  <c r="B84" i="42"/>
  <c r="A84" i="42"/>
  <c r="G83" i="42"/>
  <c r="F83" i="42"/>
  <c r="E83" i="42"/>
  <c r="D83" i="42"/>
  <c r="C83" i="42"/>
  <c r="B83" i="42"/>
  <c r="A83" i="42"/>
  <c r="G82" i="42"/>
  <c r="F82" i="42"/>
  <c r="E82" i="42"/>
  <c r="D82" i="42"/>
  <c r="C82" i="42"/>
  <c r="B82" i="42"/>
  <c r="A82" i="42"/>
  <c r="G81" i="42"/>
  <c r="F81" i="42"/>
  <c r="E81" i="42"/>
  <c r="D81" i="42"/>
  <c r="C81" i="42"/>
  <c r="B81" i="42"/>
  <c r="A81" i="42"/>
  <c r="G80" i="42"/>
  <c r="F80" i="42"/>
  <c r="E80" i="42"/>
  <c r="D80" i="42"/>
  <c r="C80" i="42"/>
  <c r="B80" i="42"/>
  <c r="A80" i="42"/>
  <c r="G79" i="42"/>
  <c r="F79" i="42"/>
  <c r="E79" i="42"/>
  <c r="D79" i="42"/>
  <c r="C79" i="42"/>
  <c r="B79" i="42"/>
  <c r="A79" i="42"/>
  <c r="H78" i="42"/>
  <c r="G78" i="42"/>
  <c r="F78" i="42"/>
  <c r="E78" i="42"/>
  <c r="D78" i="42"/>
  <c r="C78" i="42"/>
  <c r="B78" i="42"/>
  <c r="A78" i="42"/>
  <c r="G77" i="42"/>
  <c r="F77" i="42"/>
  <c r="E77" i="42"/>
  <c r="D77" i="42"/>
  <c r="C77" i="42"/>
  <c r="B77" i="42"/>
  <c r="A77" i="42"/>
  <c r="G76" i="42"/>
  <c r="F76" i="42"/>
  <c r="E76" i="42"/>
  <c r="D76" i="42"/>
  <c r="C76" i="42"/>
  <c r="B76" i="42"/>
  <c r="A76" i="42"/>
  <c r="G75" i="42"/>
  <c r="F75" i="42"/>
  <c r="E75" i="42"/>
  <c r="D75" i="42"/>
  <c r="C75" i="42"/>
  <c r="B75" i="42"/>
  <c r="A75" i="42"/>
  <c r="G74" i="42"/>
  <c r="F74" i="42"/>
  <c r="E74" i="42"/>
  <c r="D74" i="42"/>
  <c r="C74" i="42"/>
  <c r="B74" i="42"/>
  <c r="A74" i="42"/>
  <c r="G73" i="42"/>
  <c r="F73" i="42"/>
  <c r="E73" i="42"/>
  <c r="D73" i="42"/>
  <c r="C73" i="42"/>
  <c r="B73" i="42"/>
  <c r="A73" i="42"/>
  <c r="M72" i="42"/>
  <c r="G72" i="42"/>
  <c r="F72" i="42"/>
  <c r="E72" i="42"/>
  <c r="D72" i="42"/>
  <c r="C72" i="42"/>
  <c r="B72" i="42"/>
  <c r="A72" i="42"/>
  <c r="G71" i="42"/>
  <c r="F71" i="42"/>
  <c r="E71" i="42"/>
  <c r="D71" i="42"/>
  <c r="C71" i="42"/>
  <c r="B71" i="42"/>
  <c r="A71" i="42"/>
  <c r="G70" i="42"/>
  <c r="F70" i="42"/>
  <c r="E70" i="42"/>
  <c r="D70" i="42"/>
  <c r="C70" i="42"/>
  <c r="B70" i="42"/>
  <c r="A70" i="42"/>
  <c r="G69" i="42"/>
  <c r="F69" i="42"/>
  <c r="E69" i="42"/>
  <c r="D69" i="42"/>
  <c r="C69" i="42"/>
  <c r="B69" i="42"/>
  <c r="A69" i="42"/>
  <c r="G68" i="42"/>
  <c r="F68" i="42"/>
  <c r="E68" i="42"/>
  <c r="D68" i="42"/>
  <c r="C68" i="42"/>
  <c r="B68" i="42"/>
  <c r="A68" i="42"/>
  <c r="G67" i="42"/>
  <c r="F67" i="42"/>
  <c r="E67" i="42"/>
  <c r="D67" i="42"/>
  <c r="C67" i="42"/>
  <c r="B67" i="42"/>
  <c r="A67" i="42"/>
  <c r="G66" i="42"/>
  <c r="F66" i="42"/>
  <c r="E66" i="42"/>
  <c r="D66" i="42"/>
  <c r="C66" i="42"/>
  <c r="B66" i="42"/>
  <c r="A66" i="42"/>
  <c r="G65" i="42"/>
  <c r="F65" i="42"/>
  <c r="E65" i="42"/>
  <c r="D65" i="42"/>
  <c r="C65" i="42"/>
  <c r="B65" i="42"/>
  <c r="A65" i="42"/>
  <c r="H64" i="42"/>
  <c r="G64" i="42"/>
  <c r="F64" i="42"/>
  <c r="E64" i="42"/>
  <c r="D64" i="42"/>
  <c r="C64" i="42"/>
  <c r="B64" i="42"/>
  <c r="A64" i="42"/>
  <c r="G63" i="42"/>
  <c r="F63" i="42"/>
  <c r="E63" i="42"/>
  <c r="D63" i="42"/>
  <c r="C63" i="42"/>
  <c r="B63" i="42"/>
  <c r="A63" i="42"/>
  <c r="G60" i="42"/>
  <c r="F60" i="42"/>
  <c r="E60" i="42"/>
  <c r="D60" i="42"/>
  <c r="C60" i="42"/>
  <c r="B60" i="42"/>
  <c r="A60" i="42"/>
  <c r="G59" i="42"/>
  <c r="F59" i="42"/>
  <c r="E59" i="42"/>
  <c r="D59" i="42"/>
  <c r="C59" i="42"/>
  <c r="B59" i="42"/>
  <c r="A59" i="42"/>
  <c r="G58" i="42"/>
  <c r="F58" i="42"/>
  <c r="E58" i="42"/>
  <c r="D58" i="42"/>
  <c r="C58" i="42"/>
  <c r="B58" i="42"/>
  <c r="A58" i="42"/>
  <c r="G57" i="42"/>
  <c r="F57" i="42"/>
  <c r="E57" i="42"/>
  <c r="D57" i="42"/>
  <c r="C57" i="42"/>
  <c r="B57" i="42"/>
  <c r="A57" i="42"/>
  <c r="G56" i="42"/>
  <c r="F56" i="42"/>
  <c r="E56" i="42"/>
  <c r="D56" i="42"/>
  <c r="C56" i="42"/>
  <c r="B56" i="42"/>
  <c r="A56" i="42"/>
  <c r="G55" i="42"/>
  <c r="F55" i="42"/>
  <c r="E55" i="42"/>
  <c r="D55" i="42"/>
  <c r="C55" i="42"/>
  <c r="B55" i="42"/>
  <c r="A55" i="42"/>
  <c r="G54" i="42"/>
  <c r="F54" i="42"/>
  <c r="E54" i="42"/>
  <c r="D54" i="42"/>
  <c r="C54" i="42"/>
  <c r="B54" i="42"/>
  <c r="A54" i="42"/>
  <c r="G53" i="42"/>
  <c r="F53" i="42"/>
  <c r="E53" i="42"/>
  <c r="D53" i="42"/>
  <c r="C53" i="42"/>
  <c r="B53" i="42"/>
  <c r="A53" i="42"/>
  <c r="G52" i="42"/>
  <c r="F52" i="42"/>
  <c r="E52" i="42"/>
  <c r="D52" i="42"/>
  <c r="C52" i="42"/>
  <c r="B52" i="42"/>
  <c r="A52" i="42"/>
  <c r="G51" i="42"/>
  <c r="F51" i="42"/>
  <c r="E51" i="42"/>
  <c r="D51" i="42"/>
  <c r="C51" i="42"/>
  <c r="B51" i="42"/>
  <c r="A51" i="42"/>
  <c r="G50" i="42"/>
  <c r="F50" i="42"/>
  <c r="E50" i="42"/>
  <c r="D50" i="42"/>
  <c r="C50" i="42"/>
  <c r="B50" i="42"/>
  <c r="A50" i="42"/>
  <c r="G49" i="42"/>
  <c r="F49" i="42"/>
  <c r="E49" i="42"/>
  <c r="D49" i="42"/>
  <c r="C49" i="42"/>
  <c r="B49" i="42"/>
  <c r="A49" i="42"/>
  <c r="G48" i="42"/>
  <c r="F48" i="42"/>
  <c r="E48" i="42"/>
  <c r="D48" i="42"/>
  <c r="C48" i="42"/>
  <c r="B48" i="42"/>
  <c r="A48" i="42"/>
  <c r="G47" i="42"/>
  <c r="F47" i="42"/>
  <c r="E47" i="42"/>
  <c r="D47" i="42"/>
  <c r="C47" i="42"/>
  <c r="B47" i="42"/>
  <c r="A47" i="42"/>
  <c r="G46" i="42"/>
  <c r="F46" i="42"/>
  <c r="E46" i="42"/>
  <c r="D46" i="42"/>
  <c r="C46" i="42"/>
  <c r="B46" i="42"/>
  <c r="A46" i="42"/>
  <c r="G45" i="42"/>
  <c r="F45" i="42"/>
  <c r="E45" i="42"/>
  <c r="D45" i="42"/>
  <c r="C45" i="42"/>
  <c r="B45" i="42"/>
  <c r="A45" i="42"/>
  <c r="G44" i="42"/>
  <c r="F44" i="42"/>
  <c r="E44" i="42"/>
  <c r="D44" i="42"/>
  <c r="C44" i="42"/>
  <c r="B44" i="42"/>
  <c r="A44" i="42"/>
  <c r="G43" i="42"/>
  <c r="F43" i="42"/>
  <c r="E43" i="42"/>
  <c r="D43" i="42"/>
  <c r="C43" i="42"/>
  <c r="B43" i="42"/>
  <c r="A43" i="42"/>
  <c r="G42" i="42"/>
  <c r="F42" i="42"/>
  <c r="E42" i="42"/>
  <c r="D42" i="42"/>
  <c r="C42" i="42"/>
  <c r="B42" i="42"/>
  <c r="A42" i="42"/>
  <c r="G41" i="42"/>
  <c r="F41" i="42"/>
  <c r="E41" i="42"/>
  <c r="D41" i="42"/>
  <c r="C41" i="42"/>
  <c r="B41" i="42"/>
  <c r="A41" i="42"/>
  <c r="G40" i="42"/>
  <c r="F40" i="42"/>
  <c r="E40" i="42"/>
  <c r="D40" i="42"/>
  <c r="C40" i="42"/>
  <c r="B40" i="42"/>
  <c r="A40" i="42"/>
  <c r="G39" i="42"/>
  <c r="F39" i="42"/>
  <c r="E39" i="42"/>
  <c r="D39" i="42"/>
  <c r="C39" i="42"/>
  <c r="B39" i="42"/>
  <c r="A39" i="42"/>
  <c r="G38" i="42"/>
  <c r="F38" i="42"/>
  <c r="E38" i="42"/>
  <c r="D38" i="42"/>
  <c r="C38" i="42"/>
  <c r="B38" i="42"/>
  <c r="A38" i="42"/>
  <c r="G35" i="42"/>
  <c r="F35" i="42"/>
  <c r="E35" i="42"/>
  <c r="D35" i="42"/>
  <c r="C35" i="42"/>
  <c r="B35" i="42"/>
  <c r="A35" i="42"/>
  <c r="G34" i="42"/>
  <c r="F34" i="42"/>
  <c r="E34" i="42"/>
  <c r="D34" i="42"/>
  <c r="C34" i="42"/>
  <c r="B34" i="42"/>
  <c r="A34" i="42"/>
  <c r="G33" i="42"/>
  <c r="F33" i="42"/>
  <c r="E33" i="42"/>
  <c r="D33" i="42"/>
  <c r="C33" i="42"/>
  <c r="B33" i="42"/>
  <c r="A33" i="42"/>
  <c r="G32" i="42"/>
  <c r="F32" i="42"/>
  <c r="E32" i="42"/>
  <c r="D32" i="42"/>
  <c r="C32" i="42"/>
  <c r="B32" i="42"/>
  <c r="A32" i="42"/>
  <c r="G31" i="42"/>
  <c r="F31" i="42"/>
  <c r="E31" i="42"/>
  <c r="D31" i="42"/>
  <c r="C31" i="42"/>
  <c r="B31" i="42"/>
  <c r="A31" i="42"/>
  <c r="G30" i="42"/>
  <c r="F30" i="42"/>
  <c r="E30" i="42"/>
  <c r="D30" i="42"/>
  <c r="C30" i="42"/>
  <c r="B30" i="42"/>
  <c r="A30" i="42"/>
  <c r="G29" i="42"/>
  <c r="F29" i="42"/>
  <c r="E29" i="42"/>
  <c r="D29" i="42"/>
  <c r="C29" i="42"/>
  <c r="B29" i="42"/>
  <c r="A29" i="42"/>
  <c r="G28" i="42"/>
  <c r="F28" i="42"/>
  <c r="E28" i="42"/>
  <c r="D28" i="42"/>
  <c r="C28" i="42"/>
  <c r="B28" i="42"/>
  <c r="A28" i="42"/>
  <c r="G27" i="42"/>
  <c r="F27" i="42"/>
  <c r="E27" i="42"/>
  <c r="D27" i="42"/>
  <c r="C27" i="42"/>
  <c r="B27" i="42"/>
  <c r="A27" i="42"/>
  <c r="G26" i="42"/>
  <c r="F26" i="42"/>
  <c r="E26" i="42"/>
  <c r="D26" i="42"/>
  <c r="C26" i="42"/>
  <c r="B26" i="42"/>
  <c r="A26" i="42"/>
  <c r="G23" i="42"/>
  <c r="F23" i="42"/>
  <c r="E23" i="42"/>
  <c r="D23" i="42"/>
  <c r="C23" i="42"/>
  <c r="B23" i="42"/>
  <c r="A23" i="42"/>
  <c r="G22" i="42"/>
  <c r="F22" i="42"/>
  <c r="E22" i="42"/>
  <c r="D22" i="42"/>
  <c r="C22" i="42"/>
  <c r="B22" i="42"/>
  <c r="A22" i="42"/>
  <c r="G21" i="42"/>
  <c r="F21" i="42"/>
  <c r="E21" i="42"/>
  <c r="D21" i="42"/>
  <c r="C21" i="42"/>
  <c r="B21" i="42"/>
  <c r="A21" i="42"/>
  <c r="G20" i="42"/>
  <c r="F20" i="42"/>
  <c r="E20" i="42"/>
  <c r="D20" i="42"/>
  <c r="C20" i="42"/>
  <c r="B20" i="42"/>
  <c r="A20" i="42"/>
  <c r="G19" i="42"/>
  <c r="F19" i="42"/>
  <c r="E19" i="42"/>
  <c r="D19" i="42"/>
  <c r="C19" i="42"/>
  <c r="B19" i="42"/>
  <c r="A19" i="42"/>
  <c r="G18" i="42"/>
  <c r="F18" i="42"/>
  <c r="E18" i="42"/>
  <c r="D18" i="42"/>
  <c r="C18" i="42"/>
  <c r="B18" i="42"/>
  <c r="A18" i="42"/>
  <c r="G17" i="42"/>
  <c r="F17" i="42"/>
  <c r="E17" i="42"/>
  <c r="D17" i="42"/>
  <c r="C17" i="42"/>
  <c r="B17" i="42"/>
  <c r="A17" i="42"/>
  <c r="G16" i="42"/>
  <c r="F16" i="42"/>
  <c r="E16" i="42"/>
  <c r="D16" i="42"/>
  <c r="C16" i="42"/>
  <c r="B16" i="42"/>
  <c r="A16" i="42"/>
  <c r="G13" i="42"/>
  <c r="F13" i="42"/>
  <c r="E13" i="42"/>
  <c r="D13" i="42"/>
  <c r="C13" i="42"/>
  <c r="B13" i="42"/>
  <c r="A13" i="42"/>
  <c r="G12" i="42"/>
  <c r="F12" i="42"/>
  <c r="E12" i="42"/>
  <c r="D12" i="42"/>
  <c r="C12" i="42"/>
  <c r="B12" i="42"/>
  <c r="A12" i="42"/>
  <c r="G11" i="42"/>
  <c r="F11" i="42"/>
  <c r="E11" i="42"/>
  <c r="D11" i="42"/>
  <c r="C11" i="42"/>
  <c r="B11" i="42"/>
  <c r="A11" i="42"/>
  <c r="G10" i="42"/>
  <c r="F10" i="42"/>
  <c r="E10" i="42"/>
  <c r="D10" i="42"/>
  <c r="C10" i="42"/>
  <c r="B10" i="42"/>
  <c r="A10" i="42"/>
  <c r="G9" i="42"/>
  <c r="F9" i="42"/>
  <c r="E9" i="42"/>
  <c r="D9" i="42"/>
  <c r="C9" i="42"/>
  <c r="B9" i="42"/>
  <c r="A9" i="42"/>
  <c r="G8" i="42"/>
  <c r="F8" i="42"/>
  <c r="E8" i="42"/>
  <c r="D8" i="42"/>
  <c r="C8" i="42"/>
  <c r="B8" i="42"/>
  <c r="A8" i="42"/>
  <c r="G7" i="42"/>
  <c r="F7" i="42"/>
  <c r="E7" i="42"/>
  <c r="D7" i="42"/>
  <c r="C7" i="42"/>
  <c r="B7" i="42"/>
  <c r="A7" i="42"/>
  <c r="E253" i="56"/>
  <c r="E252" i="56"/>
  <c r="E251" i="56"/>
  <c r="E250" i="56"/>
  <c r="E249" i="56"/>
  <c r="E248" i="56"/>
  <c r="E247" i="56"/>
  <c r="E246" i="56"/>
  <c r="D240" i="56"/>
  <c r="F214" i="56"/>
  <c r="F213" i="56"/>
  <c r="F212" i="56"/>
  <c r="F211" i="56"/>
  <c r="F210" i="56"/>
  <c r="F209" i="56"/>
  <c r="F208" i="56"/>
  <c r="F207" i="56"/>
  <c r="F206" i="56"/>
  <c r="F205" i="56"/>
  <c r="F204" i="56"/>
  <c r="F203" i="56"/>
  <c r="F202" i="56"/>
  <c r="F201" i="56"/>
  <c r="F200" i="56"/>
  <c r="F199" i="56"/>
  <c r="F198" i="56"/>
  <c r="F197" i="56"/>
  <c r="F196" i="56"/>
  <c r="F195" i="56"/>
  <c r="F194" i="56"/>
  <c r="F193" i="56"/>
  <c r="F192" i="56"/>
  <c r="F191" i="56"/>
  <c r="F190" i="56"/>
  <c r="F189" i="56"/>
  <c r="F188" i="56"/>
  <c r="F187" i="56"/>
  <c r="F186" i="56"/>
  <c r="F185" i="56"/>
  <c r="F184" i="56"/>
  <c r="F183" i="56"/>
  <c r="F182" i="56"/>
  <c r="F181" i="56"/>
  <c r="F180" i="56"/>
  <c r="F179" i="56"/>
  <c r="F178" i="56"/>
  <c r="F177" i="56"/>
  <c r="F176" i="56"/>
  <c r="F175" i="56"/>
  <c r="F174" i="56"/>
  <c r="F173" i="56"/>
  <c r="F172" i="56"/>
  <c r="F171" i="56"/>
  <c r="F170" i="56"/>
  <c r="F169" i="56"/>
  <c r="F168" i="56"/>
  <c r="F167" i="56"/>
  <c r="F166" i="56"/>
  <c r="F165" i="56"/>
  <c r="F164" i="56"/>
  <c r="F163" i="56"/>
  <c r="F162" i="56"/>
  <c r="F161" i="56"/>
  <c r="F160" i="56"/>
  <c r="F159" i="56"/>
  <c r="F158" i="56"/>
  <c r="F157" i="56"/>
  <c r="F156" i="56"/>
  <c r="F155" i="56"/>
  <c r="F154" i="56"/>
  <c r="F153" i="56"/>
  <c r="F152" i="56"/>
  <c r="F151" i="56"/>
  <c r="F150" i="56"/>
  <c r="F149" i="56"/>
  <c r="F148" i="56"/>
  <c r="F147" i="56"/>
  <c r="F146" i="56"/>
  <c r="F145" i="56"/>
  <c r="F144" i="56"/>
  <c r="F143" i="56"/>
  <c r="F142" i="56"/>
  <c r="F141" i="56"/>
  <c r="F140" i="56"/>
  <c r="F139" i="56"/>
  <c r="F138" i="56"/>
  <c r="F137" i="56"/>
  <c r="F136" i="56"/>
  <c r="F135" i="56"/>
  <c r="F134" i="56"/>
  <c r="F133" i="56"/>
  <c r="F132" i="56"/>
  <c r="F131" i="56"/>
  <c r="F130" i="56"/>
  <c r="F129" i="56"/>
  <c r="F128" i="56"/>
  <c r="F127" i="56"/>
  <c r="F126" i="56"/>
  <c r="F125" i="56"/>
  <c r="F124" i="56"/>
  <c r="F123" i="56"/>
  <c r="F122" i="56"/>
  <c r="F121" i="56"/>
  <c r="F120" i="56"/>
  <c r="F119" i="56"/>
  <c r="F118" i="56"/>
  <c r="F117" i="56"/>
  <c r="F116" i="56"/>
  <c r="F115" i="56"/>
  <c r="F114" i="56"/>
  <c r="F113" i="56"/>
  <c r="F112" i="56"/>
  <c r="F111" i="56"/>
  <c r="F110" i="56"/>
  <c r="F109" i="56"/>
  <c r="F108" i="56"/>
  <c r="F107" i="56"/>
  <c r="F106" i="56"/>
  <c r="F105" i="56"/>
  <c r="F104" i="56"/>
  <c r="F103" i="56"/>
  <c r="F102" i="56"/>
  <c r="F101" i="56"/>
  <c r="F100" i="56"/>
  <c r="F99" i="56"/>
  <c r="F98" i="56"/>
  <c r="F97" i="56"/>
  <c r="F96" i="56"/>
  <c r="F95" i="56"/>
  <c r="F94" i="56"/>
  <c r="F93" i="56"/>
  <c r="F92" i="56"/>
  <c r="F91" i="56"/>
  <c r="F90" i="56"/>
  <c r="F89" i="56"/>
  <c r="F88" i="56"/>
  <c r="F87" i="56"/>
  <c r="F86" i="56"/>
  <c r="F85" i="56"/>
  <c r="F84" i="56"/>
  <c r="F83" i="56"/>
  <c r="F82" i="56"/>
  <c r="F81" i="56"/>
  <c r="F80" i="56"/>
  <c r="F79" i="56"/>
  <c r="F78" i="56"/>
  <c r="F77" i="56"/>
  <c r="F76" i="56"/>
  <c r="F75" i="56"/>
  <c r="F74" i="56"/>
  <c r="F73" i="56"/>
  <c r="F72" i="56"/>
  <c r="F71" i="56"/>
  <c r="F70" i="56"/>
  <c r="F69" i="56"/>
  <c r="F68" i="56"/>
  <c r="F67" i="56"/>
  <c r="F66" i="56"/>
  <c r="F65" i="56"/>
  <c r="F64" i="56"/>
  <c r="F63" i="56"/>
  <c r="F62" i="56"/>
  <c r="F61" i="56"/>
  <c r="F60" i="56"/>
  <c r="F59" i="56"/>
  <c r="F58" i="56"/>
  <c r="F57" i="56"/>
  <c r="F56" i="56"/>
  <c r="F55" i="56"/>
  <c r="F54" i="56"/>
  <c r="F53" i="56"/>
  <c r="F52" i="56"/>
  <c r="F51" i="56"/>
  <c r="F50" i="56"/>
  <c r="F49" i="56"/>
  <c r="F48" i="56"/>
  <c r="F47" i="56"/>
  <c r="F46" i="56"/>
  <c r="F45" i="56"/>
  <c r="F44" i="56"/>
  <c r="F43" i="56"/>
  <c r="F42" i="56"/>
  <c r="F41" i="56"/>
  <c r="F40" i="56"/>
  <c r="F39" i="56"/>
  <c r="F38" i="56"/>
  <c r="F37" i="56"/>
  <c r="F36" i="56"/>
  <c r="F35" i="56"/>
  <c r="F34" i="56"/>
  <c r="F33" i="56"/>
  <c r="F32" i="56"/>
  <c r="F31" i="56"/>
  <c r="F30" i="56"/>
  <c r="F29" i="56"/>
  <c r="F28" i="56"/>
  <c r="F27" i="56"/>
  <c r="F26" i="56"/>
  <c r="F25" i="56"/>
  <c r="F24" i="56"/>
  <c r="F23" i="56"/>
  <c r="F22" i="56"/>
  <c r="F21" i="56"/>
  <c r="F20" i="56"/>
  <c r="F19" i="56"/>
  <c r="F18" i="56"/>
  <c r="F17" i="56"/>
  <c r="F16" i="56"/>
  <c r="F15" i="56"/>
  <c r="F14" i="56"/>
  <c r="F13" i="56"/>
  <c r="F12" i="56"/>
  <c r="F11" i="56"/>
  <c r="G45" i="62"/>
  <c r="G44" i="62"/>
  <c r="G43" i="62"/>
  <c r="G42" i="62"/>
  <c r="G41" i="62"/>
  <c r="G40" i="62"/>
  <c r="G39" i="62"/>
  <c r="G38" i="62"/>
  <c r="G37" i="62"/>
  <c r="G36" i="62"/>
  <c r="G35" i="62"/>
  <c r="G34" i="62"/>
  <c r="G33" i="62"/>
  <c r="G32" i="62"/>
  <c r="G31" i="62"/>
  <c r="G30" i="62"/>
  <c r="G29" i="62"/>
  <c r="G28" i="62"/>
  <c r="G27" i="62"/>
  <c r="G26" i="62"/>
  <c r="G25" i="62"/>
  <c r="G24" i="62"/>
  <c r="G23" i="62"/>
  <c r="G22" i="62"/>
  <c r="G21" i="62"/>
  <c r="G20" i="62"/>
  <c r="G19" i="62"/>
  <c r="G18" i="62"/>
  <c r="G17" i="62"/>
  <c r="G16" i="62"/>
  <c r="G15" i="62"/>
  <c r="G14" i="62"/>
  <c r="G13" i="62"/>
  <c r="G12" i="62"/>
  <c r="G11" i="62"/>
  <c r="G10" i="62"/>
  <c r="G9" i="62"/>
  <c r="G8" i="62"/>
  <c r="G7" i="62"/>
  <c r="G6" i="62"/>
  <c r="G5" i="62"/>
  <c r="G4" i="62"/>
  <c r="G3" i="62"/>
  <c r="R230" i="47"/>
  <c r="L230" i="47"/>
  <c r="K230" i="47"/>
  <c r="J230" i="47"/>
  <c r="I230" i="47"/>
  <c r="H230" i="47"/>
  <c r="G230" i="47"/>
  <c r="F230" i="47"/>
  <c r="E230" i="47"/>
  <c r="D230" i="47"/>
  <c r="C230" i="47"/>
  <c r="B230" i="47" s="1"/>
  <c r="R229" i="47"/>
  <c r="L229" i="47"/>
  <c r="K229" i="47"/>
  <c r="J229" i="47"/>
  <c r="H229" i="47"/>
  <c r="G229" i="47"/>
  <c r="F229" i="47"/>
  <c r="E229" i="47"/>
  <c r="D229" i="47"/>
  <c r="C229" i="47"/>
  <c r="B229" i="47" s="1"/>
  <c r="R228" i="47"/>
  <c r="L228" i="47"/>
  <c r="K228" i="47"/>
  <c r="J228" i="47"/>
  <c r="H228" i="47"/>
  <c r="G228" i="47"/>
  <c r="F228" i="47"/>
  <c r="E228" i="47"/>
  <c r="D228" i="47"/>
  <c r="C228" i="47"/>
  <c r="B228" i="47" s="1"/>
  <c r="R227" i="47"/>
  <c r="L227" i="47"/>
  <c r="K227" i="47"/>
  <c r="J227" i="47"/>
  <c r="H227" i="47"/>
  <c r="G227" i="47"/>
  <c r="F227" i="47"/>
  <c r="E227" i="47"/>
  <c r="D227" i="47"/>
  <c r="C227" i="47"/>
  <c r="B227" i="47" s="1"/>
  <c r="R226" i="47"/>
  <c r="L226" i="47"/>
  <c r="K226" i="47"/>
  <c r="J226" i="47"/>
  <c r="I226" i="47"/>
  <c r="H226" i="47"/>
  <c r="G226" i="47"/>
  <c r="F226" i="47"/>
  <c r="E226" i="47"/>
  <c r="D226" i="47"/>
  <c r="C226" i="47"/>
  <c r="B226" i="47" s="1"/>
  <c r="R225" i="47"/>
  <c r="L225" i="47"/>
  <c r="K225" i="47"/>
  <c r="J225" i="47"/>
  <c r="H225" i="47"/>
  <c r="G225" i="47"/>
  <c r="F225" i="47"/>
  <c r="E225" i="47"/>
  <c r="D225" i="47"/>
  <c r="C225" i="47"/>
  <c r="B225" i="47" s="1"/>
  <c r="R224" i="47"/>
  <c r="L224" i="47"/>
  <c r="K224" i="47"/>
  <c r="J224" i="47"/>
  <c r="I224" i="47"/>
  <c r="H224" i="47"/>
  <c r="G224" i="47"/>
  <c r="F224" i="47"/>
  <c r="E224" i="47"/>
  <c r="D224" i="47"/>
  <c r="C224" i="47"/>
  <c r="B224" i="47" s="1"/>
  <c r="R223" i="47"/>
  <c r="L223" i="47"/>
  <c r="K223" i="47"/>
  <c r="J223" i="47"/>
  <c r="I223" i="47"/>
  <c r="H223" i="47"/>
  <c r="G223" i="47"/>
  <c r="F223" i="47"/>
  <c r="E223" i="47"/>
  <c r="D223" i="47"/>
  <c r="C223" i="47"/>
  <c r="B223" i="47" s="1"/>
  <c r="R222" i="47"/>
  <c r="L222" i="47"/>
  <c r="K222" i="47"/>
  <c r="J222" i="47"/>
  <c r="H222" i="47"/>
  <c r="G222" i="47"/>
  <c r="F222" i="47"/>
  <c r="E222" i="47"/>
  <c r="D222" i="47"/>
  <c r="C222" i="47"/>
  <c r="B222" i="47" s="1"/>
  <c r="R221" i="47"/>
  <c r="L221" i="47"/>
  <c r="K221" i="47"/>
  <c r="J221" i="47"/>
  <c r="H221" i="47"/>
  <c r="G221" i="47"/>
  <c r="F221" i="47"/>
  <c r="E221" i="47"/>
  <c r="D221" i="47"/>
  <c r="C221" i="47"/>
  <c r="B221" i="47" s="1"/>
  <c r="R220" i="47"/>
  <c r="L220" i="47"/>
  <c r="K220" i="47"/>
  <c r="J220" i="47"/>
  <c r="H220" i="47"/>
  <c r="G220" i="47"/>
  <c r="F220" i="47"/>
  <c r="E220" i="47"/>
  <c r="D220" i="47"/>
  <c r="C220" i="47"/>
  <c r="B220" i="47" s="1"/>
  <c r="R219" i="47"/>
  <c r="L219" i="47"/>
  <c r="K219" i="47"/>
  <c r="J219" i="47"/>
  <c r="H219" i="47"/>
  <c r="G219" i="47"/>
  <c r="F219" i="47"/>
  <c r="E219" i="47"/>
  <c r="D219" i="47"/>
  <c r="C219" i="47"/>
  <c r="B219" i="47" s="1"/>
  <c r="R218" i="47"/>
  <c r="L218" i="47"/>
  <c r="K218" i="47"/>
  <c r="J218" i="47"/>
  <c r="H218" i="47"/>
  <c r="G218" i="47"/>
  <c r="F218" i="47"/>
  <c r="E218" i="47"/>
  <c r="D218" i="47"/>
  <c r="C218" i="47"/>
  <c r="B218" i="47" s="1"/>
  <c r="R217" i="47"/>
  <c r="L217" i="47"/>
  <c r="K217" i="47"/>
  <c r="J217" i="47"/>
  <c r="H217" i="47"/>
  <c r="G217" i="47"/>
  <c r="F217" i="47"/>
  <c r="E217" i="47"/>
  <c r="D217" i="47"/>
  <c r="C217" i="47"/>
  <c r="B217" i="47" s="1"/>
  <c r="R216" i="47"/>
  <c r="L216" i="47"/>
  <c r="K216" i="47"/>
  <c r="J216" i="47"/>
  <c r="H216" i="47"/>
  <c r="G216" i="47"/>
  <c r="F216" i="47"/>
  <c r="E216" i="47"/>
  <c r="D216" i="47"/>
  <c r="C216" i="47"/>
  <c r="B216" i="47" s="1"/>
  <c r="R215" i="47"/>
  <c r="L215" i="47"/>
  <c r="K215" i="47"/>
  <c r="J215" i="47"/>
  <c r="H215" i="47"/>
  <c r="G215" i="47"/>
  <c r="F215" i="47"/>
  <c r="E215" i="47"/>
  <c r="D215" i="47"/>
  <c r="C215" i="47"/>
  <c r="B215" i="47" s="1"/>
  <c r="R214" i="47"/>
  <c r="L214" i="47"/>
  <c r="K214" i="47"/>
  <c r="J214" i="47"/>
  <c r="H214" i="47"/>
  <c r="G214" i="47"/>
  <c r="F214" i="47"/>
  <c r="E214" i="47"/>
  <c r="D214" i="47"/>
  <c r="C214" i="47"/>
  <c r="B214" i="47" s="1"/>
  <c r="R213" i="47"/>
  <c r="L213" i="47"/>
  <c r="K213" i="47"/>
  <c r="J213" i="47"/>
  <c r="I213" i="47"/>
  <c r="H213" i="47"/>
  <c r="G213" i="47"/>
  <c r="F213" i="47"/>
  <c r="E213" i="47"/>
  <c r="D213" i="47"/>
  <c r="C213" i="47"/>
  <c r="B213" i="47" s="1"/>
  <c r="R212" i="47"/>
  <c r="L212" i="47"/>
  <c r="K212" i="47"/>
  <c r="J212" i="47"/>
  <c r="H212" i="47"/>
  <c r="G212" i="47"/>
  <c r="F212" i="47"/>
  <c r="E212" i="47"/>
  <c r="D212" i="47"/>
  <c r="C212" i="47"/>
  <c r="B212" i="47" s="1"/>
  <c r="R211" i="47"/>
  <c r="L211" i="47"/>
  <c r="K211" i="47"/>
  <c r="J211" i="47"/>
  <c r="H211" i="47"/>
  <c r="G211" i="47"/>
  <c r="F211" i="47"/>
  <c r="E211" i="47"/>
  <c r="D211" i="47"/>
  <c r="C211" i="47"/>
  <c r="B211" i="47" s="1"/>
  <c r="R210" i="47"/>
  <c r="L210" i="47"/>
  <c r="K210" i="47"/>
  <c r="J210" i="47"/>
  <c r="H210" i="47"/>
  <c r="G210" i="47"/>
  <c r="F210" i="47"/>
  <c r="E210" i="47"/>
  <c r="D210" i="47"/>
  <c r="C210" i="47"/>
  <c r="B210" i="47" s="1"/>
  <c r="R209" i="47"/>
  <c r="L209" i="47"/>
  <c r="K209" i="47"/>
  <c r="J209" i="47"/>
  <c r="H209" i="47"/>
  <c r="G209" i="47"/>
  <c r="F209" i="47"/>
  <c r="E209" i="47"/>
  <c r="D209" i="47"/>
  <c r="C209" i="47"/>
  <c r="B209" i="47" s="1"/>
  <c r="R208" i="47"/>
  <c r="L208" i="47"/>
  <c r="K208" i="47"/>
  <c r="J208" i="47"/>
  <c r="H208" i="47"/>
  <c r="G208" i="47"/>
  <c r="F208" i="47"/>
  <c r="E208" i="47"/>
  <c r="D208" i="47"/>
  <c r="C208" i="47"/>
  <c r="B208" i="47" s="1"/>
  <c r="R207" i="47"/>
  <c r="L207" i="47"/>
  <c r="K207" i="47"/>
  <c r="J207" i="47"/>
  <c r="H207" i="47"/>
  <c r="G207" i="47"/>
  <c r="F207" i="47"/>
  <c r="E207" i="47"/>
  <c r="D207" i="47"/>
  <c r="C207" i="47"/>
  <c r="B207" i="47" s="1"/>
  <c r="R206" i="47"/>
  <c r="L206" i="47"/>
  <c r="K206" i="47"/>
  <c r="J206" i="47"/>
  <c r="H206" i="47"/>
  <c r="G206" i="47"/>
  <c r="F206" i="47"/>
  <c r="E206" i="47"/>
  <c r="D206" i="47"/>
  <c r="C206" i="47"/>
  <c r="B206" i="47" s="1"/>
  <c r="R205" i="47"/>
  <c r="L205" i="47"/>
  <c r="K205" i="47"/>
  <c r="J205" i="47"/>
  <c r="H205" i="47"/>
  <c r="G205" i="47"/>
  <c r="F205" i="47"/>
  <c r="E205" i="47"/>
  <c r="D205" i="47"/>
  <c r="C205" i="47"/>
  <c r="B205" i="47" s="1"/>
  <c r="R204" i="47"/>
  <c r="L204" i="47"/>
  <c r="K204" i="47"/>
  <c r="J204" i="47"/>
  <c r="H204" i="47"/>
  <c r="G204" i="47"/>
  <c r="F204" i="47"/>
  <c r="E204" i="47"/>
  <c r="D204" i="47"/>
  <c r="C204" i="47"/>
  <c r="B204" i="47" s="1"/>
  <c r="R203" i="47"/>
  <c r="L203" i="47"/>
  <c r="K203" i="47"/>
  <c r="J203" i="47"/>
  <c r="H203" i="47"/>
  <c r="G203" i="47"/>
  <c r="F203" i="47"/>
  <c r="E203" i="47"/>
  <c r="D203" i="47"/>
  <c r="C203" i="47"/>
  <c r="B203" i="47" s="1"/>
  <c r="R202" i="47"/>
  <c r="L202" i="47"/>
  <c r="K202" i="47"/>
  <c r="J202" i="47"/>
  <c r="H202" i="47"/>
  <c r="G202" i="47"/>
  <c r="F202" i="47"/>
  <c r="E202" i="47"/>
  <c r="D202" i="47"/>
  <c r="C202" i="47"/>
  <c r="B202" i="47" s="1"/>
  <c r="R201" i="47"/>
  <c r="L201" i="47"/>
  <c r="K201" i="47"/>
  <c r="J201" i="47"/>
  <c r="H201" i="47"/>
  <c r="G201" i="47"/>
  <c r="F201" i="47"/>
  <c r="E201" i="47"/>
  <c r="D201" i="47"/>
  <c r="C201" i="47"/>
  <c r="B201" i="47" s="1"/>
  <c r="R200" i="47"/>
  <c r="L200" i="47"/>
  <c r="K200" i="47"/>
  <c r="J200" i="47"/>
  <c r="H200" i="47"/>
  <c r="G200" i="47"/>
  <c r="F200" i="47"/>
  <c r="E200" i="47"/>
  <c r="D200" i="47"/>
  <c r="C200" i="47"/>
  <c r="B200" i="47" s="1"/>
  <c r="R199" i="47"/>
  <c r="L199" i="47"/>
  <c r="K199" i="47"/>
  <c r="J199" i="47"/>
  <c r="H199" i="47"/>
  <c r="G199" i="47"/>
  <c r="F199" i="47"/>
  <c r="E199" i="47"/>
  <c r="D199" i="47"/>
  <c r="C199" i="47"/>
  <c r="B199" i="47" s="1"/>
  <c r="R198" i="47"/>
  <c r="L198" i="47"/>
  <c r="K198" i="47"/>
  <c r="J198" i="47"/>
  <c r="H198" i="47"/>
  <c r="G198" i="47"/>
  <c r="F198" i="47"/>
  <c r="E198" i="47"/>
  <c r="D198" i="47"/>
  <c r="C198" i="47"/>
  <c r="B198" i="47" s="1"/>
  <c r="R197" i="47"/>
  <c r="L197" i="47"/>
  <c r="K197" i="47"/>
  <c r="J197" i="47"/>
  <c r="H197" i="47"/>
  <c r="G197" i="47"/>
  <c r="F197" i="47"/>
  <c r="E197" i="47"/>
  <c r="D197" i="47"/>
  <c r="C197" i="47"/>
  <c r="B197" i="47" s="1"/>
  <c r="R196" i="47"/>
  <c r="L196" i="47"/>
  <c r="K196" i="47"/>
  <c r="J196" i="47"/>
  <c r="H196" i="47"/>
  <c r="G196" i="47"/>
  <c r="F196" i="47"/>
  <c r="E196" i="47"/>
  <c r="D196" i="47"/>
  <c r="C196" i="47"/>
  <c r="B196" i="47" s="1"/>
  <c r="R195" i="47"/>
  <c r="L195" i="47"/>
  <c r="K195" i="47"/>
  <c r="J195" i="47"/>
  <c r="H195" i="47"/>
  <c r="G195" i="47"/>
  <c r="F195" i="47"/>
  <c r="E195" i="47"/>
  <c r="D195" i="47"/>
  <c r="C195" i="47"/>
  <c r="B195" i="47" s="1"/>
  <c r="R194" i="47"/>
  <c r="L194" i="47"/>
  <c r="K194" i="47"/>
  <c r="J194" i="47"/>
  <c r="H194" i="47"/>
  <c r="G194" i="47"/>
  <c r="F194" i="47"/>
  <c r="E194" i="47"/>
  <c r="D194" i="47"/>
  <c r="C194" i="47"/>
  <c r="B194" i="47" s="1"/>
  <c r="R193" i="47"/>
  <c r="L193" i="47"/>
  <c r="K193" i="47"/>
  <c r="J193" i="47"/>
  <c r="H193" i="47"/>
  <c r="G193" i="47"/>
  <c r="F193" i="47"/>
  <c r="E193" i="47"/>
  <c r="D193" i="47"/>
  <c r="C193" i="47"/>
  <c r="B193" i="47" s="1"/>
  <c r="R192" i="47"/>
  <c r="L192" i="47"/>
  <c r="K192" i="47"/>
  <c r="J192" i="47"/>
  <c r="H192" i="47"/>
  <c r="G192" i="47"/>
  <c r="F192" i="47"/>
  <c r="E192" i="47"/>
  <c r="D192" i="47"/>
  <c r="C192" i="47"/>
  <c r="B192" i="47" s="1"/>
  <c r="R191" i="47"/>
  <c r="L191" i="47"/>
  <c r="K191" i="47"/>
  <c r="J191" i="47"/>
  <c r="H191" i="47"/>
  <c r="G191" i="47"/>
  <c r="F191" i="47"/>
  <c r="E191" i="47"/>
  <c r="D191" i="47"/>
  <c r="C191" i="47"/>
  <c r="B191" i="47" s="1"/>
  <c r="R190" i="47"/>
  <c r="L190" i="47"/>
  <c r="K190" i="47"/>
  <c r="J190" i="47"/>
  <c r="H190" i="47"/>
  <c r="G190" i="47"/>
  <c r="F190" i="47"/>
  <c r="E190" i="47"/>
  <c r="D190" i="47"/>
  <c r="C190" i="47"/>
  <c r="B190" i="47" s="1"/>
  <c r="R189" i="47"/>
  <c r="L189" i="47"/>
  <c r="K189" i="47"/>
  <c r="J189" i="47"/>
  <c r="H189" i="47"/>
  <c r="G189" i="47"/>
  <c r="F189" i="47"/>
  <c r="E189" i="47"/>
  <c r="D189" i="47"/>
  <c r="C189" i="47"/>
  <c r="B189" i="47" s="1"/>
  <c r="R188" i="47"/>
  <c r="L188" i="47"/>
  <c r="K188" i="47"/>
  <c r="J188" i="47"/>
  <c r="H188" i="47"/>
  <c r="G188" i="47"/>
  <c r="F188" i="47"/>
  <c r="E188" i="47"/>
  <c r="D188" i="47"/>
  <c r="C188" i="47"/>
  <c r="B188" i="47" s="1"/>
  <c r="R187" i="47"/>
  <c r="L187" i="47"/>
  <c r="K187" i="47"/>
  <c r="J187" i="47"/>
  <c r="H187" i="47"/>
  <c r="G187" i="47"/>
  <c r="F187" i="47"/>
  <c r="E187" i="47"/>
  <c r="D187" i="47"/>
  <c r="C187" i="47"/>
  <c r="B187" i="47" s="1"/>
  <c r="R186" i="47"/>
  <c r="L186" i="47"/>
  <c r="K186" i="47"/>
  <c r="J186" i="47"/>
  <c r="H186" i="47"/>
  <c r="G186" i="47"/>
  <c r="F186" i="47"/>
  <c r="E186" i="47"/>
  <c r="D186" i="47"/>
  <c r="C186" i="47"/>
  <c r="B186" i="47" s="1"/>
  <c r="R185" i="47"/>
  <c r="L185" i="47"/>
  <c r="K185" i="47"/>
  <c r="J185" i="47"/>
  <c r="H185" i="47"/>
  <c r="G185" i="47"/>
  <c r="F185" i="47"/>
  <c r="E185" i="47"/>
  <c r="D185" i="47"/>
  <c r="C185" i="47"/>
  <c r="B185" i="47" s="1"/>
  <c r="R184" i="47"/>
  <c r="L184" i="47"/>
  <c r="K184" i="47"/>
  <c r="J184" i="47"/>
  <c r="H184" i="47"/>
  <c r="G184" i="47"/>
  <c r="F184" i="47"/>
  <c r="E184" i="47"/>
  <c r="D184" i="47"/>
  <c r="C184" i="47"/>
  <c r="B184" i="47" s="1"/>
  <c r="R183" i="47"/>
  <c r="L183" i="47"/>
  <c r="K183" i="47"/>
  <c r="J183" i="47"/>
  <c r="H183" i="47"/>
  <c r="G183" i="47"/>
  <c r="F183" i="47"/>
  <c r="E183" i="47"/>
  <c r="D183" i="47"/>
  <c r="C183" i="47"/>
  <c r="B183" i="47" s="1"/>
  <c r="R182" i="47"/>
  <c r="L182" i="47"/>
  <c r="K182" i="47"/>
  <c r="J182" i="47"/>
  <c r="H182" i="47"/>
  <c r="G182" i="47"/>
  <c r="F182" i="47"/>
  <c r="E182" i="47"/>
  <c r="D182" i="47"/>
  <c r="C182" i="47"/>
  <c r="B182" i="47" s="1"/>
  <c r="R181" i="47"/>
  <c r="L181" i="47"/>
  <c r="K181" i="47"/>
  <c r="J181" i="47"/>
  <c r="H181" i="47"/>
  <c r="G181" i="47"/>
  <c r="F181" i="47"/>
  <c r="E181" i="47"/>
  <c r="D181" i="47"/>
  <c r="C181" i="47"/>
  <c r="B181" i="47" s="1"/>
  <c r="R180" i="47"/>
  <c r="L180" i="47"/>
  <c r="K180" i="47"/>
  <c r="J180" i="47"/>
  <c r="H180" i="47"/>
  <c r="G180" i="47"/>
  <c r="F180" i="47"/>
  <c r="E180" i="47"/>
  <c r="D180" i="47"/>
  <c r="C180" i="47"/>
  <c r="B180" i="47" s="1"/>
  <c r="R179" i="47"/>
  <c r="L179" i="47"/>
  <c r="K179" i="47"/>
  <c r="J179" i="47"/>
  <c r="H179" i="47"/>
  <c r="G179" i="47"/>
  <c r="F179" i="47"/>
  <c r="E179" i="47"/>
  <c r="D179" i="47"/>
  <c r="C179" i="47"/>
  <c r="B179" i="47" s="1"/>
  <c r="R178" i="47"/>
  <c r="L178" i="47"/>
  <c r="K178" i="47"/>
  <c r="J178" i="47"/>
  <c r="H178" i="47"/>
  <c r="G178" i="47"/>
  <c r="F178" i="47"/>
  <c r="E178" i="47"/>
  <c r="D178" i="47"/>
  <c r="C178" i="47"/>
  <c r="B178" i="47" s="1"/>
  <c r="R177" i="47"/>
  <c r="L177" i="47"/>
  <c r="K177" i="47"/>
  <c r="J177" i="47"/>
  <c r="H177" i="47"/>
  <c r="G177" i="47"/>
  <c r="F177" i="47"/>
  <c r="E177" i="47"/>
  <c r="D177" i="47"/>
  <c r="C177" i="47"/>
  <c r="B177" i="47" s="1"/>
  <c r="R176" i="47"/>
  <c r="L176" i="47"/>
  <c r="K176" i="47"/>
  <c r="J176" i="47"/>
  <c r="H176" i="47"/>
  <c r="G176" i="47"/>
  <c r="F176" i="47"/>
  <c r="E176" i="47"/>
  <c r="D176" i="47"/>
  <c r="C176" i="47"/>
  <c r="B176" i="47" s="1"/>
  <c r="R175" i="47"/>
  <c r="L175" i="47"/>
  <c r="K175" i="47"/>
  <c r="J175" i="47"/>
  <c r="H175" i="47"/>
  <c r="G175" i="47"/>
  <c r="F175" i="47"/>
  <c r="E175" i="47"/>
  <c r="D175" i="47"/>
  <c r="C175" i="47"/>
  <c r="B175" i="47" s="1"/>
  <c r="R174" i="47"/>
  <c r="L174" i="47"/>
  <c r="K174" i="47"/>
  <c r="J174" i="47"/>
  <c r="H174" i="47"/>
  <c r="G174" i="47"/>
  <c r="F174" i="47"/>
  <c r="E174" i="47"/>
  <c r="D174" i="47"/>
  <c r="C174" i="47"/>
  <c r="B174" i="47" s="1"/>
  <c r="R173" i="47"/>
  <c r="L173" i="47"/>
  <c r="K173" i="47"/>
  <c r="J173" i="47"/>
  <c r="H173" i="47"/>
  <c r="G173" i="47"/>
  <c r="F173" i="47"/>
  <c r="E173" i="47"/>
  <c r="D173" i="47"/>
  <c r="C173" i="47"/>
  <c r="B173" i="47" s="1"/>
  <c r="R172" i="47"/>
  <c r="L172" i="47"/>
  <c r="K172" i="47"/>
  <c r="J172" i="47"/>
  <c r="H172" i="47"/>
  <c r="G172" i="47"/>
  <c r="F172" i="47"/>
  <c r="E172" i="47"/>
  <c r="D172" i="47"/>
  <c r="C172" i="47"/>
  <c r="B172" i="47" s="1"/>
  <c r="R171" i="47"/>
  <c r="L171" i="47"/>
  <c r="K171" i="47"/>
  <c r="J171" i="47"/>
  <c r="H171" i="47"/>
  <c r="G171" i="47"/>
  <c r="F171" i="47"/>
  <c r="E171" i="47"/>
  <c r="D171" i="47"/>
  <c r="C171" i="47"/>
  <c r="B171" i="47" s="1"/>
  <c r="R170" i="47"/>
  <c r="L170" i="47"/>
  <c r="K170" i="47"/>
  <c r="J170" i="47"/>
  <c r="H170" i="47"/>
  <c r="G170" i="47"/>
  <c r="F170" i="47"/>
  <c r="E170" i="47"/>
  <c r="D170" i="47"/>
  <c r="C170" i="47"/>
  <c r="B170" i="47" s="1"/>
  <c r="R169" i="47"/>
  <c r="L169" i="47"/>
  <c r="K169" i="47"/>
  <c r="J169" i="47"/>
  <c r="H169" i="47"/>
  <c r="G169" i="47"/>
  <c r="F169" i="47"/>
  <c r="E169" i="47"/>
  <c r="D169" i="47"/>
  <c r="C169" i="47"/>
  <c r="B169" i="47" s="1"/>
  <c r="R168" i="47"/>
  <c r="L168" i="47"/>
  <c r="K168" i="47"/>
  <c r="J168" i="47"/>
  <c r="H168" i="47"/>
  <c r="G168" i="47"/>
  <c r="F168" i="47"/>
  <c r="E168" i="47"/>
  <c r="D168" i="47"/>
  <c r="C168" i="47"/>
  <c r="B168" i="47" s="1"/>
  <c r="R167" i="47"/>
  <c r="L167" i="47"/>
  <c r="K167" i="47"/>
  <c r="J167" i="47"/>
  <c r="H167" i="47"/>
  <c r="G167" i="47"/>
  <c r="F167" i="47"/>
  <c r="E167" i="47"/>
  <c r="D167" i="47"/>
  <c r="C167" i="47"/>
  <c r="B167" i="47" s="1"/>
  <c r="R166" i="47"/>
  <c r="L166" i="47"/>
  <c r="K166" i="47"/>
  <c r="J166" i="47"/>
  <c r="H166" i="47"/>
  <c r="G166" i="47"/>
  <c r="F166" i="47"/>
  <c r="E166" i="47"/>
  <c r="D166" i="47"/>
  <c r="C166" i="47"/>
  <c r="B166" i="47" s="1"/>
  <c r="R165" i="47"/>
  <c r="L165" i="47"/>
  <c r="K165" i="47"/>
  <c r="J165" i="47"/>
  <c r="H165" i="47"/>
  <c r="G165" i="47"/>
  <c r="F165" i="47"/>
  <c r="E165" i="47"/>
  <c r="D165" i="47"/>
  <c r="C165" i="47"/>
  <c r="B165" i="47" s="1"/>
  <c r="R164" i="47"/>
  <c r="L164" i="47"/>
  <c r="K164" i="47"/>
  <c r="J164" i="47"/>
  <c r="H164" i="47"/>
  <c r="G164" i="47"/>
  <c r="F164" i="47"/>
  <c r="E164" i="47"/>
  <c r="D164" i="47"/>
  <c r="C164" i="47"/>
  <c r="B164" i="47" s="1"/>
  <c r="R163" i="47"/>
  <c r="L163" i="47"/>
  <c r="K163" i="47"/>
  <c r="J163" i="47"/>
  <c r="H163" i="47"/>
  <c r="G163" i="47"/>
  <c r="F163" i="47"/>
  <c r="E163" i="47"/>
  <c r="D163" i="47"/>
  <c r="C163" i="47"/>
  <c r="B163" i="47" s="1"/>
  <c r="R162" i="47"/>
  <c r="L162" i="47"/>
  <c r="K162" i="47"/>
  <c r="J162" i="47"/>
  <c r="H162" i="47"/>
  <c r="G162" i="47"/>
  <c r="F162" i="47"/>
  <c r="E162" i="47"/>
  <c r="D162" i="47"/>
  <c r="C162" i="47"/>
  <c r="B162" i="47" s="1"/>
  <c r="R161" i="47"/>
  <c r="L161" i="47"/>
  <c r="K161" i="47"/>
  <c r="J161" i="47"/>
  <c r="H161" i="47"/>
  <c r="G161" i="47"/>
  <c r="F161" i="47"/>
  <c r="E161" i="47"/>
  <c r="D161" i="47"/>
  <c r="C161" i="47"/>
  <c r="B161" i="47" s="1"/>
  <c r="R160" i="47"/>
  <c r="L160" i="47"/>
  <c r="K160" i="47"/>
  <c r="J160" i="47"/>
  <c r="H160" i="47"/>
  <c r="G160" i="47"/>
  <c r="F160" i="47"/>
  <c r="E160" i="47"/>
  <c r="D160" i="47"/>
  <c r="C160" i="47"/>
  <c r="B160" i="47" s="1"/>
  <c r="R159" i="47"/>
  <c r="L159" i="47"/>
  <c r="K159" i="47"/>
  <c r="J159" i="47"/>
  <c r="H159" i="47"/>
  <c r="G159" i="47"/>
  <c r="F159" i="47"/>
  <c r="E159" i="47"/>
  <c r="D159" i="47"/>
  <c r="C159" i="47"/>
  <c r="B159" i="47" s="1"/>
  <c r="R158" i="47"/>
  <c r="L158" i="47"/>
  <c r="K158" i="47"/>
  <c r="J158" i="47"/>
  <c r="H158" i="47"/>
  <c r="G158" i="47"/>
  <c r="F158" i="47"/>
  <c r="E158" i="47"/>
  <c r="D158" i="47"/>
  <c r="C158" i="47"/>
  <c r="B158" i="47" s="1"/>
  <c r="R157" i="47"/>
  <c r="L157" i="47"/>
  <c r="K157" i="47"/>
  <c r="J157" i="47"/>
  <c r="H157" i="47"/>
  <c r="G157" i="47"/>
  <c r="F157" i="47"/>
  <c r="E157" i="47"/>
  <c r="D157" i="47"/>
  <c r="C157" i="47"/>
  <c r="B157" i="47" s="1"/>
  <c r="R156" i="47"/>
  <c r="L156" i="47"/>
  <c r="K156" i="47"/>
  <c r="J156" i="47"/>
  <c r="H156" i="47"/>
  <c r="G156" i="47"/>
  <c r="F156" i="47"/>
  <c r="E156" i="47"/>
  <c r="D156" i="47"/>
  <c r="C156" i="47"/>
  <c r="B156" i="47" s="1"/>
  <c r="R155" i="47"/>
  <c r="L155" i="47"/>
  <c r="K155" i="47"/>
  <c r="J155" i="47"/>
  <c r="H155" i="47"/>
  <c r="G155" i="47"/>
  <c r="F155" i="47"/>
  <c r="E155" i="47"/>
  <c r="D155" i="47"/>
  <c r="C155" i="47"/>
  <c r="B155" i="47" s="1"/>
  <c r="R154" i="47"/>
  <c r="L154" i="47"/>
  <c r="K154" i="47"/>
  <c r="J154" i="47"/>
  <c r="H154" i="47"/>
  <c r="G154" i="47"/>
  <c r="F154" i="47"/>
  <c r="E154" i="47"/>
  <c r="D154" i="47"/>
  <c r="C154" i="47"/>
  <c r="B154" i="47" s="1"/>
  <c r="R153" i="47"/>
  <c r="L153" i="47"/>
  <c r="K153" i="47"/>
  <c r="J153" i="47"/>
  <c r="H153" i="47"/>
  <c r="G153" i="47"/>
  <c r="F153" i="47"/>
  <c r="E153" i="47"/>
  <c r="D153" i="47"/>
  <c r="C153" i="47"/>
  <c r="B153" i="47" s="1"/>
  <c r="R152" i="47"/>
  <c r="L152" i="47"/>
  <c r="K152" i="47"/>
  <c r="J152" i="47"/>
  <c r="H152" i="47"/>
  <c r="G152" i="47"/>
  <c r="F152" i="47"/>
  <c r="E152" i="47"/>
  <c r="D152" i="47"/>
  <c r="C152" i="47"/>
  <c r="B152" i="47" s="1"/>
  <c r="R151" i="47"/>
  <c r="L151" i="47"/>
  <c r="K151" i="47"/>
  <c r="J151" i="47"/>
  <c r="H151" i="47"/>
  <c r="G151" i="47"/>
  <c r="F151" i="47"/>
  <c r="E151" i="47"/>
  <c r="D151" i="47"/>
  <c r="C151" i="47"/>
  <c r="B151" i="47" s="1"/>
  <c r="R150" i="47"/>
  <c r="L150" i="47"/>
  <c r="K150" i="47"/>
  <c r="J150" i="47"/>
  <c r="H150" i="47"/>
  <c r="G150" i="47"/>
  <c r="F150" i="47"/>
  <c r="E150" i="47"/>
  <c r="D150" i="47"/>
  <c r="C150" i="47"/>
  <c r="B150" i="47" s="1"/>
  <c r="R149" i="47"/>
  <c r="L149" i="47"/>
  <c r="K149" i="47"/>
  <c r="J149" i="47"/>
  <c r="H149" i="47"/>
  <c r="G149" i="47"/>
  <c r="F149" i="47"/>
  <c r="E149" i="47"/>
  <c r="D149" i="47"/>
  <c r="C149" i="47"/>
  <c r="B149" i="47" s="1"/>
  <c r="R148" i="47"/>
  <c r="L148" i="47"/>
  <c r="K148" i="47"/>
  <c r="J148" i="47"/>
  <c r="H148" i="47"/>
  <c r="G148" i="47"/>
  <c r="F148" i="47"/>
  <c r="E148" i="47"/>
  <c r="D148" i="47"/>
  <c r="C148" i="47"/>
  <c r="B148" i="47" s="1"/>
  <c r="R147" i="47"/>
  <c r="L147" i="47"/>
  <c r="K147" i="47"/>
  <c r="J147" i="47"/>
  <c r="H147" i="47"/>
  <c r="G147" i="47"/>
  <c r="F147" i="47"/>
  <c r="E147" i="47"/>
  <c r="D147" i="47"/>
  <c r="C147" i="47"/>
  <c r="B147" i="47" s="1"/>
  <c r="R146" i="47"/>
  <c r="L146" i="47"/>
  <c r="K146" i="47"/>
  <c r="J146" i="47"/>
  <c r="H146" i="47"/>
  <c r="G146" i="47"/>
  <c r="F146" i="47"/>
  <c r="E146" i="47"/>
  <c r="D146" i="47"/>
  <c r="C146" i="47"/>
  <c r="B146" i="47" s="1"/>
  <c r="R145" i="47"/>
  <c r="L145" i="47"/>
  <c r="K145" i="47"/>
  <c r="J145" i="47"/>
  <c r="H145" i="47"/>
  <c r="G145" i="47"/>
  <c r="F145" i="47"/>
  <c r="E145" i="47"/>
  <c r="D145" i="47"/>
  <c r="C145" i="47"/>
  <c r="B145" i="47" s="1"/>
  <c r="R144" i="47"/>
  <c r="L144" i="47"/>
  <c r="K144" i="47"/>
  <c r="J144" i="47"/>
  <c r="H144" i="47"/>
  <c r="G144" i="47"/>
  <c r="F144" i="47"/>
  <c r="E144" i="47"/>
  <c r="D144" i="47"/>
  <c r="C144" i="47"/>
  <c r="B144" i="47" s="1"/>
  <c r="R143" i="47"/>
  <c r="L143" i="47"/>
  <c r="K143" i="47"/>
  <c r="J143" i="47"/>
  <c r="H143" i="47"/>
  <c r="G143" i="47"/>
  <c r="F143" i="47"/>
  <c r="E143" i="47"/>
  <c r="D143" i="47"/>
  <c r="C143" i="47"/>
  <c r="B143" i="47" s="1"/>
  <c r="R142" i="47"/>
  <c r="L142" i="47"/>
  <c r="K142" i="47"/>
  <c r="J142" i="47"/>
  <c r="H142" i="47"/>
  <c r="G142" i="47"/>
  <c r="F142" i="47"/>
  <c r="E142" i="47"/>
  <c r="D142" i="47"/>
  <c r="C142" i="47"/>
  <c r="B142" i="47" s="1"/>
  <c r="R141" i="47"/>
  <c r="L141" i="47"/>
  <c r="K141" i="47"/>
  <c r="J141" i="47"/>
  <c r="H141" i="47"/>
  <c r="G141" i="47"/>
  <c r="F141" i="47"/>
  <c r="E141" i="47"/>
  <c r="D141" i="47"/>
  <c r="C141" i="47"/>
  <c r="B141" i="47" s="1"/>
  <c r="R140" i="47"/>
  <c r="L140" i="47"/>
  <c r="K140" i="47"/>
  <c r="J140" i="47"/>
  <c r="H140" i="47"/>
  <c r="G140" i="47"/>
  <c r="F140" i="47"/>
  <c r="E140" i="47"/>
  <c r="D140" i="47"/>
  <c r="C140" i="47"/>
  <c r="B140" i="47" s="1"/>
  <c r="R139" i="47"/>
  <c r="L139" i="47"/>
  <c r="K139" i="47"/>
  <c r="J139" i="47"/>
  <c r="H139" i="47"/>
  <c r="G139" i="47"/>
  <c r="F139" i="47"/>
  <c r="E139" i="47"/>
  <c r="D139" i="47"/>
  <c r="C139" i="47"/>
  <c r="B139" i="47" s="1"/>
  <c r="R138" i="47"/>
  <c r="L138" i="47"/>
  <c r="K138" i="47"/>
  <c r="J138" i="47"/>
  <c r="H138" i="47"/>
  <c r="G138" i="47"/>
  <c r="F138" i="47"/>
  <c r="E138" i="47"/>
  <c r="D138" i="47"/>
  <c r="C138" i="47"/>
  <c r="B138" i="47" s="1"/>
  <c r="R137" i="47"/>
  <c r="L137" i="47"/>
  <c r="K137" i="47"/>
  <c r="J137" i="47"/>
  <c r="H137" i="47"/>
  <c r="G137" i="47"/>
  <c r="F137" i="47"/>
  <c r="E137" i="47"/>
  <c r="D137" i="47"/>
  <c r="C137" i="47"/>
  <c r="B137" i="47" s="1"/>
  <c r="R136" i="47"/>
  <c r="L136" i="47"/>
  <c r="K136" i="47"/>
  <c r="J136" i="47"/>
  <c r="H136" i="47"/>
  <c r="G136" i="47"/>
  <c r="F136" i="47"/>
  <c r="E136" i="47"/>
  <c r="D136" i="47"/>
  <c r="C136" i="47"/>
  <c r="B136" i="47" s="1"/>
  <c r="R135" i="47"/>
  <c r="L135" i="47"/>
  <c r="K135" i="47"/>
  <c r="J135" i="47"/>
  <c r="H135" i="47"/>
  <c r="G135" i="47"/>
  <c r="F135" i="47"/>
  <c r="E135" i="47"/>
  <c r="D135" i="47"/>
  <c r="C135" i="47"/>
  <c r="B135" i="47" s="1"/>
  <c r="R134" i="47"/>
  <c r="L134" i="47"/>
  <c r="K134" i="47"/>
  <c r="J134" i="47"/>
  <c r="H134" i="47"/>
  <c r="G134" i="47"/>
  <c r="F134" i="47"/>
  <c r="E134" i="47"/>
  <c r="D134" i="47"/>
  <c r="C134" i="47"/>
  <c r="B134" i="47" s="1"/>
  <c r="R133" i="47"/>
  <c r="L133" i="47"/>
  <c r="K133" i="47"/>
  <c r="J133" i="47"/>
  <c r="H133" i="47"/>
  <c r="G133" i="47"/>
  <c r="F133" i="47"/>
  <c r="E133" i="47"/>
  <c r="D133" i="47"/>
  <c r="C133" i="47"/>
  <c r="B133" i="47" s="1"/>
  <c r="R132" i="47"/>
  <c r="L132" i="47"/>
  <c r="K132" i="47"/>
  <c r="J132" i="47"/>
  <c r="H132" i="47"/>
  <c r="G132" i="47"/>
  <c r="F132" i="47"/>
  <c r="E132" i="47"/>
  <c r="D132" i="47"/>
  <c r="C132" i="47"/>
  <c r="B132" i="47" s="1"/>
  <c r="R131" i="47"/>
  <c r="L131" i="47"/>
  <c r="K131" i="47"/>
  <c r="J131" i="47"/>
  <c r="H131" i="47"/>
  <c r="G131" i="47"/>
  <c r="F131" i="47"/>
  <c r="E131" i="47"/>
  <c r="D131" i="47"/>
  <c r="C131" i="47"/>
  <c r="B131" i="47" s="1"/>
  <c r="R130" i="47"/>
  <c r="L130" i="47"/>
  <c r="K130" i="47"/>
  <c r="J130" i="47"/>
  <c r="H130" i="47"/>
  <c r="G130" i="47"/>
  <c r="F130" i="47"/>
  <c r="E130" i="47"/>
  <c r="D130" i="47"/>
  <c r="C130" i="47"/>
  <c r="B130" i="47" s="1"/>
  <c r="R129" i="47"/>
  <c r="L129" i="47"/>
  <c r="K129" i="47"/>
  <c r="J129" i="47"/>
  <c r="H129" i="47"/>
  <c r="G129" i="47"/>
  <c r="F129" i="47"/>
  <c r="E129" i="47"/>
  <c r="D129" i="47"/>
  <c r="C129" i="47"/>
  <c r="B129" i="47" s="1"/>
  <c r="R128" i="47"/>
  <c r="L128" i="47"/>
  <c r="K128" i="47"/>
  <c r="J128" i="47"/>
  <c r="H128" i="47"/>
  <c r="G128" i="47"/>
  <c r="F128" i="47"/>
  <c r="E128" i="47"/>
  <c r="D128" i="47"/>
  <c r="C128" i="47"/>
  <c r="B128" i="47" s="1"/>
  <c r="R127" i="47"/>
  <c r="L127" i="47"/>
  <c r="K127" i="47"/>
  <c r="J127" i="47"/>
  <c r="H127" i="47"/>
  <c r="G127" i="47"/>
  <c r="F127" i="47"/>
  <c r="E127" i="47"/>
  <c r="D127" i="47"/>
  <c r="C127" i="47"/>
  <c r="B127" i="47" s="1"/>
  <c r="R126" i="47"/>
  <c r="L126" i="47"/>
  <c r="K126" i="47"/>
  <c r="J126" i="47"/>
  <c r="H126" i="47"/>
  <c r="G126" i="47"/>
  <c r="F126" i="47"/>
  <c r="E126" i="47"/>
  <c r="D126" i="47"/>
  <c r="C126" i="47"/>
  <c r="B126" i="47" s="1"/>
  <c r="R125" i="47"/>
  <c r="L125" i="47"/>
  <c r="K125" i="47"/>
  <c r="J125" i="47"/>
  <c r="H125" i="47"/>
  <c r="G125" i="47"/>
  <c r="F125" i="47"/>
  <c r="E125" i="47"/>
  <c r="D125" i="47"/>
  <c r="C125" i="47"/>
  <c r="B125" i="47" s="1"/>
  <c r="R124" i="47"/>
  <c r="L124" i="47"/>
  <c r="K124" i="47"/>
  <c r="J124" i="47"/>
  <c r="H124" i="47"/>
  <c r="G124" i="47"/>
  <c r="F124" i="47"/>
  <c r="E124" i="47"/>
  <c r="D124" i="47"/>
  <c r="C124" i="47"/>
  <c r="B124" i="47" s="1"/>
  <c r="R123" i="47"/>
  <c r="L123" i="47"/>
  <c r="K123" i="47"/>
  <c r="J123" i="47"/>
  <c r="H123" i="47"/>
  <c r="G123" i="47"/>
  <c r="F123" i="47"/>
  <c r="E123" i="47"/>
  <c r="D123" i="47"/>
  <c r="C123" i="47"/>
  <c r="B123" i="47" s="1"/>
  <c r="R122" i="47"/>
  <c r="L122" i="47"/>
  <c r="K122" i="47"/>
  <c r="J122" i="47"/>
  <c r="H122" i="47"/>
  <c r="G122" i="47"/>
  <c r="F122" i="47"/>
  <c r="E122" i="47"/>
  <c r="D122" i="47"/>
  <c r="C122" i="47"/>
  <c r="B122" i="47" s="1"/>
  <c r="R121" i="47"/>
  <c r="L121" i="47"/>
  <c r="K121" i="47"/>
  <c r="J121" i="47"/>
  <c r="H121" i="47"/>
  <c r="G121" i="47"/>
  <c r="F121" i="47"/>
  <c r="E121" i="47"/>
  <c r="D121" i="47"/>
  <c r="C121" i="47"/>
  <c r="B121" i="47" s="1"/>
  <c r="R120" i="47"/>
  <c r="L120" i="47"/>
  <c r="K120" i="47"/>
  <c r="J120" i="47"/>
  <c r="H120" i="47"/>
  <c r="G120" i="47"/>
  <c r="F120" i="47"/>
  <c r="E120" i="47"/>
  <c r="D120" i="47"/>
  <c r="C120" i="47"/>
  <c r="B120" i="47" s="1"/>
  <c r="R119" i="47"/>
  <c r="L119" i="47"/>
  <c r="K119" i="47"/>
  <c r="J119" i="47"/>
  <c r="H119" i="47"/>
  <c r="G119" i="47"/>
  <c r="F119" i="47"/>
  <c r="E119" i="47"/>
  <c r="D119" i="47"/>
  <c r="C119" i="47"/>
  <c r="B119" i="47" s="1"/>
  <c r="R118" i="47"/>
  <c r="L118" i="47"/>
  <c r="K118" i="47"/>
  <c r="J118" i="47"/>
  <c r="H118" i="47"/>
  <c r="G118" i="47"/>
  <c r="F118" i="47"/>
  <c r="E118" i="47"/>
  <c r="D118" i="47"/>
  <c r="C118" i="47"/>
  <c r="B118" i="47" s="1"/>
  <c r="R117" i="47"/>
  <c r="L117" i="47"/>
  <c r="K117" i="47"/>
  <c r="J117" i="47"/>
  <c r="H117" i="47"/>
  <c r="G117" i="47"/>
  <c r="F117" i="47"/>
  <c r="E117" i="47"/>
  <c r="D117" i="47"/>
  <c r="C117" i="47"/>
  <c r="B117" i="47" s="1"/>
  <c r="R116" i="47"/>
  <c r="L116" i="47"/>
  <c r="K116" i="47"/>
  <c r="J116" i="47"/>
  <c r="H116" i="47"/>
  <c r="G116" i="47"/>
  <c r="F116" i="47"/>
  <c r="E116" i="47"/>
  <c r="D116" i="47"/>
  <c r="C116" i="47"/>
  <c r="B116" i="47" s="1"/>
  <c r="R115" i="47"/>
  <c r="L115" i="47"/>
  <c r="K115" i="47"/>
  <c r="J115" i="47"/>
  <c r="H115" i="47"/>
  <c r="G115" i="47"/>
  <c r="F115" i="47"/>
  <c r="E115" i="47"/>
  <c r="D115" i="47"/>
  <c r="C115" i="47"/>
  <c r="B115" i="47" s="1"/>
  <c r="R114" i="47"/>
  <c r="L114" i="47"/>
  <c r="K114" i="47"/>
  <c r="J114" i="47"/>
  <c r="H114" i="47"/>
  <c r="G114" i="47"/>
  <c r="F114" i="47"/>
  <c r="E114" i="47"/>
  <c r="D114" i="47"/>
  <c r="C114" i="47"/>
  <c r="B114" i="47" s="1"/>
  <c r="R113" i="47"/>
  <c r="L113" i="47"/>
  <c r="K113" i="47"/>
  <c r="J113" i="47"/>
  <c r="H113" i="47"/>
  <c r="G113" i="47"/>
  <c r="F113" i="47"/>
  <c r="E113" i="47"/>
  <c r="D113" i="47"/>
  <c r="C113" i="47"/>
  <c r="B113" i="47" s="1"/>
  <c r="R112" i="47"/>
  <c r="L112" i="47"/>
  <c r="K112" i="47"/>
  <c r="J112" i="47"/>
  <c r="H112" i="47"/>
  <c r="G112" i="47"/>
  <c r="F112" i="47"/>
  <c r="E112" i="47"/>
  <c r="D112" i="47"/>
  <c r="C112" i="47"/>
  <c r="B112" i="47" s="1"/>
  <c r="R111" i="47"/>
  <c r="L111" i="47"/>
  <c r="K111" i="47"/>
  <c r="J111" i="47"/>
  <c r="H111" i="47"/>
  <c r="G111" i="47"/>
  <c r="F111" i="47"/>
  <c r="E111" i="47"/>
  <c r="D111" i="47"/>
  <c r="C111" i="47"/>
  <c r="B111" i="47" s="1"/>
  <c r="R110" i="47"/>
  <c r="L110" i="47"/>
  <c r="K110" i="47"/>
  <c r="J110" i="47"/>
  <c r="H110" i="47"/>
  <c r="G110" i="47"/>
  <c r="F110" i="47"/>
  <c r="E110" i="47"/>
  <c r="D110" i="47"/>
  <c r="C110" i="47"/>
  <c r="B110" i="47" s="1"/>
  <c r="R109" i="47"/>
  <c r="L109" i="47"/>
  <c r="K109" i="47"/>
  <c r="J109" i="47"/>
  <c r="H109" i="47"/>
  <c r="G109" i="47"/>
  <c r="F109" i="47"/>
  <c r="E109" i="47"/>
  <c r="D109" i="47"/>
  <c r="C109" i="47"/>
  <c r="B109" i="47" s="1"/>
  <c r="R108" i="47"/>
  <c r="L108" i="47"/>
  <c r="K108" i="47"/>
  <c r="J108" i="47"/>
  <c r="H108" i="47"/>
  <c r="G108" i="47"/>
  <c r="F108" i="47"/>
  <c r="E108" i="47"/>
  <c r="D108" i="47"/>
  <c r="C108" i="47"/>
  <c r="B108" i="47" s="1"/>
  <c r="R107" i="47"/>
  <c r="L107" i="47"/>
  <c r="K107" i="47"/>
  <c r="J107" i="47"/>
  <c r="H107" i="47"/>
  <c r="G107" i="47"/>
  <c r="F107" i="47"/>
  <c r="E107" i="47"/>
  <c r="D107" i="47"/>
  <c r="C107" i="47"/>
  <c r="B107" i="47" s="1"/>
  <c r="R106" i="47"/>
  <c r="L106" i="47"/>
  <c r="K106" i="47"/>
  <c r="J106" i="47"/>
  <c r="H106" i="47"/>
  <c r="G106" i="47"/>
  <c r="F106" i="47"/>
  <c r="E106" i="47"/>
  <c r="D106" i="47"/>
  <c r="C106" i="47"/>
  <c r="B106" i="47" s="1"/>
  <c r="R105" i="47"/>
  <c r="L105" i="47"/>
  <c r="K105" i="47"/>
  <c r="J105" i="47"/>
  <c r="H105" i="47"/>
  <c r="G105" i="47"/>
  <c r="F105" i="47"/>
  <c r="E105" i="47"/>
  <c r="D105" i="47"/>
  <c r="C105" i="47"/>
  <c r="B105" i="47" s="1"/>
  <c r="R104" i="47"/>
  <c r="L104" i="47"/>
  <c r="K104" i="47"/>
  <c r="J104" i="47"/>
  <c r="H104" i="47"/>
  <c r="G104" i="47"/>
  <c r="F104" i="47"/>
  <c r="E104" i="47"/>
  <c r="D104" i="47"/>
  <c r="C104" i="47"/>
  <c r="B104" i="47" s="1"/>
  <c r="R103" i="47"/>
  <c r="L103" i="47"/>
  <c r="K103" i="47"/>
  <c r="J103" i="47"/>
  <c r="H103" i="47"/>
  <c r="G103" i="47"/>
  <c r="F103" i="47"/>
  <c r="E103" i="47"/>
  <c r="D103" i="47"/>
  <c r="C103" i="47"/>
  <c r="B103" i="47" s="1"/>
  <c r="R102" i="47"/>
  <c r="L102" i="47"/>
  <c r="K102" i="47"/>
  <c r="J102" i="47"/>
  <c r="H102" i="47"/>
  <c r="G102" i="47"/>
  <c r="F102" i="47"/>
  <c r="E102" i="47"/>
  <c r="D102" i="47"/>
  <c r="C102" i="47"/>
  <c r="B102" i="47" s="1"/>
  <c r="R101" i="47"/>
  <c r="L101" i="47"/>
  <c r="K101" i="47"/>
  <c r="J101" i="47"/>
  <c r="H101" i="47"/>
  <c r="G101" i="47"/>
  <c r="F101" i="47"/>
  <c r="E101" i="47"/>
  <c r="D101" i="47"/>
  <c r="C101" i="47"/>
  <c r="B101" i="47" s="1"/>
  <c r="R100" i="47"/>
  <c r="L100" i="47"/>
  <c r="K100" i="47"/>
  <c r="J100" i="47"/>
  <c r="H100" i="47"/>
  <c r="G100" i="47"/>
  <c r="F100" i="47"/>
  <c r="E100" i="47"/>
  <c r="D100" i="47"/>
  <c r="C100" i="47"/>
  <c r="B100" i="47" s="1"/>
  <c r="R99" i="47"/>
  <c r="L99" i="47"/>
  <c r="K99" i="47"/>
  <c r="J99" i="47"/>
  <c r="H99" i="47"/>
  <c r="G99" i="47"/>
  <c r="F99" i="47"/>
  <c r="E99" i="47"/>
  <c r="D99" i="47"/>
  <c r="C99" i="47"/>
  <c r="B99" i="47" s="1"/>
  <c r="R98" i="47"/>
  <c r="L98" i="47"/>
  <c r="K98" i="47"/>
  <c r="J98" i="47"/>
  <c r="H98" i="47"/>
  <c r="G98" i="47"/>
  <c r="F98" i="47"/>
  <c r="E98" i="47"/>
  <c r="D98" i="47"/>
  <c r="C98" i="47"/>
  <c r="B98" i="47" s="1"/>
  <c r="R97" i="47"/>
  <c r="L97" i="47"/>
  <c r="K97" i="47"/>
  <c r="J97" i="47"/>
  <c r="H97" i="47"/>
  <c r="G97" i="47"/>
  <c r="F97" i="47"/>
  <c r="E97" i="47"/>
  <c r="D97" i="47"/>
  <c r="C97" i="47"/>
  <c r="B97" i="47" s="1"/>
  <c r="R96" i="47"/>
  <c r="L96" i="47"/>
  <c r="K96" i="47"/>
  <c r="J96" i="47"/>
  <c r="H96" i="47"/>
  <c r="G96" i="47"/>
  <c r="F96" i="47"/>
  <c r="E96" i="47"/>
  <c r="D96" i="47"/>
  <c r="C96" i="47"/>
  <c r="B96" i="47" s="1"/>
  <c r="R95" i="47"/>
  <c r="L95" i="47"/>
  <c r="K95" i="47"/>
  <c r="J95" i="47"/>
  <c r="H95" i="47"/>
  <c r="G95" i="47"/>
  <c r="F95" i="47"/>
  <c r="E95" i="47"/>
  <c r="D95" i="47"/>
  <c r="C95" i="47"/>
  <c r="B95" i="47" s="1"/>
  <c r="R94" i="47"/>
  <c r="L94" i="47"/>
  <c r="K94" i="47"/>
  <c r="J94" i="47"/>
  <c r="H94" i="47"/>
  <c r="G94" i="47"/>
  <c r="F94" i="47"/>
  <c r="E94" i="47"/>
  <c r="D94" i="47"/>
  <c r="C94" i="47"/>
  <c r="B94" i="47" s="1"/>
  <c r="R93" i="47"/>
  <c r="L93" i="47"/>
  <c r="K93" i="47"/>
  <c r="J93" i="47"/>
  <c r="H93" i="47"/>
  <c r="G93" i="47"/>
  <c r="F93" i="47"/>
  <c r="E93" i="47"/>
  <c r="D93" i="47"/>
  <c r="C93" i="47"/>
  <c r="B93" i="47" s="1"/>
  <c r="R92" i="47"/>
  <c r="L92" i="47"/>
  <c r="K92" i="47"/>
  <c r="J92" i="47"/>
  <c r="H92" i="47"/>
  <c r="G92" i="47"/>
  <c r="F92" i="47"/>
  <c r="E92" i="47"/>
  <c r="D92" i="47"/>
  <c r="C92" i="47"/>
  <c r="B92" i="47" s="1"/>
  <c r="R91" i="47"/>
  <c r="L91" i="47"/>
  <c r="K91" i="47"/>
  <c r="J91" i="47"/>
  <c r="H91" i="47"/>
  <c r="G91" i="47"/>
  <c r="F91" i="47"/>
  <c r="E91" i="47"/>
  <c r="D91" i="47"/>
  <c r="C91" i="47"/>
  <c r="B91" i="47" s="1"/>
  <c r="R90" i="47"/>
  <c r="L90" i="47"/>
  <c r="K90" i="47"/>
  <c r="J90" i="47"/>
  <c r="H90" i="47"/>
  <c r="G90" i="47"/>
  <c r="F90" i="47"/>
  <c r="E90" i="47"/>
  <c r="D90" i="47"/>
  <c r="C90" i="47"/>
  <c r="B90" i="47" s="1"/>
  <c r="R89" i="47"/>
  <c r="L89" i="47"/>
  <c r="K89" i="47"/>
  <c r="J89" i="47"/>
  <c r="H89" i="47"/>
  <c r="G89" i="47"/>
  <c r="F89" i="47"/>
  <c r="E89" i="47"/>
  <c r="D89" i="47"/>
  <c r="C89" i="47"/>
  <c r="B89" i="47" s="1"/>
  <c r="R88" i="47"/>
  <c r="L88" i="47"/>
  <c r="K88" i="47"/>
  <c r="J88" i="47"/>
  <c r="H88" i="47"/>
  <c r="G88" i="47"/>
  <c r="F88" i="47"/>
  <c r="E88" i="47"/>
  <c r="D88" i="47"/>
  <c r="C88" i="47"/>
  <c r="B88" i="47" s="1"/>
  <c r="R87" i="47"/>
  <c r="L87" i="47"/>
  <c r="K87" i="47"/>
  <c r="J87" i="47"/>
  <c r="H87" i="47"/>
  <c r="G87" i="47"/>
  <c r="F87" i="47"/>
  <c r="E87" i="47"/>
  <c r="D87" i="47"/>
  <c r="C87" i="47"/>
  <c r="B87" i="47" s="1"/>
  <c r="R86" i="47"/>
  <c r="L86" i="47"/>
  <c r="K86" i="47"/>
  <c r="J86" i="47"/>
  <c r="H86" i="47"/>
  <c r="G86" i="47"/>
  <c r="F86" i="47"/>
  <c r="E86" i="47"/>
  <c r="D86" i="47"/>
  <c r="C86" i="47"/>
  <c r="B86" i="47" s="1"/>
  <c r="R85" i="47"/>
  <c r="L85" i="47"/>
  <c r="K85" i="47"/>
  <c r="J85" i="47"/>
  <c r="H85" i="47"/>
  <c r="G85" i="47"/>
  <c r="F85" i="47"/>
  <c r="E85" i="47"/>
  <c r="D85" i="47"/>
  <c r="C85" i="47"/>
  <c r="B85" i="47" s="1"/>
  <c r="R84" i="47"/>
  <c r="L84" i="47"/>
  <c r="K84" i="47"/>
  <c r="J84" i="47"/>
  <c r="H84" i="47"/>
  <c r="G84" i="47"/>
  <c r="F84" i="47"/>
  <c r="E84" i="47"/>
  <c r="D84" i="47"/>
  <c r="C84" i="47"/>
  <c r="B84" i="47" s="1"/>
  <c r="R83" i="47"/>
  <c r="L83" i="47"/>
  <c r="K83" i="47"/>
  <c r="J83" i="47"/>
  <c r="H83" i="47"/>
  <c r="G83" i="47"/>
  <c r="F83" i="47"/>
  <c r="E83" i="47"/>
  <c r="D83" i="47"/>
  <c r="C83" i="47"/>
  <c r="B83" i="47" s="1"/>
  <c r="R82" i="47"/>
  <c r="L82" i="47"/>
  <c r="K82" i="47"/>
  <c r="J82" i="47"/>
  <c r="H82" i="47"/>
  <c r="G82" i="47"/>
  <c r="F82" i="47"/>
  <c r="E82" i="47"/>
  <c r="D82" i="47"/>
  <c r="C82" i="47"/>
  <c r="B82" i="47" s="1"/>
  <c r="R81" i="47"/>
  <c r="L81" i="47"/>
  <c r="K81" i="47"/>
  <c r="J81" i="47"/>
  <c r="H81" i="47"/>
  <c r="G81" i="47"/>
  <c r="F81" i="47"/>
  <c r="E81" i="47"/>
  <c r="D81" i="47"/>
  <c r="C81" i="47"/>
  <c r="B81" i="47" s="1"/>
  <c r="R80" i="47"/>
  <c r="L80" i="47"/>
  <c r="K80" i="47"/>
  <c r="J80" i="47"/>
  <c r="H80" i="47"/>
  <c r="G80" i="47"/>
  <c r="F80" i="47"/>
  <c r="E80" i="47"/>
  <c r="D80" i="47"/>
  <c r="C80" i="47"/>
  <c r="B80" i="47" s="1"/>
  <c r="R79" i="47"/>
  <c r="L79" i="47"/>
  <c r="K79" i="47"/>
  <c r="J79" i="47"/>
  <c r="H79" i="47"/>
  <c r="G79" i="47"/>
  <c r="F79" i="47"/>
  <c r="E79" i="47"/>
  <c r="D79" i="47"/>
  <c r="C79" i="47"/>
  <c r="B79" i="47" s="1"/>
  <c r="R78" i="47"/>
  <c r="L78" i="47"/>
  <c r="K78" i="47"/>
  <c r="J78" i="47"/>
  <c r="H78" i="47"/>
  <c r="G78" i="47"/>
  <c r="F78" i="47"/>
  <c r="E78" i="47"/>
  <c r="D78" i="47"/>
  <c r="C78" i="47"/>
  <c r="B78" i="47" s="1"/>
  <c r="R77" i="47"/>
  <c r="L77" i="47"/>
  <c r="K77" i="47"/>
  <c r="J77" i="47"/>
  <c r="H77" i="47"/>
  <c r="G77" i="47"/>
  <c r="F77" i="47"/>
  <c r="E77" i="47"/>
  <c r="D77" i="47"/>
  <c r="C77" i="47"/>
  <c r="B77" i="47" s="1"/>
  <c r="R76" i="47"/>
  <c r="L76" i="47"/>
  <c r="K76" i="47"/>
  <c r="J76" i="47"/>
  <c r="H76" i="47"/>
  <c r="G76" i="47"/>
  <c r="F76" i="47"/>
  <c r="E76" i="47"/>
  <c r="D76" i="47"/>
  <c r="C76" i="47"/>
  <c r="B76" i="47" s="1"/>
  <c r="R75" i="47"/>
  <c r="L75" i="47"/>
  <c r="K75" i="47"/>
  <c r="J75" i="47"/>
  <c r="H75" i="47"/>
  <c r="G75" i="47"/>
  <c r="F75" i="47"/>
  <c r="E75" i="47"/>
  <c r="D75" i="47"/>
  <c r="C75" i="47"/>
  <c r="B75" i="47" s="1"/>
  <c r="R74" i="47"/>
  <c r="L74" i="47"/>
  <c r="K74" i="47"/>
  <c r="J74" i="47"/>
  <c r="H74" i="47"/>
  <c r="G74" i="47"/>
  <c r="F74" i="47"/>
  <c r="E74" i="47"/>
  <c r="D74" i="47"/>
  <c r="C74" i="47"/>
  <c r="B74" i="47" s="1"/>
  <c r="R73" i="47"/>
  <c r="L73" i="47"/>
  <c r="K73" i="47"/>
  <c r="J73" i="47"/>
  <c r="H73" i="47"/>
  <c r="G73" i="47"/>
  <c r="F73" i="47"/>
  <c r="E73" i="47"/>
  <c r="D73" i="47"/>
  <c r="C73" i="47"/>
  <c r="B73" i="47" s="1"/>
  <c r="R72" i="47"/>
  <c r="L72" i="47"/>
  <c r="K72" i="47"/>
  <c r="J72" i="47"/>
  <c r="H72" i="47"/>
  <c r="G72" i="47"/>
  <c r="F72" i="47"/>
  <c r="E72" i="47"/>
  <c r="D72" i="47"/>
  <c r="C72" i="47"/>
  <c r="B72" i="47" s="1"/>
  <c r="R71" i="47"/>
  <c r="L71" i="47"/>
  <c r="K71" i="47"/>
  <c r="J71" i="47"/>
  <c r="H71" i="47"/>
  <c r="G71" i="47"/>
  <c r="F71" i="47"/>
  <c r="E71" i="47"/>
  <c r="D71" i="47"/>
  <c r="C71" i="47"/>
  <c r="B71" i="47" s="1"/>
  <c r="R70" i="47"/>
  <c r="L70" i="47"/>
  <c r="K70" i="47"/>
  <c r="J70" i="47"/>
  <c r="H70" i="47"/>
  <c r="G70" i="47"/>
  <c r="F70" i="47"/>
  <c r="E70" i="47"/>
  <c r="D70" i="47"/>
  <c r="C70" i="47"/>
  <c r="B70" i="47" s="1"/>
  <c r="R69" i="47"/>
  <c r="L69" i="47"/>
  <c r="K69" i="47"/>
  <c r="J69" i="47"/>
  <c r="H69" i="47"/>
  <c r="G69" i="47"/>
  <c r="F69" i="47"/>
  <c r="E69" i="47"/>
  <c r="D69" i="47"/>
  <c r="C69" i="47"/>
  <c r="B69" i="47" s="1"/>
  <c r="R68" i="47"/>
  <c r="L68" i="47"/>
  <c r="K68" i="47"/>
  <c r="J68" i="47"/>
  <c r="H68" i="47"/>
  <c r="G68" i="47"/>
  <c r="F68" i="47"/>
  <c r="E68" i="47"/>
  <c r="D68" i="47"/>
  <c r="C68" i="47"/>
  <c r="B68" i="47" s="1"/>
  <c r="R67" i="47"/>
  <c r="L67" i="47"/>
  <c r="K67" i="47"/>
  <c r="J67" i="47"/>
  <c r="H67" i="47"/>
  <c r="G67" i="47"/>
  <c r="F67" i="47"/>
  <c r="E67" i="47"/>
  <c r="D67" i="47"/>
  <c r="C67" i="47"/>
  <c r="B67" i="47" s="1"/>
  <c r="R66" i="47"/>
  <c r="L66" i="47"/>
  <c r="K66" i="47"/>
  <c r="J66" i="47"/>
  <c r="H66" i="47"/>
  <c r="G66" i="47"/>
  <c r="F66" i="47"/>
  <c r="E66" i="47"/>
  <c r="D66" i="47"/>
  <c r="C66" i="47"/>
  <c r="B66" i="47" s="1"/>
  <c r="R65" i="47"/>
  <c r="Q65" i="47"/>
  <c r="P65" i="47"/>
  <c r="O65" i="47"/>
  <c r="N65" i="47"/>
  <c r="M65" i="47"/>
  <c r="L65" i="47"/>
  <c r="K65" i="47"/>
  <c r="J65" i="47"/>
  <c r="I65" i="47"/>
  <c r="H65" i="47"/>
  <c r="G65" i="47"/>
  <c r="F65" i="47"/>
  <c r="E65" i="47"/>
  <c r="D65" i="47"/>
  <c r="C65" i="47"/>
  <c r="B65" i="47" s="1"/>
  <c r="R64" i="47"/>
  <c r="L64" i="47"/>
  <c r="K64" i="47"/>
  <c r="J64" i="47"/>
  <c r="H64" i="47"/>
  <c r="G64" i="47"/>
  <c r="F64" i="47"/>
  <c r="E64" i="47"/>
  <c r="D64" i="47"/>
  <c r="C64" i="47"/>
  <c r="B64" i="47" s="1"/>
  <c r="R63" i="47"/>
  <c r="L63" i="47"/>
  <c r="K63" i="47"/>
  <c r="J63" i="47"/>
  <c r="H63" i="47"/>
  <c r="G63" i="47"/>
  <c r="F63" i="47"/>
  <c r="E63" i="47"/>
  <c r="D63" i="47"/>
  <c r="C63" i="47"/>
  <c r="B63" i="47" s="1"/>
  <c r="R62" i="47"/>
  <c r="L62" i="47"/>
  <c r="K62" i="47"/>
  <c r="J62" i="47"/>
  <c r="H62" i="47"/>
  <c r="G62" i="47"/>
  <c r="F62" i="47"/>
  <c r="E62" i="47"/>
  <c r="D62" i="47"/>
  <c r="C62" i="47"/>
  <c r="B62" i="47" s="1"/>
  <c r="R61" i="47"/>
  <c r="L61" i="47"/>
  <c r="K61" i="47"/>
  <c r="J61" i="47"/>
  <c r="H61" i="47"/>
  <c r="G61" i="47"/>
  <c r="F61" i="47"/>
  <c r="E61" i="47"/>
  <c r="D61" i="47"/>
  <c r="C61" i="47"/>
  <c r="B61" i="47" s="1"/>
  <c r="R60" i="47"/>
  <c r="L60" i="47"/>
  <c r="K60" i="47"/>
  <c r="J60" i="47"/>
  <c r="H60" i="47"/>
  <c r="G60" i="47"/>
  <c r="F60" i="47"/>
  <c r="E60" i="47"/>
  <c r="D60" i="47"/>
  <c r="C60" i="47"/>
  <c r="B60" i="47" s="1"/>
  <c r="R59" i="47"/>
  <c r="L59" i="47"/>
  <c r="K59" i="47"/>
  <c r="J59" i="47"/>
  <c r="H59" i="47"/>
  <c r="G59" i="47"/>
  <c r="F59" i="47"/>
  <c r="E59" i="47"/>
  <c r="D59" i="47"/>
  <c r="C59" i="47"/>
  <c r="B59" i="47" s="1"/>
  <c r="R58" i="47"/>
  <c r="L58" i="47"/>
  <c r="K58" i="47"/>
  <c r="J58" i="47"/>
  <c r="H58" i="47"/>
  <c r="G58" i="47"/>
  <c r="F58" i="47"/>
  <c r="E58" i="47"/>
  <c r="D58" i="47"/>
  <c r="C58" i="47"/>
  <c r="B58" i="47" s="1"/>
  <c r="R57" i="47"/>
  <c r="Q57" i="47"/>
  <c r="P57" i="47"/>
  <c r="O57" i="47"/>
  <c r="N57" i="47"/>
  <c r="M57" i="47"/>
  <c r="L57" i="47"/>
  <c r="K57" i="47"/>
  <c r="J57" i="47"/>
  <c r="I57" i="47"/>
  <c r="H57" i="47"/>
  <c r="G57" i="47"/>
  <c r="F57" i="47"/>
  <c r="E57" i="47"/>
  <c r="D57" i="47"/>
  <c r="C57" i="47"/>
  <c r="B57" i="47" s="1"/>
  <c r="R56" i="47"/>
  <c r="Q56" i="47"/>
  <c r="P56" i="47"/>
  <c r="O56" i="47"/>
  <c r="N56" i="47"/>
  <c r="M56" i="47"/>
  <c r="L56" i="47"/>
  <c r="K56" i="47"/>
  <c r="J56" i="47"/>
  <c r="I56" i="47"/>
  <c r="H56" i="47"/>
  <c r="F56" i="47"/>
  <c r="E56" i="47"/>
  <c r="D56" i="47"/>
  <c r="C56" i="47"/>
  <c r="B56" i="47" s="1"/>
  <c r="R55" i="47"/>
  <c r="L55" i="47"/>
  <c r="K55" i="47"/>
  <c r="J55" i="47"/>
  <c r="H55" i="47"/>
  <c r="G55" i="47"/>
  <c r="F55" i="47"/>
  <c r="E55" i="47"/>
  <c r="D55" i="47"/>
  <c r="C55" i="47"/>
  <c r="B55" i="47" s="1"/>
  <c r="R54" i="47"/>
  <c r="L54" i="47"/>
  <c r="K54" i="47"/>
  <c r="J54" i="47"/>
  <c r="H54" i="47"/>
  <c r="G54" i="47"/>
  <c r="F54" i="47"/>
  <c r="E54" i="47"/>
  <c r="D54" i="47"/>
  <c r="C54" i="47"/>
  <c r="B54" i="47" s="1"/>
  <c r="R53" i="47"/>
  <c r="L53" i="47"/>
  <c r="K53" i="47"/>
  <c r="J53" i="47"/>
  <c r="H53" i="47"/>
  <c r="G53" i="47"/>
  <c r="F53" i="47"/>
  <c r="E53" i="47"/>
  <c r="D53" i="47"/>
  <c r="C53" i="47"/>
  <c r="B53" i="47" s="1"/>
  <c r="R52" i="47"/>
  <c r="L52" i="47"/>
  <c r="K52" i="47"/>
  <c r="J52" i="47"/>
  <c r="H52" i="47"/>
  <c r="G52" i="47"/>
  <c r="F52" i="47"/>
  <c r="E52" i="47"/>
  <c r="D52" i="47"/>
  <c r="C52" i="47"/>
  <c r="B52" i="47" s="1"/>
  <c r="R51" i="47"/>
  <c r="L51" i="47"/>
  <c r="K51" i="47"/>
  <c r="J51" i="47"/>
  <c r="H51" i="47"/>
  <c r="G51" i="47"/>
  <c r="F51" i="47"/>
  <c r="E51" i="47"/>
  <c r="D51" i="47"/>
  <c r="C51" i="47"/>
  <c r="B51" i="47" s="1"/>
  <c r="R50" i="47"/>
  <c r="L50" i="47"/>
  <c r="K50" i="47"/>
  <c r="J50" i="47"/>
  <c r="H50" i="47"/>
  <c r="G50" i="47"/>
  <c r="F50" i="47"/>
  <c r="E50" i="47"/>
  <c r="D50" i="47"/>
  <c r="C50" i="47"/>
  <c r="B50" i="47" s="1"/>
  <c r="R49" i="47"/>
  <c r="L49" i="47"/>
  <c r="K49" i="47"/>
  <c r="J49" i="47"/>
  <c r="H49" i="47"/>
  <c r="G49" i="47"/>
  <c r="F49" i="47"/>
  <c r="E49" i="47"/>
  <c r="D49" i="47"/>
  <c r="C49" i="47"/>
  <c r="B49" i="47" s="1"/>
  <c r="R48" i="47"/>
  <c r="L48" i="47"/>
  <c r="K48" i="47"/>
  <c r="J48" i="47"/>
  <c r="H48" i="47"/>
  <c r="G48" i="47"/>
  <c r="F48" i="47"/>
  <c r="E48" i="47"/>
  <c r="D48" i="47"/>
  <c r="C48" i="47"/>
  <c r="B48" i="47" s="1"/>
  <c r="R47" i="47"/>
  <c r="L47" i="47"/>
  <c r="K47" i="47"/>
  <c r="J47" i="47"/>
  <c r="H47" i="47"/>
  <c r="G47" i="47"/>
  <c r="F47" i="47"/>
  <c r="E47" i="47"/>
  <c r="D47" i="47"/>
  <c r="C47" i="47"/>
  <c r="B47" i="47" s="1"/>
  <c r="R46" i="47"/>
  <c r="L46" i="47"/>
  <c r="K46" i="47"/>
  <c r="J46" i="47"/>
  <c r="H46" i="47"/>
  <c r="G46" i="47"/>
  <c r="F46" i="47"/>
  <c r="E46" i="47"/>
  <c r="D46" i="47"/>
  <c r="C46" i="47"/>
  <c r="B46" i="47" s="1"/>
  <c r="R45" i="47"/>
  <c r="L45" i="47"/>
  <c r="K45" i="47"/>
  <c r="J45" i="47"/>
  <c r="H45" i="47"/>
  <c r="G45" i="47"/>
  <c r="F45" i="47"/>
  <c r="E45" i="47"/>
  <c r="D45" i="47"/>
  <c r="C45" i="47"/>
  <c r="B45" i="47" s="1"/>
  <c r="R44" i="47"/>
  <c r="L44" i="47"/>
  <c r="K44" i="47"/>
  <c r="J44" i="47"/>
  <c r="H44" i="47"/>
  <c r="G44" i="47"/>
  <c r="F44" i="47"/>
  <c r="E44" i="47"/>
  <c r="D44" i="47"/>
  <c r="C44" i="47"/>
  <c r="B44" i="47" s="1"/>
  <c r="R43" i="47"/>
  <c r="L43" i="47"/>
  <c r="K43" i="47"/>
  <c r="J43" i="47"/>
  <c r="H43" i="47"/>
  <c r="G43" i="47"/>
  <c r="F43" i="47"/>
  <c r="E43" i="47"/>
  <c r="D43" i="47"/>
  <c r="C43" i="47"/>
  <c r="B43" i="47" s="1"/>
  <c r="R42" i="47"/>
  <c r="L42" i="47"/>
  <c r="K42" i="47"/>
  <c r="J42" i="47"/>
  <c r="H42" i="47"/>
  <c r="G42" i="47"/>
  <c r="F42" i="47"/>
  <c r="E42" i="47"/>
  <c r="D42" i="47"/>
  <c r="C42" i="47"/>
  <c r="B42" i="47" s="1"/>
  <c r="R41" i="47"/>
  <c r="L41" i="47"/>
  <c r="K41" i="47"/>
  <c r="J41" i="47"/>
  <c r="H41" i="47"/>
  <c r="G41" i="47"/>
  <c r="F41" i="47"/>
  <c r="E41" i="47"/>
  <c r="D41" i="47"/>
  <c r="C41" i="47"/>
  <c r="B41" i="47" s="1"/>
  <c r="R40" i="47"/>
  <c r="L40" i="47"/>
  <c r="K40" i="47"/>
  <c r="J40" i="47"/>
  <c r="H40" i="47"/>
  <c r="G40" i="47"/>
  <c r="F40" i="47"/>
  <c r="E40" i="47"/>
  <c r="D40" i="47"/>
  <c r="C40" i="47"/>
  <c r="B40" i="47" s="1"/>
  <c r="R39" i="47"/>
  <c r="L39" i="47"/>
  <c r="K39" i="47"/>
  <c r="J39" i="47"/>
  <c r="H39" i="47"/>
  <c r="G39" i="47"/>
  <c r="F39" i="47"/>
  <c r="E39" i="47"/>
  <c r="D39" i="47"/>
  <c r="C39" i="47"/>
  <c r="B39" i="47" s="1"/>
  <c r="R38" i="47"/>
  <c r="L38" i="47"/>
  <c r="K38" i="47"/>
  <c r="J38" i="47"/>
  <c r="H38" i="47"/>
  <c r="G38" i="47"/>
  <c r="F38" i="47"/>
  <c r="E38" i="47"/>
  <c r="D38" i="47"/>
  <c r="C38" i="47"/>
  <c r="B38" i="47" s="1"/>
  <c r="R37" i="47"/>
  <c r="L37" i="47"/>
  <c r="K37" i="47"/>
  <c r="J37" i="47"/>
  <c r="H37" i="47"/>
  <c r="G37" i="47"/>
  <c r="F37" i="47"/>
  <c r="E37" i="47"/>
  <c r="D37" i="47"/>
  <c r="C37" i="47"/>
  <c r="B37" i="47" s="1"/>
  <c r="R36" i="47"/>
  <c r="L36" i="47"/>
  <c r="K36" i="47"/>
  <c r="J36" i="47"/>
  <c r="H36" i="47"/>
  <c r="G36" i="47"/>
  <c r="F36" i="47"/>
  <c r="E36" i="47"/>
  <c r="D36" i="47"/>
  <c r="C36" i="47"/>
  <c r="B36" i="47" s="1"/>
  <c r="R35" i="47"/>
  <c r="L35" i="47"/>
  <c r="K35" i="47"/>
  <c r="J35" i="47"/>
  <c r="H35" i="47"/>
  <c r="G35" i="47"/>
  <c r="F35" i="47"/>
  <c r="E35" i="47"/>
  <c r="D35" i="47"/>
  <c r="C35" i="47"/>
  <c r="B35" i="47" s="1"/>
  <c r="R34" i="47"/>
  <c r="L34" i="47"/>
  <c r="K34" i="47"/>
  <c r="J34" i="47"/>
  <c r="H34" i="47"/>
  <c r="G34" i="47"/>
  <c r="F34" i="47"/>
  <c r="E34" i="47"/>
  <c r="D34" i="47"/>
  <c r="C34" i="47"/>
  <c r="B34" i="47" s="1"/>
  <c r="R33" i="47"/>
  <c r="L33" i="47"/>
  <c r="K33" i="47"/>
  <c r="J33" i="47"/>
  <c r="H33" i="47"/>
  <c r="G33" i="47"/>
  <c r="F33" i="47"/>
  <c r="E33" i="47"/>
  <c r="D33" i="47"/>
  <c r="C33" i="47"/>
  <c r="B33" i="47" s="1"/>
  <c r="R32" i="47"/>
  <c r="Q32" i="47"/>
  <c r="P32" i="47"/>
  <c r="O32" i="47"/>
  <c r="N32" i="47"/>
  <c r="M32" i="47"/>
  <c r="L32" i="47"/>
  <c r="K32" i="47"/>
  <c r="J32" i="47"/>
  <c r="I32" i="47"/>
  <c r="H32" i="47"/>
  <c r="G32" i="47"/>
  <c r="F32" i="47"/>
  <c r="E32" i="47"/>
  <c r="D32" i="47"/>
  <c r="C32" i="47"/>
  <c r="B32" i="47" s="1"/>
  <c r="R31" i="47"/>
  <c r="Q31" i="47"/>
  <c r="P31" i="47"/>
  <c r="O31" i="47"/>
  <c r="N31" i="47"/>
  <c r="M31" i="47"/>
  <c r="L31" i="47"/>
  <c r="K31" i="47"/>
  <c r="J31" i="47"/>
  <c r="I31" i="47"/>
  <c r="H31" i="47"/>
  <c r="F31" i="47"/>
  <c r="E31" i="47"/>
  <c r="D31" i="47"/>
  <c r="C31" i="47"/>
  <c r="B31" i="47" s="1"/>
  <c r="R30" i="47"/>
  <c r="L30" i="47"/>
  <c r="K30" i="47"/>
  <c r="J30" i="47"/>
  <c r="H30" i="47"/>
  <c r="G30" i="47"/>
  <c r="F30" i="47"/>
  <c r="E30" i="47"/>
  <c r="D30" i="47"/>
  <c r="C30" i="47"/>
  <c r="B30" i="47" s="1"/>
  <c r="R29" i="47"/>
  <c r="L29" i="47"/>
  <c r="K29" i="47"/>
  <c r="J29" i="47"/>
  <c r="H29" i="47"/>
  <c r="G29" i="47"/>
  <c r="F29" i="47"/>
  <c r="E29" i="47"/>
  <c r="D29" i="47"/>
  <c r="C29" i="47"/>
  <c r="B29" i="47" s="1"/>
  <c r="R28" i="47"/>
  <c r="L28" i="47"/>
  <c r="K28" i="47"/>
  <c r="J28" i="47"/>
  <c r="H28" i="47"/>
  <c r="G28" i="47"/>
  <c r="F28" i="47"/>
  <c r="E28" i="47"/>
  <c r="D28" i="47"/>
  <c r="C28" i="47"/>
  <c r="B28" i="47" s="1"/>
  <c r="R27" i="47"/>
  <c r="L27" i="47"/>
  <c r="K27" i="47"/>
  <c r="J27" i="47"/>
  <c r="H27" i="47"/>
  <c r="G27" i="47"/>
  <c r="F27" i="47"/>
  <c r="E27" i="47"/>
  <c r="D27" i="47"/>
  <c r="C27" i="47"/>
  <c r="B27" i="47" s="1"/>
  <c r="R26" i="47"/>
  <c r="L26" i="47"/>
  <c r="K26" i="47"/>
  <c r="J26" i="47"/>
  <c r="H26" i="47"/>
  <c r="G26" i="47"/>
  <c r="F26" i="47"/>
  <c r="E26" i="47"/>
  <c r="D26" i="47"/>
  <c r="C26" i="47"/>
  <c r="B26" i="47" s="1"/>
  <c r="R25" i="47"/>
  <c r="L25" i="47"/>
  <c r="K25" i="47"/>
  <c r="J25" i="47"/>
  <c r="H25" i="47"/>
  <c r="G25" i="47"/>
  <c r="F25" i="47"/>
  <c r="E25" i="47"/>
  <c r="D25" i="47"/>
  <c r="C25" i="47"/>
  <c r="B25" i="47" s="1"/>
  <c r="R24" i="47"/>
  <c r="L24" i="47"/>
  <c r="K24" i="47"/>
  <c r="J24" i="47"/>
  <c r="H24" i="47"/>
  <c r="G24" i="47"/>
  <c r="F24" i="47"/>
  <c r="E24" i="47"/>
  <c r="D24" i="47"/>
  <c r="C24" i="47"/>
  <c r="B24" i="47" s="1"/>
  <c r="R23" i="47"/>
  <c r="L23" i="47"/>
  <c r="K23" i="47"/>
  <c r="J23" i="47"/>
  <c r="H23" i="47"/>
  <c r="G23" i="47"/>
  <c r="F23" i="47"/>
  <c r="E23" i="47"/>
  <c r="D23" i="47"/>
  <c r="C23" i="47"/>
  <c r="B23" i="47" s="1"/>
  <c r="R22" i="47"/>
  <c r="L22" i="47"/>
  <c r="K22" i="47"/>
  <c r="J22" i="47"/>
  <c r="H22" i="47"/>
  <c r="G22" i="47"/>
  <c r="F22" i="47"/>
  <c r="E22" i="47"/>
  <c r="D22" i="47"/>
  <c r="C22" i="47"/>
  <c r="B22" i="47" s="1"/>
  <c r="R21" i="47"/>
  <c r="L21" i="47"/>
  <c r="K21" i="47"/>
  <c r="J21" i="47"/>
  <c r="H21" i="47"/>
  <c r="G21" i="47"/>
  <c r="F21" i="47"/>
  <c r="E21" i="47"/>
  <c r="D21" i="47"/>
  <c r="C21" i="47"/>
  <c r="B21" i="47" s="1"/>
  <c r="R20" i="47"/>
  <c r="Q20" i="47"/>
  <c r="P20" i="47"/>
  <c r="O20" i="47"/>
  <c r="N20" i="47"/>
  <c r="M20" i="47"/>
  <c r="L20" i="47"/>
  <c r="K20" i="47"/>
  <c r="J20" i="47"/>
  <c r="I20" i="47"/>
  <c r="H20" i="47"/>
  <c r="G20" i="47"/>
  <c r="F20" i="47"/>
  <c r="E20" i="47"/>
  <c r="D20" i="47"/>
  <c r="C20" i="47"/>
  <c r="B20" i="47" s="1"/>
  <c r="R19" i="47"/>
  <c r="Q19" i="47"/>
  <c r="P19" i="47"/>
  <c r="O19" i="47"/>
  <c r="N19" i="47"/>
  <c r="M19" i="47"/>
  <c r="L19" i="47"/>
  <c r="K19" i="47"/>
  <c r="J19" i="47"/>
  <c r="I19" i="47"/>
  <c r="H19" i="47"/>
  <c r="F19" i="47"/>
  <c r="E19" i="47"/>
  <c r="D19" i="47"/>
  <c r="C19" i="47"/>
  <c r="B19" i="47" s="1"/>
  <c r="R18" i="47"/>
  <c r="L18" i="47"/>
  <c r="K18" i="47"/>
  <c r="J18" i="47"/>
  <c r="H18" i="47"/>
  <c r="G18" i="47"/>
  <c r="F18" i="47"/>
  <c r="E18" i="47"/>
  <c r="D18" i="47"/>
  <c r="C18" i="47"/>
  <c r="B18" i="47" s="1"/>
  <c r="R17" i="47"/>
  <c r="L17" i="47"/>
  <c r="K17" i="47"/>
  <c r="J17" i="47"/>
  <c r="H17" i="47"/>
  <c r="G17" i="47"/>
  <c r="F17" i="47"/>
  <c r="E17" i="47"/>
  <c r="D17" i="47"/>
  <c r="C17" i="47"/>
  <c r="B17" i="47" s="1"/>
  <c r="R16" i="47"/>
  <c r="L16" i="47"/>
  <c r="K16" i="47"/>
  <c r="J16" i="47"/>
  <c r="H16" i="47"/>
  <c r="G16" i="47"/>
  <c r="F16" i="47"/>
  <c r="E16" i="47"/>
  <c r="D16" i="47"/>
  <c r="C16" i="47"/>
  <c r="B16" i="47" s="1"/>
  <c r="R15" i="47"/>
  <c r="L15" i="47"/>
  <c r="K15" i="47"/>
  <c r="J15" i="47"/>
  <c r="H15" i="47"/>
  <c r="G15" i="47"/>
  <c r="F15" i="47"/>
  <c r="E15" i="47"/>
  <c r="D15" i="47"/>
  <c r="C15" i="47"/>
  <c r="B15" i="47" s="1"/>
  <c r="R14" i="47"/>
  <c r="L14" i="47"/>
  <c r="K14" i="47"/>
  <c r="J14" i="47"/>
  <c r="H14" i="47"/>
  <c r="G14" i="47"/>
  <c r="F14" i="47"/>
  <c r="E14" i="47"/>
  <c r="D14" i="47"/>
  <c r="C14" i="47"/>
  <c r="B14" i="47" s="1"/>
  <c r="R13" i="47"/>
  <c r="L13" i="47"/>
  <c r="K13" i="47"/>
  <c r="J13" i="47"/>
  <c r="H13" i="47"/>
  <c r="G13" i="47"/>
  <c r="F13" i="47"/>
  <c r="E13" i="47"/>
  <c r="D13" i="47"/>
  <c r="C13" i="47"/>
  <c r="B13" i="47" s="1"/>
  <c r="R12" i="47"/>
  <c r="L12" i="47"/>
  <c r="K12" i="47"/>
  <c r="J12" i="47"/>
  <c r="H12" i="47"/>
  <c r="G12" i="47"/>
  <c r="F12" i="47"/>
  <c r="E12" i="47"/>
  <c r="D12" i="47"/>
  <c r="C12" i="47"/>
  <c r="B12" i="47" s="1"/>
  <c r="A12" i="47"/>
  <c r="A22" i="47" s="1"/>
  <c r="R11" i="47"/>
  <c r="L11" i="47"/>
  <c r="K11" i="47"/>
  <c r="J11" i="47"/>
  <c r="H11" i="47"/>
  <c r="G11" i="47"/>
  <c r="F11" i="47"/>
  <c r="E11" i="47"/>
  <c r="D11" i="47"/>
  <c r="C11" i="47"/>
  <c r="B11" i="47" s="1"/>
  <c r="R10" i="47"/>
  <c r="Q10" i="47"/>
  <c r="P10" i="47"/>
  <c r="O10" i="47"/>
  <c r="N10" i="47"/>
  <c r="M10" i="47"/>
  <c r="L10" i="47"/>
  <c r="K10" i="47"/>
  <c r="J10" i="47"/>
  <c r="I10" i="47"/>
  <c r="H10" i="47"/>
  <c r="G10" i="47"/>
  <c r="F10" i="47"/>
  <c r="E10" i="47"/>
  <c r="D10" i="47"/>
  <c r="C10" i="47"/>
  <c r="B10" i="47" s="1"/>
  <c r="R9" i="47"/>
  <c r="Q9" i="47"/>
  <c r="P9" i="47"/>
  <c r="O9" i="47"/>
  <c r="N9" i="47"/>
  <c r="M9" i="47"/>
  <c r="L9" i="47"/>
  <c r="K9" i="47"/>
  <c r="J9" i="47"/>
  <c r="I9" i="47"/>
  <c r="H9" i="47"/>
  <c r="F9" i="47"/>
  <c r="E9" i="47"/>
  <c r="D9" i="47"/>
  <c r="C9" i="47"/>
  <c r="B9" i="47" s="1"/>
  <c r="R8" i="47"/>
  <c r="L8" i="47"/>
  <c r="K8" i="47"/>
  <c r="J8" i="47"/>
  <c r="H8" i="47"/>
  <c r="G8" i="47"/>
  <c r="F8" i="47"/>
  <c r="E8" i="47"/>
  <c r="D8" i="47"/>
  <c r="C8" i="47"/>
  <c r="B8" i="47" s="1"/>
  <c r="R7" i="47"/>
  <c r="L7" i="47"/>
  <c r="K7" i="47"/>
  <c r="J7" i="47"/>
  <c r="H7" i="47"/>
  <c r="G7" i="47"/>
  <c r="F7" i="47"/>
  <c r="E7" i="47"/>
  <c r="D7" i="47"/>
  <c r="C7" i="47"/>
  <c r="B7" i="47" s="1"/>
  <c r="R6" i="47"/>
  <c r="L6" i="47"/>
  <c r="K6" i="47"/>
  <c r="J6" i="47"/>
  <c r="H6" i="47"/>
  <c r="G6" i="47"/>
  <c r="F6" i="47"/>
  <c r="E6" i="47"/>
  <c r="D6" i="47"/>
  <c r="C6" i="47"/>
  <c r="B6" i="47" s="1"/>
  <c r="R5" i="47"/>
  <c r="L5" i="47"/>
  <c r="K5" i="47"/>
  <c r="J5" i="47"/>
  <c r="H5" i="47"/>
  <c r="G5" i="47"/>
  <c r="F5" i="47"/>
  <c r="E5" i="47"/>
  <c r="D5" i="47"/>
  <c r="C5" i="47"/>
  <c r="B5" i="47" s="1"/>
  <c r="R4" i="47"/>
  <c r="L4" i="47"/>
  <c r="K4" i="47"/>
  <c r="J4" i="47"/>
  <c r="H4" i="47"/>
  <c r="G4" i="47"/>
  <c r="F4" i="47"/>
  <c r="E4" i="47"/>
  <c r="D4" i="47"/>
  <c r="C4" i="47"/>
  <c r="B4" i="47" s="1"/>
  <c r="R3" i="47"/>
  <c r="L3" i="47"/>
  <c r="K3" i="47"/>
  <c r="J3" i="47"/>
  <c r="H3" i="47"/>
  <c r="G3" i="47"/>
  <c r="F3" i="47"/>
  <c r="E3" i="47"/>
  <c r="D3" i="47"/>
  <c r="C3" i="47"/>
  <c r="B3" i="47" s="1"/>
  <c r="A3" i="47"/>
  <c r="A13" i="47" s="1"/>
  <c r="A23" i="47" s="1"/>
  <c r="R2" i="47"/>
  <c r="L2" i="47"/>
  <c r="K2" i="47"/>
  <c r="J2" i="47"/>
  <c r="H2" i="47"/>
  <c r="G2" i="47"/>
  <c r="F2" i="47"/>
  <c r="E2" i="47"/>
  <c r="D2" i="47"/>
  <c r="C2" i="47"/>
  <c r="B2" i="47" s="1"/>
  <c r="G251" i="43"/>
  <c r="F251" i="43"/>
  <c r="E251" i="43"/>
  <c r="D251" i="43"/>
  <c r="C251" i="43"/>
  <c r="B251" i="43"/>
  <c r="A251" i="43"/>
  <c r="G250" i="43"/>
  <c r="F250" i="43"/>
  <c r="E250" i="43"/>
  <c r="D250" i="43"/>
  <c r="C250" i="43"/>
  <c r="B250" i="43"/>
  <c r="A250" i="43"/>
  <c r="G249" i="43"/>
  <c r="F249" i="43"/>
  <c r="E249" i="43"/>
  <c r="D249" i="43"/>
  <c r="C249" i="43"/>
  <c r="B249" i="43"/>
  <c r="A249" i="43"/>
  <c r="G248" i="43"/>
  <c r="F248" i="43"/>
  <c r="E248" i="43"/>
  <c r="D248" i="43"/>
  <c r="C248" i="43"/>
  <c r="B248" i="43"/>
  <c r="A248" i="43"/>
  <c r="G247" i="43"/>
  <c r="F247" i="43"/>
  <c r="E247" i="43"/>
  <c r="D247" i="43"/>
  <c r="C247" i="43"/>
  <c r="B247" i="43"/>
  <c r="A247" i="43"/>
  <c r="G246" i="43"/>
  <c r="F246" i="43"/>
  <c r="E246" i="43"/>
  <c r="D246" i="43"/>
  <c r="C246" i="43"/>
  <c r="B246" i="43"/>
  <c r="A246" i="43"/>
  <c r="G245" i="43"/>
  <c r="F245" i="43"/>
  <c r="E245" i="43"/>
  <c r="D245" i="43"/>
  <c r="C245" i="43"/>
  <c r="B245" i="43"/>
  <c r="A245" i="43"/>
  <c r="G244" i="43"/>
  <c r="F244" i="43"/>
  <c r="E244" i="43"/>
  <c r="D244" i="43"/>
  <c r="C244" i="43"/>
  <c r="B244" i="43"/>
  <c r="A244" i="43"/>
  <c r="G243" i="43"/>
  <c r="F243" i="43"/>
  <c r="E243" i="43"/>
  <c r="D243" i="43"/>
  <c r="C243" i="43"/>
  <c r="B243" i="43"/>
  <c r="A243" i="43"/>
  <c r="G242" i="43"/>
  <c r="F242" i="43"/>
  <c r="E242" i="43"/>
  <c r="D242" i="43"/>
  <c r="C242" i="43"/>
  <c r="B242" i="43"/>
  <c r="A242" i="43"/>
  <c r="G241" i="43"/>
  <c r="F241" i="43"/>
  <c r="E241" i="43"/>
  <c r="D241" i="43"/>
  <c r="C241" i="43"/>
  <c r="B241" i="43"/>
  <c r="A241" i="43"/>
  <c r="G240" i="43"/>
  <c r="F240" i="43"/>
  <c r="E240" i="43"/>
  <c r="D240" i="43"/>
  <c r="C240" i="43"/>
  <c r="B240" i="43"/>
  <c r="A240" i="43"/>
  <c r="G239" i="43"/>
  <c r="F239" i="43"/>
  <c r="E239" i="43"/>
  <c r="D239" i="43"/>
  <c r="C239" i="43"/>
  <c r="B239" i="43"/>
  <c r="A239" i="43"/>
  <c r="G238" i="43"/>
  <c r="F238" i="43"/>
  <c r="E238" i="43"/>
  <c r="D238" i="43"/>
  <c r="C238" i="43"/>
  <c r="B238" i="43"/>
  <c r="A238" i="43"/>
  <c r="M237" i="43"/>
  <c r="G237" i="43"/>
  <c r="F237" i="43"/>
  <c r="E237" i="43"/>
  <c r="D237" i="43"/>
  <c r="C237" i="43"/>
  <c r="B237" i="43"/>
  <c r="A237" i="43"/>
  <c r="G236" i="43"/>
  <c r="F236" i="43"/>
  <c r="E236" i="43"/>
  <c r="D236" i="43"/>
  <c r="C236" i="43"/>
  <c r="B236" i="43"/>
  <c r="A236" i="43"/>
  <c r="G235" i="43"/>
  <c r="F235" i="43"/>
  <c r="E235" i="43"/>
  <c r="D235" i="43"/>
  <c r="C235" i="43"/>
  <c r="B235" i="43"/>
  <c r="A235" i="43"/>
  <c r="G234" i="43"/>
  <c r="F234" i="43"/>
  <c r="E234" i="43"/>
  <c r="D234" i="43"/>
  <c r="C234" i="43"/>
  <c r="B234" i="43"/>
  <c r="A234" i="43"/>
  <c r="G233" i="43"/>
  <c r="F233" i="43"/>
  <c r="E233" i="43"/>
  <c r="D233" i="43"/>
  <c r="C233" i="43"/>
  <c r="B233" i="43"/>
  <c r="A233" i="43"/>
  <c r="G232" i="43"/>
  <c r="F232" i="43"/>
  <c r="E232" i="43"/>
  <c r="D232" i="43"/>
  <c r="C232" i="43"/>
  <c r="B232" i="43"/>
  <c r="A232" i="43"/>
  <c r="G231" i="43"/>
  <c r="F231" i="43"/>
  <c r="E231" i="43"/>
  <c r="D231" i="43"/>
  <c r="C231" i="43"/>
  <c r="B231" i="43"/>
  <c r="A231" i="43"/>
  <c r="G230" i="43"/>
  <c r="F230" i="43"/>
  <c r="E230" i="43"/>
  <c r="D230" i="43"/>
  <c r="C230" i="43"/>
  <c r="B230" i="43"/>
  <c r="A230" i="43"/>
  <c r="G229" i="43"/>
  <c r="F229" i="43"/>
  <c r="E229" i="43"/>
  <c r="D229" i="43"/>
  <c r="C229" i="43"/>
  <c r="B229" i="43"/>
  <c r="A229" i="43"/>
  <c r="G228" i="43"/>
  <c r="F228" i="43"/>
  <c r="E228" i="43"/>
  <c r="D228" i="43"/>
  <c r="C228" i="43"/>
  <c r="B228" i="43"/>
  <c r="A228" i="43"/>
  <c r="G225" i="43"/>
  <c r="F225" i="43"/>
  <c r="E225" i="43"/>
  <c r="D225" i="43"/>
  <c r="C225" i="43"/>
  <c r="B225" i="43"/>
  <c r="A225" i="43"/>
  <c r="G224" i="43"/>
  <c r="F224" i="43"/>
  <c r="E224" i="43"/>
  <c r="D224" i="43"/>
  <c r="C224" i="43"/>
  <c r="B224" i="43"/>
  <c r="A224" i="43"/>
  <c r="G223" i="43"/>
  <c r="F223" i="43"/>
  <c r="E223" i="43"/>
  <c r="D223" i="43"/>
  <c r="C223" i="43"/>
  <c r="B223" i="43"/>
  <c r="A223" i="43"/>
  <c r="G222" i="43"/>
  <c r="F222" i="43"/>
  <c r="E222" i="43"/>
  <c r="D222" i="43"/>
  <c r="C222" i="43"/>
  <c r="B222" i="43"/>
  <c r="A222" i="43"/>
  <c r="G221" i="43"/>
  <c r="F221" i="43"/>
  <c r="E221" i="43"/>
  <c r="D221" i="43"/>
  <c r="C221" i="43"/>
  <c r="B221" i="43"/>
  <c r="A221" i="43"/>
  <c r="G219" i="43"/>
  <c r="F219" i="43"/>
  <c r="E219" i="43"/>
  <c r="D219" i="43"/>
  <c r="C219" i="43"/>
  <c r="B219" i="43"/>
  <c r="A219" i="43"/>
  <c r="G218" i="43"/>
  <c r="F218" i="43"/>
  <c r="E218" i="43"/>
  <c r="D218" i="43"/>
  <c r="C218" i="43"/>
  <c r="B218" i="43"/>
  <c r="A218" i="43"/>
  <c r="G217" i="43"/>
  <c r="F217" i="43"/>
  <c r="E217" i="43"/>
  <c r="D217" i="43"/>
  <c r="C217" i="43"/>
  <c r="B217" i="43"/>
  <c r="A217" i="43"/>
  <c r="G216" i="43"/>
  <c r="F216" i="43"/>
  <c r="E216" i="43"/>
  <c r="D216" i="43"/>
  <c r="C216" i="43"/>
  <c r="B216" i="43"/>
  <c r="A216" i="43"/>
  <c r="G215" i="43"/>
  <c r="F215" i="43"/>
  <c r="E215" i="43"/>
  <c r="D215" i="43"/>
  <c r="C215" i="43"/>
  <c r="B215" i="43"/>
  <c r="A215" i="43"/>
  <c r="M214" i="43"/>
  <c r="G214" i="43"/>
  <c r="F214" i="43"/>
  <c r="E214" i="43"/>
  <c r="D214" i="43"/>
  <c r="C214" i="43"/>
  <c r="B214" i="43"/>
  <c r="A214" i="43"/>
  <c r="G213" i="43"/>
  <c r="F213" i="43"/>
  <c r="E213" i="43"/>
  <c r="D213" i="43"/>
  <c r="C213" i="43"/>
  <c r="B213" i="43"/>
  <c r="A213" i="43"/>
  <c r="G212" i="43"/>
  <c r="F212" i="43"/>
  <c r="E212" i="43"/>
  <c r="D212" i="43"/>
  <c r="C212" i="43"/>
  <c r="B212" i="43"/>
  <c r="A212" i="43"/>
  <c r="G211" i="43"/>
  <c r="F211" i="43"/>
  <c r="E211" i="43"/>
  <c r="D211" i="43"/>
  <c r="C211" i="43"/>
  <c r="B211" i="43"/>
  <c r="A211" i="43"/>
  <c r="G210" i="43"/>
  <c r="F210" i="43"/>
  <c r="E210" i="43"/>
  <c r="D210" i="43"/>
  <c r="C210" i="43"/>
  <c r="B210" i="43"/>
  <c r="A210" i="43"/>
  <c r="G209" i="43"/>
  <c r="F209" i="43"/>
  <c r="E209" i="43"/>
  <c r="D209" i="43"/>
  <c r="C209" i="43"/>
  <c r="B209" i="43"/>
  <c r="A209" i="43"/>
  <c r="G208" i="43"/>
  <c r="F208" i="43"/>
  <c r="E208" i="43"/>
  <c r="D208" i="43"/>
  <c r="C208" i="43"/>
  <c r="B208" i="43"/>
  <c r="A208" i="43"/>
  <c r="G207" i="43"/>
  <c r="F207" i="43"/>
  <c r="E207" i="43"/>
  <c r="D207" i="43"/>
  <c r="C207" i="43"/>
  <c r="B207" i="43"/>
  <c r="A207" i="43"/>
  <c r="G206" i="43"/>
  <c r="F206" i="43"/>
  <c r="E206" i="43"/>
  <c r="D206" i="43"/>
  <c r="C206" i="43"/>
  <c r="B206" i="43"/>
  <c r="A206" i="43"/>
  <c r="G205" i="43"/>
  <c r="F205" i="43"/>
  <c r="E205" i="43"/>
  <c r="D205" i="43"/>
  <c r="C205" i="43"/>
  <c r="B205" i="43"/>
  <c r="A205" i="43"/>
  <c r="G204" i="43"/>
  <c r="F204" i="43"/>
  <c r="E204" i="43"/>
  <c r="D204" i="43"/>
  <c r="C204" i="43"/>
  <c r="B204" i="43"/>
  <c r="A204" i="43"/>
  <c r="G203" i="43"/>
  <c r="F203" i="43"/>
  <c r="E203" i="43"/>
  <c r="D203" i="43"/>
  <c r="C203" i="43"/>
  <c r="B203" i="43"/>
  <c r="A203" i="43"/>
  <c r="G200" i="43"/>
  <c r="F200" i="43"/>
  <c r="E200" i="43"/>
  <c r="D200" i="43"/>
  <c r="C200" i="43"/>
  <c r="B200" i="43"/>
  <c r="A200" i="43"/>
  <c r="G199" i="43"/>
  <c r="F199" i="43"/>
  <c r="E199" i="43"/>
  <c r="D199" i="43"/>
  <c r="C199" i="43"/>
  <c r="B199" i="43"/>
  <c r="A199" i="43"/>
  <c r="G198" i="43"/>
  <c r="F198" i="43"/>
  <c r="E198" i="43"/>
  <c r="D198" i="43"/>
  <c r="C198" i="43"/>
  <c r="B198" i="43"/>
  <c r="A198" i="43"/>
  <c r="G197" i="43"/>
  <c r="F197" i="43"/>
  <c r="E197" i="43"/>
  <c r="D197" i="43"/>
  <c r="C197" i="43"/>
  <c r="B197" i="43"/>
  <c r="A197" i="43"/>
  <c r="G196" i="43"/>
  <c r="F196" i="43"/>
  <c r="E196" i="43"/>
  <c r="D196" i="43"/>
  <c r="C196" i="43"/>
  <c r="B196" i="43"/>
  <c r="A196" i="43"/>
  <c r="G195" i="43"/>
  <c r="F195" i="43"/>
  <c r="E195" i="43"/>
  <c r="D195" i="43"/>
  <c r="C195" i="43"/>
  <c r="B195" i="43"/>
  <c r="A195" i="43"/>
  <c r="G194" i="43"/>
  <c r="F194" i="43"/>
  <c r="E194" i="43"/>
  <c r="D194" i="43"/>
  <c r="C194" i="43"/>
  <c r="B194" i="43"/>
  <c r="A194" i="43"/>
  <c r="G193" i="43"/>
  <c r="F193" i="43"/>
  <c r="E193" i="43"/>
  <c r="D193" i="43"/>
  <c r="C193" i="43"/>
  <c r="B193" i="43"/>
  <c r="A193" i="43"/>
  <c r="G192" i="43"/>
  <c r="F192" i="43"/>
  <c r="E192" i="43"/>
  <c r="D192" i="43"/>
  <c r="C192" i="43"/>
  <c r="B192" i="43"/>
  <c r="A192" i="43"/>
  <c r="G191" i="43"/>
  <c r="F191" i="43"/>
  <c r="E191" i="43"/>
  <c r="D191" i="43"/>
  <c r="C191" i="43"/>
  <c r="B191" i="43"/>
  <c r="A191" i="43"/>
  <c r="G190" i="43"/>
  <c r="F190" i="43"/>
  <c r="E190" i="43"/>
  <c r="D190" i="43"/>
  <c r="C190" i="43"/>
  <c r="B190" i="43"/>
  <c r="A190" i="43"/>
  <c r="G188" i="43"/>
  <c r="F188" i="43"/>
  <c r="E188" i="43"/>
  <c r="D188" i="43"/>
  <c r="C188" i="43"/>
  <c r="B188" i="43"/>
  <c r="A188" i="43"/>
  <c r="G187" i="43"/>
  <c r="F187" i="43"/>
  <c r="E187" i="43"/>
  <c r="D187" i="43"/>
  <c r="C187" i="43"/>
  <c r="B187" i="43"/>
  <c r="A187" i="43"/>
  <c r="G186" i="43"/>
  <c r="F186" i="43"/>
  <c r="E186" i="43"/>
  <c r="D186" i="43"/>
  <c r="C186" i="43"/>
  <c r="B186" i="43"/>
  <c r="A186" i="43"/>
  <c r="G185" i="43"/>
  <c r="F185" i="43"/>
  <c r="E185" i="43"/>
  <c r="D185" i="43"/>
  <c r="C185" i="43"/>
  <c r="B185" i="43"/>
  <c r="A185" i="43"/>
  <c r="M184" i="43"/>
  <c r="G184" i="43"/>
  <c r="F184" i="43"/>
  <c r="E184" i="43"/>
  <c r="D184" i="43"/>
  <c r="C184" i="43"/>
  <c r="B184" i="43"/>
  <c r="A184" i="43"/>
  <c r="G183" i="43"/>
  <c r="F183" i="43"/>
  <c r="E183" i="43"/>
  <c r="D183" i="43"/>
  <c r="C183" i="43"/>
  <c r="B183" i="43"/>
  <c r="A183" i="43"/>
  <c r="G182" i="43"/>
  <c r="F182" i="43"/>
  <c r="E182" i="43"/>
  <c r="D182" i="43"/>
  <c r="C182" i="43"/>
  <c r="B182" i="43"/>
  <c r="A182" i="43"/>
  <c r="G181" i="43"/>
  <c r="F181" i="43"/>
  <c r="E181" i="43"/>
  <c r="D181" i="43"/>
  <c r="C181" i="43"/>
  <c r="B181" i="43"/>
  <c r="A181" i="43"/>
  <c r="G180" i="43"/>
  <c r="F180" i="43"/>
  <c r="E180" i="43"/>
  <c r="D180" i="43"/>
  <c r="C180" i="43"/>
  <c r="B180" i="43"/>
  <c r="A180" i="43"/>
  <c r="G179" i="43"/>
  <c r="F179" i="43"/>
  <c r="E179" i="43"/>
  <c r="D179" i="43"/>
  <c r="C179" i="43"/>
  <c r="B179" i="43"/>
  <c r="A179" i="43"/>
  <c r="G178" i="43"/>
  <c r="J178" i="43" s="1"/>
  <c r="F178" i="43"/>
  <c r="D178" i="43"/>
  <c r="C178" i="43"/>
  <c r="B178" i="43"/>
  <c r="A178" i="43"/>
  <c r="G177" i="43"/>
  <c r="F177" i="43"/>
  <c r="E177" i="43"/>
  <c r="D177" i="43"/>
  <c r="C177" i="43"/>
  <c r="B177" i="43"/>
  <c r="A177" i="43"/>
  <c r="G176" i="43"/>
  <c r="F176" i="43"/>
  <c r="E176" i="43"/>
  <c r="D176" i="43"/>
  <c r="C176" i="43"/>
  <c r="B176" i="43"/>
  <c r="A176" i="43"/>
  <c r="G173" i="43"/>
  <c r="F173" i="43"/>
  <c r="E173" i="43"/>
  <c r="D173" i="43"/>
  <c r="C173" i="43"/>
  <c r="B173" i="43"/>
  <c r="A173" i="43"/>
  <c r="G172" i="43"/>
  <c r="F172" i="43"/>
  <c r="E172" i="43"/>
  <c r="D172" i="43"/>
  <c r="C172" i="43"/>
  <c r="B172" i="43"/>
  <c r="A172" i="43"/>
  <c r="G171" i="43"/>
  <c r="F171" i="43"/>
  <c r="E171" i="43"/>
  <c r="D171" i="43"/>
  <c r="C171" i="43"/>
  <c r="B171" i="43"/>
  <c r="A171" i="43"/>
  <c r="G170" i="43"/>
  <c r="F170" i="43"/>
  <c r="E170" i="43"/>
  <c r="D170" i="43"/>
  <c r="C170" i="43"/>
  <c r="B170" i="43"/>
  <c r="A170" i="43"/>
  <c r="G169" i="43"/>
  <c r="F169" i="43"/>
  <c r="E169" i="43"/>
  <c r="D169" i="43"/>
  <c r="C169" i="43"/>
  <c r="B169" i="43"/>
  <c r="A169" i="43"/>
  <c r="G168" i="43"/>
  <c r="F168" i="43"/>
  <c r="E168" i="43"/>
  <c r="D168" i="43"/>
  <c r="C168" i="43"/>
  <c r="B168" i="43"/>
  <c r="A168" i="43"/>
  <c r="G167" i="43"/>
  <c r="F167" i="43"/>
  <c r="E167" i="43"/>
  <c r="D167" i="43"/>
  <c r="C167" i="43"/>
  <c r="B167" i="43"/>
  <c r="A167" i="43"/>
  <c r="G166" i="43"/>
  <c r="F166" i="43"/>
  <c r="E166" i="43"/>
  <c r="D166" i="43"/>
  <c r="C166" i="43"/>
  <c r="B166" i="43"/>
  <c r="A166" i="43"/>
  <c r="G165" i="43"/>
  <c r="F165" i="43"/>
  <c r="E165" i="43"/>
  <c r="D165" i="43"/>
  <c r="C165" i="43"/>
  <c r="B165" i="43"/>
  <c r="A165" i="43"/>
  <c r="G163" i="43"/>
  <c r="F163" i="43"/>
  <c r="E163" i="43"/>
  <c r="D163" i="43"/>
  <c r="C163" i="43"/>
  <c r="B163" i="43"/>
  <c r="A163" i="43"/>
  <c r="G162" i="43"/>
  <c r="F162" i="43"/>
  <c r="E162" i="43"/>
  <c r="D162" i="43"/>
  <c r="C162" i="43"/>
  <c r="B162" i="43"/>
  <c r="A162" i="43"/>
  <c r="G161" i="43"/>
  <c r="F161" i="43"/>
  <c r="E161" i="43"/>
  <c r="D161" i="43"/>
  <c r="C161" i="43"/>
  <c r="B161" i="43"/>
  <c r="A161" i="43"/>
  <c r="H159" i="43"/>
  <c r="G159" i="43"/>
  <c r="F159" i="43"/>
  <c r="E159" i="43"/>
  <c r="D159" i="43"/>
  <c r="C159" i="43"/>
  <c r="B159" i="43"/>
  <c r="A159" i="43"/>
  <c r="G158" i="43"/>
  <c r="F158" i="43"/>
  <c r="E158" i="43"/>
  <c r="D158" i="43"/>
  <c r="C158" i="43"/>
  <c r="B158" i="43"/>
  <c r="A158" i="43"/>
  <c r="G157" i="43"/>
  <c r="F157" i="43"/>
  <c r="E157" i="43"/>
  <c r="D157" i="43"/>
  <c r="C157" i="43"/>
  <c r="B157" i="43"/>
  <c r="A157" i="43"/>
  <c r="G156" i="43"/>
  <c r="F156" i="43"/>
  <c r="E156" i="43"/>
  <c r="D156" i="43"/>
  <c r="C156" i="43"/>
  <c r="B156" i="43"/>
  <c r="A156" i="43"/>
  <c r="G155" i="43"/>
  <c r="F155" i="43"/>
  <c r="E155" i="43"/>
  <c r="D155" i="43"/>
  <c r="C155" i="43"/>
  <c r="B155" i="43"/>
  <c r="A155" i="43"/>
  <c r="G154" i="43"/>
  <c r="F154" i="43"/>
  <c r="E154" i="43"/>
  <c r="D154" i="43"/>
  <c r="C154" i="43"/>
  <c r="B154" i="43"/>
  <c r="A154" i="43"/>
  <c r="M153" i="43"/>
  <c r="G153" i="43"/>
  <c r="F153" i="43"/>
  <c r="E153" i="43"/>
  <c r="D153" i="43"/>
  <c r="C153" i="43"/>
  <c r="B153" i="43"/>
  <c r="A153" i="43"/>
  <c r="G152" i="43"/>
  <c r="F152" i="43"/>
  <c r="E152" i="43"/>
  <c r="D152" i="43"/>
  <c r="C152" i="43"/>
  <c r="B152" i="43"/>
  <c r="A152" i="43"/>
  <c r="G151" i="43"/>
  <c r="F151" i="43"/>
  <c r="E151" i="43"/>
  <c r="D151" i="43"/>
  <c r="C151" i="43"/>
  <c r="B151" i="43"/>
  <c r="A151" i="43"/>
  <c r="G150" i="43"/>
  <c r="F150" i="43"/>
  <c r="E150" i="43"/>
  <c r="D150" i="43"/>
  <c r="C150" i="43"/>
  <c r="B150" i="43"/>
  <c r="A150" i="43"/>
  <c r="G149" i="43"/>
  <c r="F149" i="43"/>
  <c r="E149" i="43"/>
  <c r="D149" i="43"/>
  <c r="C149" i="43"/>
  <c r="B149" i="43"/>
  <c r="A149" i="43"/>
  <c r="G148" i="43"/>
  <c r="F148" i="43"/>
  <c r="E148" i="43"/>
  <c r="D148" i="43"/>
  <c r="C148" i="43"/>
  <c r="B148" i="43"/>
  <c r="A148" i="43"/>
  <c r="G147" i="43"/>
  <c r="F147" i="43"/>
  <c r="E147" i="43"/>
  <c r="D147" i="43"/>
  <c r="C147" i="43"/>
  <c r="B147" i="43"/>
  <c r="A147" i="43"/>
  <c r="G146" i="43"/>
  <c r="F146" i="43"/>
  <c r="E146" i="43"/>
  <c r="D146" i="43"/>
  <c r="C146" i="43"/>
  <c r="B146" i="43"/>
  <c r="A146" i="43"/>
  <c r="G145" i="43"/>
  <c r="F145" i="43"/>
  <c r="E145" i="43"/>
  <c r="D145" i="43"/>
  <c r="C145" i="43"/>
  <c r="B145" i="43"/>
  <c r="A145" i="43"/>
  <c r="G142" i="43"/>
  <c r="F142" i="43"/>
  <c r="E142" i="43"/>
  <c r="D142" i="43"/>
  <c r="C142" i="43"/>
  <c r="A142" i="43"/>
  <c r="M141" i="43"/>
  <c r="G141" i="43"/>
  <c r="F141" i="43"/>
  <c r="E141" i="43"/>
  <c r="D141" i="43"/>
  <c r="C141" i="43"/>
  <c r="B141" i="43"/>
  <c r="A141" i="43"/>
  <c r="G140" i="43"/>
  <c r="F140" i="43"/>
  <c r="E140" i="43"/>
  <c r="D140" i="43"/>
  <c r="C140" i="43"/>
  <c r="B140" i="43"/>
  <c r="A140" i="43"/>
  <c r="G139" i="43"/>
  <c r="F139" i="43"/>
  <c r="E139" i="43"/>
  <c r="D139" i="43"/>
  <c r="C139" i="43"/>
  <c r="B139" i="43"/>
  <c r="A139" i="43"/>
  <c r="G138" i="43"/>
  <c r="F138" i="43"/>
  <c r="E138" i="43"/>
  <c r="D138" i="43"/>
  <c r="C138" i="43"/>
  <c r="B138" i="43"/>
  <c r="A138" i="43"/>
  <c r="G137" i="43"/>
  <c r="F137" i="43"/>
  <c r="E137" i="43"/>
  <c r="D137" i="43"/>
  <c r="C137" i="43"/>
  <c r="B137" i="43"/>
  <c r="A137" i="43"/>
  <c r="G136" i="43"/>
  <c r="F136" i="43"/>
  <c r="E136" i="43"/>
  <c r="D136" i="43"/>
  <c r="C136" i="43"/>
  <c r="B136" i="43"/>
  <c r="A136" i="43"/>
  <c r="G133" i="43"/>
  <c r="F133" i="43"/>
  <c r="E133" i="43"/>
  <c r="D133" i="43"/>
  <c r="C133" i="43"/>
  <c r="B133" i="43"/>
  <c r="A133" i="43"/>
  <c r="G131" i="43"/>
  <c r="F131" i="43"/>
  <c r="E131" i="43"/>
  <c r="D131" i="43"/>
  <c r="C131" i="43"/>
  <c r="B131" i="43"/>
  <c r="A131" i="43"/>
  <c r="G130" i="43"/>
  <c r="F130" i="43"/>
  <c r="E130" i="43"/>
  <c r="D130" i="43"/>
  <c r="C130" i="43"/>
  <c r="B130" i="43"/>
  <c r="A130" i="43"/>
  <c r="G129" i="43"/>
  <c r="F129" i="43"/>
  <c r="E129" i="43"/>
  <c r="D129" i="43"/>
  <c r="C129" i="43"/>
  <c r="B129" i="43"/>
  <c r="A129" i="43"/>
  <c r="G128" i="43"/>
  <c r="F128" i="43"/>
  <c r="E128" i="43"/>
  <c r="D128" i="43"/>
  <c r="C128" i="43"/>
  <c r="B128" i="43"/>
  <c r="A128" i="43"/>
  <c r="G127" i="43"/>
  <c r="F127" i="43"/>
  <c r="E127" i="43"/>
  <c r="D127" i="43"/>
  <c r="C127" i="43"/>
  <c r="B127" i="43"/>
  <c r="A127" i="43"/>
  <c r="G126" i="43"/>
  <c r="F126" i="43"/>
  <c r="E126" i="43"/>
  <c r="D126" i="43"/>
  <c r="C126" i="43"/>
  <c r="B126" i="43"/>
  <c r="A126" i="43"/>
  <c r="G125" i="43"/>
  <c r="F125" i="43"/>
  <c r="E125" i="43"/>
  <c r="D125" i="43"/>
  <c r="C125" i="43"/>
  <c r="B125" i="43"/>
  <c r="A125" i="43"/>
  <c r="G124" i="43"/>
  <c r="F124" i="43"/>
  <c r="E124" i="43"/>
  <c r="D124" i="43"/>
  <c r="C124" i="43"/>
  <c r="B124" i="43"/>
  <c r="A124" i="43"/>
  <c r="G123" i="43"/>
  <c r="F123" i="43"/>
  <c r="E123" i="43"/>
  <c r="D123" i="43"/>
  <c r="C123" i="43"/>
  <c r="B123" i="43"/>
  <c r="A123" i="43"/>
  <c r="G122" i="43"/>
  <c r="F122" i="43"/>
  <c r="E122" i="43"/>
  <c r="D122" i="43"/>
  <c r="C122" i="43"/>
  <c r="B122" i="43"/>
  <c r="A122" i="43"/>
  <c r="G121" i="43"/>
  <c r="F121" i="43"/>
  <c r="E121" i="43"/>
  <c r="D121" i="43"/>
  <c r="C121" i="43"/>
  <c r="B121" i="43"/>
  <c r="A121" i="43"/>
  <c r="M120" i="43"/>
  <c r="G120" i="43"/>
  <c r="F120" i="43"/>
  <c r="E120" i="43"/>
  <c r="D120" i="43"/>
  <c r="C120" i="43"/>
  <c r="B120" i="43"/>
  <c r="A120" i="43"/>
  <c r="G119" i="43"/>
  <c r="F119" i="43"/>
  <c r="E119" i="43"/>
  <c r="D119" i="43"/>
  <c r="C119" i="43"/>
  <c r="B119" i="43"/>
  <c r="A119" i="43"/>
  <c r="G118" i="43"/>
  <c r="F118" i="43"/>
  <c r="E118" i="43"/>
  <c r="D118" i="43"/>
  <c r="C118" i="43"/>
  <c r="B118" i="43"/>
  <c r="A118" i="43"/>
  <c r="G117" i="43"/>
  <c r="F117" i="43"/>
  <c r="E117" i="43"/>
  <c r="D117" i="43"/>
  <c r="C117" i="43"/>
  <c r="B117" i="43"/>
  <c r="A117" i="43"/>
  <c r="G116" i="43"/>
  <c r="F116" i="43"/>
  <c r="E116" i="43"/>
  <c r="D116" i="43"/>
  <c r="C116" i="43"/>
  <c r="B116" i="43"/>
  <c r="A116" i="43"/>
  <c r="G115" i="43"/>
  <c r="F115" i="43"/>
  <c r="E115" i="43"/>
  <c r="D115" i="43"/>
  <c r="C115" i="43"/>
  <c r="B115" i="43"/>
  <c r="A115" i="43"/>
  <c r="G114" i="43"/>
  <c r="F114" i="43"/>
  <c r="E114" i="43"/>
  <c r="D114" i="43"/>
  <c r="C114" i="43"/>
  <c r="B114" i="43"/>
  <c r="A114" i="43"/>
  <c r="G113" i="43"/>
  <c r="F113" i="43"/>
  <c r="E113" i="43"/>
  <c r="D113" i="43"/>
  <c r="C113" i="43"/>
  <c r="B113" i="43"/>
  <c r="A113" i="43"/>
  <c r="G112" i="43"/>
  <c r="F112" i="43"/>
  <c r="E112" i="43"/>
  <c r="D112" i="43"/>
  <c r="C112" i="43"/>
  <c r="B112" i="43"/>
  <c r="A112" i="43"/>
  <c r="G109" i="43"/>
  <c r="F109" i="43"/>
  <c r="E109" i="43"/>
  <c r="D109" i="43"/>
  <c r="C109" i="43"/>
  <c r="B109" i="43"/>
  <c r="A109" i="43"/>
  <c r="G108" i="43"/>
  <c r="F108" i="43"/>
  <c r="E108" i="43"/>
  <c r="D108" i="43"/>
  <c r="C108" i="43"/>
  <c r="B108" i="43"/>
  <c r="A108" i="43"/>
  <c r="G107" i="43"/>
  <c r="F107" i="43"/>
  <c r="E107" i="43"/>
  <c r="D107" i="43"/>
  <c r="C107" i="43"/>
  <c r="B107" i="43"/>
  <c r="A107" i="43"/>
  <c r="G105" i="43"/>
  <c r="F105" i="43"/>
  <c r="E105" i="43"/>
  <c r="D105" i="43"/>
  <c r="C105" i="43"/>
  <c r="B105" i="43"/>
  <c r="A105" i="43"/>
  <c r="G104" i="43"/>
  <c r="F104" i="43"/>
  <c r="E104" i="43"/>
  <c r="D104" i="43"/>
  <c r="C104" i="43"/>
  <c r="B104" i="43"/>
  <c r="A104" i="43"/>
  <c r="G103" i="43"/>
  <c r="F103" i="43"/>
  <c r="E103" i="43"/>
  <c r="D103" i="43"/>
  <c r="C103" i="43"/>
  <c r="B103" i="43"/>
  <c r="A103" i="43"/>
  <c r="G102" i="43"/>
  <c r="F102" i="43"/>
  <c r="E102" i="43"/>
  <c r="D102" i="43"/>
  <c r="C102" i="43"/>
  <c r="B102" i="43"/>
  <c r="A102" i="43"/>
  <c r="G101" i="43"/>
  <c r="F101" i="43"/>
  <c r="E101" i="43"/>
  <c r="D101" i="43"/>
  <c r="C101" i="43"/>
  <c r="B101" i="43"/>
  <c r="A101" i="43"/>
  <c r="G100" i="43"/>
  <c r="F100" i="43"/>
  <c r="E100" i="43"/>
  <c r="D100" i="43"/>
  <c r="C100" i="43"/>
  <c r="B100" i="43"/>
  <c r="A100" i="43"/>
  <c r="G99" i="43"/>
  <c r="F99" i="43"/>
  <c r="E99" i="43"/>
  <c r="D99" i="43"/>
  <c r="C99" i="43"/>
  <c r="B99" i="43"/>
  <c r="A99" i="43"/>
  <c r="G98" i="43"/>
  <c r="F98" i="43"/>
  <c r="E98" i="43"/>
  <c r="D98" i="43"/>
  <c r="C98" i="43"/>
  <c r="B98" i="43"/>
  <c r="A98" i="43"/>
  <c r="G97" i="43"/>
  <c r="F97" i="43"/>
  <c r="E97" i="43"/>
  <c r="D97" i="43"/>
  <c r="C97" i="43"/>
  <c r="B97" i="43"/>
  <c r="A97" i="43"/>
  <c r="G96" i="43"/>
  <c r="F96" i="43"/>
  <c r="E96" i="43"/>
  <c r="D96" i="43"/>
  <c r="C96" i="43"/>
  <c r="B96" i="43"/>
  <c r="A96" i="43"/>
  <c r="G95" i="43"/>
  <c r="F95" i="43"/>
  <c r="E95" i="43"/>
  <c r="D95" i="43"/>
  <c r="C95" i="43"/>
  <c r="B95" i="43"/>
  <c r="A95" i="43"/>
  <c r="G94" i="43"/>
  <c r="F94" i="43"/>
  <c r="E94" i="43"/>
  <c r="D94" i="43"/>
  <c r="C94" i="43"/>
  <c r="B94" i="43"/>
  <c r="A94" i="43"/>
  <c r="G93" i="43"/>
  <c r="F93" i="43"/>
  <c r="E93" i="43"/>
  <c r="D93" i="43"/>
  <c r="C93" i="43"/>
  <c r="B93" i="43"/>
  <c r="A93" i="43"/>
  <c r="G92" i="43"/>
  <c r="F92" i="43"/>
  <c r="E92" i="43"/>
  <c r="D92" i="43"/>
  <c r="C92" i="43"/>
  <c r="B92" i="43"/>
  <c r="A92" i="43"/>
  <c r="G91" i="43"/>
  <c r="F91" i="43"/>
  <c r="E91" i="43"/>
  <c r="D91" i="43"/>
  <c r="C91" i="43"/>
  <c r="B91" i="43"/>
  <c r="A91" i="43"/>
  <c r="G90" i="43"/>
  <c r="F90" i="43"/>
  <c r="E90" i="43"/>
  <c r="D90" i="43"/>
  <c r="C90" i="43"/>
  <c r="B90" i="43"/>
  <c r="A90" i="43"/>
  <c r="G89" i="43"/>
  <c r="F89" i="43"/>
  <c r="E89" i="43"/>
  <c r="D89" i="43"/>
  <c r="C89" i="43"/>
  <c r="B89" i="43"/>
  <c r="A89" i="43"/>
  <c r="G88" i="43"/>
  <c r="F88" i="43"/>
  <c r="E88" i="43"/>
  <c r="D88" i="43"/>
  <c r="C88" i="43"/>
  <c r="B88" i="43"/>
  <c r="A88" i="43"/>
  <c r="G87" i="43"/>
  <c r="F87" i="43"/>
  <c r="E87" i="43"/>
  <c r="D87" i="43"/>
  <c r="C87" i="43"/>
  <c r="B87" i="43"/>
  <c r="A87" i="43"/>
  <c r="G85" i="43"/>
  <c r="F85" i="43"/>
  <c r="E85" i="43"/>
  <c r="D85" i="43"/>
  <c r="C85" i="43"/>
  <c r="B85" i="43"/>
  <c r="A85" i="43"/>
  <c r="G84" i="43"/>
  <c r="F84" i="43"/>
  <c r="E84" i="43"/>
  <c r="D84" i="43"/>
  <c r="C84" i="43"/>
  <c r="B84" i="43"/>
  <c r="A84" i="43"/>
  <c r="G83" i="43"/>
  <c r="F83" i="43"/>
  <c r="E83" i="43"/>
  <c r="D83" i="43"/>
  <c r="C83" i="43"/>
  <c r="B83" i="43"/>
  <c r="A83" i="43"/>
  <c r="G82" i="43"/>
  <c r="F82" i="43"/>
  <c r="E82" i="43"/>
  <c r="D82" i="43"/>
  <c r="C82" i="43"/>
  <c r="B82" i="43"/>
  <c r="A82" i="43"/>
  <c r="G81" i="43"/>
  <c r="F81" i="43"/>
  <c r="E81" i="43"/>
  <c r="D81" i="43"/>
  <c r="C81" i="43"/>
  <c r="B81" i="43"/>
  <c r="A81" i="43"/>
  <c r="G80" i="43"/>
  <c r="F80" i="43"/>
  <c r="E80" i="43"/>
  <c r="D80" i="43"/>
  <c r="C80" i="43"/>
  <c r="B80" i="43"/>
  <c r="A80" i="43"/>
  <c r="G79" i="43"/>
  <c r="F79" i="43"/>
  <c r="E79" i="43"/>
  <c r="D79" i="43"/>
  <c r="C79" i="43"/>
  <c r="B79" i="43"/>
  <c r="A79" i="43"/>
  <c r="H78" i="43"/>
  <c r="G78" i="43"/>
  <c r="F78" i="43"/>
  <c r="E78" i="43"/>
  <c r="D78" i="43"/>
  <c r="C78" i="43"/>
  <c r="B78" i="43"/>
  <c r="A78" i="43"/>
  <c r="G77" i="43"/>
  <c r="F77" i="43"/>
  <c r="E77" i="43"/>
  <c r="D77" i="43"/>
  <c r="C77" i="43"/>
  <c r="B77" i="43"/>
  <c r="A77" i="43"/>
  <c r="G76" i="43"/>
  <c r="F76" i="43"/>
  <c r="E76" i="43"/>
  <c r="D76" i="43"/>
  <c r="C76" i="43"/>
  <c r="B76" i="43"/>
  <c r="A76" i="43"/>
  <c r="G75" i="43"/>
  <c r="F75" i="43"/>
  <c r="E75" i="43"/>
  <c r="D75" i="43"/>
  <c r="C75" i="43"/>
  <c r="B75" i="43"/>
  <c r="A75" i="43"/>
  <c r="G74" i="43"/>
  <c r="F74" i="43"/>
  <c r="E74" i="43"/>
  <c r="D74" i="43"/>
  <c r="C74" i="43"/>
  <c r="B74" i="43"/>
  <c r="A74" i="43"/>
  <c r="G73" i="43"/>
  <c r="F73" i="43"/>
  <c r="E73" i="43"/>
  <c r="D73" i="43"/>
  <c r="C73" i="43"/>
  <c r="B73" i="43"/>
  <c r="A73" i="43"/>
  <c r="M72" i="43"/>
  <c r="G72" i="43"/>
  <c r="F72" i="43"/>
  <c r="E72" i="43"/>
  <c r="D72" i="43"/>
  <c r="C72" i="43"/>
  <c r="B72" i="43"/>
  <c r="A72" i="43"/>
  <c r="G71" i="43"/>
  <c r="F71" i="43"/>
  <c r="E71" i="43"/>
  <c r="D71" i="43"/>
  <c r="C71" i="43"/>
  <c r="B71" i="43"/>
  <c r="A71" i="43"/>
  <c r="G70" i="43"/>
  <c r="F70" i="43"/>
  <c r="E70" i="43"/>
  <c r="D70" i="43"/>
  <c r="C70" i="43"/>
  <c r="B70" i="43"/>
  <c r="A70" i="43"/>
  <c r="G69" i="43"/>
  <c r="F69" i="43"/>
  <c r="E69" i="43"/>
  <c r="D69" i="43"/>
  <c r="C69" i="43"/>
  <c r="B69" i="43"/>
  <c r="A69" i="43"/>
  <c r="G68" i="43"/>
  <c r="F68" i="43"/>
  <c r="E68" i="43"/>
  <c r="D68" i="43"/>
  <c r="C68" i="43"/>
  <c r="B68" i="43"/>
  <c r="A68" i="43"/>
  <c r="G67" i="43"/>
  <c r="F67" i="43"/>
  <c r="E67" i="43"/>
  <c r="D67" i="43"/>
  <c r="C67" i="43"/>
  <c r="B67" i="43"/>
  <c r="A67" i="43"/>
  <c r="G66" i="43"/>
  <c r="F66" i="43"/>
  <c r="E66" i="43"/>
  <c r="D66" i="43"/>
  <c r="C66" i="43"/>
  <c r="B66" i="43"/>
  <c r="A66" i="43"/>
  <c r="G65" i="43"/>
  <c r="F65" i="43"/>
  <c r="E65" i="43"/>
  <c r="D65" i="43"/>
  <c r="C65" i="43"/>
  <c r="B65" i="43"/>
  <c r="A65" i="43"/>
  <c r="H64" i="43"/>
  <c r="G64" i="43"/>
  <c r="F64" i="43"/>
  <c r="E64" i="43"/>
  <c r="D64" i="43"/>
  <c r="C64" i="43"/>
  <c r="B64" i="43"/>
  <c r="A64" i="43"/>
  <c r="G63" i="43"/>
  <c r="F63" i="43"/>
  <c r="E63" i="43"/>
  <c r="D63" i="43"/>
  <c r="C63" i="43"/>
  <c r="B63" i="43"/>
  <c r="A63" i="43"/>
  <c r="G60" i="43"/>
  <c r="F60" i="43"/>
  <c r="E60" i="43"/>
  <c r="D60" i="43"/>
  <c r="C60" i="43"/>
  <c r="B60" i="43"/>
  <c r="A60" i="43"/>
  <c r="G59" i="43"/>
  <c r="F59" i="43"/>
  <c r="E59" i="43"/>
  <c r="D59" i="43"/>
  <c r="C59" i="43"/>
  <c r="B59" i="43"/>
  <c r="A59" i="43"/>
  <c r="G58" i="43"/>
  <c r="F58" i="43"/>
  <c r="E58" i="43"/>
  <c r="D58" i="43"/>
  <c r="C58" i="43"/>
  <c r="B58" i="43"/>
  <c r="A58" i="43"/>
  <c r="G57" i="43"/>
  <c r="F57" i="43"/>
  <c r="E57" i="43"/>
  <c r="D57" i="43"/>
  <c r="C57" i="43"/>
  <c r="B57" i="43"/>
  <c r="A57" i="43"/>
  <c r="G56" i="43"/>
  <c r="F56" i="43"/>
  <c r="E56" i="43"/>
  <c r="D56" i="43"/>
  <c r="C56" i="43"/>
  <c r="B56" i="43"/>
  <c r="A56" i="43"/>
  <c r="G55" i="43"/>
  <c r="F55" i="43"/>
  <c r="E55" i="43"/>
  <c r="D55" i="43"/>
  <c r="C55" i="43"/>
  <c r="B55" i="43"/>
  <c r="A55" i="43"/>
  <c r="G54" i="43"/>
  <c r="F54" i="43"/>
  <c r="E54" i="43"/>
  <c r="D54" i="43"/>
  <c r="C54" i="43"/>
  <c r="B54" i="43"/>
  <c r="A54" i="43"/>
  <c r="G53" i="43"/>
  <c r="F53" i="43"/>
  <c r="E53" i="43"/>
  <c r="D53" i="43"/>
  <c r="C53" i="43"/>
  <c r="B53" i="43"/>
  <c r="A53" i="43"/>
  <c r="G52" i="43"/>
  <c r="F52" i="43"/>
  <c r="E52" i="43"/>
  <c r="D52" i="43"/>
  <c r="C52" i="43"/>
  <c r="B52" i="43"/>
  <c r="A52" i="43"/>
  <c r="G51" i="43"/>
  <c r="F51" i="43"/>
  <c r="E51" i="43"/>
  <c r="D51" i="43"/>
  <c r="C51" i="43"/>
  <c r="B51" i="43"/>
  <c r="A51" i="43"/>
  <c r="G50" i="43"/>
  <c r="F50" i="43"/>
  <c r="E50" i="43"/>
  <c r="D50" i="43"/>
  <c r="C50" i="43"/>
  <c r="B50" i="43"/>
  <c r="A50" i="43"/>
  <c r="G49" i="43"/>
  <c r="F49" i="43"/>
  <c r="E49" i="43"/>
  <c r="D49" i="43"/>
  <c r="C49" i="43"/>
  <c r="B49" i="43"/>
  <c r="A49" i="43"/>
  <c r="G48" i="43"/>
  <c r="F48" i="43"/>
  <c r="E48" i="43"/>
  <c r="D48" i="43"/>
  <c r="C48" i="43"/>
  <c r="B48" i="43"/>
  <c r="A48" i="43"/>
  <c r="G47" i="43"/>
  <c r="F47" i="43"/>
  <c r="E47" i="43"/>
  <c r="D47" i="43"/>
  <c r="C47" i="43"/>
  <c r="B47" i="43"/>
  <c r="A47" i="43"/>
  <c r="G46" i="43"/>
  <c r="F46" i="43"/>
  <c r="E46" i="43"/>
  <c r="D46" i="43"/>
  <c r="C46" i="43"/>
  <c r="B46" i="43"/>
  <c r="A46" i="43"/>
  <c r="G45" i="43"/>
  <c r="F45" i="43"/>
  <c r="E45" i="43"/>
  <c r="D45" i="43"/>
  <c r="C45" i="43"/>
  <c r="B45" i="43"/>
  <c r="A45" i="43"/>
  <c r="G44" i="43"/>
  <c r="F44" i="43"/>
  <c r="E44" i="43"/>
  <c r="D44" i="43"/>
  <c r="C44" i="43"/>
  <c r="B44" i="43"/>
  <c r="A44" i="43"/>
  <c r="G43" i="43"/>
  <c r="F43" i="43"/>
  <c r="E43" i="43"/>
  <c r="D43" i="43"/>
  <c r="C43" i="43"/>
  <c r="B43" i="43"/>
  <c r="A43" i="43"/>
  <c r="G42" i="43"/>
  <c r="F42" i="43"/>
  <c r="E42" i="43"/>
  <c r="D42" i="43"/>
  <c r="C42" i="43"/>
  <c r="B42" i="43"/>
  <c r="A42" i="43"/>
  <c r="G41" i="43"/>
  <c r="F41" i="43"/>
  <c r="E41" i="43"/>
  <c r="D41" i="43"/>
  <c r="C41" i="43"/>
  <c r="B41" i="43"/>
  <c r="A41" i="43"/>
  <c r="G40" i="43"/>
  <c r="F40" i="43"/>
  <c r="E40" i="43"/>
  <c r="D40" i="43"/>
  <c r="C40" i="43"/>
  <c r="B40" i="43"/>
  <c r="A40" i="43"/>
  <c r="G39" i="43"/>
  <c r="F39" i="43"/>
  <c r="E39" i="43"/>
  <c r="D39" i="43"/>
  <c r="C39" i="43"/>
  <c r="B39" i="43"/>
  <c r="A39" i="43"/>
  <c r="G38" i="43"/>
  <c r="F38" i="43"/>
  <c r="E38" i="43"/>
  <c r="D38" i="43"/>
  <c r="C38" i="43"/>
  <c r="B38" i="43"/>
  <c r="A38" i="43"/>
  <c r="G35" i="43"/>
  <c r="F35" i="43"/>
  <c r="E35" i="43"/>
  <c r="D35" i="43"/>
  <c r="C35" i="43"/>
  <c r="B35" i="43"/>
  <c r="A35" i="43"/>
  <c r="G34" i="43"/>
  <c r="F34" i="43"/>
  <c r="E34" i="43"/>
  <c r="D34" i="43"/>
  <c r="C34" i="43"/>
  <c r="B34" i="43"/>
  <c r="A34" i="43"/>
  <c r="G33" i="43"/>
  <c r="F33" i="43"/>
  <c r="E33" i="43"/>
  <c r="D33" i="43"/>
  <c r="C33" i="43"/>
  <c r="B33" i="43"/>
  <c r="A33" i="43"/>
  <c r="G32" i="43"/>
  <c r="F32" i="43"/>
  <c r="E32" i="43"/>
  <c r="D32" i="43"/>
  <c r="C32" i="43"/>
  <c r="B32" i="43"/>
  <c r="A32" i="43"/>
  <c r="G31" i="43"/>
  <c r="F31" i="43"/>
  <c r="E31" i="43"/>
  <c r="D31" i="43"/>
  <c r="C31" i="43"/>
  <c r="B31" i="43"/>
  <c r="A31" i="43"/>
  <c r="G30" i="43"/>
  <c r="F30" i="43"/>
  <c r="E30" i="43"/>
  <c r="D30" i="43"/>
  <c r="C30" i="43"/>
  <c r="B30" i="43"/>
  <c r="A30" i="43"/>
  <c r="G29" i="43"/>
  <c r="F29" i="43"/>
  <c r="E29" i="43"/>
  <c r="D29" i="43"/>
  <c r="C29" i="43"/>
  <c r="B29" i="43"/>
  <c r="A29" i="43"/>
  <c r="G28" i="43"/>
  <c r="F28" i="43"/>
  <c r="E28" i="43"/>
  <c r="D28" i="43"/>
  <c r="C28" i="43"/>
  <c r="B28" i="43"/>
  <c r="A28" i="43"/>
  <c r="G27" i="43"/>
  <c r="F27" i="43"/>
  <c r="E27" i="43"/>
  <c r="D27" i="43"/>
  <c r="C27" i="43"/>
  <c r="B27" i="43"/>
  <c r="A27" i="43"/>
  <c r="G26" i="43"/>
  <c r="F26" i="43"/>
  <c r="E26" i="43"/>
  <c r="D26" i="43"/>
  <c r="C26" i="43"/>
  <c r="B26" i="43"/>
  <c r="A26" i="43"/>
  <c r="G23" i="43"/>
  <c r="F23" i="43"/>
  <c r="E23" i="43"/>
  <c r="D23" i="43"/>
  <c r="C23" i="43"/>
  <c r="B23" i="43"/>
  <c r="A23" i="43"/>
  <c r="G22" i="43"/>
  <c r="F22" i="43"/>
  <c r="E22" i="43"/>
  <c r="D22" i="43"/>
  <c r="C22" i="43"/>
  <c r="B22" i="43"/>
  <c r="A22" i="43"/>
  <c r="G21" i="43"/>
  <c r="F21" i="43"/>
  <c r="E21" i="43"/>
  <c r="D21" i="43"/>
  <c r="C21" i="43"/>
  <c r="B21" i="43"/>
  <c r="A21" i="43"/>
  <c r="G20" i="43"/>
  <c r="F20" i="43"/>
  <c r="E20" i="43"/>
  <c r="D20" i="43"/>
  <c r="C20" i="43"/>
  <c r="B20" i="43"/>
  <c r="A20" i="43"/>
  <c r="G19" i="43"/>
  <c r="F19" i="43"/>
  <c r="E19" i="43"/>
  <c r="D19" i="43"/>
  <c r="C19" i="43"/>
  <c r="B19" i="43"/>
  <c r="A19" i="43"/>
  <c r="G18" i="43"/>
  <c r="F18" i="43"/>
  <c r="E18" i="43"/>
  <c r="D18" i="43"/>
  <c r="C18" i="43"/>
  <c r="B18" i="43"/>
  <c r="A18" i="43"/>
  <c r="G17" i="43"/>
  <c r="F17" i="43"/>
  <c r="E17" i="43"/>
  <c r="D17" i="43"/>
  <c r="C17" i="43"/>
  <c r="B17" i="43"/>
  <c r="A17" i="43"/>
  <c r="G16" i="43"/>
  <c r="F16" i="43"/>
  <c r="E16" i="43"/>
  <c r="D16" i="43"/>
  <c r="C16" i="43"/>
  <c r="B16" i="43"/>
  <c r="A16" i="43"/>
  <c r="G13" i="43"/>
  <c r="F13" i="43"/>
  <c r="E13" i="43"/>
  <c r="D13" i="43"/>
  <c r="C13" i="43"/>
  <c r="B13" i="43"/>
  <c r="A13" i="43"/>
  <c r="G12" i="43"/>
  <c r="F12" i="43"/>
  <c r="E12" i="43"/>
  <c r="D12" i="43"/>
  <c r="C12" i="43"/>
  <c r="B12" i="43"/>
  <c r="A12" i="43"/>
  <c r="G11" i="43"/>
  <c r="F11" i="43"/>
  <c r="E11" i="43"/>
  <c r="D11" i="43"/>
  <c r="C11" i="43"/>
  <c r="B11" i="43"/>
  <c r="A11" i="43"/>
  <c r="G10" i="43"/>
  <c r="F10" i="43"/>
  <c r="E10" i="43"/>
  <c r="D10" i="43"/>
  <c r="C10" i="43"/>
  <c r="B10" i="43"/>
  <c r="A10" i="43"/>
  <c r="G9" i="43"/>
  <c r="F9" i="43"/>
  <c r="E9" i="43"/>
  <c r="D9" i="43"/>
  <c r="C9" i="43"/>
  <c r="B9" i="43"/>
  <c r="A9" i="43"/>
  <c r="G8" i="43"/>
  <c r="F8" i="43"/>
  <c r="E8" i="43"/>
  <c r="D8" i="43"/>
  <c r="C8" i="43"/>
  <c r="B8" i="43"/>
  <c r="A8" i="43"/>
  <c r="G7" i="43"/>
  <c r="F7" i="43"/>
  <c r="E7" i="43"/>
  <c r="D7" i="43"/>
  <c r="C7" i="43"/>
  <c r="B7" i="43"/>
  <c r="A7" i="43"/>
  <c r="A12" i="10"/>
  <c r="A22" i="10" s="1"/>
  <c r="A3" i="10"/>
  <c r="A4" i="10" s="1"/>
  <c r="BF263" i="1"/>
  <c r="AZ263" i="1"/>
  <c r="AX254" i="1"/>
  <c r="AX253" i="1"/>
  <c r="AX252" i="1"/>
  <c r="AV252" i="1"/>
  <c r="AX251" i="1"/>
  <c r="AH251" i="1"/>
  <c r="AX250" i="1"/>
  <c r="AH250" i="1"/>
  <c r="AX249" i="1"/>
  <c r="AH249" i="1"/>
  <c r="AX248" i="1"/>
  <c r="AX247" i="1"/>
  <c r="C246" i="1"/>
  <c r="AM242" i="1"/>
  <c r="AJ241" i="1"/>
  <c r="N213" i="47"/>
  <c r="BQ240" i="1"/>
  <c r="BL240" i="1"/>
  <c r="BJ240" i="1"/>
  <c r="BI240" i="1"/>
  <c r="BC240" i="1"/>
  <c r="BD240" i="1" s="1"/>
  <c r="BE240" i="1" s="1"/>
  <c r="BA240" i="1"/>
  <c r="BB240" i="1" s="1"/>
  <c r="AU240" i="1"/>
  <c r="AV240" i="1" s="1"/>
  <c r="AI240" i="1"/>
  <c r="AH240" i="1"/>
  <c r="L240" i="1"/>
  <c r="J240" i="1"/>
  <c r="K240" i="1" s="1"/>
  <c r="N230" i="47"/>
  <c r="BQ239" i="1"/>
  <c r="BL239" i="1"/>
  <c r="BJ239" i="1"/>
  <c r="BI239" i="1"/>
  <c r="BC239" i="1"/>
  <c r="BD239" i="1" s="1"/>
  <c r="BE239" i="1" s="1"/>
  <c r="BA239" i="1"/>
  <c r="BB239" i="1" s="1"/>
  <c r="AU239" i="1"/>
  <c r="AV239" i="1" s="1"/>
  <c r="AI239" i="1"/>
  <c r="AH239" i="1"/>
  <c r="L239" i="1"/>
  <c r="J239" i="1"/>
  <c r="K239" i="1" s="1"/>
  <c r="N229" i="47"/>
  <c r="BQ238" i="1"/>
  <c r="BL238" i="1"/>
  <c r="BJ238" i="1"/>
  <c r="BI238" i="1"/>
  <c r="BA238" i="1"/>
  <c r="AW238" i="1"/>
  <c r="AU238" i="1"/>
  <c r="AV238" i="1" s="1"/>
  <c r="AI238" i="1"/>
  <c r="AH238" i="1"/>
  <c r="L238" i="1"/>
  <c r="J238" i="1"/>
  <c r="K238" i="1" s="1"/>
  <c r="N228" i="47"/>
  <c r="BQ237" i="1"/>
  <c r="BL237" i="1"/>
  <c r="BJ237" i="1"/>
  <c r="BI237" i="1"/>
  <c r="BA237" i="1"/>
  <c r="AW237" i="1"/>
  <c r="AU237" i="1"/>
  <c r="AV237" i="1" s="1"/>
  <c r="AI237" i="1"/>
  <c r="AH237" i="1"/>
  <c r="L237" i="1"/>
  <c r="J237" i="1"/>
  <c r="K237" i="1" s="1"/>
  <c r="N227" i="47"/>
  <c r="BQ236" i="1"/>
  <c r="BL236" i="1"/>
  <c r="BJ236" i="1"/>
  <c r="BI236" i="1"/>
  <c r="BA236" i="1"/>
  <c r="AW236" i="1"/>
  <c r="H126" i="43" s="1"/>
  <c r="AU236" i="1"/>
  <c r="AV236" i="1" s="1"/>
  <c r="AI236" i="1"/>
  <c r="AH236" i="1"/>
  <c r="L236" i="1"/>
  <c r="J236" i="1"/>
  <c r="K236" i="1" s="1"/>
  <c r="N226" i="47"/>
  <c r="BQ235" i="1"/>
  <c r="BC235" i="1"/>
  <c r="BD235" i="1" s="1"/>
  <c r="BE235" i="1" s="1"/>
  <c r="BA235" i="1"/>
  <c r="BB235" i="1" s="1"/>
  <c r="AU235" i="1"/>
  <c r="AV235" i="1" s="1"/>
  <c r="AI235" i="1"/>
  <c r="AH235" i="1"/>
  <c r="L235" i="1"/>
  <c r="J235" i="1"/>
  <c r="K235" i="1" s="1"/>
  <c r="N225" i="47"/>
  <c r="BQ234" i="1"/>
  <c r="BL234" i="1"/>
  <c r="BJ234" i="1"/>
  <c r="BI234" i="1"/>
  <c r="BA234" i="1"/>
  <c r="AW234" i="1"/>
  <c r="H216" i="43" s="1"/>
  <c r="AU234" i="1"/>
  <c r="AV234" i="1" s="1"/>
  <c r="AI234" i="1"/>
  <c r="AH234" i="1"/>
  <c r="L234" i="1"/>
  <c r="J234" i="1"/>
  <c r="K234" i="1" s="1"/>
  <c r="N224" i="47"/>
  <c r="BQ233" i="1"/>
  <c r="BL233" i="1"/>
  <c r="BJ233" i="1"/>
  <c r="BI233" i="1"/>
  <c r="BC233" i="1"/>
  <c r="BD233" i="1" s="1"/>
  <c r="BE233" i="1" s="1"/>
  <c r="BA233" i="1"/>
  <c r="BB233" i="1" s="1"/>
  <c r="AU233" i="1"/>
  <c r="AV233" i="1" s="1"/>
  <c r="AI233" i="1"/>
  <c r="AH233" i="1"/>
  <c r="L233" i="1"/>
  <c r="J233" i="1"/>
  <c r="K233" i="1" s="1"/>
  <c r="N223" i="47"/>
  <c r="BQ232" i="1"/>
  <c r="BL232" i="1"/>
  <c r="BJ232" i="1"/>
  <c r="BI232" i="1"/>
  <c r="BC232" i="1"/>
  <c r="BD232" i="1" s="1"/>
  <c r="BE232" i="1" s="1"/>
  <c r="BA232" i="1"/>
  <c r="BB232" i="1" s="1"/>
  <c r="AU232" i="1"/>
  <c r="AV232" i="1" s="1"/>
  <c r="AI232" i="1"/>
  <c r="AH232" i="1"/>
  <c r="L232" i="1"/>
  <c r="J232" i="1"/>
  <c r="K232" i="1" s="1"/>
  <c r="N222" i="47"/>
  <c r="BQ231" i="1"/>
  <c r="BL231" i="1"/>
  <c r="BJ231" i="1"/>
  <c r="BI231" i="1"/>
  <c r="BA231" i="1"/>
  <c r="AW231" i="1"/>
  <c r="AU231" i="1"/>
  <c r="AV231" i="1" s="1"/>
  <c r="AI231" i="1"/>
  <c r="AH231" i="1"/>
  <c r="L231" i="1"/>
  <c r="J231" i="1"/>
  <c r="K231" i="1" s="1"/>
  <c r="N221" i="47"/>
  <c r="BQ230" i="1"/>
  <c r="BL230" i="1"/>
  <c r="BJ230" i="1"/>
  <c r="BI230" i="1"/>
  <c r="BA230" i="1"/>
  <c r="AW230" i="1"/>
  <c r="AU230" i="1"/>
  <c r="AV230" i="1" s="1"/>
  <c r="AI230" i="1"/>
  <c r="AH230" i="1"/>
  <c r="L230" i="1"/>
  <c r="J230" i="1"/>
  <c r="K230" i="1" s="1"/>
  <c r="N220" i="47"/>
  <c r="BQ229" i="1"/>
  <c r="BL229" i="1"/>
  <c r="BJ229" i="1"/>
  <c r="BI229" i="1"/>
  <c r="BA229" i="1"/>
  <c r="AW229" i="1"/>
  <c r="AU229" i="1"/>
  <c r="AV229" i="1" s="1"/>
  <c r="AI229" i="1"/>
  <c r="O220" i="47" s="1"/>
  <c r="AH229" i="1"/>
  <c r="L229" i="1"/>
  <c r="J229" i="1"/>
  <c r="K229" i="1" s="1"/>
  <c r="N219" i="47"/>
  <c r="BQ228" i="1"/>
  <c r="BL228" i="1"/>
  <c r="BJ228" i="1"/>
  <c r="BI228" i="1"/>
  <c r="BA228" i="1"/>
  <c r="BB228" i="1" s="1"/>
  <c r="BC228" i="1" s="1"/>
  <c r="BD228" i="1" s="1"/>
  <c r="BE228" i="1" s="1"/>
  <c r="AW228" i="1"/>
  <c r="H215" i="43" s="1"/>
  <c r="AU228" i="1"/>
  <c r="AV228" i="1" s="1"/>
  <c r="AI228" i="1"/>
  <c r="AH228" i="1"/>
  <c r="L228" i="1"/>
  <c r="J228" i="1"/>
  <c r="K228" i="1" s="1"/>
  <c r="N218" i="47"/>
  <c r="BQ227" i="1"/>
  <c r="BL227" i="1"/>
  <c r="BJ227" i="1"/>
  <c r="BI227" i="1"/>
  <c r="BA227" i="1"/>
  <c r="AW227" i="1"/>
  <c r="AU227" i="1"/>
  <c r="AV227" i="1" s="1"/>
  <c r="AI227" i="1"/>
  <c r="AH227" i="1"/>
  <c r="L227" i="1"/>
  <c r="J227" i="1"/>
  <c r="K227" i="1" s="1"/>
  <c r="N217" i="47"/>
  <c r="BQ226" i="1"/>
  <c r="BL226" i="1"/>
  <c r="BJ226" i="1"/>
  <c r="BI226" i="1"/>
  <c r="BA226" i="1"/>
  <c r="AW226" i="1"/>
  <c r="AU226" i="1"/>
  <c r="AV226" i="1" s="1"/>
  <c r="AI226" i="1"/>
  <c r="AH226" i="1"/>
  <c r="L226" i="1"/>
  <c r="J226" i="1"/>
  <c r="K226" i="1" s="1"/>
  <c r="N216" i="47"/>
  <c r="BQ225" i="1"/>
  <c r="BL225" i="1"/>
  <c r="BJ225" i="1"/>
  <c r="BI225" i="1"/>
  <c r="BA225" i="1"/>
  <c r="AW225" i="1"/>
  <c r="AU225" i="1"/>
  <c r="AV225" i="1" s="1"/>
  <c r="AI225" i="1"/>
  <c r="AH225" i="1"/>
  <c r="L225" i="1"/>
  <c r="J225" i="1"/>
  <c r="K225" i="1" s="1"/>
  <c r="N215" i="47"/>
  <c r="BQ224" i="1"/>
  <c r="BL224" i="1"/>
  <c r="BJ224" i="1"/>
  <c r="BI224" i="1"/>
  <c r="BA224" i="1"/>
  <c r="AW224" i="1"/>
  <c r="AU224" i="1"/>
  <c r="AV224" i="1" s="1"/>
  <c r="AI224" i="1"/>
  <c r="AH224" i="1"/>
  <c r="L224" i="1"/>
  <c r="J224" i="1"/>
  <c r="K224" i="1" s="1"/>
  <c r="N214" i="47"/>
  <c r="BQ223" i="1"/>
  <c r="BL223" i="1"/>
  <c r="BJ223" i="1"/>
  <c r="BI223" i="1"/>
  <c r="BC223" i="1"/>
  <c r="BD223" i="1" s="1"/>
  <c r="BE223" i="1" s="1"/>
  <c r="BA223" i="1"/>
  <c r="AW223" i="1"/>
  <c r="AU223" i="1"/>
  <c r="AV223" i="1" s="1"/>
  <c r="AI223" i="1"/>
  <c r="AH223" i="1"/>
  <c r="L223" i="1"/>
  <c r="J223" i="1"/>
  <c r="K223" i="1" s="1"/>
  <c r="N212" i="47"/>
  <c r="BQ222" i="1"/>
  <c r="BL222" i="1"/>
  <c r="BJ222" i="1"/>
  <c r="BI222" i="1"/>
  <c r="BA222" i="1"/>
  <c r="AW222" i="1"/>
  <c r="AU222" i="1"/>
  <c r="AV222" i="1" s="1"/>
  <c r="AI222" i="1"/>
  <c r="AH222" i="1"/>
  <c r="L222" i="1"/>
  <c r="J222" i="1"/>
  <c r="K222" i="1" s="1"/>
  <c r="N211" i="47"/>
  <c r="BQ221" i="1"/>
  <c r="BL221" i="1"/>
  <c r="BJ221" i="1"/>
  <c r="BI221" i="1"/>
  <c r="BA221" i="1"/>
  <c r="AW221" i="1"/>
  <c r="AU221" i="1"/>
  <c r="AV221" i="1" s="1"/>
  <c r="AI221" i="1"/>
  <c r="AH221" i="1"/>
  <c r="L221" i="1"/>
  <c r="J221" i="1"/>
  <c r="K221" i="1" s="1"/>
  <c r="N210" i="47"/>
  <c r="BQ220" i="1"/>
  <c r="BL220" i="1"/>
  <c r="BJ220" i="1"/>
  <c r="BI220" i="1"/>
  <c r="BC220" i="1"/>
  <c r="BD220" i="1" s="1"/>
  <c r="BE220" i="1" s="1"/>
  <c r="BA220" i="1"/>
  <c r="AW220" i="1"/>
  <c r="AV220" i="1"/>
  <c r="AI220" i="1"/>
  <c r="AH220" i="1"/>
  <c r="L220" i="1"/>
  <c r="J220" i="1"/>
  <c r="K220" i="1" s="1"/>
  <c r="N209" i="47"/>
  <c r="BQ219" i="1"/>
  <c r="BL219" i="1"/>
  <c r="BJ219" i="1"/>
  <c r="BI219" i="1"/>
  <c r="BA219" i="1"/>
  <c r="BB219" i="1" s="1"/>
  <c r="BC219" i="1" s="1"/>
  <c r="BD219" i="1" s="1"/>
  <c r="BE219" i="1" s="1"/>
  <c r="AW219" i="1"/>
  <c r="H157" i="43" s="1"/>
  <c r="AU219" i="1"/>
  <c r="AV219" i="1" s="1"/>
  <c r="AI219" i="1"/>
  <c r="AH219" i="1"/>
  <c r="L219" i="1"/>
  <c r="J219" i="1"/>
  <c r="K219" i="1" s="1"/>
  <c r="N208" i="47"/>
  <c r="BQ218" i="1"/>
  <c r="BL218" i="1"/>
  <c r="BJ218" i="1"/>
  <c r="BI218" i="1"/>
  <c r="BA218" i="1"/>
  <c r="AW218" i="1"/>
  <c r="AV218" i="1"/>
  <c r="AU218" i="1"/>
  <c r="AI218" i="1"/>
  <c r="AH218" i="1"/>
  <c r="L218" i="1"/>
  <c r="J218" i="1"/>
  <c r="K218" i="1" s="1"/>
  <c r="N207" i="47"/>
  <c r="BQ217" i="1"/>
  <c r="BL217" i="1"/>
  <c r="BJ217" i="1"/>
  <c r="BI217" i="1"/>
  <c r="BA217" i="1"/>
  <c r="AW217" i="1"/>
  <c r="AU217" i="1"/>
  <c r="AV217" i="1" s="1"/>
  <c r="AI217" i="1"/>
  <c r="AH217" i="1"/>
  <c r="L217" i="1"/>
  <c r="J217" i="1"/>
  <c r="K217" i="1" s="1"/>
  <c r="N206" i="47"/>
  <c r="BQ216" i="1"/>
  <c r="BL216" i="1"/>
  <c r="BJ216" i="1"/>
  <c r="BI216" i="1"/>
  <c r="BA216" i="1"/>
  <c r="AW216" i="1"/>
  <c r="AU216" i="1"/>
  <c r="AV216" i="1" s="1"/>
  <c r="AI216" i="1"/>
  <c r="AH216" i="1"/>
  <c r="L216" i="1"/>
  <c r="J216" i="1"/>
  <c r="K216" i="1" s="1"/>
  <c r="N205" i="47"/>
  <c r="BQ215" i="1"/>
  <c r="BL215" i="1"/>
  <c r="BJ215" i="1"/>
  <c r="BI215" i="1"/>
  <c r="BA215" i="1"/>
  <c r="BB215" i="1" s="1"/>
  <c r="BC215" i="1" s="1"/>
  <c r="BD215" i="1" s="1"/>
  <c r="BE215" i="1" s="1"/>
  <c r="AW215" i="1"/>
  <c r="AU215" i="1"/>
  <c r="AV215" i="1" s="1"/>
  <c r="AI215" i="1"/>
  <c r="AH215" i="1"/>
  <c r="L215" i="1"/>
  <c r="J215" i="1"/>
  <c r="K215" i="1" s="1"/>
  <c r="N204" i="47"/>
  <c r="BQ214" i="1"/>
  <c r="BL214" i="1"/>
  <c r="BJ214" i="1"/>
  <c r="BI214" i="1"/>
  <c r="BA214" i="1"/>
  <c r="AW214" i="1"/>
  <c r="AU214" i="1"/>
  <c r="AV214" i="1" s="1"/>
  <c r="AI214" i="1"/>
  <c r="AH214" i="1"/>
  <c r="L214" i="1"/>
  <c r="J214" i="1"/>
  <c r="K214" i="1" s="1"/>
  <c r="N203" i="47"/>
  <c r="BQ213" i="1"/>
  <c r="BL213" i="1"/>
  <c r="BJ213" i="1"/>
  <c r="BI213" i="1"/>
  <c r="BA213" i="1"/>
  <c r="AW213" i="1"/>
  <c r="AU213" i="1"/>
  <c r="AV213" i="1" s="1"/>
  <c r="AI213" i="1"/>
  <c r="AH213" i="1"/>
  <c r="L213" i="1"/>
  <c r="J213" i="1"/>
  <c r="K213" i="1" s="1"/>
  <c r="N202" i="47"/>
  <c r="BQ212" i="1"/>
  <c r="BL212" i="1"/>
  <c r="BJ212" i="1"/>
  <c r="BI212" i="1"/>
  <c r="BA212" i="1"/>
  <c r="BB212" i="1" s="1"/>
  <c r="BC212" i="1" s="1"/>
  <c r="BD212" i="1" s="1"/>
  <c r="BE212" i="1" s="1"/>
  <c r="AW212" i="1"/>
  <c r="AU212" i="1"/>
  <c r="AV212" i="1" s="1"/>
  <c r="AI212" i="1"/>
  <c r="AH212" i="1"/>
  <c r="L212" i="1"/>
  <c r="J212" i="1"/>
  <c r="K212" i="1" s="1"/>
  <c r="N201" i="47"/>
  <c r="BQ211" i="1"/>
  <c r="BL211" i="1"/>
  <c r="BJ211" i="1"/>
  <c r="BI211" i="1"/>
  <c r="BA211" i="1"/>
  <c r="BB211" i="1" s="1"/>
  <c r="BC211" i="1" s="1"/>
  <c r="BD211" i="1" s="1"/>
  <c r="BE211" i="1" s="1"/>
  <c r="AW211" i="1"/>
  <c r="AU211" i="1"/>
  <c r="AV211" i="1" s="1"/>
  <c r="AI211" i="1"/>
  <c r="O201" i="47" s="1"/>
  <c r="AH211" i="1"/>
  <c r="L211" i="1"/>
  <c r="J211" i="1"/>
  <c r="K211" i="1" s="1"/>
  <c r="N200" i="47"/>
  <c r="BQ210" i="1"/>
  <c r="BL210" i="1"/>
  <c r="BJ210" i="1"/>
  <c r="BI210" i="1"/>
  <c r="BA210" i="1"/>
  <c r="BB210" i="1" s="1"/>
  <c r="BC210" i="1" s="1"/>
  <c r="BD210" i="1" s="1"/>
  <c r="BE210" i="1" s="1"/>
  <c r="AW210" i="1"/>
  <c r="AU210" i="1"/>
  <c r="AV210" i="1" s="1"/>
  <c r="AI210" i="1"/>
  <c r="AH210" i="1"/>
  <c r="L210" i="1"/>
  <c r="J210" i="1"/>
  <c r="K210" i="1" s="1"/>
  <c r="N199" i="47"/>
  <c r="BQ209" i="1"/>
  <c r="BL209" i="1"/>
  <c r="BJ209" i="1"/>
  <c r="BI209" i="1"/>
  <c r="BA209" i="1"/>
  <c r="BB209" i="1" s="1"/>
  <c r="BC209" i="1" s="1"/>
  <c r="BD209" i="1" s="1"/>
  <c r="BE209" i="1" s="1"/>
  <c r="AW209" i="1"/>
  <c r="AU209" i="1"/>
  <c r="AV209" i="1" s="1"/>
  <c r="AI209" i="1"/>
  <c r="AH209" i="1"/>
  <c r="L209" i="1"/>
  <c r="J209" i="1"/>
  <c r="K209" i="1" s="1"/>
  <c r="N198" i="47"/>
  <c r="BQ208" i="1"/>
  <c r="BL208" i="1"/>
  <c r="BJ208" i="1"/>
  <c r="BI208" i="1"/>
  <c r="BA208" i="1"/>
  <c r="BB208" i="1" s="1"/>
  <c r="BC208" i="1" s="1"/>
  <c r="BD208" i="1" s="1"/>
  <c r="BE208" i="1" s="1"/>
  <c r="AW208" i="1"/>
  <c r="AU208" i="1"/>
  <c r="AV208" i="1" s="1"/>
  <c r="AI208" i="1"/>
  <c r="AH208" i="1"/>
  <c r="L208" i="1"/>
  <c r="J208" i="1"/>
  <c r="K208" i="1" s="1"/>
  <c r="N197" i="47"/>
  <c r="BQ207" i="1"/>
  <c r="BL207" i="1"/>
  <c r="BJ207" i="1"/>
  <c r="BI207" i="1"/>
  <c r="BA207" i="1"/>
  <c r="BB207" i="1" s="1"/>
  <c r="BC207" i="1" s="1"/>
  <c r="BD207" i="1" s="1"/>
  <c r="BE207" i="1" s="1"/>
  <c r="AW207" i="1"/>
  <c r="AU207" i="1"/>
  <c r="AV207" i="1" s="1"/>
  <c r="AI207" i="1"/>
  <c r="O197" i="47" s="1"/>
  <c r="AH207" i="1"/>
  <c r="L207" i="1"/>
  <c r="J207" i="1"/>
  <c r="K207" i="1" s="1"/>
  <c r="N196" i="47"/>
  <c r="BQ206" i="1"/>
  <c r="BL206" i="1"/>
  <c r="BJ206" i="1"/>
  <c r="BI206" i="1"/>
  <c r="BC206" i="1"/>
  <c r="BD206" i="1" s="1"/>
  <c r="BE206" i="1" s="1"/>
  <c r="BA206" i="1"/>
  <c r="BB206" i="1" s="1"/>
  <c r="AW206" i="1"/>
  <c r="AU206" i="1"/>
  <c r="AV206" i="1" s="1"/>
  <c r="AI206" i="1"/>
  <c r="AH206" i="1"/>
  <c r="L206" i="1"/>
  <c r="J206" i="1"/>
  <c r="K206" i="1" s="1"/>
  <c r="N195" i="47"/>
  <c r="BQ205" i="1"/>
  <c r="BL205" i="1"/>
  <c r="BJ205" i="1"/>
  <c r="BI205" i="1"/>
  <c r="BA205" i="1"/>
  <c r="BB205" i="1" s="1"/>
  <c r="BC205" i="1" s="1"/>
  <c r="BD205" i="1" s="1"/>
  <c r="BE205" i="1" s="1"/>
  <c r="AW205" i="1"/>
  <c r="AU205" i="1"/>
  <c r="AV205" i="1" s="1"/>
  <c r="AI205" i="1"/>
  <c r="AH205" i="1"/>
  <c r="L205" i="1"/>
  <c r="J205" i="1"/>
  <c r="K205" i="1" s="1"/>
  <c r="N194" i="47"/>
  <c r="BQ204" i="1"/>
  <c r="BL204" i="1"/>
  <c r="BJ204" i="1"/>
  <c r="BI204" i="1"/>
  <c r="BA204" i="1"/>
  <c r="BB204" i="1" s="1"/>
  <c r="BC204" i="1" s="1"/>
  <c r="BD204" i="1" s="1"/>
  <c r="BE204" i="1" s="1"/>
  <c r="AW204" i="1"/>
  <c r="AU204" i="1"/>
  <c r="AV204" i="1" s="1"/>
  <c r="AI204" i="1"/>
  <c r="AH204" i="1"/>
  <c r="L204" i="1"/>
  <c r="J204" i="1"/>
  <c r="K204" i="1" s="1"/>
  <c r="N193" i="47"/>
  <c r="BQ203" i="1"/>
  <c r="BL203" i="1"/>
  <c r="BJ203" i="1"/>
  <c r="BI203" i="1"/>
  <c r="BA203" i="1"/>
  <c r="BB203" i="1" s="1"/>
  <c r="BC203" i="1" s="1"/>
  <c r="BD203" i="1" s="1"/>
  <c r="BE203" i="1" s="1"/>
  <c r="AW203" i="1"/>
  <c r="AU203" i="1"/>
  <c r="AV203" i="1" s="1"/>
  <c r="AI203" i="1"/>
  <c r="AH203" i="1"/>
  <c r="L203" i="1"/>
  <c r="J203" i="1"/>
  <c r="K203" i="1" s="1"/>
  <c r="N192" i="47"/>
  <c r="BQ202" i="1"/>
  <c r="BL202" i="1"/>
  <c r="BJ202" i="1"/>
  <c r="BI202" i="1"/>
  <c r="BA202" i="1"/>
  <c r="BB202" i="1" s="1"/>
  <c r="BC202" i="1" s="1"/>
  <c r="BD202" i="1" s="1"/>
  <c r="BE202" i="1" s="1"/>
  <c r="AW202" i="1"/>
  <c r="AU202" i="1"/>
  <c r="AV202" i="1" s="1"/>
  <c r="AI202" i="1"/>
  <c r="AH202" i="1"/>
  <c r="L202" i="1"/>
  <c r="J202" i="1"/>
  <c r="K202" i="1" s="1"/>
  <c r="N191" i="47"/>
  <c r="BQ201" i="1"/>
  <c r="BL201" i="1"/>
  <c r="BJ201" i="1"/>
  <c r="BI201" i="1"/>
  <c r="BA201" i="1"/>
  <c r="BB201" i="1" s="1"/>
  <c r="BC201" i="1" s="1"/>
  <c r="BD201" i="1" s="1"/>
  <c r="BE201" i="1" s="1"/>
  <c r="AW201" i="1"/>
  <c r="AU201" i="1"/>
  <c r="AV201" i="1" s="1"/>
  <c r="AI201" i="1"/>
  <c r="O191" i="47" s="1"/>
  <c r="AH201" i="1"/>
  <c r="L201" i="1"/>
  <c r="J201" i="1"/>
  <c r="K201" i="1" s="1"/>
  <c r="N190" i="47"/>
  <c r="BQ200" i="1"/>
  <c r="BL200" i="1"/>
  <c r="BJ200" i="1"/>
  <c r="BI200" i="1"/>
  <c r="BA200" i="1"/>
  <c r="BB200" i="1" s="1"/>
  <c r="BC200" i="1" s="1"/>
  <c r="BD200" i="1" s="1"/>
  <c r="BE200" i="1" s="1"/>
  <c r="AW200" i="1"/>
  <c r="AU200" i="1"/>
  <c r="AV200" i="1" s="1"/>
  <c r="AI200" i="1"/>
  <c r="AH200" i="1"/>
  <c r="L200" i="1"/>
  <c r="J200" i="1"/>
  <c r="K200" i="1" s="1"/>
  <c r="N189" i="47"/>
  <c r="BQ199" i="1"/>
  <c r="BL199" i="1"/>
  <c r="BJ199" i="1"/>
  <c r="BI199" i="1"/>
  <c r="BA199" i="1"/>
  <c r="BB199" i="1" s="1"/>
  <c r="BC199" i="1" s="1"/>
  <c r="BD199" i="1" s="1"/>
  <c r="BE199" i="1" s="1"/>
  <c r="AW199" i="1"/>
  <c r="AU199" i="1"/>
  <c r="AV199" i="1" s="1"/>
  <c r="AI199" i="1"/>
  <c r="AH199" i="1"/>
  <c r="L199" i="1"/>
  <c r="J199" i="1"/>
  <c r="K199" i="1" s="1"/>
  <c r="N188" i="47"/>
  <c r="BQ198" i="1"/>
  <c r="BL198" i="1"/>
  <c r="BJ198" i="1"/>
  <c r="BI198" i="1"/>
  <c r="BA198" i="1"/>
  <c r="AW198" i="1"/>
  <c r="AU198" i="1"/>
  <c r="AV198" i="1" s="1"/>
  <c r="AI198" i="1"/>
  <c r="O188" i="47" s="1"/>
  <c r="AH198" i="1"/>
  <c r="L198" i="1"/>
  <c r="J198" i="1"/>
  <c r="K198" i="1" s="1"/>
  <c r="N187" i="47"/>
  <c r="BQ197" i="1"/>
  <c r="BL197" i="1"/>
  <c r="BJ197" i="1"/>
  <c r="BI197" i="1"/>
  <c r="BA197" i="1"/>
  <c r="BB197" i="1" s="1"/>
  <c r="BC197" i="1" s="1"/>
  <c r="BD197" i="1" s="1"/>
  <c r="BE197" i="1" s="1"/>
  <c r="AW197" i="1"/>
  <c r="AU197" i="1"/>
  <c r="AV197" i="1" s="1"/>
  <c r="AI197" i="1"/>
  <c r="AH197" i="1"/>
  <c r="L197" i="1"/>
  <c r="J197" i="1"/>
  <c r="K197" i="1" s="1"/>
  <c r="N186" i="47"/>
  <c r="BQ196" i="1"/>
  <c r="BL196" i="1"/>
  <c r="BJ196" i="1"/>
  <c r="BI196" i="1"/>
  <c r="BC196" i="1"/>
  <c r="BD196" i="1" s="1"/>
  <c r="BE196" i="1" s="1"/>
  <c r="BA196" i="1"/>
  <c r="BB196" i="1" s="1"/>
  <c r="AW196" i="1"/>
  <c r="AU196" i="1"/>
  <c r="AV196" i="1" s="1"/>
  <c r="AI196" i="1"/>
  <c r="AH196" i="1"/>
  <c r="L196" i="1"/>
  <c r="K196" i="1"/>
  <c r="J196" i="1"/>
  <c r="N185" i="47"/>
  <c r="BQ195" i="1"/>
  <c r="BL195" i="1"/>
  <c r="BJ195" i="1"/>
  <c r="BI195" i="1"/>
  <c r="BA195" i="1"/>
  <c r="BB195" i="1" s="1"/>
  <c r="BC195" i="1" s="1"/>
  <c r="BD195" i="1" s="1"/>
  <c r="BE195" i="1" s="1"/>
  <c r="AW195" i="1"/>
  <c r="AU195" i="1"/>
  <c r="AV195" i="1" s="1"/>
  <c r="AI195" i="1"/>
  <c r="AH195" i="1"/>
  <c r="L195" i="1"/>
  <c r="J195" i="1"/>
  <c r="K195" i="1" s="1"/>
  <c r="N184" i="47"/>
  <c r="BQ194" i="1"/>
  <c r="BL194" i="1"/>
  <c r="BJ194" i="1"/>
  <c r="BI194" i="1"/>
  <c r="BA194" i="1"/>
  <c r="BB194" i="1" s="1"/>
  <c r="BC194" i="1" s="1"/>
  <c r="BD194" i="1" s="1"/>
  <c r="BE194" i="1" s="1"/>
  <c r="AW194" i="1"/>
  <c r="AU194" i="1"/>
  <c r="AV194" i="1" s="1"/>
  <c r="AI194" i="1"/>
  <c r="AH194" i="1"/>
  <c r="L194" i="1"/>
  <c r="J194" i="1"/>
  <c r="K194" i="1" s="1"/>
  <c r="N183" i="47"/>
  <c r="BQ193" i="1"/>
  <c r="BL193" i="1"/>
  <c r="BJ193" i="1"/>
  <c r="BI193" i="1"/>
  <c r="BA193" i="1"/>
  <c r="BB193" i="1" s="1"/>
  <c r="BC193" i="1" s="1"/>
  <c r="BD193" i="1" s="1"/>
  <c r="BE193" i="1" s="1"/>
  <c r="AW193" i="1"/>
  <c r="AU193" i="1"/>
  <c r="AV193" i="1" s="1"/>
  <c r="AI193" i="1"/>
  <c r="AH193" i="1"/>
  <c r="L193" i="1"/>
  <c r="J193" i="1"/>
  <c r="K193" i="1" s="1"/>
  <c r="N182" i="47"/>
  <c r="BQ192" i="1"/>
  <c r="BL192" i="1"/>
  <c r="BJ192" i="1"/>
  <c r="BI192" i="1"/>
  <c r="BA192" i="1"/>
  <c r="AW192" i="1"/>
  <c r="AU192" i="1"/>
  <c r="AV192" i="1" s="1"/>
  <c r="AI192" i="1"/>
  <c r="AH192" i="1"/>
  <c r="L192" i="1"/>
  <c r="J192" i="1"/>
  <c r="K192" i="1" s="1"/>
  <c r="N181" i="47"/>
  <c r="BQ191" i="1"/>
  <c r="BL191" i="1"/>
  <c r="BJ191" i="1"/>
  <c r="BI191" i="1"/>
  <c r="BA191" i="1"/>
  <c r="AW191" i="1"/>
  <c r="AU191" i="1"/>
  <c r="AV191" i="1" s="1"/>
  <c r="AI191" i="1"/>
  <c r="O181" i="47" s="1"/>
  <c r="AH191" i="1"/>
  <c r="L191" i="1"/>
  <c r="J191" i="1"/>
  <c r="K191" i="1" s="1"/>
  <c r="N180" i="47"/>
  <c r="BQ190" i="1"/>
  <c r="BL190" i="1"/>
  <c r="BJ190" i="1"/>
  <c r="BI190" i="1"/>
  <c r="BA190" i="1"/>
  <c r="BB190" i="1" s="1"/>
  <c r="BC190" i="1" s="1"/>
  <c r="BD190" i="1" s="1"/>
  <c r="BE190" i="1" s="1"/>
  <c r="AW190" i="1"/>
  <c r="AU190" i="1"/>
  <c r="AV190" i="1" s="1"/>
  <c r="AI190" i="1"/>
  <c r="AH190" i="1"/>
  <c r="L190" i="1"/>
  <c r="J190" i="1"/>
  <c r="K190" i="1" s="1"/>
  <c r="N179" i="47"/>
  <c r="BQ189" i="1"/>
  <c r="BL189" i="1"/>
  <c r="BJ189" i="1"/>
  <c r="BI189" i="1"/>
  <c r="BC189" i="1"/>
  <c r="BD189" i="1" s="1"/>
  <c r="BE189" i="1" s="1"/>
  <c r="BA189" i="1"/>
  <c r="BB189" i="1" s="1"/>
  <c r="AW189" i="1"/>
  <c r="AU189" i="1"/>
  <c r="AV189" i="1" s="1"/>
  <c r="AI189" i="1"/>
  <c r="AH189" i="1"/>
  <c r="L189" i="1"/>
  <c r="J189" i="1"/>
  <c r="K189" i="1" s="1"/>
  <c r="N178" i="47"/>
  <c r="BQ188" i="1"/>
  <c r="BL188" i="1"/>
  <c r="BJ188" i="1"/>
  <c r="BI188" i="1"/>
  <c r="BA188" i="1"/>
  <c r="AW188" i="1"/>
  <c r="AU188" i="1"/>
  <c r="AV188" i="1" s="1"/>
  <c r="AI188" i="1"/>
  <c r="AH188" i="1"/>
  <c r="L188" i="1"/>
  <c r="J188" i="1"/>
  <c r="K188" i="1" s="1"/>
  <c r="N177" i="47"/>
  <c r="BQ187" i="1"/>
  <c r="BL187" i="1"/>
  <c r="BJ187" i="1"/>
  <c r="BI187" i="1"/>
  <c r="BA187" i="1"/>
  <c r="AW187" i="1"/>
  <c r="AU187" i="1"/>
  <c r="AV187" i="1" s="1"/>
  <c r="AI187" i="1"/>
  <c r="AH187" i="1"/>
  <c r="L187" i="1"/>
  <c r="J187" i="1"/>
  <c r="K187" i="1" s="1"/>
  <c r="N176" i="47"/>
  <c r="BQ186" i="1"/>
  <c r="BL186" i="1"/>
  <c r="BJ186" i="1"/>
  <c r="BI186" i="1"/>
  <c r="BA186" i="1"/>
  <c r="BB186" i="1" s="1"/>
  <c r="BC186" i="1" s="1"/>
  <c r="BD186" i="1" s="1"/>
  <c r="BE186" i="1" s="1"/>
  <c r="AW186" i="1"/>
  <c r="AU186" i="1"/>
  <c r="AV186" i="1" s="1"/>
  <c r="AI186" i="1"/>
  <c r="AH186" i="1"/>
  <c r="L186" i="1"/>
  <c r="J186" i="1"/>
  <c r="K186" i="1" s="1"/>
  <c r="N175" i="47"/>
  <c r="BQ185" i="1"/>
  <c r="BL185" i="1"/>
  <c r="BJ185" i="1"/>
  <c r="BI185" i="1"/>
  <c r="BA185" i="1"/>
  <c r="BB185" i="1" s="1"/>
  <c r="BC185" i="1" s="1"/>
  <c r="BD185" i="1" s="1"/>
  <c r="BE185" i="1" s="1"/>
  <c r="AW185" i="1"/>
  <c r="AU185" i="1"/>
  <c r="AV185" i="1" s="1"/>
  <c r="AI185" i="1"/>
  <c r="O175" i="47" s="1"/>
  <c r="AH185" i="1"/>
  <c r="L185" i="1"/>
  <c r="J185" i="1"/>
  <c r="K185" i="1" s="1"/>
  <c r="N174" i="47"/>
  <c r="BQ184" i="1"/>
  <c r="BL184" i="1"/>
  <c r="BJ184" i="1"/>
  <c r="BI184" i="1"/>
  <c r="BA184" i="1"/>
  <c r="BB184" i="1" s="1"/>
  <c r="BC184" i="1" s="1"/>
  <c r="BD184" i="1" s="1"/>
  <c r="BE184" i="1" s="1"/>
  <c r="AW184" i="1"/>
  <c r="AU184" i="1"/>
  <c r="AV184" i="1" s="1"/>
  <c r="AI184" i="1"/>
  <c r="AH184" i="1"/>
  <c r="L184" i="1"/>
  <c r="J184" i="1"/>
  <c r="K184" i="1" s="1"/>
  <c r="N173" i="47"/>
  <c r="BQ183" i="1"/>
  <c r="BL183" i="1"/>
  <c r="BJ183" i="1"/>
  <c r="BI183" i="1"/>
  <c r="BA183" i="1"/>
  <c r="BB183" i="1" s="1"/>
  <c r="BC183" i="1" s="1"/>
  <c r="BD183" i="1" s="1"/>
  <c r="BE183" i="1" s="1"/>
  <c r="AW183" i="1"/>
  <c r="AU183" i="1"/>
  <c r="AV183" i="1" s="1"/>
  <c r="AI183" i="1"/>
  <c r="AH183" i="1"/>
  <c r="L183" i="1"/>
  <c r="J183" i="1"/>
  <c r="K183" i="1" s="1"/>
  <c r="N172" i="47"/>
  <c r="BQ182" i="1"/>
  <c r="BL182" i="1"/>
  <c r="BJ182" i="1"/>
  <c r="BI182" i="1"/>
  <c r="BA182" i="1"/>
  <c r="BB182" i="1" s="1"/>
  <c r="BC182" i="1" s="1"/>
  <c r="BD182" i="1" s="1"/>
  <c r="BE182" i="1" s="1"/>
  <c r="AW182" i="1"/>
  <c r="AU182" i="1"/>
  <c r="AV182" i="1" s="1"/>
  <c r="AI182" i="1"/>
  <c r="AH182" i="1"/>
  <c r="L182" i="1"/>
  <c r="J182" i="1"/>
  <c r="K182" i="1" s="1"/>
  <c r="N171" i="47"/>
  <c r="BQ181" i="1"/>
  <c r="BL181" i="1"/>
  <c r="BJ181" i="1"/>
  <c r="BI181" i="1"/>
  <c r="BA181" i="1"/>
  <c r="BB181" i="1" s="1"/>
  <c r="BC181" i="1" s="1"/>
  <c r="BD181" i="1" s="1"/>
  <c r="BE181" i="1" s="1"/>
  <c r="AW181" i="1"/>
  <c r="AU181" i="1"/>
  <c r="AV181" i="1" s="1"/>
  <c r="AI181" i="1"/>
  <c r="O171" i="47" s="1"/>
  <c r="AH181" i="1"/>
  <c r="L181" i="1"/>
  <c r="J181" i="1"/>
  <c r="K181" i="1" s="1"/>
  <c r="N170" i="47"/>
  <c r="BQ180" i="1"/>
  <c r="BL180" i="1"/>
  <c r="BJ180" i="1"/>
  <c r="BI180" i="1"/>
  <c r="BA180" i="1"/>
  <c r="BB180" i="1" s="1"/>
  <c r="BC180" i="1" s="1"/>
  <c r="BD180" i="1" s="1"/>
  <c r="BE180" i="1" s="1"/>
  <c r="AW180" i="1"/>
  <c r="AU180" i="1"/>
  <c r="AV180" i="1" s="1"/>
  <c r="AI180" i="1"/>
  <c r="AH180" i="1"/>
  <c r="L180" i="1"/>
  <c r="J180" i="1"/>
  <c r="K180" i="1" s="1"/>
  <c r="N168" i="47"/>
  <c r="BQ179" i="1"/>
  <c r="BL179" i="1"/>
  <c r="BJ179" i="1"/>
  <c r="BI179" i="1"/>
  <c r="BC179" i="1"/>
  <c r="BD179" i="1" s="1"/>
  <c r="BE179" i="1" s="1"/>
  <c r="BA179" i="1"/>
  <c r="BB179" i="1" s="1"/>
  <c r="AW179" i="1"/>
  <c r="AU179" i="1"/>
  <c r="AV179" i="1" s="1"/>
  <c r="AI179" i="1"/>
  <c r="AH179" i="1"/>
  <c r="L179" i="1"/>
  <c r="J179" i="1"/>
  <c r="K179" i="1" s="1"/>
  <c r="N161" i="47"/>
  <c r="BQ178" i="1"/>
  <c r="BL178" i="1"/>
  <c r="BJ178" i="1"/>
  <c r="BI178" i="1"/>
  <c r="BA178" i="1"/>
  <c r="AW178" i="1"/>
  <c r="AU178" i="1"/>
  <c r="AV178" i="1" s="1"/>
  <c r="AI178" i="1"/>
  <c r="AH178" i="1"/>
  <c r="L178" i="1"/>
  <c r="J178" i="1"/>
  <c r="K178" i="1" s="1"/>
  <c r="N154" i="47"/>
  <c r="BQ177" i="1"/>
  <c r="BL177" i="1"/>
  <c r="BJ177" i="1"/>
  <c r="BI177" i="1"/>
  <c r="BA177" i="1"/>
  <c r="BB177" i="1" s="1"/>
  <c r="BC177" i="1" s="1"/>
  <c r="BD177" i="1" s="1"/>
  <c r="BE177" i="1" s="1"/>
  <c r="AW177" i="1"/>
  <c r="AU177" i="1"/>
  <c r="AV177" i="1" s="1"/>
  <c r="AI177" i="1"/>
  <c r="O154" i="47" s="1"/>
  <c r="AH177" i="1"/>
  <c r="L177" i="1"/>
  <c r="J177" i="1"/>
  <c r="K177" i="1" s="1"/>
  <c r="N151" i="47"/>
  <c r="BQ176" i="1"/>
  <c r="BL176" i="1"/>
  <c r="BJ176" i="1"/>
  <c r="BI176" i="1"/>
  <c r="BA176" i="1"/>
  <c r="BB176" i="1" s="1"/>
  <c r="BC176" i="1" s="1"/>
  <c r="BD176" i="1" s="1"/>
  <c r="BE176" i="1" s="1"/>
  <c r="AW176" i="1"/>
  <c r="AU176" i="1"/>
  <c r="AV176" i="1" s="1"/>
  <c r="AI176" i="1"/>
  <c r="AH176" i="1"/>
  <c r="L176" i="1"/>
  <c r="J176" i="1"/>
  <c r="K176" i="1" s="1"/>
  <c r="N144" i="47"/>
  <c r="BQ175" i="1"/>
  <c r="BL175" i="1"/>
  <c r="BJ175" i="1"/>
  <c r="BI175" i="1"/>
  <c r="BA175" i="1"/>
  <c r="BB175" i="1" s="1"/>
  <c r="BC175" i="1" s="1"/>
  <c r="BD175" i="1" s="1"/>
  <c r="BE175" i="1" s="1"/>
  <c r="AW175" i="1"/>
  <c r="AU175" i="1"/>
  <c r="AV175" i="1" s="1"/>
  <c r="AI175" i="1"/>
  <c r="AH175" i="1"/>
  <c r="L175" i="1"/>
  <c r="J175" i="1"/>
  <c r="K175" i="1" s="1"/>
  <c r="N138" i="47"/>
  <c r="BQ174" i="1"/>
  <c r="BL174" i="1"/>
  <c r="BJ174" i="1"/>
  <c r="BI174" i="1"/>
  <c r="BA174" i="1"/>
  <c r="AW174" i="1"/>
  <c r="AU174" i="1"/>
  <c r="AV174" i="1" s="1"/>
  <c r="AI174" i="1"/>
  <c r="AH174" i="1"/>
  <c r="L174" i="1"/>
  <c r="J174" i="1"/>
  <c r="K174" i="1" s="1"/>
  <c r="N134" i="47"/>
  <c r="BQ173" i="1"/>
  <c r="BL173" i="1"/>
  <c r="BJ173" i="1"/>
  <c r="BI173" i="1"/>
  <c r="BA173" i="1"/>
  <c r="AW173" i="1"/>
  <c r="AU173" i="1"/>
  <c r="AV173" i="1" s="1"/>
  <c r="AI173" i="1"/>
  <c r="O134" i="47" s="1"/>
  <c r="AH173" i="1"/>
  <c r="L173" i="1"/>
  <c r="J173" i="1"/>
  <c r="K173" i="1" s="1"/>
  <c r="N130" i="47"/>
  <c r="BQ172" i="1"/>
  <c r="BL172" i="1"/>
  <c r="BJ172" i="1"/>
  <c r="BI172" i="1"/>
  <c r="BA172" i="1"/>
  <c r="BB172" i="1" s="1"/>
  <c r="BC172" i="1" s="1"/>
  <c r="BD172" i="1" s="1"/>
  <c r="BE172" i="1" s="1"/>
  <c r="AW172" i="1"/>
  <c r="AU172" i="1"/>
  <c r="AV172" i="1" s="1"/>
  <c r="AI172" i="1"/>
  <c r="AH172" i="1"/>
  <c r="L172" i="1"/>
  <c r="J172" i="1"/>
  <c r="K172" i="1" s="1"/>
  <c r="N126" i="47"/>
  <c r="BQ171" i="1"/>
  <c r="BL171" i="1"/>
  <c r="BJ171" i="1"/>
  <c r="BI171" i="1"/>
  <c r="BA171" i="1"/>
  <c r="BB171" i="1" s="1"/>
  <c r="BC171" i="1" s="1"/>
  <c r="BD171" i="1" s="1"/>
  <c r="BE171" i="1" s="1"/>
  <c r="AW171" i="1"/>
  <c r="AU171" i="1"/>
  <c r="AV171" i="1" s="1"/>
  <c r="AI171" i="1"/>
  <c r="AH171" i="1"/>
  <c r="L171" i="1"/>
  <c r="J171" i="1"/>
  <c r="K171" i="1" s="1"/>
  <c r="N119" i="47"/>
  <c r="BQ170" i="1"/>
  <c r="BL170" i="1"/>
  <c r="BJ170" i="1"/>
  <c r="BI170" i="1"/>
  <c r="BA170" i="1"/>
  <c r="AW170" i="1"/>
  <c r="AU170" i="1"/>
  <c r="AV170" i="1" s="1"/>
  <c r="AI170" i="1"/>
  <c r="AH170" i="1"/>
  <c r="L170" i="1"/>
  <c r="J170" i="1"/>
  <c r="K170" i="1" s="1"/>
  <c r="N111" i="47"/>
  <c r="BQ169" i="1"/>
  <c r="BL169" i="1"/>
  <c r="BJ169" i="1"/>
  <c r="BI169" i="1"/>
  <c r="BA169" i="1"/>
  <c r="BB169" i="1" s="1"/>
  <c r="BC169" i="1" s="1"/>
  <c r="BD169" i="1" s="1"/>
  <c r="BE169" i="1" s="1"/>
  <c r="AW169" i="1"/>
  <c r="AU169" i="1"/>
  <c r="AV169" i="1" s="1"/>
  <c r="AI169" i="1"/>
  <c r="AH169" i="1"/>
  <c r="L169" i="1"/>
  <c r="J169" i="1"/>
  <c r="K169" i="1" s="1"/>
  <c r="N108" i="47"/>
  <c r="BQ168" i="1"/>
  <c r="BL168" i="1"/>
  <c r="BJ168" i="1"/>
  <c r="BI168" i="1"/>
  <c r="BA168" i="1"/>
  <c r="BB168" i="1" s="1"/>
  <c r="BC168" i="1" s="1"/>
  <c r="BD168" i="1" s="1"/>
  <c r="BE168" i="1" s="1"/>
  <c r="AW168" i="1"/>
  <c r="AU168" i="1"/>
  <c r="AV168" i="1" s="1"/>
  <c r="AI168" i="1"/>
  <c r="AH168" i="1"/>
  <c r="L168" i="1"/>
  <c r="J168" i="1"/>
  <c r="K168" i="1" s="1"/>
  <c r="N93" i="47"/>
  <c r="BQ167" i="1"/>
  <c r="BL167" i="1"/>
  <c r="BJ167" i="1"/>
  <c r="BI167" i="1"/>
  <c r="BA167" i="1"/>
  <c r="AW167" i="1"/>
  <c r="AU167" i="1"/>
  <c r="AV167" i="1" s="1"/>
  <c r="AI167" i="1"/>
  <c r="AH167" i="1"/>
  <c r="L167" i="1"/>
  <c r="J167" i="1"/>
  <c r="K167" i="1" s="1"/>
  <c r="N89" i="47"/>
  <c r="BQ166" i="1"/>
  <c r="BL166" i="1"/>
  <c r="BJ166" i="1"/>
  <c r="BI166" i="1"/>
  <c r="BA166" i="1"/>
  <c r="BB166" i="1" s="1"/>
  <c r="BC166" i="1" s="1"/>
  <c r="BD166" i="1" s="1"/>
  <c r="BE166" i="1" s="1"/>
  <c r="AW166" i="1"/>
  <c r="AU166" i="1"/>
  <c r="AV166" i="1" s="1"/>
  <c r="AI166" i="1"/>
  <c r="AH166" i="1"/>
  <c r="L166" i="1"/>
  <c r="J166" i="1"/>
  <c r="K166" i="1" s="1"/>
  <c r="N84" i="47"/>
  <c r="BQ165" i="1"/>
  <c r="BL165" i="1"/>
  <c r="BJ165" i="1"/>
  <c r="BI165" i="1"/>
  <c r="BC165" i="1"/>
  <c r="BD165" i="1" s="1"/>
  <c r="BE165" i="1" s="1"/>
  <c r="BA165" i="1"/>
  <c r="AW165" i="1"/>
  <c r="AU165" i="1"/>
  <c r="AV165" i="1" s="1"/>
  <c r="AI165" i="1"/>
  <c r="AH165" i="1"/>
  <c r="L165" i="1"/>
  <c r="J165" i="1"/>
  <c r="K165" i="1" s="1"/>
  <c r="N80" i="47"/>
  <c r="BQ164" i="1"/>
  <c r="BL164" i="1"/>
  <c r="BJ164" i="1"/>
  <c r="BI164" i="1"/>
  <c r="BA164" i="1"/>
  <c r="AW164" i="1"/>
  <c r="AU164" i="1"/>
  <c r="AV164" i="1" s="1"/>
  <c r="AI164" i="1"/>
  <c r="AH164" i="1"/>
  <c r="L164" i="1"/>
  <c r="J164" i="1"/>
  <c r="K164" i="1" s="1"/>
  <c r="N79" i="47"/>
  <c r="BQ163" i="1"/>
  <c r="BL163" i="1"/>
  <c r="BJ163" i="1"/>
  <c r="BI163" i="1"/>
  <c r="BA163" i="1"/>
  <c r="AW163" i="1"/>
  <c r="AU163" i="1"/>
  <c r="AV163" i="1" s="1"/>
  <c r="AI163" i="1"/>
  <c r="AH163" i="1"/>
  <c r="L163" i="1"/>
  <c r="J163" i="1"/>
  <c r="K163" i="1" s="1"/>
  <c r="N78" i="47"/>
  <c r="BQ162" i="1"/>
  <c r="BL162" i="1"/>
  <c r="BJ162" i="1"/>
  <c r="BI162" i="1"/>
  <c r="BA162" i="1"/>
  <c r="AW162" i="1"/>
  <c r="AU162" i="1"/>
  <c r="AV162" i="1" s="1"/>
  <c r="AI162" i="1"/>
  <c r="AH162" i="1"/>
  <c r="L162" i="1"/>
  <c r="J162" i="1"/>
  <c r="K162" i="1" s="1"/>
  <c r="N77" i="47"/>
  <c r="BQ161" i="1"/>
  <c r="BL161" i="1"/>
  <c r="BJ161" i="1"/>
  <c r="BI161" i="1"/>
  <c r="BA161" i="1"/>
  <c r="AW161" i="1"/>
  <c r="AU161" i="1"/>
  <c r="AV161" i="1" s="1"/>
  <c r="AI161" i="1"/>
  <c r="AH161" i="1"/>
  <c r="L161" i="1"/>
  <c r="J161" i="1"/>
  <c r="K161" i="1" s="1"/>
  <c r="N76" i="47"/>
  <c r="BQ160" i="1"/>
  <c r="BL160" i="1"/>
  <c r="BJ160" i="1"/>
  <c r="BI160" i="1"/>
  <c r="BA160" i="1"/>
  <c r="BB160" i="1" s="1"/>
  <c r="BC160" i="1" s="1"/>
  <c r="BD160" i="1" s="1"/>
  <c r="BE160" i="1" s="1"/>
  <c r="AW160" i="1"/>
  <c r="AU160" i="1"/>
  <c r="AV160" i="1" s="1"/>
  <c r="AI160" i="1"/>
  <c r="AH160" i="1"/>
  <c r="L160" i="1"/>
  <c r="J160" i="1"/>
  <c r="K160" i="1" s="1"/>
  <c r="N75" i="47"/>
  <c r="BQ159" i="1"/>
  <c r="BL159" i="1"/>
  <c r="BJ159" i="1"/>
  <c r="BI159" i="1"/>
  <c r="BA159" i="1"/>
  <c r="AW159" i="1"/>
  <c r="AU159" i="1"/>
  <c r="AV159" i="1" s="1"/>
  <c r="AI159" i="1"/>
  <c r="AH159" i="1"/>
  <c r="L159" i="1"/>
  <c r="J159" i="1"/>
  <c r="K159" i="1" s="1"/>
  <c r="N163" i="47"/>
  <c r="BQ158" i="1"/>
  <c r="BL158" i="1"/>
  <c r="BJ158" i="1"/>
  <c r="BI158" i="1"/>
  <c r="BA158" i="1"/>
  <c r="BB158" i="1" s="1"/>
  <c r="BC158" i="1" s="1"/>
  <c r="BD158" i="1" s="1"/>
  <c r="BE158" i="1" s="1"/>
  <c r="AW158" i="1"/>
  <c r="AU158" i="1"/>
  <c r="AV158" i="1" s="1"/>
  <c r="AI158" i="1"/>
  <c r="AH158" i="1"/>
  <c r="L158" i="1"/>
  <c r="J158" i="1"/>
  <c r="K158" i="1" s="1"/>
  <c r="N112" i="47"/>
  <c r="BQ157" i="1"/>
  <c r="BL157" i="1"/>
  <c r="BJ157" i="1"/>
  <c r="BI157" i="1"/>
  <c r="BA157" i="1"/>
  <c r="AW157" i="1"/>
  <c r="AU157" i="1"/>
  <c r="AV157" i="1" s="1"/>
  <c r="AI157" i="1"/>
  <c r="AH157" i="1"/>
  <c r="L157" i="1"/>
  <c r="J157" i="1"/>
  <c r="K157" i="1" s="1"/>
  <c r="N96" i="47"/>
  <c r="BQ156" i="1"/>
  <c r="BL156" i="1"/>
  <c r="BJ156" i="1"/>
  <c r="BI156" i="1"/>
  <c r="BA156" i="1"/>
  <c r="BB156" i="1" s="1"/>
  <c r="BC156" i="1" s="1"/>
  <c r="BD156" i="1" s="1"/>
  <c r="BE156" i="1" s="1"/>
  <c r="AW156" i="1"/>
  <c r="AU156" i="1"/>
  <c r="AV156" i="1" s="1"/>
  <c r="AI156" i="1"/>
  <c r="AH156" i="1"/>
  <c r="L156" i="1"/>
  <c r="J156" i="1"/>
  <c r="K156" i="1" s="1"/>
  <c r="N81" i="47"/>
  <c r="BQ155" i="1"/>
  <c r="BL155" i="1"/>
  <c r="BJ155" i="1"/>
  <c r="BI155" i="1"/>
  <c r="BA155" i="1"/>
  <c r="AW155" i="1"/>
  <c r="AU155" i="1"/>
  <c r="AV155" i="1" s="1"/>
  <c r="AI155" i="1"/>
  <c r="AH155" i="1"/>
  <c r="L155" i="1"/>
  <c r="J155" i="1"/>
  <c r="K155" i="1" s="1"/>
  <c r="N82" i="47"/>
  <c r="BQ154" i="1"/>
  <c r="BL154" i="1"/>
  <c r="BJ154" i="1"/>
  <c r="BI154" i="1"/>
  <c r="BA154" i="1"/>
  <c r="BB154" i="1" s="1"/>
  <c r="BC154" i="1" s="1"/>
  <c r="BD154" i="1" s="1"/>
  <c r="BE154" i="1" s="1"/>
  <c r="AW154" i="1"/>
  <c r="AU154" i="1"/>
  <c r="AV154" i="1" s="1"/>
  <c r="AI154" i="1"/>
  <c r="AH154" i="1"/>
  <c r="L154" i="1"/>
  <c r="J154" i="1"/>
  <c r="K154" i="1" s="1"/>
  <c r="N164" i="47"/>
  <c r="BQ153" i="1"/>
  <c r="BL153" i="1"/>
  <c r="BJ153" i="1"/>
  <c r="BI153" i="1"/>
  <c r="BA153" i="1"/>
  <c r="BB153" i="1" s="1"/>
  <c r="BC153" i="1" s="1"/>
  <c r="BD153" i="1" s="1"/>
  <c r="BE153" i="1" s="1"/>
  <c r="AW153" i="1"/>
  <c r="AU153" i="1"/>
  <c r="AV153" i="1" s="1"/>
  <c r="AI153" i="1"/>
  <c r="AH153" i="1"/>
  <c r="L153" i="1"/>
  <c r="J153" i="1"/>
  <c r="K153" i="1" s="1"/>
  <c r="N162" i="47"/>
  <c r="BQ152" i="1"/>
  <c r="BL152" i="1"/>
  <c r="BJ152" i="1"/>
  <c r="BI152" i="1"/>
  <c r="BA152" i="1"/>
  <c r="BB152" i="1" s="1"/>
  <c r="BC152" i="1" s="1"/>
  <c r="BD152" i="1" s="1"/>
  <c r="BE152" i="1" s="1"/>
  <c r="AW152" i="1"/>
  <c r="AU152" i="1"/>
  <c r="AV152" i="1" s="1"/>
  <c r="AI152" i="1"/>
  <c r="AH152" i="1"/>
  <c r="L152" i="1"/>
  <c r="J152" i="1"/>
  <c r="K152" i="1" s="1"/>
  <c r="N131" i="47"/>
  <c r="BQ151" i="1"/>
  <c r="BL151" i="1"/>
  <c r="BJ151" i="1"/>
  <c r="BI151" i="1"/>
  <c r="BA151" i="1"/>
  <c r="BB151" i="1" s="1"/>
  <c r="BC151" i="1" s="1"/>
  <c r="BD151" i="1" s="1"/>
  <c r="BE151" i="1" s="1"/>
  <c r="AW151" i="1"/>
  <c r="AU151" i="1"/>
  <c r="AV151" i="1" s="1"/>
  <c r="AI151" i="1"/>
  <c r="AH151" i="1"/>
  <c r="L151" i="1"/>
  <c r="J151" i="1"/>
  <c r="K151" i="1" s="1"/>
  <c r="N129" i="47"/>
  <c r="BQ150" i="1"/>
  <c r="BL150" i="1"/>
  <c r="BJ150" i="1"/>
  <c r="BI150" i="1"/>
  <c r="BA150" i="1"/>
  <c r="AW150" i="1"/>
  <c r="AU150" i="1"/>
  <c r="AV150" i="1" s="1"/>
  <c r="AI150" i="1"/>
  <c r="AH150" i="1"/>
  <c r="L150" i="1"/>
  <c r="J150" i="1"/>
  <c r="K150" i="1" s="1"/>
  <c r="N128" i="47"/>
  <c r="BQ149" i="1"/>
  <c r="BL149" i="1"/>
  <c r="BJ149" i="1"/>
  <c r="BI149" i="1"/>
  <c r="BA149" i="1"/>
  <c r="AW149" i="1"/>
  <c r="AU149" i="1"/>
  <c r="AV149" i="1" s="1"/>
  <c r="AI149" i="1"/>
  <c r="AH149" i="1"/>
  <c r="L149" i="1"/>
  <c r="J149" i="1"/>
  <c r="K149" i="1" s="1"/>
  <c r="N127" i="47"/>
  <c r="BQ148" i="1"/>
  <c r="BL148" i="1"/>
  <c r="BJ148" i="1"/>
  <c r="BI148" i="1"/>
  <c r="BA148" i="1"/>
  <c r="AW148" i="1"/>
  <c r="AU148" i="1"/>
  <c r="AV148" i="1" s="1"/>
  <c r="AI148" i="1"/>
  <c r="AH148" i="1"/>
  <c r="L148" i="1"/>
  <c r="J148" i="1"/>
  <c r="K148" i="1" s="1"/>
  <c r="N125" i="47"/>
  <c r="BQ147" i="1"/>
  <c r="BL147" i="1"/>
  <c r="BJ147" i="1"/>
  <c r="BI147" i="1"/>
  <c r="BA147" i="1"/>
  <c r="BB147" i="1" s="1"/>
  <c r="BC147" i="1" s="1"/>
  <c r="BD147" i="1" s="1"/>
  <c r="BE147" i="1" s="1"/>
  <c r="AW147" i="1"/>
  <c r="AU147" i="1"/>
  <c r="AV147" i="1" s="1"/>
  <c r="AI147" i="1"/>
  <c r="AH147" i="1"/>
  <c r="L147" i="1"/>
  <c r="J147" i="1"/>
  <c r="K147" i="1" s="1"/>
  <c r="N124" i="47"/>
  <c r="BQ146" i="1"/>
  <c r="BL146" i="1"/>
  <c r="BJ146" i="1"/>
  <c r="BI146" i="1"/>
  <c r="BA146" i="1"/>
  <c r="BB146" i="1" s="1"/>
  <c r="BC146" i="1" s="1"/>
  <c r="BD146" i="1" s="1"/>
  <c r="BE146" i="1" s="1"/>
  <c r="AW146" i="1"/>
  <c r="AU146" i="1"/>
  <c r="AV146" i="1" s="1"/>
  <c r="AI146" i="1"/>
  <c r="AH146" i="1"/>
  <c r="L146" i="1"/>
  <c r="J146" i="1"/>
  <c r="K146" i="1" s="1"/>
  <c r="N123" i="47"/>
  <c r="BQ145" i="1"/>
  <c r="BL145" i="1"/>
  <c r="BJ145" i="1"/>
  <c r="BI145" i="1"/>
  <c r="BA145" i="1"/>
  <c r="BB145" i="1" s="1"/>
  <c r="BC145" i="1" s="1"/>
  <c r="BD145" i="1" s="1"/>
  <c r="BE145" i="1" s="1"/>
  <c r="AW145" i="1"/>
  <c r="AU145" i="1"/>
  <c r="AV145" i="1" s="1"/>
  <c r="AI145" i="1"/>
  <c r="AH145" i="1"/>
  <c r="L145" i="1"/>
  <c r="J145" i="1"/>
  <c r="K145" i="1" s="1"/>
  <c r="N152" i="47"/>
  <c r="BQ144" i="1"/>
  <c r="BL144" i="1"/>
  <c r="BJ144" i="1"/>
  <c r="BI144" i="1"/>
  <c r="BA144" i="1"/>
  <c r="BB144" i="1" s="1"/>
  <c r="BC144" i="1" s="1"/>
  <c r="BD144" i="1" s="1"/>
  <c r="BE144" i="1" s="1"/>
  <c r="AW144" i="1"/>
  <c r="AU144" i="1"/>
  <c r="AV144" i="1" s="1"/>
  <c r="AI144" i="1"/>
  <c r="AH144" i="1"/>
  <c r="L144" i="1"/>
  <c r="J144" i="1"/>
  <c r="K144" i="1" s="1"/>
  <c r="N150" i="47"/>
  <c r="BQ143" i="1"/>
  <c r="BL143" i="1"/>
  <c r="BJ143" i="1"/>
  <c r="BI143" i="1"/>
  <c r="BA143" i="1"/>
  <c r="AW143" i="1"/>
  <c r="AU143" i="1"/>
  <c r="AV143" i="1" s="1"/>
  <c r="AI143" i="1"/>
  <c r="AH143" i="1"/>
  <c r="L143" i="1"/>
  <c r="J143" i="1"/>
  <c r="K143" i="1" s="1"/>
  <c r="N148" i="47"/>
  <c r="BQ142" i="1"/>
  <c r="BL142" i="1"/>
  <c r="BJ142" i="1"/>
  <c r="BI142" i="1"/>
  <c r="BA142" i="1"/>
  <c r="AW142" i="1"/>
  <c r="AU142" i="1"/>
  <c r="AV142" i="1" s="1"/>
  <c r="AI142" i="1"/>
  <c r="AH142" i="1"/>
  <c r="L142" i="1"/>
  <c r="J142" i="1"/>
  <c r="K142" i="1" s="1"/>
  <c r="N147" i="47"/>
  <c r="BQ141" i="1"/>
  <c r="BL141" i="1"/>
  <c r="BJ141" i="1"/>
  <c r="BI141" i="1"/>
  <c r="BA141" i="1"/>
  <c r="AW141" i="1"/>
  <c r="AU141" i="1"/>
  <c r="AV141" i="1" s="1"/>
  <c r="AI141" i="1"/>
  <c r="AH141" i="1"/>
  <c r="L141" i="1"/>
  <c r="J141" i="1"/>
  <c r="K141" i="1" s="1"/>
  <c r="N146" i="47"/>
  <c r="BQ140" i="1"/>
  <c r="BL140" i="1"/>
  <c r="BJ140" i="1"/>
  <c r="BI140" i="1"/>
  <c r="BA140" i="1"/>
  <c r="BB140" i="1" s="1"/>
  <c r="BC140" i="1" s="1"/>
  <c r="BD140" i="1" s="1"/>
  <c r="BE140" i="1" s="1"/>
  <c r="AW140" i="1"/>
  <c r="AU140" i="1"/>
  <c r="AV140" i="1" s="1"/>
  <c r="AI140" i="1"/>
  <c r="AH140" i="1"/>
  <c r="L140" i="1"/>
  <c r="J140" i="1"/>
  <c r="K140" i="1" s="1"/>
  <c r="N145" i="47"/>
  <c r="BQ139" i="1"/>
  <c r="BL139" i="1"/>
  <c r="BJ139" i="1"/>
  <c r="BI139" i="1"/>
  <c r="BA139" i="1"/>
  <c r="BB139" i="1" s="1"/>
  <c r="BC139" i="1" s="1"/>
  <c r="BD139" i="1" s="1"/>
  <c r="BE139" i="1" s="1"/>
  <c r="AW139" i="1"/>
  <c r="AU139" i="1"/>
  <c r="AV139" i="1" s="1"/>
  <c r="AI139" i="1"/>
  <c r="AH139" i="1"/>
  <c r="L139" i="1"/>
  <c r="J139" i="1"/>
  <c r="K139" i="1" s="1"/>
  <c r="N141" i="47"/>
  <c r="BQ138" i="1"/>
  <c r="BL138" i="1"/>
  <c r="BJ138" i="1"/>
  <c r="BI138" i="1"/>
  <c r="BA138" i="1"/>
  <c r="BB138" i="1" s="1"/>
  <c r="BC138" i="1" s="1"/>
  <c r="BD138" i="1" s="1"/>
  <c r="BE138" i="1" s="1"/>
  <c r="AW138" i="1"/>
  <c r="AU138" i="1"/>
  <c r="AV138" i="1" s="1"/>
  <c r="AI138" i="1"/>
  <c r="AH138" i="1"/>
  <c r="L138" i="1"/>
  <c r="J138" i="1"/>
  <c r="K138" i="1" s="1"/>
  <c r="N167" i="47"/>
  <c r="BQ137" i="1"/>
  <c r="BL137" i="1"/>
  <c r="BJ137" i="1"/>
  <c r="BI137" i="1"/>
  <c r="BA137" i="1"/>
  <c r="AW137" i="1"/>
  <c r="AU137" i="1"/>
  <c r="AV137" i="1" s="1"/>
  <c r="AI137" i="1"/>
  <c r="AH137" i="1"/>
  <c r="L137" i="1"/>
  <c r="J137" i="1"/>
  <c r="K137" i="1" s="1"/>
  <c r="N166" i="47"/>
  <c r="BQ136" i="1"/>
  <c r="BL136" i="1"/>
  <c r="BJ136" i="1"/>
  <c r="BI136" i="1"/>
  <c r="BA136" i="1"/>
  <c r="AW136" i="1"/>
  <c r="AU136" i="1"/>
  <c r="AV136" i="1" s="1"/>
  <c r="AI136" i="1"/>
  <c r="AH136" i="1"/>
  <c r="L136" i="1"/>
  <c r="J136" i="1"/>
  <c r="K136" i="1" s="1"/>
  <c r="N165" i="47"/>
  <c r="BQ135" i="1"/>
  <c r="BL135" i="1"/>
  <c r="BJ135" i="1"/>
  <c r="BI135" i="1"/>
  <c r="BA135" i="1"/>
  <c r="BB135" i="1" s="1"/>
  <c r="BC135" i="1" s="1"/>
  <c r="BD135" i="1" s="1"/>
  <c r="BE135" i="1" s="1"/>
  <c r="AW135" i="1"/>
  <c r="AU135" i="1"/>
  <c r="AV135" i="1" s="1"/>
  <c r="AI135" i="1"/>
  <c r="AH135" i="1"/>
  <c r="L135" i="1"/>
  <c r="J135" i="1"/>
  <c r="K135" i="1" s="1"/>
  <c r="N155" i="47"/>
  <c r="BQ134" i="1"/>
  <c r="BL134" i="1"/>
  <c r="BJ134" i="1"/>
  <c r="BI134" i="1"/>
  <c r="BA134" i="1"/>
  <c r="AW134" i="1"/>
  <c r="AU134" i="1"/>
  <c r="AV134" i="1" s="1"/>
  <c r="AI134" i="1"/>
  <c r="AH134" i="1"/>
  <c r="L134" i="1"/>
  <c r="J134" i="1"/>
  <c r="K134" i="1" s="1"/>
  <c r="N140" i="47"/>
  <c r="BQ133" i="1"/>
  <c r="BL133" i="1"/>
  <c r="BJ133" i="1"/>
  <c r="BI133" i="1"/>
  <c r="BA133" i="1"/>
  <c r="BB133" i="1" s="1"/>
  <c r="BC133" i="1" s="1"/>
  <c r="BD133" i="1" s="1"/>
  <c r="BE133" i="1" s="1"/>
  <c r="AW133" i="1"/>
  <c r="AU133" i="1"/>
  <c r="AV133" i="1" s="1"/>
  <c r="AI133" i="1"/>
  <c r="AH133" i="1"/>
  <c r="L133" i="1"/>
  <c r="J133" i="1"/>
  <c r="K133" i="1" s="1"/>
  <c r="N139" i="47"/>
  <c r="BQ132" i="1"/>
  <c r="BL132" i="1"/>
  <c r="BJ132" i="1"/>
  <c r="BI132" i="1"/>
  <c r="BA132" i="1"/>
  <c r="BB132" i="1" s="1"/>
  <c r="BC132" i="1" s="1"/>
  <c r="BD132" i="1" s="1"/>
  <c r="BE132" i="1" s="1"/>
  <c r="AW132" i="1"/>
  <c r="AU132" i="1"/>
  <c r="AV132" i="1" s="1"/>
  <c r="AI132" i="1"/>
  <c r="AH132" i="1"/>
  <c r="L132" i="1"/>
  <c r="J132" i="1"/>
  <c r="K132" i="1" s="1"/>
  <c r="N137" i="47"/>
  <c r="BQ131" i="1"/>
  <c r="BL131" i="1"/>
  <c r="BJ131" i="1"/>
  <c r="BI131" i="1"/>
  <c r="BA131" i="1"/>
  <c r="BB131" i="1" s="1"/>
  <c r="BC131" i="1" s="1"/>
  <c r="BD131" i="1" s="1"/>
  <c r="BE131" i="1" s="1"/>
  <c r="AW131" i="1"/>
  <c r="AU131" i="1"/>
  <c r="AV131" i="1" s="1"/>
  <c r="AI131" i="1"/>
  <c r="AH131" i="1"/>
  <c r="L131" i="1"/>
  <c r="J131" i="1"/>
  <c r="K131" i="1" s="1"/>
  <c r="N136" i="47"/>
  <c r="BQ130" i="1"/>
  <c r="BL130" i="1"/>
  <c r="BJ130" i="1"/>
  <c r="BI130" i="1"/>
  <c r="BA130" i="1"/>
  <c r="BB130" i="1" s="1"/>
  <c r="BC130" i="1" s="1"/>
  <c r="BD130" i="1" s="1"/>
  <c r="BE130" i="1" s="1"/>
  <c r="AW130" i="1"/>
  <c r="AU130" i="1"/>
  <c r="AV130" i="1" s="1"/>
  <c r="AI130" i="1"/>
  <c r="AH130" i="1"/>
  <c r="L130" i="1"/>
  <c r="J130" i="1"/>
  <c r="K130" i="1" s="1"/>
  <c r="N135" i="47"/>
  <c r="BQ129" i="1"/>
  <c r="BL129" i="1"/>
  <c r="BJ129" i="1"/>
  <c r="BI129" i="1"/>
  <c r="BA129" i="1"/>
  <c r="AW129" i="1"/>
  <c r="AU129" i="1"/>
  <c r="AV129" i="1" s="1"/>
  <c r="AI129" i="1"/>
  <c r="AH129" i="1"/>
  <c r="L129" i="1"/>
  <c r="J129" i="1"/>
  <c r="K129" i="1" s="1"/>
  <c r="N133" i="47"/>
  <c r="BQ128" i="1"/>
  <c r="BL128" i="1"/>
  <c r="BJ128" i="1"/>
  <c r="BI128" i="1"/>
  <c r="BA128" i="1"/>
  <c r="BB128" i="1" s="1"/>
  <c r="BC128" i="1" s="1"/>
  <c r="BD128" i="1" s="1"/>
  <c r="BE128" i="1" s="1"/>
  <c r="AW128" i="1"/>
  <c r="AU128" i="1"/>
  <c r="AV128" i="1" s="1"/>
  <c r="AI128" i="1"/>
  <c r="AH128" i="1"/>
  <c r="L128" i="1"/>
  <c r="J128" i="1"/>
  <c r="K128" i="1" s="1"/>
  <c r="N132" i="47"/>
  <c r="BQ127" i="1"/>
  <c r="BL127" i="1"/>
  <c r="BJ127" i="1"/>
  <c r="BI127" i="1"/>
  <c r="BA127" i="1"/>
  <c r="BB127" i="1" s="1"/>
  <c r="BC127" i="1" s="1"/>
  <c r="BD127" i="1" s="1"/>
  <c r="BE127" i="1" s="1"/>
  <c r="AW127" i="1"/>
  <c r="AU127" i="1"/>
  <c r="AV127" i="1" s="1"/>
  <c r="AI127" i="1"/>
  <c r="AH127" i="1"/>
  <c r="L127" i="1"/>
  <c r="J127" i="1"/>
  <c r="K127" i="1" s="1"/>
  <c r="N169" i="47"/>
  <c r="BQ126" i="1"/>
  <c r="BL126" i="1"/>
  <c r="BJ126" i="1"/>
  <c r="BI126" i="1"/>
  <c r="BA126" i="1"/>
  <c r="AW126" i="1"/>
  <c r="AU126" i="1"/>
  <c r="AV126" i="1" s="1"/>
  <c r="AI126" i="1"/>
  <c r="AH126" i="1"/>
  <c r="L126" i="1"/>
  <c r="J126" i="1"/>
  <c r="K126" i="1" s="1"/>
  <c r="N160" i="47"/>
  <c r="BQ125" i="1"/>
  <c r="BL125" i="1"/>
  <c r="BJ125" i="1"/>
  <c r="BI125" i="1"/>
  <c r="BA125" i="1"/>
  <c r="BB125" i="1" s="1"/>
  <c r="BC125" i="1" s="1"/>
  <c r="BD125" i="1" s="1"/>
  <c r="BE125" i="1" s="1"/>
  <c r="AW125" i="1"/>
  <c r="AU125" i="1"/>
  <c r="AV125" i="1" s="1"/>
  <c r="AI125" i="1"/>
  <c r="AH125" i="1"/>
  <c r="L125" i="1"/>
  <c r="J125" i="1"/>
  <c r="K125" i="1" s="1"/>
  <c r="N159" i="47"/>
  <c r="BQ124" i="1"/>
  <c r="BL124" i="1"/>
  <c r="BJ124" i="1"/>
  <c r="BI124" i="1"/>
  <c r="BA124" i="1"/>
  <c r="AW124" i="1"/>
  <c r="AU124" i="1"/>
  <c r="AV124" i="1" s="1"/>
  <c r="AI124" i="1"/>
  <c r="AH124" i="1"/>
  <c r="L124" i="1"/>
  <c r="J124" i="1"/>
  <c r="K124" i="1" s="1"/>
  <c r="N153" i="47"/>
  <c r="BQ123" i="1"/>
  <c r="BL123" i="1"/>
  <c r="BJ123" i="1"/>
  <c r="BI123" i="1"/>
  <c r="BA123" i="1"/>
  <c r="BB123" i="1" s="1"/>
  <c r="BC123" i="1" s="1"/>
  <c r="BD123" i="1" s="1"/>
  <c r="BE123" i="1" s="1"/>
  <c r="AW123" i="1"/>
  <c r="AU123" i="1"/>
  <c r="AV123" i="1" s="1"/>
  <c r="AI123" i="1"/>
  <c r="AH123" i="1"/>
  <c r="L123" i="1"/>
  <c r="J123" i="1"/>
  <c r="K123" i="1" s="1"/>
  <c r="N149" i="47"/>
  <c r="BQ122" i="1"/>
  <c r="BL122" i="1"/>
  <c r="BJ122" i="1"/>
  <c r="BI122" i="1"/>
  <c r="BA122" i="1"/>
  <c r="BB122" i="1" s="1"/>
  <c r="BC122" i="1" s="1"/>
  <c r="BD122" i="1" s="1"/>
  <c r="BE122" i="1" s="1"/>
  <c r="AW122" i="1"/>
  <c r="AU122" i="1"/>
  <c r="AV122" i="1" s="1"/>
  <c r="AI122" i="1"/>
  <c r="AH122" i="1"/>
  <c r="L122" i="1"/>
  <c r="J122" i="1"/>
  <c r="N143" i="47"/>
  <c r="BQ121" i="1"/>
  <c r="BL121" i="1"/>
  <c r="BJ121" i="1"/>
  <c r="BI121" i="1"/>
  <c r="BA121" i="1"/>
  <c r="AW121" i="1"/>
  <c r="AU121" i="1"/>
  <c r="AV121" i="1" s="1"/>
  <c r="AI121" i="1"/>
  <c r="AH121" i="1"/>
  <c r="L121" i="1"/>
  <c r="J121" i="1"/>
  <c r="K121" i="1" s="1"/>
  <c r="N142" i="47"/>
  <c r="BQ120" i="1"/>
  <c r="BL120" i="1"/>
  <c r="BJ120" i="1"/>
  <c r="BI120" i="1"/>
  <c r="BA120" i="1"/>
  <c r="AW120" i="1"/>
  <c r="AU120" i="1"/>
  <c r="AV120" i="1" s="1"/>
  <c r="AI120" i="1"/>
  <c r="AH120" i="1"/>
  <c r="L120" i="1"/>
  <c r="J120" i="1"/>
  <c r="K120" i="1" s="1"/>
  <c r="N122" i="47"/>
  <c r="BQ119" i="1"/>
  <c r="BL119" i="1"/>
  <c r="BJ119" i="1"/>
  <c r="BI119" i="1"/>
  <c r="BA119" i="1"/>
  <c r="BB119" i="1" s="1"/>
  <c r="BC119" i="1" s="1"/>
  <c r="BD119" i="1" s="1"/>
  <c r="BE119" i="1" s="1"/>
  <c r="AW119" i="1"/>
  <c r="AU119" i="1"/>
  <c r="AV119" i="1" s="1"/>
  <c r="AI119" i="1"/>
  <c r="AH119" i="1"/>
  <c r="L119" i="1"/>
  <c r="J119" i="1"/>
  <c r="K119" i="1" s="1"/>
  <c r="N121" i="47"/>
  <c r="BQ118" i="1"/>
  <c r="BL118" i="1"/>
  <c r="BJ118" i="1"/>
  <c r="BI118" i="1"/>
  <c r="BA118" i="1"/>
  <c r="BB118" i="1" s="1"/>
  <c r="BC118" i="1" s="1"/>
  <c r="BD118" i="1" s="1"/>
  <c r="BE118" i="1" s="1"/>
  <c r="AW118" i="1"/>
  <c r="AU118" i="1"/>
  <c r="AV118" i="1" s="1"/>
  <c r="AI118" i="1"/>
  <c r="AH118" i="1"/>
  <c r="L118" i="1"/>
  <c r="J118" i="1"/>
  <c r="K118" i="1" s="1"/>
  <c r="N120" i="47"/>
  <c r="BQ117" i="1"/>
  <c r="BL117" i="1"/>
  <c r="BJ117" i="1"/>
  <c r="BI117" i="1"/>
  <c r="BA117" i="1"/>
  <c r="AW117" i="1"/>
  <c r="AU117" i="1"/>
  <c r="AV117" i="1" s="1"/>
  <c r="AI117" i="1"/>
  <c r="AH117" i="1"/>
  <c r="L117" i="1"/>
  <c r="J117" i="1"/>
  <c r="K117" i="1" s="1"/>
  <c r="N118" i="47"/>
  <c r="BQ116" i="1"/>
  <c r="BL116" i="1"/>
  <c r="BJ116" i="1"/>
  <c r="BI116" i="1"/>
  <c r="BA116" i="1"/>
  <c r="BB116" i="1" s="1"/>
  <c r="BC116" i="1" s="1"/>
  <c r="BD116" i="1" s="1"/>
  <c r="BE116" i="1" s="1"/>
  <c r="AW116" i="1"/>
  <c r="AU116" i="1"/>
  <c r="AV116" i="1" s="1"/>
  <c r="AI116" i="1"/>
  <c r="AH116" i="1"/>
  <c r="L116" i="1"/>
  <c r="J116" i="1"/>
  <c r="K116" i="1" s="1"/>
  <c r="N117" i="47"/>
  <c r="BQ115" i="1"/>
  <c r="BL115" i="1"/>
  <c r="BJ115" i="1"/>
  <c r="BI115" i="1"/>
  <c r="BA115" i="1"/>
  <c r="BB115" i="1" s="1"/>
  <c r="BC115" i="1" s="1"/>
  <c r="BD115" i="1" s="1"/>
  <c r="BE115" i="1" s="1"/>
  <c r="AW115" i="1"/>
  <c r="AU115" i="1"/>
  <c r="AV115" i="1" s="1"/>
  <c r="AI115" i="1"/>
  <c r="AH115" i="1"/>
  <c r="L115" i="1"/>
  <c r="J115" i="1"/>
  <c r="K115" i="1" s="1"/>
  <c r="N116" i="47"/>
  <c r="BQ114" i="1"/>
  <c r="BL114" i="1"/>
  <c r="BJ114" i="1"/>
  <c r="BI114" i="1"/>
  <c r="BA114" i="1"/>
  <c r="AW114" i="1"/>
  <c r="AU114" i="1"/>
  <c r="AV114" i="1" s="1"/>
  <c r="AI114" i="1"/>
  <c r="AH114" i="1"/>
  <c r="L114" i="1"/>
  <c r="J114" i="1"/>
  <c r="K114" i="1" s="1"/>
  <c r="N115" i="47"/>
  <c r="BQ113" i="1"/>
  <c r="BL113" i="1"/>
  <c r="BJ113" i="1"/>
  <c r="BI113" i="1"/>
  <c r="BA113" i="1"/>
  <c r="BB113" i="1" s="1"/>
  <c r="BC113" i="1" s="1"/>
  <c r="BD113" i="1" s="1"/>
  <c r="BE113" i="1" s="1"/>
  <c r="AW113" i="1"/>
  <c r="AU113" i="1"/>
  <c r="AV113" i="1" s="1"/>
  <c r="AI113" i="1"/>
  <c r="AH113" i="1"/>
  <c r="L113" i="1"/>
  <c r="J113" i="1"/>
  <c r="K113" i="1" s="1"/>
  <c r="N114" i="47"/>
  <c r="BQ112" i="1"/>
  <c r="BL112" i="1"/>
  <c r="BJ112" i="1"/>
  <c r="BI112" i="1"/>
  <c r="BA112" i="1"/>
  <c r="AW112" i="1"/>
  <c r="AU112" i="1"/>
  <c r="AV112" i="1" s="1"/>
  <c r="AI112" i="1"/>
  <c r="AH112" i="1"/>
  <c r="L112" i="1"/>
  <c r="J112" i="1"/>
  <c r="K112" i="1" s="1"/>
  <c r="N113" i="47"/>
  <c r="BQ111" i="1"/>
  <c r="BL111" i="1"/>
  <c r="BJ111" i="1"/>
  <c r="BI111" i="1"/>
  <c r="BA111" i="1"/>
  <c r="BB111" i="1" s="1"/>
  <c r="BC111" i="1" s="1"/>
  <c r="BD111" i="1" s="1"/>
  <c r="BE111" i="1" s="1"/>
  <c r="AW111" i="1"/>
  <c r="AU111" i="1"/>
  <c r="AV111" i="1" s="1"/>
  <c r="AI111" i="1"/>
  <c r="AH111" i="1"/>
  <c r="L111" i="1"/>
  <c r="J111" i="1"/>
  <c r="K111" i="1" s="1"/>
  <c r="N88" i="47"/>
  <c r="BQ110" i="1"/>
  <c r="BL110" i="1"/>
  <c r="BJ110" i="1"/>
  <c r="BI110" i="1"/>
  <c r="BA110" i="1"/>
  <c r="BB110" i="1" s="1"/>
  <c r="BC110" i="1" s="1"/>
  <c r="BD110" i="1" s="1"/>
  <c r="BE110" i="1" s="1"/>
  <c r="AW110" i="1"/>
  <c r="AU110" i="1"/>
  <c r="AV110" i="1" s="1"/>
  <c r="AI110" i="1"/>
  <c r="AH110" i="1"/>
  <c r="L110" i="1"/>
  <c r="J110" i="1"/>
  <c r="K110" i="1" s="1"/>
  <c r="N87" i="47"/>
  <c r="BQ109" i="1"/>
  <c r="BL109" i="1"/>
  <c r="BJ109" i="1"/>
  <c r="BI109" i="1"/>
  <c r="BA109" i="1"/>
  <c r="AW109" i="1"/>
  <c r="AU109" i="1"/>
  <c r="AV109" i="1" s="1"/>
  <c r="AI109" i="1"/>
  <c r="AH109" i="1"/>
  <c r="L109" i="1"/>
  <c r="J109" i="1"/>
  <c r="K109" i="1" s="1"/>
  <c r="N158" i="47"/>
  <c r="BQ108" i="1"/>
  <c r="BL108" i="1"/>
  <c r="BJ108" i="1"/>
  <c r="BI108" i="1"/>
  <c r="BA108" i="1"/>
  <c r="AW108" i="1"/>
  <c r="AU108" i="1"/>
  <c r="AV108" i="1" s="1"/>
  <c r="AI108" i="1"/>
  <c r="AH108" i="1"/>
  <c r="L108" i="1"/>
  <c r="J108" i="1"/>
  <c r="K108" i="1" s="1"/>
  <c r="N157" i="47"/>
  <c r="BQ107" i="1"/>
  <c r="BL107" i="1"/>
  <c r="BJ107" i="1"/>
  <c r="BI107" i="1"/>
  <c r="BA107" i="1"/>
  <c r="BB107" i="1" s="1"/>
  <c r="BC107" i="1" s="1"/>
  <c r="BD107" i="1" s="1"/>
  <c r="BE107" i="1" s="1"/>
  <c r="AW107" i="1"/>
  <c r="AU107" i="1"/>
  <c r="AV107" i="1" s="1"/>
  <c r="AI107" i="1"/>
  <c r="AH107" i="1"/>
  <c r="L107" i="1"/>
  <c r="J107" i="1"/>
  <c r="K107" i="1" s="1"/>
  <c r="N156" i="47"/>
  <c r="BQ106" i="1"/>
  <c r="BL106" i="1"/>
  <c r="BJ106" i="1"/>
  <c r="BI106" i="1"/>
  <c r="BA106" i="1"/>
  <c r="AW106" i="1"/>
  <c r="AU106" i="1"/>
  <c r="AV106" i="1" s="1"/>
  <c r="AI106" i="1"/>
  <c r="AH106" i="1"/>
  <c r="L106" i="1"/>
  <c r="J106" i="1"/>
  <c r="K106" i="1" s="1"/>
  <c r="N107" i="47"/>
  <c r="BQ105" i="1"/>
  <c r="BL105" i="1"/>
  <c r="BJ105" i="1"/>
  <c r="BI105" i="1"/>
  <c r="BA105" i="1"/>
  <c r="BB105" i="1" s="1"/>
  <c r="BC105" i="1" s="1"/>
  <c r="BD105" i="1" s="1"/>
  <c r="BE105" i="1" s="1"/>
  <c r="AW105" i="1"/>
  <c r="AU105" i="1"/>
  <c r="AV105" i="1" s="1"/>
  <c r="AI105" i="1"/>
  <c r="AH105" i="1"/>
  <c r="L105" i="1"/>
  <c r="J105" i="1"/>
  <c r="K105" i="1" s="1"/>
  <c r="N83" i="47"/>
  <c r="BQ104" i="1"/>
  <c r="BL104" i="1"/>
  <c r="BJ104" i="1"/>
  <c r="BI104" i="1"/>
  <c r="BA104" i="1"/>
  <c r="BB104" i="1" s="1"/>
  <c r="BC104" i="1" s="1"/>
  <c r="BD104" i="1" s="1"/>
  <c r="BE104" i="1" s="1"/>
  <c r="AW104" i="1"/>
  <c r="AU104" i="1"/>
  <c r="AV104" i="1" s="1"/>
  <c r="AI104" i="1"/>
  <c r="AH104" i="1"/>
  <c r="L104" i="1"/>
  <c r="J104" i="1"/>
  <c r="K104" i="1" s="1"/>
  <c r="N110" i="47"/>
  <c r="BQ103" i="1"/>
  <c r="BL103" i="1"/>
  <c r="BJ103" i="1"/>
  <c r="BI103" i="1"/>
  <c r="BA103" i="1"/>
  <c r="BB103" i="1" s="1"/>
  <c r="BC103" i="1" s="1"/>
  <c r="BD103" i="1" s="1"/>
  <c r="BE103" i="1" s="1"/>
  <c r="AW103" i="1"/>
  <c r="AU103" i="1"/>
  <c r="AV103" i="1" s="1"/>
  <c r="AI103" i="1"/>
  <c r="AH103" i="1"/>
  <c r="L103" i="1"/>
  <c r="J103" i="1"/>
  <c r="K103" i="1" s="1"/>
  <c r="N109" i="47"/>
  <c r="BQ102" i="1"/>
  <c r="BL102" i="1"/>
  <c r="BJ102" i="1"/>
  <c r="BI102" i="1"/>
  <c r="BA102" i="1"/>
  <c r="AW102" i="1"/>
  <c r="AU102" i="1"/>
  <c r="AV102" i="1" s="1"/>
  <c r="AI102" i="1"/>
  <c r="AH102" i="1"/>
  <c r="L102" i="1"/>
  <c r="J102" i="1"/>
  <c r="K102" i="1" s="1"/>
  <c r="N106" i="47"/>
  <c r="BQ101" i="1"/>
  <c r="BL101" i="1"/>
  <c r="BJ101" i="1"/>
  <c r="BI101" i="1"/>
  <c r="BA101" i="1"/>
  <c r="BB101" i="1" s="1"/>
  <c r="BC101" i="1" s="1"/>
  <c r="BD101" i="1" s="1"/>
  <c r="BE101" i="1" s="1"/>
  <c r="AW101" i="1"/>
  <c r="AU101" i="1"/>
  <c r="AV101" i="1" s="1"/>
  <c r="AI101" i="1"/>
  <c r="AH101" i="1"/>
  <c r="L101" i="1"/>
  <c r="J101" i="1"/>
  <c r="K101" i="1" s="1"/>
  <c r="N105" i="47"/>
  <c r="BQ100" i="1"/>
  <c r="BL100" i="1"/>
  <c r="BJ100" i="1"/>
  <c r="BI100" i="1"/>
  <c r="BA100" i="1"/>
  <c r="BB100" i="1" s="1"/>
  <c r="BC100" i="1" s="1"/>
  <c r="BD100" i="1" s="1"/>
  <c r="BE100" i="1" s="1"/>
  <c r="AW100" i="1"/>
  <c r="AU100" i="1"/>
  <c r="AV100" i="1" s="1"/>
  <c r="AI100" i="1"/>
  <c r="AH100" i="1"/>
  <c r="L100" i="1"/>
  <c r="J100" i="1"/>
  <c r="K100" i="1" s="1"/>
  <c r="N104" i="47"/>
  <c r="BQ99" i="1"/>
  <c r="BL99" i="1"/>
  <c r="BJ99" i="1"/>
  <c r="BI99" i="1"/>
  <c r="BA99" i="1"/>
  <c r="BB99" i="1" s="1"/>
  <c r="BC99" i="1" s="1"/>
  <c r="BD99" i="1" s="1"/>
  <c r="BE99" i="1" s="1"/>
  <c r="AW99" i="1"/>
  <c r="AU99" i="1"/>
  <c r="AV99" i="1" s="1"/>
  <c r="AI99" i="1"/>
  <c r="AH99" i="1"/>
  <c r="L99" i="1"/>
  <c r="J99" i="1"/>
  <c r="K99" i="1" s="1"/>
  <c r="N103" i="47"/>
  <c r="BQ98" i="1"/>
  <c r="BL98" i="1"/>
  <c r="BJ98" i="1"/>
  <c r="BI98" i="1"/>
  <c r="BA98" i="1"/>
  <c r="BB98" i="1" s="1"/>
  <c r="BC98" i="1" s="1"/>
  <c r="BD98" i="1" s="1"/>
  <c r="BE98" i="1" s="1"/>
  <c r="AW98" i="1"/>
  <c r="AU98" i="1"/>
  <c r="AV98" i="1" s="1"/>
  <c r="AI98" i="1"/>
  <c r="AH98" i="1"/>
  <c r="L98" i="1"/>
  <c r="J98" i="1"/>
  <c r="K98" i="1" s="1"/>
  <c r="N74" i="47"/>
  <c r="BQ97" i="1"/>
  <c r="BL97" i="1"/>
  <c r="BJ97" i="1"/>
  <c r="BI97" i="1"/>
  <c r="BC97" i="1"/>
  <c r="BD97" i="1" s="1"/>
  <c r="BE97" i="1" s="1"/>
  <c r="BA97" i="1"/>
  <c r="BB97" i="1" s="1"/>
  <c r="AW97" i="1"/>
  <c r="AU97" i="1"/>
  <c r="AV97" i="1" s="1"/>
  <c r="AI97" i="1"/>
  <c r="AH97" i="1"/>
  <c r="L97" i="1"/>
  <c r="J97" i="1"/>
  <c r="K97" i="1" s="1"/>
  <c r="N102" i="47"/>
  <c r="BQ96" i="1"/>
  <c r="BL96" i="1"/>
  <c r="BJ96" i="1"/>
  <c r="BI96" i="1"/>
  <c r="BA96" i="1"/>
  <c r="BB96" i="1" s="1"/>
  <c r="BC96" i="1" s="1"/>
  <c r="BD96" i="1" s="1"/>
  <c r="BE96" i="1" s="1"/>
  <c r="AW96" i="1"/>
  <c r="AU96" i="1"/>
  <c r="AV96" i="1" s="1"/>
  <c r="AI96" i="1"/>
  <c r="AH96" i="1"/>
  <c r="L96" i="1"/>
  <c r="J96" i="1"/>
  <c r="K96" i="1" s="1"/>
  <c r="N101" i="47"/>
  <c r="BQ95" i="1"/>
  <c r="BL95" i="1"/>
  <c r="BJ95" i="1"/>
  <c r="BI95" i="1"/>
  <c r="BA95" i="1"/>
  <c r="BB95" i="1" s="1"/>
  <c r="BC95" i="1" s="1"/>
  <c r="BD95" i="1" s="1"/>
  <c r="BE95" i="1" s="1"/>
  <c r="AW95" i="1"/>
  <c r="AU95" i="1"/>
  <c r="AV95" i="1" s="1"/>
  <c r="AI95" i="1"/>
  <c r="AH95" i="1"/>
  <c r="L95" i="1"/>
  <c r="J95" i="1"/>
  <c r="K95" i="1" s="1"/>
  <c r="N73" i="47"/>
  <c r="BQ94" i="1"/>
  <c r="BL94" i="1"/>
  <c r="BJ94" i="1"/>
  <c r="BI94" i="1"/>
  <c r="BA94" i="1"/>
  <c r="AW94" i="1"/>
  <c r="AU94" i="1"/>
  <c r="AV94" i="1" s="1"/>
  <c r="AI94" i="1"/>
  <c r="AH94" i="1"/>
  <c r="L94" i="1"/>
  <c r="J94" i="1"/>
  <c r="K94" i="1" s="1"/>
  <c r="N100" i="47"/>
  <c r="BQ93" i="1"/>
  <c r="BL93" i="1"/>
  <c r="BJ93" i="1"/>
  <c r="BI93" i="1"/>
  <c r="BA93" i="1"/>
  <c r="AW93" i="1"/>
  <c r="AU93" i="1"/>
  <c r="AV93" i="1" s="1"/>
  <c r="AI93" i="1"/>
  <c r="AH93" i="1"/>
  <c r="L93" i="1"/>
  <c r="J93" i="1"/>
  <c r="K93" i="1" s="1"/>
  <c r="N99" i="47"/>
  <c r="BQ92" i="1"/>
  <c r="BL92" i="1"/>
  <c r="BJ92" i="1"/>
  <c r="BI92" i="1"/>
  <c r="BA92" i="1"/>
  <c r="BB92" i="1" s="1"/>
  <c r="BC92" i="1" s="1"/>
  <c r="BD92" i="1" s="1"/>
  <c r="BE92" i="1" s="1"/>
  <c r="AW92" i="1"/>
  <c r="AU92" i="1"/>
  <c r="AV92" i="1" s="1"/>
  <c r="AI92" i="1"/>
  <c r="AH92" i="1"/>
  <c r="L92" i="1"/>
  <c r="J92" i="1"/>
  <c r="K92" i="1" s="1"/>
  <c r="N72" i="47"/>
  <c r="BQ91" i="1"/>
  <c r="BL91" i="1"/>
  <c r="BJ91" i="1"/>
  <c r="BI91" i="1"/>
  <c r="BC91" i="1"/>
  <c r="BD91" i="1" s="1"/>
  <c r="BE91" i="1" s="1"/>
  <c r="BA91" i="1"/>
  <c r="AW91" i="1"/>
  <c r="AU91" i="1"/>
  <c r="AV91" i="1" s="1"/>
  <c r="AI91" i="1"/>
  <c r="AH91" i="1"/>
  <c r="L91" i="1"/>
  <c r="J91" i="1"/>
  <c r="K91" i="1" s="1"/>
  <c r="N71" i="47"/>
  <c r="BQ90" i="1"/>
  <c r="BL90" i="1"/>
  <c r="BJ90" i="1"/>
  <c r="BI90" i="1"/>
  <c r="BC90" i="1"/>
  <c r="BD90" i="1" s="1"/>
  <c r="BE90" i="1" s="1"/>
  <c r="BA90" i="1"/>
  <c r="AW90" i="1"/>
  <c r="AU90" i="1"/>
  <c r="AV90" i="1" s="1"/>
  <c r="AI90" i="1"/>
  <c r="AH90" i="1"/>
  <c r="L90" i="1"/>
  <c r="J90" i="1"/>
  <c r="K90" i="1" s="1"/>
  <c r="N98" i="47"/>
  <c r="BQ89" i="1"/>
  <c r="BL89" i="1"/>
  <c r="BJ89" i="1"/>
  <c r="BI89" i="1"/>
  <c r="BA89" i="1"/>
  <c r="AW89" i="1"/>
  <c r="AU89" i="1"/>
  <c r="AV89" i="1" s="1"/>
  <c r="AI89" i="1"/>
  <c r="AH89" i="1"/>
  <c r="L89" i="1"/>
  <c r="J89" i="1"/>
  <c r="K89" i="1" s="1"/>
  <c r="N97" i="47"/>
  <c r="BQ88" i="1"/>
  <c r="BL88" i="1"/>
  <c r="BJ88" i="1"/>
  <c r="BI88" i="1"/>
  <c r="BA88" i="1"/>
  <c r="BB88" i="1" s="1"/>
  <c r="BC88" i="1" s="1"/>
  <c r="BD88" i="1" s="1"/>
  <c r="BE88" i="1" s="1"/>
  <c r="AW88" i="1"/>
  <c r="AU88" i="1"/>
  <c r="AV88" i="1" s="1"/>
  <c r="AI88" i="1"/>
  <c r="AH88" i="1"/>
  <c r="L88" i="1"/>
  <c r="J88" i="1"/>
  <c r="K88" i="1" s="1"/>
  <c r="N95" i="47"/>
  <c r="BQ87" i="1"/>
  <c r="BL87" i="1"/>
  <c r="BJ87" i="1"/>
  <c r="BI87" i="1"/>
  <c r="BA87" i="1"/>
  <c r="BB87" i="1" s="1"/>
  <c r="BC87" i="1" s="1"/>
  <c r="BD87" i="1" s="1"/>
  <c r="BE87" i="1" s="1"/>
  <c r="AW87" i="1"/>
  <c r="AU87" i="1"/>
  <c r="AV87" i="1" s="1"/>
  <c r="AI87" i="1"/>
  <c r="AH87" i="1"/>
  <c r="L87" i="1"/>
  <c r="J87" i="1"/>
  <c r="K87" i="1" s="1"/>
  <c r="N94" i="47"/>
  <c r="BQ86" i="1"/>
  <c r="BL86" i="1"/>
  <c r="BJ86" i="1"/>
  <c r="BI86" i="1"/>
  <c r="BA86" i="1"/>
  <c r="BB86" i="1" s="1"/>
  <c r="BC86" i="1" s="1"/>
  <c r="BD86" i="1" s="1"/>
  <c r="BE86" i="1" s="1"/>
  <c r="AW86" i="1"/>
  <c r="AU86" i="1"/>
  <c r="AV86" i="1" s="1"/>
  <c r="AI86" i="1"/>
  <c r="AH86" i="1"/>
  <c r="L86" i="1"/>
  <c r="J86" i="1"/>
  <c r="K86" i="1" s="1"/>
  <c r="N92" i="47"/>
  <c r="BQ85" i="1"/>
  <c r="BL85" i="1"/>
  <c r="BJ85" i="1"/>
  <c r="BI85" i="1"/>
  <c r="BA85" i="1"/>
  <c r="BB85" i="1" s="1"/>
  <c r="BC85" i="1" s="1"/>
  <c r="BD85" i="1" s="1"/>
  <c r="BE85" i="1" s="1"/>
  <c r="AW85" i="1"/>
  <c r="AU85" i="1"/>
  <c r="AV85" i="1" s="1"/>
  <c r="AI85" i="1"/>
  <c r="AH85" i="1"/>
  <c r="L85" i="1"/>
  <c r="J85" i="1"/>
  <c r="K85" i="1" s="1"/>
  <c r="N91" i="47"/>
  <c r="BQ84" i="1"/>
  <c r="BL84" i="1"/>
  <c r="BJ84" i="1"/>
  <c r="BI84" i="1"/>
  <c r="BA84" i="1"/>
  <c r="BB84" i="1" s="1"/>
  <c r="BC84" i="1" s="1"/>
  <c r="BD84" i="1" s="1"/>
  <c r="BE84" i="1" s="1"/>
  <c r="AW84" i="1"/>
  <c r="AU84" i="1"/>
  <c r="AV84" i="1" s="1"/>
  <c r="AI84" i="1"/>
  <c r="AH84" i="1"/>
  <c r="L84" i="1"/>
  <c r="J84" i="1"/>
  <c r="K84" i="1" s="1"/>
  <c r="N90" i="47"/>
  <c r="BQ83" i="1"/>
  <c r="BL83" i="1"/>
  <c r="BJ83" i="1"/>
  <c r="BI83" i="1"/>
  <c r="BA83" i="1"/>
  <c r="BB83" i="1" s="1"/>
  <c r="BC83" i="1" s="1"/>
  <c r="BD83" i="1" s="1"/>
  <c r="BE83" i="1" s="1"/>
  <c r="AW83" i="1"/>
  <c r="AU83" i="1"/>
  <c r="AV83" i="1" s="1"/>
  <c r="AI83" i="1"/>
  <c r="AH83" i="1"/>
  <c r="L83" i="1"/>
  <c r="J83" i="1"/>
  <c r="K83" i="1" s="1"/>
  <c r="N86" i="47"/>
  <c r="BQ82" i="1"/>
  <c r="BL82" i="1"/>
  <c r="BJ82" i="1"/>
  <c r="BI82" i="1"/>
  <c r="BA82" i="1"/>
  <c r="AW82" i="1"/>
  <c r="AU82" i="1"/>
  <c r="AV82" i="1" s="1"/>
  <c r="AI82" i="1"/>
  <c r="AH82" i="1"/>
  <c r="L82" i="1"/>
  <c r="J82" i="1"/>
  <c r="K82" i="1" s="1"/>
  <c r="N85" i="47"/>
  <c r="BQ81" i="1"/>
  <c r="BL81" i="1"/>
  <c r="BJ81" i="1"/>
  <c r="BI81" i="1"/>
  <c r="BA81" i="1"/>
  <c r="AW81" i="1"/>
  <c r="AU81" i="1"/>
  <c r="AV81" i="1" s="1"/>
  <c r="AI81" i="1"/>
  <c r="AH81" i="1"/>
  <c r="L81" i="1"/>
  <c r="J81" i="1"/>
  <c r="K81" i="1" s="1"/>
  <c r="N70" i="47"/>
  <c r="BQ80" i="1"/>
  <c r="BL80" i="1"/>
  <c r="BJ80" i="1"/>
  <c r="BI80" i="1"/>
  <c r="BA80" i="1"/>
  <c r="BB80" i="1" s="1"/>
  <c r="BC80" i="1" s="1"/>
  <c r="BD80" i="1" s="1"/>
  <c r="BE80" i="1" s="1"/>
  <c r="AW80" i="1"/>
  <c r="AU80" i="1"/>
  <c r="AV80" i="1" s="1"/>
  <c r="AI80" i="1"/>
  <c r="AH80" i="1"/>
  <c r="L80" i="1"/>
  <c r="J80" i="1"/>
  <c r="K80" i="1" s="1"/>
  <c r="N69" i="47"/>
  <c r="BQ79" i="1"/>
  <c r="BL79" i="1"/>
  <c r="BJ79" i="1"/>
  <c r="BI79" i="1"/>
  <c r="BC79" i="1"/>
  <c r="BD79" i="1" s="1"/>
  <c r="BE79" i="1" s="1"/>
  <c r="BA79" i="1"/>
  <c r="BB79" i="1" s="1"/>
  <c r="AW79" i="1"/>
  <c r="AU79" i="1"/>
  <c r="AV79" i="1" s="1"/>
  <c r="AI79" i="1"/>
  <c r="AH79" i="1"/>
  <c r="L79" i="1"/>
  <c r="J79" i="1"/>
  <c r="K79" i="1" s="1"/>
  <c r="N68" i="47"/>
  <c r="BQ78" i="1"/>
  <c r="BL78" i="1"/>
  <c r="BJ78" i="1"/>
  <c r="BI78" i="1"/>
  <c r="BA78" i="1"/>
  <c r="BB78" i="1" s="1"/>
  <c r="BC78" i="1" s="1"/>
  <c r="BD78" i="1" s="1"/>
  <c r="BE78" i="1" s="1"/>
  <c r="AW78" i="1"/>
  <c r="AU78" i="1"/>
  <c r="AV78" i="1" s="1"/>
  <c r="AI78" i="1"/>
  <c r="AH78" i="1"/>
  <c r="L78" i="1"/>
  <c r="J78" i="1"/>
  <c r="K78" i="1" s="1"/>
  <c r="N67" i="47"/>
  <c r="BQ77" i="1"/>
  <c r="BL77" i="1"/>
  <c r="BJ77" i="1"/>
  <c r="BI77" i="1"/>
  <c r="BA77" i="1"/>
  <c r="AW77" i="1"/>
  <c r="AU77" i="1"/>
  <c r="AV77" i="1" s="1"/>
  <c r="AI77" i="1"/>
  <c r="AH77" i="1"/>
  <c r="L77" i="1"/>
  <c r="J77" i="1"/>
  <c r="K77" i="1" s="1"/>
  <c r="N66" i="47"/>
  <c r="BQ76" i="1"/>
  <c r="BL76" i="1"/>
  <c r="BJ76" i="1"/>
  <c r="BI76" i="1"/>
  <c r="BA76" i="1"/>
  <c r="BB76" i="1" s="1"/>
  <c r="BC76" i="1" s="1"/>
  <c r="BD76" i="1" s="1"/>
  <c r="BE76" i="1" s="1"/>
  <c r="AW76" i="1"/>
  <c r="AU76" i="1"/>
  <c r="AV76" i="1" s="1"/>
  <c r="AI76" i="1"/>
  <c r="AH76" i="1"/>
  <c r="L76" i="1"/>
  <c r="J76" i="1"/>
  <c r="K76" i="1" s="1"/>
  <c r="BQ75" i="1"/>
  <c r="BL75" i="1"/>
  <c r="BJ75" i="1"/>
  <c r="BI75" i="1"/>
  <c r="BA75" i="1"/>
  <c r="BB75" i="1" s="1"/>
  <c r="BC75" i="1" s="1"/>
  <c r="BD75" i="1" s="1"/>
  <c r="BE75" i="1" s="1"/>
  <c r="AW75" i="1"/>
  <c r="AU75" i="1"/>
  <c r="AV75" i="1" s="1"/>
  <c r="AI75" i="1"/>
  <c r="AH75" i="1"/>
  <c r="L75" i="1"/>
  <c r="J75" i="1"/>
  <c r="K75" i="1" s="1"/>
  <c r="N64" i="47"/>
  <c r="BQ74" i="1"/>
  <c r="BL74" i="1"/>
  <c r="BJ74" i="1"/>
  <c r="BI74" i="1"/>
  <c r="BA74" i="1"/>
  <c r="BB74" i="1" s="1"/>
  <c r="BC74" i="1" s="1"/>
  <c r="BD74" i="1" s="1"/>
  <c r="BE74" i="1" s="1"/>
  <c r="AW74" i="1"/>
  <c r="AU74" i="1"/>
  <c r="AV74" i="1" s="1"/>
  <c r="AI74" i="1"/>
  <c r="AH74" i="1"/>
  <c r="L74" i="1"/>
  <c r="J74" i="1"/>
  <c r="K74" i="1" s="1"/>
  <c r="N63" i="47"/>
  <c r="BQ73" i="1"/>
  <c r="BL73" i="1"/>
  <c r="BJ73" i="1"/>
  <c r="BI73" i="1"/>
  <c r="BA73" i="1"/>
  <c r="BB73" i="1" s="1"/>
  <c r="BC73" i="1" s="1"/>
  <c r="BD73" i="1" s="1"/>
  <c r="BE73" i="1" s="1"/>
  <c r="AW73" i="1"/>
  <c r="AU73" i="1"/>
  <c r="AV73" i="1" s="1"/>
  <c r="AI73" i="1"/>
  <c r="AH73" i="1"/>
  <c r="L73" i="1"/>
  <c r="J73" i="1"/>
  <c r="K73" i="1" s="1"/>
  <c r="N62" i="47"/>
  <c r="BQ72" i="1"/>
  <c r="BL72" i="1"/>
  <c r="BJ72" i="1"/>
  <c r="BI72" i="1"/>
  <c r="BA72" i="1"/>
  <c r="BB72" i="1" s="1"/>
  <c r="BC72" i="1" s="1"/>
  <c r="BD72" i="1" s="1"/>
  <c r="BE72" i="1" s="1"/>
  <c r="AW72" i="1"/>
  <c r="AU72" i="1"/>
  <c r="AV72" i="1" s="1"/>
  <c r="AI72" i="1"/>
  <c r="AH72" i="1"/>
  <c r="L72" i="1"/>
  <c r="J72" i="1"/>
  <c r="K72" i="1" s="1"/>
  <c r="N61" i="47"/>
  <c r="BQ71" i="1"/>
  <c r="BL71" i="1"/>
  <c r="BJ71" i="1"/>
  <c r="BI71" i="1"/>
  <c r="BA71" i="1"/>
  <c r="BB71" i="1" s="1"/>
  <c r="BC71" i="1" s="1"/>
  <c r="BD71" i="1" s="1"/>
  <c r="BE71" i="1" s="1"/>
  <c r="AW71" i="1"/>
  <c r="AU71" i="1"/>
  <c r="AV71" i="1" s="1"/>
  <c r="AI71" i="1"/>
  <c r="AH71" i="1"/>
  <c r="L71" i="1"/>
  <c r="J71" i="1"/>
  <c r="K71" i="1" s="1"/>
  <c r="N60" i="47"/>
  <c r="BQ70" i="1"/>
  <c r="BL70" i="1"/>
  <c r="BJ70" i="1"/>
  <c r="BI70" i="1"/>
  <c r="BA70" i="1"/>
  <c r="BB70" i="1" s="1"/>
  <c r="BC70" i="1" s="1"/>
  <c r="BD70" i="1" s="1"/>
  <c r="BE70" i="1" s="1"/>
  <c r="AW70" i="1"/>
  <c r="AU70" i="1"/>
  <c r="AV70" i="1" s="1"/>
  <c r="AI70" i="1"/>
  <c r="AH70" i="1"/>
  <c r="L70" i="1"/>
  <c r="J70" i="1"/>
  <c r="K70" i="1" s="1"/>
  <c r="BQ69" i="1"/>
  <c r="BL69" i="1"/>
  <c r="BJ69" i="1"/>
  <c r="BI69" i="1"/>
  <c r="BA69" i="1"/>
  <c r="BB69" i="1" s="1"/>
  <c r="BC69" i="1" s="1"/>
  <c r="BD69" i="1" s="1"/>
  <c r="BE69" i="1" s="1"/>
  <c r="AW69" i="1"/>
  <c r="AU69" i="1"/>
  <c r="AV69" i="1" s="1"/>
  <c r="AI69" i="1"/>
  <c r="AH69" i="1"/>
  <c r="L69" i="1"/>
  <c r="J69" i="1"/>
  <c r="N58" i="47"/>
  <c r="BQ68" i="1"/>
  <c r="BL68" i="1"/>
  <c r="BJ68" i="1"/>
  <c r="BI68" i="1"/>
  <c r="BA68" i="1"/>
  <c r="AW68" i="1"/>
  <c r="AU68" i="1"/>
  <c r="AV68" i="1" s="1"/>
  <c r="AI68" i="1"/>
  <c r="AH68" i="1"/>
  <c r="L68" i="1"/>
  <c r="J68" i="1"/>
  <c r="K68" i="1" s="1"/>
  <c r="BL67" i="1"/>
  <c r="BL66" i="1"/>
  <c r="AJ66" i="1"/>
  <c r="N55" i="47"/>
  <c r="BQ65" i="1"/>
  <c r="BL65" i="1"/>
  <c r="BJ65" i="1"/>
  <c r="BI65" i="1"/>
  <c r="BA65" i="1"/>
  <c r="AW65" i="1"/>
  <c r="AU65" i="1"/>
  <c r="AV65" i="1" s="1"/>
  <c r="AI65" i="1"/>
  <c r="AH65" i="1"/>
  <c r="L65" i="1"/>
  <c r="J65" i="1"/>
  <c r="K65" i="1" s="1"/>
  <c r="N54" i="47"/>
  <c r="BQ64" i="1"/>
  <c r="BL64" i="1"/>
  <c r="BJ64" i="1"/>
  <c r="BI64" i="1"/>
  <c r="BA64" i="1"/>
  <c r="AW64" i="1"/>
  <c r="AU64" i="1"/>
  <c r="AV64" i="1" s="1"/>
  <c r="AI64" i="1"/>
  <c r="AH64" i="1"/>
  <c r="L64" i="1"/>
  <c r="J64" i="1"/>
  <c r="K64" i="1" s="1"/>
  <c r="N53" i="47"/>
  <c r="BQ63" i="1"/>
  <c r="BL63" i="1"/>
  <c r="BJ63" i="1"/>
  <c r="BI63" i="1"/>
  <c r="BA63" i="1"/>
  <c r="AW63" i="1"/>
  <c r="AU63" i="1"/>
  <c r="AV63" i="1" s="1"/>
  <c r="AI63" i="1"/>
  <c r="AH63" i="1"/>
  <c r="L63" i="1"/>
  <c r="J63" i="1"/>
  <c r="K63" i="1" s="1"/>
  <c r="N52" i="47"/>
  <c r="BQ62" i="1"/>
  <c r="BL62" i="1"/>
  <c r="BJ62" i="1"/>
  <c r="BI62" i="1"/>
  <c r="BA62" i="1"/>
  <c r="BB62" i="1" s="1"/>
  <c r="BC62" i="1" s="1"/>
  <c r="BD62" i="1" s="1"/>
  <c r="BE62" i="1" s="1"/>
  <c r="AW62" i="1"/>
  <c r="AU62" i="1"/>
  <c r="AV62" i="1" s="1"/>
  <c r="AI62" i="1"/>
  <c r="AH62" i="1"/>
  <c r="L62" i="1"/>
  <c r="J62" i="1"/>
  <c r="K62" i="1" s="1"/>
  <c r="N51" i="47"/>
  <c r="BQ61" i="1"/>
  <c r="BL61" i="1"/>
  <c r="BJ61" i="1"/>
  <c r="BI61" i="1"/>
  <c r="BA61" i="1"/>
  <c r="BB61" i="1" s="1"/>
  <c r="BC61" i="1" s="1"/>
  <c r="BD61" i="1" s="1"/>
  <c r="BE61" i="1" s="1"/>
  <c r="AW61" i="1"/>
  <c r="AU61" i="1"/>
  <c r="AV61" i="1" s="1"/>
  <c r="AI61" i="1"/>
  <c r="AH61" i="1"/>
  <c r="L61" i="1"/>
  <c r="J61" i="1"/>
  <c r="K61" i="1" s="1"/>
  <c r="N50" i="47"/>
  <c r="BQ60" i="1"/>
  <c r="BL60" i="1"/>
  <c r="BJ60" i="1"/>
  <c r="BI60" i="1"/>
  <c r="BA60" i="1"/>
  <c r="BB60" i="1" s="1"/>
  <c r="BC60" i="1" s="1"/>
  <c r="BD60" i="1" s="1"/>
  <c r="BE60" i="1" s="1"/>
  <c r="AW60" i="1"/>
  <c r="AU60" i="1"/>
  <c r="AV60" i="1" s="1"/>
  <c r="AI60" i="1"/>
  <c r="AH60" i="1"/>
  <c r="L60" i="1"/>
  <c r="J60" i="1"/>
  <c r="K60" i="1" s="1"/>
  <c r="N49" i="47"/>
  <c r="BQ59" i="1"/>
  <c r="BL59" i="1"/>
  <c r="BJ59" i="1"/>
  <c r="BI59" i="1"/>
  <c r="BC59" i="1"/>
  <c r="BD59" i="1" s="1"/>
  <c r="BE59" i="1" s="1"/>
  <c r="BA59" i="1"/>
  <c r="BB59" i="1" s="1"/>
  <c r="AW59" i="1"/>
  <c r="AU59" i="1"/>
  <c r="AV59" i="1" s="1"/>
  <c r="AI59" i="1"/>
  <c r="AH59" i="1"/>
  <c r="L59" i="1"/>
  <c r="J59" i="1"/>
  <c r="K59" i="1" s="1"/>
  <c r="N48" i="47"/>
  <c r="BQ58" i="1"/>
  <c r="BL58" i="1"/>
  <c r="BJ58" i="1"/>
  <c r="BI58" i="1"/>
  <c r="BA58" i="1"/>
  <c r="AW58" i="1"/>
  <c r="AU58" i="1"/>
  <c r="AV58" i="1" s="1"/>
  <c r="AI58" i="1"/>
  <c r="AH58" i="1"/>
  <c r="L58" i="1"/>
  <c r="J58" i="1"/>
  <c r="K58" i="1" s="1"/>
  <c r="N47" i="47"/>
  <c r="BQ57" i="1"/>
  <c r="BL57" i="1"/>
  <c r="BJ57" i="1"/>
  <c r="BI57" i="1"/>
  <c r="BC57" i="1"/>
  <c r="BD57" i="1" s="1"/>
  <c r="BE57" i="1" s="1"/>
  <c r="BA57" i="1"/>
  <c r="AW57" i="1"/>
  <c r="AU57" i="1"/>
  <c r="AV57" i="1" s="1"/>
  <c r="AI57" i="1"/>
  <c r="AH57" i="1"/>
  <c r="L57" i="1"/>
  <c r="J57" i="1"/>
  <c r="K57" i="1" s="1"/>
  <c r="N46" i="47"/>
  <c r="BQ56" i="1"/>
  <c r="BL56" i="1"/>
  <c r="BA56" i="1"/>
  <c r="AW56" i="1"/>
  <c r="AU56" i="1"/>
  <c r="AV56" i="1" s="1"/>
  <c r="AI56" i="1"/>
  <c r="AH56" i="1"/>
  <c r="L56" i="1"/>
  <c r="J56" i="1"/>
  <c r="K56" i="1" s="1"/>
  <c r="N45" i="47"/>
  <c r="BQ55" i="1"/>
  <c r="BL55" i="1"/>
  <c r="BJ55" i="1"/>
  <c r="BI55" i="1"/>
  <c r="BA55" i="1"/>
  <c r="AW55" i="1"/>
  <c r="AU55" i="1"/>
  <c r="AV55" i="1" s="1"/>
  <c r="AI55" i="1"/>
  <c r="AH55" i="1"/>
  <c r="L55" i="1"/>
  <c r="J55" i="1"/>
  <c r="K55" i="1" s="1"/>
  <c r="BQ54" i="1"/>
  <c r="BL54" i="1"/>
  <c r="BJ54" i="1"/>
  <c r="BI54" i="1"/>
  <c r="BA54" i="1"/>
  <c r="AW54" i="1"/>
  <c r="AU54" i="1"/>
  <c r="AV54" i="1" s="1"/>
  <c r="AI54" i="1"/>
  <c r="AH54" i="1"/>
  <c r="L54" i="1"/>
  <c r="J54" i="1"/>
  <c r="K54" i="1" s="1"/>
  <c r="N43" i="47"/>
  <c r="BQ53" i="1"/>
  <c r="BL53" i="1"/>
  <c r="BJ53" i="1"/>
  <c r="BI53" i="1"/>
  <c r="BA53" i="1"/>
  <c r="BB53" i="1" s="1"/>
  <c r="BC53" i="1" s="1"/>
  <c r="BD53" i="1" s="1"/>
  <c r="BE53" i="1" s="1"/>
  <c r="AW53" i="1"/>
  <c r="AU53" i="1"/>
  <c r="AV53" i="1" s="1"/>
  <c r="AI53" i="1"/>
  <c r="AH53" i="1"/>
  <c r="L53" i="1"/>
  <c r="J53" i="1"/>
  <c r="K53" i="1" s="1"/>
  <c r="N42" i="47"/>
  <c r="BQ52" i="1"/>
  <c r="BL52" i="1"/>
  <c r="BJ52" i="1"/>
  <c r="BI52" i="1"/>
  <c r="BA52" i="1"/>
  <c r="AW52" i="1"/>
  <c r="AU52" i="1"/>
  <c r="AV52" i="1" s="1"/>
  <c r="AI52" i="1"/>
  <c r="AH52" i="1"/>
  <c r="L52" i="1"/>
  <c r="J52" i="1"/>
  <c r="K52" i="1" s="1"/>
  <c r="BQ51" i="1"/>
  <c r="BL51" i="1"/>
  <c r="BJ51" i="1"/>
  <c r="BI51" i="1"/>
  <c r="BA51" i="1"/>
  <c r="AW51" i="1"/>
  <c r="AU51" i="1"/>
  <c r="AV51" i="1" s="1"/>
  <c r="AI51" i="1"/>
  <c r="AH51" i="1"/>
  <c r="L51" i="1"/>
  <c r="J51" i="1"/>
  <c r="K51" i="1" s="1"/>
  <c r="N40" i="47"/>
  <c r="BQ50" i="1"/>
  <c r="BL50" i="1"/>
  <c r="BJ50" i="1"/>
  <c r="BI50" i="1"/>
  <c r="BA50" i="1"/>
  <c r="BB50" i="1" s="1"/>
  <c r="BC50" i="1" s="1"/>
  <c r="BD50" i="1" s="1"/>
  <c r="BE50" i="1" s="1"/>
  <c r="AW50" i="1"/>
  <c r="AU50" i="1"/>
  <c r="AV50" i="1" s="1"/>
  <c r="AI50" i="1"/>
  <c r="AH50" i="1"/>
  <c r="L50" i="1"/>
  <c r="J50" i="1"/>
  <c r="K50" i="1" s="1"/>
  <c r="N39" i="47"/>
  <c r="BQ49" i="1"/>
  <c r="BL49" i="1"/>
  <c r="BJ49" i="1"/>
  <c r="BI49" i="1"/>
  <c r="BA49" i="1"/>
  <c r="AW49" i="1"/>
  <c r="AU49" i="1"/>
  <c r="AV49" i="1" s="1"/>
  <c r="AI49" i="1"/>
  <c r="AH49" i="1"/>
  <c r="L49" i="1"/>
  <c r="J49" i="1"/>
  <c r="K49" i="1" s="1"/>
  <c r="N38" i="47"/>
  <c r="BQ48" i="1"/>
  <c r="BL48" i="1"/>
  <c r="BJ48" i="1"/>
  <c r="BI48" i="1"/>
  <c r="BA48" i="1"/>
  <c r="AW48" i="1"/>
  <c r="AU48" i="1"/>
  <c r="AV48" i="1" s="1"/>
  <c r="AI48" i="1"/>
  <c r="AH48" i="1"/>
  <c r="L48" i="1"/>
  <c r="J48" i="1"/>
  <c r="K48" i="1" s="1"/>
  <c r="N37" i="47"/>
  <c r="BQ47" i="1"/>
  <c r="BL47" i="1"/>
  <c r="BJ47" i="1"/>
  <c r="BI47" i="1"/>
  <c r="BA47" i="1"/>
  <c r="AW47" i="1"/>
  <c r="AU47" i="1"/>
  <c r="AV47" i="1" s="1"/>
  <c r="AI47" i="1"/>
  <c r="AH47" i="1"/>
  <c r="L47" i="1"/>
  <c r="J47" i="1"/>
  <c r="K47" i="1" s="1"/>
  <c r="N36" i="47"/>
  <c r="BQ46" i="1"/>
  <c r="BL46" i="1"/>
  <c r="BJ46" i="1"/>
  <c r="BI46" i="1"/>
  <c r="BA46" i="1"/>
  <c r="BB46" i="1" s="1"/>
  <c r="BC46" i="1" s="1"/>
  <c r="BD46" i="1" s="1"/>
  <c r="BE46" i="1" s="1"/>
  <c r="AW46" i="1"/>
  <c r="AU46" i="1"/>
  <c r="AV46" i="1" s="1"/>
  <c r="AI46" i="1"/>
  <c r="AH46" i="1"/>
  <c r="L46" i="1"/>
  <c r="J46" i="1"/>
  <c r="K46" i="1" s="1"/>
  <c r="N35" i="47"/>
  <c r="BQ45" i="1"/>
  <c r="BL45" i="1"/>
  <c r="BJ45" i="1"/>
  <c r="BI45" i="1"/>
  <c r="BA45" i="1"/>
  <c r="AW45" i="1"/>
  <c r="AU45" i="1"/>
  <c r="AV45" i="1" s="1"/>
  <c r="AI45" i="1"/>
  <c r="AH45" i="1"/>
  <c r="L45" i="1"/>
  <c r="J45" i="1"/>
  <c r="K45" i="1" s="1"/>
  <c r="N34" i="47"/>
  <c r="BQ44" i="1"/>
  <c r="BL44" i="1"/>
  <c r="BJ44" i="1"/>
  <c r="BI44" i="1"/>
  <c r="BA44" i="1"/>
  <c r="AW44" i="1"/>
  <c r="AU44" i="1"/>
  <c r="AV44" i="1" s="1"/>
  <c r="AI44" i="1"/>
  <c r="AH44" i="1"/>
  <c r="L44" i="1"/>
  <c r="J44" i="1"/>
  <c r="K44" i="1" s="1"/>
  <c r="N33" i="47"/>
  <c r="BQ43" i="1"/>
  <c r="BL43" i="1"/>
  <c r="BJ43" i="1"/>
  <c r="BI43" i="1"/>
  <c r="BA43" i="1"/>
  <c r="AW43" i="1"/>
  <c r="AU43" i="1"/>
  <c r="AV43" i="1" s="1"/>
  <c r="AI43" i="1"/>
  <c r="AH43" i="1"/>
  <c r="L43" i="1"/>
  <c r="J43" i="1"/>
  <c r="K43" i="1" s="1"/>
  <c r="BD42" i="1"/>
  <c r="BD41" i="1"/>
  <c r="AJ41" i="1"/>
  <c r="N30" i="47"/>
  <c r="BQ40" i="1"/>
  <c r="BL40" i="1"/>
  <c r="BJ40" i="1"/>
  <c r="BI40" i="1"/>
  <c r="BA40" i="1"/>
  <c r="BB40" i="1" s="1"/>
  <c r="BC40" i="1" s="1"/>
  <c r="BD40" i="1" s="1"/>
  <c r="BE40" i="1" s="1"/>
  <c r="AW40" i="1"/>
  <c r="AU40" i="1"/>
  <c r="AV40" i="1" s="1"/>
  <c r="AI40" i="1"/>
  <c r="AH40" i="1"/>
  <c r="L40" i="1"/>
  <c r="J40" i="1"/>
  <c r="K40" i="1" s="1"/>
  <c r="N29" i="47"/>
  <c r="BQ39" i="1"/>
  <c r="BL39" i="1"/>
  <c r="BJ39" i="1"/>
  <c r="BI39" i="1"/>
  <c r="BA39" i="1"/>
  <c r="AW39" i="1"/>
  <c r="AU39" i="1"/>
  <c r="AV39" i="1" s="1"/>
  <c r="AI39" i="1"/>
  <c r="AH39" i="1"/>
  <c r="L39" i="1"/>
  <c r="J39" i="1"/>
  <c r="K39" i="1" s="1"/>
  <c r="N28" i="47"/>
  <c r="BQ38" i="1"/>
  <c r="BL38" i="1"/>
  <c r="BJ38" i="1"/>
  <c r="BI38" i="1"/>
  <c r="BA38" i="1"/>
  <c r="BB38" i="1" s="1"/>
  <c r="BC38" i="1" s="1"/>
  <c r="BD38" i="1" s="1"/>
  <c r="BE38" i="1" s="1"/>
  <c r="AW38" i="1"/>
  <c r="AU38" i="1"/>
  <c r="AV38" i="1" s="1"/>
  <c r="AI38" i="1"/>
  <c r="AH38" i="1"/>
  <c r="L38" i="1"/>
  <c r="J38" i="1"/>
  <c r="K38" i="1" s="1"/>
  <c r="N27" i="47"/>
  <c r="BQ37" i="1"/>
  <c r="BL37" i="1"/>
  <c r="BJ37" i="1"/>
  <c r="BI37" i="1"/>
  <c r="BA37" i="1"/>
  <c r="AW37" i="1"/>
  <c r="AU37" i="1"/>
  <c r="AV37" i="1" s="1"/>
  <c r="AI37" i="1"/>
  <c r="AH37" i="1"/>
  <c r="L37" i="1"/>
  <c r="J37" i="1"/>
  <c r="K37" i="1" s="1"/>
  <c r="N26" i="47"/>
  <c r="BQ36" i="1"/>
  <c r="BL36" i="1"/>
  <c r="BJ36" i="1"/>
  <c r="BI36" i="1"/>
  <c r="BA36" i="1"/>
  <c r="AW36" i="1"/>
  <c r="AU36" i="1"/>
  <c r="AV36" i="1" s="1"/>
  <c r="AI36" i="1"/>
  <c r="AH36" i="1"/>
  <c r="L36" i="1"/>
  <c r="J36" i="1"/>
  <c r="K36" i="1" s="1"/>
  <c r="N25" i="47"/>
  <c r="BQ35" i="1"/>
  <c r="BL35" i="1"/>
  <c r="BJ35" i="1"/>
  <c r="BI35" i="1"/>
  <c r="BA35" i="1"/>
  <c r="BB35" i="1" s="1"/>
  <c r="BC35" i="1" s="1"/>
  <c r="BD35" i="1" s="1"/>
  <c r="BE35" i="1" s="1"/>
  <c r="AW35" i="1"/>
  <c r="AU35" i="1"/>
  <c r="AV35" i="1" s="1"/>
  <c r="AI35" i="1"/>
  <c r="AH35" i="1"/>
  <c r="L35" i="1"/>
  <c r="J35" i="1"/>
  <c r="K35" i="1" s="1"/>
  <c r="N24" i="47"/>
  <c r="BQ34" i="1"/>
  <c r="BL34" i="1"/>
  <c r="BJ34" i="1"/>
  <c r="BI34" i="1"/>
  <c r="BA34" i="1"/>
  <c r="AW34" i="1"/>
  <c r="AU34" i="1"/>
  <c r="AV34" i="1" s="1"/>
  <c r="AI34" i="1"/>
  <c r="AH34" i="1"/>
  <c r="L34" i="1"/>
  <c r="J34" i="1"/>
  <c r="K34" i="1" s="1"/>
  <c r="N23" i="47"/>
  <c r="BQ33" i="1"/>
  <c r="BL33" i="1"/>
  <c r="BJ33" i="1"/>
  <c r="BI33" i="1"/>
  <c r="BA33" i="1"/>
  <c r="AW33" i="1"/>
  <c r="AU33" i="1"/>
  <c r="AV33" i="1" s="1"/>
  <c r="AI33" i="1"/>
  <c r="AH33" i="1"/>
  <c r="L33" i="1"/>
  <c r="J33" i="1"/>
  <c r="K33" i="1" s="1"/>
  <c r="N22" i="47"/>
  <c r="BQ32" i="1"/>
  <c r="BL32" i="1"/>
  <c r="BJ32" i="1"/>
  <c r="BI32" i="1"/>
  <c r="BA32" i="1"/>
  <c r="AW32" i="1"/>
  <c r="AU32" i="1"/>
  <c r="AV32" i="1" s="1"/>
  <c r="AI32" i="1"/>
  <c r="AH32" i="1"/>
  <c r="L32" i="1"/>
  <c r="J32" i="1"/>
  <c r="K32" i="1" s="1"/>
  <c r="N21" i="47"/>
  <c r="BQ31" i="1"/>
  <c r="BL31" i="1"/>
  <c r="BJ31" i="1"/>
  <c r="BI31" i="1"/>
  <c r="BA31" i="1"/>
  <c r="AW31" i="1"/>
  <c r="AU31" i="1"/>
  <c r="AV31" i="1" s="1"/>
  <c r="AI31" i="1"/>
  <c r="AH31" i="1"/>
  <c r="L31" i="1"/>
  <c r="J31" i="1"/>
  <c r="K31" i="1" s="1"/>
  <c r="AJ29" i="1"/>
  <c r="N18" i="47"/>
  <c r="BQ28" i="1"/>
  <c r="BL28" i="1"/>
  <c r="BJ28" i="1"/>
  <c r="BI28" i="1"/>
  <c r="BC28" i="1"/>
  <c r="BD28" i="1" s="1"/>
  <c r="BE28" i="1" s="1"/>
  <c r="BA28" i="1"/>
  <c r="AW28" i="1"/>
  <c r="AU28" i="1"/>
  <c r="AV28" i="1" s="1"/>
  <c r="AI28" i="1"/>
  <c r="AH28" i="1"/>
  <c r="L28" i="1"/>
  <c r="J28" i="1"/>
  <c r="K28" i="1" s="1"/>
  <c r="N17" i="47"/>
  <c r="BQ27" i="1"/>
  <c r="BL27" i="1"/>
  <c r="BJ27" i="1"/>
  <c r="BI27" i="1"/>
  <c r="BA27" i="1"/>
  <c r="BB27" i="1" s="1"/>
  <c r="BC27" i="1" s="1"/>
  <c r="BD27" i="1" s="1"/>
  <c r="BE27" i="1" s="1"/>
  <c r="AW27" i="1"/>
  <c r="AU27" i="1"/>
  <c r="AV27" i="1" s="1"/>
  <c r="AI27" i="1"/>
  <c r="AH27" i="1"/>
  <c r="L27" i="1"/>
  <c r="J27" i="1"/>
  <c r="K27" i="1" s="1"/>
  <c r="N16" i="47"/>
  <c r="BQ26" i="1"/>
  <c r="BL26" i="1"/>
  <c r="BJ26" i="1"/>
  <c r="BI26" i="1"/>
  <c r="BA26" i="1"/>
  <c r="AW26" i="1"/>
  <c r="AU26" i="1"/>
  <c r="AV26" i="1" s="1"/>
  <c r="AI26" i="1"/>
  <c r="AH26" i="1"/>
  <c r="L26" i="1"/>
  <c r="J26" i="1"/>
  <c r="K26" i="1" s="1"/>
  <c r="N15" i="47"/>
  <c r="BQ25" i="1"/>
  <c r="BL25" i="1"/>
  <c r="BJ25" i="1"/>
  <c r="BI25" i="1"/>
  <c r="BC25" i="1"/>
  <c r="BD25" i="1" s="1"/>
  <c r="BE25" i="1" s="1"/>
  <c r="BA25" i="1"/>
  <c r="AW25" i="1"/>
  <c r="AU25" i="1"/>
  <c r="AV25" i="1" s="1"/>
  <c r="AI25" i="1"/>
  <c r="AH25" i="1"/>
  <c r="L25" i="1"/>
  <c r="J25" i="1"/>
  <c r="K25" i="1" s="1"/>
  <c r="N14" i="47"/>
  <c r="BQ24" i="1"/>
  <c r="BL24" i="1"/>
  <c r="BJ24" i="1"/>
  <c r="BI24" i="1"/>
  <c r="BA24" i="1"/>
  <c r="BB24" i="1" s="1"/>
  <c r="BC24" i="1" s="1"/>
  <c r="BD24" i="1" s="1"/>
  <c r="BE24" i="1" s="1"/>
  <c r="AW24" i="1"/>
  <c r="AU24" i="1"/>
  <c r="AV24" i="1" s="1"/>
  <c r="AI24" i="1"/>
  <c r="AH24" i="1"/>
  <c r="L24" i="1"/>
  <c r="J24" i="1"/>
  <c r="K24" i="1" s="1"/>
  <c r="N13" i="47"/>
  <c r="BQ23" i="1"/>
  <c r="BL23" i="1"/>
  <c r="BJ23" i="1"/>
  <c r="BI23" i="1"/>
  <c r="BA23" i="1"/>
  <c r="BB23" i="1" s="1"/>
  <c r="BC23" i="1" s="1"/>
  <c r="BD23" i="1" s="1"/>
  <c r="BE23" i="1" s="1"/>
  <c r="AW23" i="1"/>
  <c r="AU23" i="1"/>
  <c r="AV23" i="1" s="1"/>
  <c r="AI23" i="1"/>
  <c r="AH23" i="1"/>
  <c r="L23" i="1"/>
  <c r="J23" i="1"/>
  <c r="K23" i="1" s="1"/>
  <c r="N12" i="47"/>
  <c r="BQ22" i="1"/>
  <c r="BL22" i="1"/>
  <c r="BJ22" i="1"/>
  <c r="BI22" i="1"/>
  <c r="BA22" i="1"/>
  <c r="AW22" i="1"/>
  <c r="AU22" i="1"/>
  <c r="AV22" i="1" s="1"/>
  <c r="AI22" i="1"/>
  <c r="AH22" i="1"/>
  <c r="L22" i="1"/>
  <c r="J22" i="1"/>
  <c r="K22" i="1" s="1"/>
  <c r="N11" i="47"/>
  <c r="BQ21" i="1"/>
  <c r="BL21" i="1"/>
  <c r="BJ21" i="1"/>
  <c r="BI21" i="1"/>
  <c r="BA21" i="1"/>
  <c r="BB21" i="1" s="1"/>
  <c r="BC21" i="1" s="1"/>
  <c r="BD21" i="1" s="1"/>
  <c r="BE21" i="1" s="1"/>
  <c r="AW21" i="1"/>
  <c r="AU21" i="1"/>
  <c r="AV21" i="1" s="1"/>
  <c r="AI21" i="1"/>
  <c r="O11" i="47" s="1"/>
  <c r="AH21" i="1"/>
  <c r="L21" i="1"/>
  <c r="J21" i="1"/>
  <c r="K21" i="1" s="1"/>
  <c r="AJ19" i="1"/>
  <c r="N8" i="47"/>
  <c r="BQ18" i="1"/>
  <c r="BL18" i="1"/>
  <c r="BJ18" i="1"/>
  <c r="BI18" i="1"/>
  <c r="BA18" i="1"/>
  <c r="AW18" i="1"/>
  <c r="AU18" i="1"/>
  <c r="AV18" i="1" s="1"/>
  <c r="AI18" i="1"/>
  <c r="AH18" i="1"/>
  <c r="L18" i="1"/>
  <c r="J18" i="1"/>
  <c r="K18" i="1" s="1"/>
  <c r="N7" i="47"/>
  <c r="BQ17" i="1"/>
  <c r="BL17" i="1"/>
  <c r="BJ17" i="1"/>
  <c r="BI17" i="1"/>
  <c r="BA17" i="1"/>
  <c r="BB17" i="1" s="1"/>
  <c r="BC17" i="1" s="1"/>
  <c r="BD17" i="1" s="1"/>
  <c r="BE17" i="1" s="1"/>
  <c r="AW17" i="1"/>
  <c r="AU17" i="1"/>
  <c r="AV17" i="1" s="1"/>
  <c r="AI17" i="1"/>
  <c r="AH17" i="1"/>
  <c r="L17" i="1"/>
  <c r="J17" i="1"/>
  <c r="K17" i="1" s="1"/>
  <c r="N6" i="47"/>
  <c r="BQ16" i="1"/>
  <c r="BL16" i="1"/>
  <c r="BJ16" i="1"/>
  <c r="BI16" i="1"/>
  <c r="BA16" i="1"/>
  <c r="BB16" i="1" s="1"/>
  <c r="BC16" i="1" s="1"/>
  <c r="BD16" i="1" s="1"/>
  <c r="BE16" i="1" s="1"/>
  <c r="AW16" i="1"/>
  <c r="AU16" i="1"/>
  <c r="AV16" i="1" s="1"/>
  <c r="AI16" i="1"/>
  <c r="AH16" i="1"/>
  <c r="L16" i="1"/>
  <c r="J16" i="1"/>
  <c r="K16" i="1" s="1"/>
  <c r="N5" i="47"/>
  <c r="BQ15" i="1"/>
  <c r="BL15" i="1"/>
  <c r="BJ15" i="1"/>
  <c r="BI15" i="1"/>
  <c r="BA15" i="1"/>
  <c r="BB15" i="1" s="1"/>
  <c r="BC15" i="1" s="1"/>
  <c r="BD15" i="1" s="1"/>
  <c r="BE15" i="1" s="1"/>
  <c r="AW15" i="1"/>
  <c r="AU15" i="1"/>
  <c r="AV15" i="1" s="1"/>
  <c r="AI15" i="1"/>
  <c r="AH15" i="1"/>
  <c r="L15" i="1"/>
  <c r="J15" i="1"/>
  <c r="N4" i="47"/>
  <c r="BQ14" i="1"/>
  <c r="BL14" i="1"/>
  <c r="BJ14" i="1"/>
  <c r="BI14" i="1"/>
  <c r="BA14" i="1"/>
  <c r="BB14" i="1" s="1"/>
  <c r="BC14" i="1" s="1"/>
  <c r="BD14" i="1" s="1"/>
  <c r="BE14" i="1" s="1"/>
  <c r="AW14" i="1"/>
  <c r="AU14" i="1"/>
  <c r="AV14" i="1" s="1"/>
  <c r="AI14" i="1"/>
  <c r="O4" i="47" s="1"/>
  <c r="AH14" i="1"/>
  <c r="L14" i="1"/>
  <c r="J14" i="1"/>
  <c r="N3" i="47"/>
  <c r="BQ13" i="1"/>
  <c r="BL13" i="1"/>
  <c r="BJ13" i="1"/>
  <c r="BI13" i="1"/>
  <c r="BA13" i="1"/>
  <c r="BB13" i="1" s="1"/>
  <c r="BC13" i="1" s="1"/>
  <c r="BD13" i="1" s="1"/>
  <c r="BE13" i="1" s="1"/>
  <c r="AW13" i="1"/>
  <c r="AU13" i="1"/>
  <c r="AV13" i="1" s="1"/>
  <c r="AI13" i="1"/>
  <c r="AH13" i="1"/>
  <c r="L13" i="1"/>
  <c r="J13" i="1"/>
  <c r="K13" i="1" s="1"/>
  <c r="N2" i="47"/>
  <c r="BQ12" i="1"/>
  <c r="BL12" i="1"/>
  <c r="BJ12" i="1"/>
  <c r="BI12" i="1"/>
  <c r="BA12" i="1"/>
  <c r="BB12" i="1" s="1"/>
  <c r="BC12" i="1" s="1"/>
  <c r="BD12" i="1" s="1"/>
  <c r="AW12" i="1"/>
  <c r="AU12" i="1"/>
  <c r="AV12" i="1" s="1"/>
  <c r="AI12" i="1"/>
  <c r="AH12" i="1"/>
  <c r="L12" i="1"/>
  <c r="J12" i="1"/>
  <c r="A2" i="1"/>
  <c r="N122" i="37"/>
  <c r="F122" i="37"/>
  <c r="N121" i="37"/>
  <c r="F121" i="37"/>
  <c r="N120" i="37"/>
  <c r="F120" i="37"/>
  <c r="N119" i="37"/>
  <c r="A119" i="37"/>
  <c r="A10" i="37" s="1"/>
  <c r="A11" i="37" s="1"/>
  <c r="A12" i="37" s="1"/>
  <c r="A13" i="37" s="1"/>
  <c r="A14" i="37" s="1"/>
  <c r="A15" i="37" s="1"/>
  <c r="A16" i="37" s="1"/>
  <c r="A17" i="37" s="1"/>
  <c r="A18" i="37" s="1"/>
  <c r="A19" i="37" s="1"/>
  <c r="A20" i="37" s="1"/>
  <c r="A120" i="37" s="1"/>
  <c r="A21" i="37" s="1"/>
  <c r="A22" i="37" s="1"/>
  <c r="A23" i="37" s="1"/>
  <c r="A24" i="37" s="1"/>
  <c r="A25" i="37" s="1"/>
  <c r="A26" i="37" s="1"/>
  <c r="N118" i="37"/>
  <c r="F118" i="37"/>
  <c r="N117" i="37"/>
  <c r="F117" i="37"/>
  <c r="N116" i="37"/>
  <c r="F116" i="37"/>
  <c r="N115" i="37"/>
  <c r="F115" i="37"/>
  <c r="N114" i="37"/>
  <c r="F114" i="37"/>
  <c r="N113" i="37"/>
  <c r="F113" i="37"/>
  <c r="N112" i="37"/>
  <c r="F112" i="37"/>
  <c r="N111" i="37"/>
  <c r="F111" i="37"/>
  <c r="N110" i="37"/>
  <c r="F110" i="37"/>
  <c r="N109" i="37"/>
  <c r="F109" i="37"/>
  <c r="N108" i="37"/>
  <c r="F108" i="37"/>
  <c r="N107" i="37"/>
  <c r="F107" i="37"/>
  <c r="N106" i="37"/>
  <c r="F106" i="37"/>
  <c r="N105" i="37"/>
  <c r="F105" i="37"/>
  <c r="N104" i="37"/>
  <c r="F104" i="37"/>
  <c r="N103" i="37"/>
  <c r="F103" i="37"/>
  <c r="N102" i="37"/>
  <c r="F102" i="37"/>
  <c r="N101" i="37"/>
  <c r="F101" i="37"/>
  <c r="N100" i="37"/>
  <c r="F100" i="37"/>
  <c r="N99" i="37"/>
  <c r="F99" i="37"/>
  <c r="N98" i="37"/>
  <c r="F98" i="37"/>
  <c r="N97" i="37"/>
  <c r="F97" i="37"/>
  <c r="N96" i="37"/>
  <c r="F96" i="37"/>
  <c r="N94" i="37"/>
  <c r="F94" i="37"/>
  <c r="N93" i="37"/>
  <c r="F93" i="37"/>
  <c r="N92" i="37"/>
  <c r="F92" i="37"/>
  <c r="A92" i="37"/>
  <c r="A93" i="37" s="1"/>
  <c r="A94" i="37" s="1"/>
  <c r="N91" i="37"/>
  <c r="F91" i="37"/>
  <c r="N90" i="37"/>
  <c r="F90" i="37"/>
  <c r="N89" i="37"/>
  <c r="F89" i="37"/>
  <c r="F88" i="37"/>
  <c r="N87" i="37"/>
  <c r="F87" i="37"/>
  <c r="N86" i="37"/>
  <c r="F86" i="37"/>
  <c r="G75" i="37"/>
  <c r="G74" i="37"/>
  <c r="G73" i="37"/>
  <c r="G72" i="37"/>
  <c r="G71" i="37"/>
  <c r="G70" i="37"/>
  <c r="H70" i="37" s="1"/>
  <c r="N68" i="37"/>
  <c r="F68" i="37"/>
  <c r="N67" i="37"/>
  <c r="F67" i="37"/>
  <c r="N66" i="37"/>
  <c r="F66" i="37"/>
  <c r="N65" i="37"/>
  <c r="F65" i="37"/>
  <c r="N64" i="37"/>
  <c r="F64" i="37"/>
  <c r="N63" i="37"/>
  <c r="N62" i="37"/>
  <c r="F62" i="37"/>
  <c r="N61" i="37"/>
  <c r="F61" i="37"/>
  <c r="N60" i="37"/>
  <c r="F60" i="37"/>
  <c r="N59" i="37"/>
  <c r="F59" i="37"/>
  <c r="N58" i="37"/>
  <c r="F58" i="37"/>
  <c r="N57" i="37"/>
  <c r="F57" i="37"/>
  <c r="N56" i="37"/>
  <c r="F56" i="37"/>
  <c r="N55" i="37"/>
  <c r="F55" i="37"/>
  <c r="N54" i="37"/>
  <c r="F54" i="37"/>
  <c r="N53" i="37"/>
  <c r="F53" i="37"/>
  <c r="N52" i="37"/>
  <c r="F52" i="37"/>
  <c r="N51" i="37"/>
  <c r="F51" i="37"/>
  <c r="N50" i="37"/>
  <c r="F50" i="37"/>
  <c r="N49" i="37"/>
  <c r="F49" i="37"/>
  <c r="N48" i="37"/>
  <c r="F48" i="37"/>
  <c r="N47" i="37"/>
  <c r="F47" i="37"/>
  <c r="N46" i="37"/>
  <c r="F46" i="37"/>
  <c r="N45" i="37"/>
  <c r="F45" i="37"/>
  <c r="N44" i="37"/>
  <c r="F44" i="37"/>
  <c r="N43" i="37"/>
  <c r="F43" i="37"/>
  <c r="N42" i="37"/>
  <c r="F42" i="37"/>
  <c r="N41" i="37"/>
  <c r="F41" i="37"/>
  <c r="N40" i="37"/>
  <c r="F40" i="37"/>
  <c r="N39" i="37"/>
  <c r="F39" i="37"/>
  <c r="N38" i="37"/>
  <c r="F38" i="37"/>
  <c r="N37" i="37"/>
  <c r="F37" i="37"/>
  <c r="N36" i="37"/>
  <c r="F36" i="37"/>
  <c r="N35" i="37"/>
  <c r="F35" i="37"/>
  <c r="N34" i="37"/>
  <c r="F34" i="37"/>
  <c r="N33" i="37"/>
  <c r="F33" i="37"/>
  <c r="N32" i="37"/>
  <c r="F32" i="37"/>
  <c r="N31" i="37"/>
  <c r="F31" i="37"/>
  <c r="N30" i="37"/>
  <c r="F30" i="37"/>
  <c r="N29" i="37"/>
  <c r="F29" i="37"/>
  <c r="N28" i="37"/>
  <c r="F28" i="37"/>
  <c r="N27" i="37"/>
  <c r="F27" i="37"/>
  <c r="N26" i="37"/>
  <c r="F26" i="37"/>
  <c r="N25" i="37"/>
  <c r="F25" i="37"/>
  <c r="N24" i="37"/>
  <c r="F24" i="37"/>
  <c r="N23" i="37"/>
  <c r="F23" i="37"/>
  <c r="N22" i="37"/>
  <c r="F22" i="37"/>
  <c r="N21" i="37"/>
  <c r="F21" i="37"/>
  <c r="N20" i="37"/>
  <c r="F20" i="37"/>
  <c r="N19" i="37"/>
  <c r="F19" i="37"/>
  <c r="N18" i="37"/>
  <c r="F18" i="37"/>
  <c r="N17" i="37"/>
  <c r="F17" i="37"/>
  <c r="N16" i="37"/>
  <c r="F16" i="37"/>
  <c r="N15" i="37"/>
  <c r="F15" i="37"/>
  <c r="N14" i="37"/>
  <c r="F14" i="37"/>
  <c r="N13" i="37"/>
  <c r="F13" i="37"/>
  <c r="V12" i="37"/>
  <c r="N12" i="37"/>
  <c r="F12" i="37"/>
  <c r="N11" i="37"/>
  <c r="F11" i="37"/>
  <c r="N10" i="37"/>
  <c r="F10" i="37"/>
  <c r="V9" i="37"/>
  <c r="N9" i="37"/>
  <c r="F9" i="37"/>
  <c r="A2" i="37"/>
  <c r="AO293" i="39"/>
  <c r="AO285" i="39"/>
  <c r="D285" i="39"/>
  <c r="AS284" i="39"/>
  <c r="AJ284" i="39"/>
  <c r="X284" i="39"/>
  <c r="P284" i="39"/>
  <c r="S284" i="39" s="1"/>
  <c r="F284" i="39"/>
  <c r="E284" i="39"/>
  <c r="AS283" i="39"/>
  <c r="AJ283" i="39"/>
  <c r="X283" i="39"/>
  <c r="S283" i="39"/>
  <c r="P283" i="39"/>
  <c r="F283" i="39"/>
  <c r="E283" i="39"/>
  <c r="AS282" i="39"/>
  <c r="AJ282" i="39"/>
  <c r="X282" i="39"/>
  <c r="P282" i="39"/>
  <c r="S282" i="39" s="1"/>
  <c r="F282" i="39"/>
  <c r="E282" i="39"/>
  <c r="AS281" i="39"/>
  <c r="AJ281" i="39"/>
  <c r="X281" i="39"/>
  <c r="P281" i="39"/>
  <c r="S281" i="39" s="1"/>
  <c r="F281" i="39"/>
  <c r="E281" i="39"/>
  <c r="AS280" i="39"/>
  <c r="AJ280" i="39"/>
  <c r="X280" i="39"/>
  <c r="P280" i="39"/>
  <c r="S280" i="39" s="1"/>
  <c r="F280" i="39"/>
  <c r="E280" i="39"/>
  <c r="AS279" i="39"/>
  <c r="AJ279" i="39"/>
  <c r="X279" i="39"/>
  <c r="P279" i="39"/>
  <c r="S279" i="39" s="1"/>
  <c r="F279" i="39"/>
  <c r="E279" i="39"/>
  <c r="AJ278" i="39"/>
  <c r="X278" i="39"/>
  <c r="P278" i="39"/>
  <c r="S278" i="39" s="1"/>
  <c r="F278" i="39"/>
  <c r="E278" i="39"/>
  <c r="AJ277" i="39"/>
  <c r="X277" i="39"/>
  <c r="P277" i="39"/>
  <c r="S277" i="39" s="1"/>
  <c r="F277" i="39"/>
  <c r="E277" i="39"/>
  <c r="AJ276" i="39"/>
  <c r="X276" i="39"/>
  <c r="P276" i="39"/>
  <c r="S276" i="39" s="1"/>
  <c r="F276" i="39"/>
  <c r="E276" i="39"/>
  <c r="AJ275" i="39"/>
  <c r="X275" i="39"/>
  <c r="P275" i="39"/>
  <c r="S275" i="39" s="1"/>
  <c r="F275" i="39"/>
  <c r="E275" i="39"/>
  <c r="AS274" i="39"/>
  <c r="AJ274" i="39"/>
  <c r="X274" i="39"/>
  <c r="P274" i="39"/>
  <c r="S274" i="39" s="1"/>
  <c r="F274" i="39"/>
  <c r="E274" i="39"/>
  <c r="AJ273" i="39"/>
  <c r="X273" i="39"/>
  <c r="P273" i="39"/>
  <c r="S273" i="39" s="1"/>
  <c r="F273" i="39"/>
  <c r="E273" i="39"/>
  <c r="AS272" i="39"/>
  <c r="AJ272" i="39"/>
  <c r="X272" i="39"/>
  <c r="P272" i="39"/>
  <c r="S272" i="39" s="1"/>
  <c r="F272" i="39"/>
  <c r="E272" i="39"/>
  <c r="AS271" i="39"/>
  <c r="AJ271" i="39"/>
  <c r="P271" i="39"/>
  <c r="F271" i="39"/>
  <c r="E271" i="39"/>
  <c r="AS270" i="39"/>
  <c r="AJ270" i="39"/>
  <c r="X270" i="39"/>
  <c r="P270" i="39"/>
  <c r="S270" i="39" s="1"/>
  <c r="F270" i="39"/>
  <c r="E270" i="39"/>
  <c r="AS269" i="39"/>
  <c r="AJ269" i="39"/>
  <c r="X269" i="39"/>
  <c r="P269" i="39"/>
  <c r="S269" i="39" s="1"/>
  <c r="F269" i="39"/>
  <c r="E269" i="39"/>
  <c r="AS268" i="39"/>
  <c r="AJ268" i="39"/>
  <c r="X268" i="39"/>
  <c r="P268" i="39"/>
  <c r="S268" i="39" s="1"/>
  <c r="F268" i="39"/>
  <c r="E268" i="39"/>
  <c r="AS267" i="39"/>
  <c r="AJ267" i="39"/>
  <c r="X267" i="39"/>
  <c r="P267" i="39"/>
  <c r="S267" i="39" s="1"/>
  <c r="F267" i="39"/>
  <c r="E267" i="39"/>
  <c r="AS266" i="39"/>
  <c r="AJ266" i="39"/>
  <c r="X266" i="39"/>
  <c r="S266" i="39"/>
  <c r="P266" i="39"/>
  <c r="F266" i="39"/>
  <c r="E266" i="39"/>
  <c r="AS265" i="39"/>
  <c r="AJ265" i="39"/>
  <c r="F265" i="39"/>
  <c r="E265" i="39"/>
  <c r="AS264" i="39"/>
  <c r="AJ264" i="39"/>
  <c r="X264" i="39"/>
  <c r="P264" i="39"/>
  <c r="S264" i="39" s="1"/>
  <c r="F264" i="39"/>
  <c r="E264" i="39"/>
  <c r="AS263" i="39"/>
  <c r="AJ263" i="39"/>
  <c r="P263" i="39"/>
  <c r="S263" i="39" s="1"/>
  <c r="F263" i="39"/>
  <c r="E263" i="39"/>
  <c r="AS262" i="39"/>
  <c r="AJ262" i="39"/>
  <c r="F262" i="39"/>
  <c r="E262" i="39"/>
  <c r="AS261" i="39"/>
  <c r="AJ261" i="39"/>
  <c r="X261" i="39"/>
  <c r="P261" i="39"/>
  <c r="S261" i="39" s="1"/>
  <c r="F261" i="39"/>
  <c r="E261" i="39"/>
  <c r="AS260" i="39"/>
  <c r="AJ260" i="39"/>
  <c r="P260" i="39"/>
  <c r="S260" i="39" s="1"/>
  <c r="F260" i="39"/>
  <c r="E260" i="39"/>
  <c r="AS259" i="39"/>
  <c r="AJ259" i="39"/>
  <c r="P259" i="39"/>
  <c r="F259" i="39"/>
  <c r="E259" i="39"/>
  <c r="AS258" i="39"/>
  <c r="AJ258" i="39"/>
  <c r="X258" i="39"/>
  <c r="P258" i="39"/>
  <c r="S258" i="39" s="1"/>
  <c r="F258" i="39"/>
  <c r="E258" i="39"/>
  <c r="AS257" i="39"/>
  <c r="AJ257" i="39"/>
  <c r="P257" i="39"/>
  <c r="F257" i="39"/>
  <c r="E257" i="39"/>
  <c r="AS256" i="39"/>
  <c r="AJ256" i="39"/>
  <c r="X256" i="39"/>
  <c r="P256" i="39"/>
  <c r="S256" i="39" s="1"/>
  <c r="F256" i="39"/>
  <c r="E256" i="39"/>
  <c r="AS255" i="39"/>
  <c r="AJ255" i="39"/>
  <c r="X255" i="39"/>
  <c r="P255" i="39"/>
  <c r="S255" i="39" s="1"/>
  <c r="F255" i="39"/>
  <c r="E255" i="39"/>
  <c r="AS254" i="39"/>
  <c r="AJ254" i="39"/>
  <c r="X254" i="39"/>
  <c r="P254" i="39"/>
  <c r="S254" i="39" s="1"/>
  <c r="F254" i="39"/>
  <c r="E254" i="39"/>
  <c r="AS253" i="39"/>
  <c r="AJ253" i="39"/>
  <c r="F253" i="39"/>
  <c r="E253" i="39"/>
  <c r="AS252" i="39"/>
  <c r="AJ252" i="39"/>
  <c r="X252" i="39"/>
  <c r="P252" i="39"/>
  <c r="S252" i="39" s="1"/>
  <c r="F252" i="39"/>
  <c r="E252" i="39"/>
  <c r="AJ251" i="39"/>
  <c r="X251" i="39"/>
  <c r="P251" i="39"/>
  <c r="S251" i="39" s="1"/>
  <c r="F251" i="39"/>
  <c r="E251" i="39"/>
  <c r="AS250" i="39"/>
  <c r="AJ250" i="39"/>
  <c r="X250" i="39"/>
  <c r="P250" i="39"/>
  <c r="S250" i="39" s="1"/>
  <c r="F250" i="39"/>
  <c r="E250" i="39"/>
  <c r="AS249" i="39"/>
  <c r="AJ249" i="39"/>
  <c r="X249" i="39"/>
  <c r="P249" i="39"/>
  <c r="S249" i="39" s="1"/>
  <c r="F249" i="39"/>
  <c r="E249" i="39"/>
  <c r="AS248" i="39"/>
  <c r="AJ248" i="39"/>
  <c r="X248" i="39"/>
  <c r="P248" i="39"/>
  <c r="S248" i="39" s="1"/>
  <c r="F248" i="39"/>
  <c r="E248" i="39"/>
  <c r="AS247" i="39"/>
  <c r="AJ247" i="39"/>
  <c r="X247" i="39"/>
  <c r="P247" i="39"/>
  <c r="S247" i="39" s="1"/>
  <c r="F247" i="39"/>
  <c r="E247" i="39"/>
  <c r="AS246" i="39"/>
  <c r="AJ246" i="39"/>
  <c r="X246" i="39"/>
  <c r="P246" i="39"/>
  <c r="S246" i="39" s="1"/>
  <c r="F246" i="39"/>
  <c r="E246" i="39"/>
  <c r="AS245" i="39"/>
  <c r="AJ245" i="39"/>
  <c r="X245" i="39"/>
  <c r="P245" i="39"/>
  <c r="S245" i="39" s="1"/>
  <c r="F245" i="39"/>
  <c r="E245" i="39"/>
  <c r="AJ244" i="39"/>
  <c r="P244" i="39"/>
  <c r="F244" i="39"/>
  <c r="E244" i="39"/>
  <c r="AS243" i="39"/>
  <c r="AJ243" i="39"/>
  <c r="X243" i="39"/>
  <c r="P243" i="39"/>
  <c r="S243" i="39" s="1"/>
  <c r="F243" i="39"/>
  <c r="E243" i="39"/>
  <c r="AS242" i="39"/>
  <c r="AJ242" i="39"/>
  <c r="P242" i="39"/>
  <c r="S242" i="39" s="1"/>
  <c r="F242" i="39"/>
  <c r="E242" i="39"/>
  <c r="AJ241" i="39"/>
  <c r="X241" i="39"/>
  <c r="P241" i="39"/>
  <c r="S241" i="39" s="1"/>
  <c r="F241" i="39"/>
  <c r="E241" i="39"/>
  <c r="AS240" i="39"/>
  <c r="AJ240" i="39"/>
  <c r="X240" i="39"/>
  <c r="P240" i="39"/>
  <c r="S240" i="39" s="1"/>
  <c r="F240" i="39"/>
  <c r="E240" i="39"/>
  <c r="AS239" i="39"/>
  <c r="AJ239" i="39"/>
  <c r="X239" i="39"/>
  <c r="S239" i="39"/>
  <c r="P239" i="39"/>
  <c r="F239" i="39"/>
  <c r="E239" i="39"/>
  <c r="AS238" i="39"/>
  <c r="AJ238" i="39"/>
  <c r="X238" i="39"/>
  <c r="P238" i="39"/>
  <c r="S238" i="39" s="1"/>
  <c r="F238" i="39"/>
  <c r="E238" i="39"/>
  <c r="AS237" i="39"/>
  <c r="AJ237" i="39"/>
  <c r="X237" i="39"/>
  <c r="P237" i="39"/>
  <c r="S237" i="39" s="1"/>
  <c r="F237" i="39"/>
  <c r="E237" i="39"/>
  <c r="AS236" i="39"/>
  <c r="AJ236" i="39"/>
  <c r="X236" i="39"/>
  <c r="P236" i="39"/>
  <c r="S236" i="39" s="1"/>
  <c r="F236" i="39"/>
  <c r="E236" i="39"/>
  <c r="AJ235" i="39"/>
  <c r="X235" i="39"/>
  <c r="P235" i="39"/>
  <c r="S235" i="39" s="1"/>
  <c r="F235" i="39"/>
  <c r="E235" i="39"/>
  <c r="AS234" i="39"/>
  <c r="AJ234" i="39"/>
  <c r="X234" i="39"/>
  <c r="S234" i="39"/>
  <c r="P234" i="39"/>
  <c r="F234" i="39"/>
  <c r="E234" i="39"/>
  <c r="AS233" i="39"/>
  <c r="AJ233" i="39"/>
  <c r="X233" i="39"/>
  <c r="P233" i="39"/>
  <c r="S233" i="39" s="1"/>
  <c r="F233" i="39"/>
  <c r="E233" i="39"/>
  <c r="AJ232" i="39"/>
  <c r="F232" i="39"/>
  <c r="E232" i="39"/>
  <c r="AJ231" i="39"/>
  <c r="F231" i="39"/>
  <c r="E231" i="39"/>
  <c r="AS230" i="39"/>
  <c r="AJ230" i="39"/>
  <c r="X230" i="39"/>
  <c r="P230" i="39"/>
  <c r="S230" i="39" s="1"/>
  <c r="F230" i="39"/>
  <c r="E230" i="39"/>
  <c r="AS229" i="39"/>
  <c r="AJ229" i="39"/>
  <c r="X229" i="39"/>
  <c r="P229" i="39"/>
  <c r="S229" i="39" s="1"/>
  <c r="F229" i="39"/>
  <c r="E229" i="39"/>
  <c r="AJ228" i="39"/>
  <c r="X228" i="39"/>
  <c r="P228" i="39"/>
  <c r="S228" i="39" s="1"/>
  <c r="F228" i="39"/>
  <c r="E228" i="39"/>
  <c r="AS227" i="39"/>
  <c r="AJ227" i="39"/>
  <c r="X227" i="39"/>
  <c r="P227" i="39"/>
  <c r="S227" i="39" s="1"/>
  <c r="F227" i="39"/>
  <c r="E227" i="39"/>
  <c r="AJ226" i="39"/>
  <c r="P226" i="39"/>
  <c r="S226" i="39" s="1"/>
  <c r="F226" i="39"/>
  <c r="E226" i="39"/>
  <c r="AS225" i="39"/>
  <c r="AJ225" i="39"/>
  <c r="F225" i="39"/>
  <c r="E225" i="39"/>
  <c r="AS224" i="39"/>
  <c r="AJ224" i="39"/>
  <c r="X224" i="39"/>
  <c r="S224" i="39"/>
  <c r="P224" i="39"/>
  <c r="F224" i="39"/>
  <c r="E224" i="39"/>
  <c r="AJ223" i="39"/>
  <c r="P223" i="39"/>
  <c r="S223" i="39" s="1"/>
  <c r="F223" i="39"/>
  <c r="E223" i="39"/>
  <c r="AS222" i="39"/>
  <c r="AJ222" i="39"/>
  <c r="X222" i="39"/>
  <c r="P222" i="39"/>
  <c r="S222" i="39" s="1"/>
  <c r="F222" i="39"/>
  <c r="E222" i="39"/>
  <c r="AS221" i="39"/>
  <c r="AJ221" i="39"/>
  <c r="X221" i="39"/>
  <c r="P221" i="39"/>
  <c r="S221" i="39" s="1"/>
  <c r="F221" i="39"/>
  <c r="E221" i="39"/>
  <c r="AS220" i="39"/>
  <c r="AJ220" i="39"/>
  <c r="F220" i="39"/>
  <c r="E220" i="39"/>
  <c r="AJ219" i="39"/>
  <c r="F219" i="39"/>
  <c r="E219" i="39"/>
  <c r="AS218" i="39"/>
  <c r="AJ218" i="39"/>
  <c r="X218" i="39"/>
  <c r="P218" i="39"/>
  <c r="S218" i="39" s="1"/>
  <c r="F218" i="39"/>
  <c r="E218" i="39"/>
  <c r="AJ217" i="39"/>
  <c r="P217" i="39"/>
  <c r="S217" i="39" s="1"/>
  <c r="F217" i="39"/>
  <c r="E217" i="39"/>
  <c r="AS216" i="39"/>
  <c r="AJ216" i="39"/>
  <c r="F216" i="39"/>
  <c r="E216" i="39"/>
  <c r="AS215" i="39"/>
  <c r="AJ215" i="39"/>
  <c r="X215" i="39"/>
  <c r="P215" i="39"/>
  <c r="S215" i="39" s="1"/>
  <c r="F215" i="39"/>
  <c r="E215" i="39"/>
  <c r="AS214" i="39"/>
  <c r="AJ214" i="39"/>
  <c r="X214" i="39"/>
  <c r="P214" i="39"/>
  <c r="S214" i="39" s="1"/>
  <c r="F214" i="39"/>
  <c r="E214" i="39"/>
  <c r="AS213" i="39"/>
  <c r="AJ213" i="39"/>
  <c r="X213" i="39"/>
  <c r="P213" i="39"/>
  <c r="S213" i="39" s="1"/>
  <c r="F213" i="39"/>
  <c r="E213" i="39"/>
  <c r="AS212" i="39"/>
  <c r="AJ212" i="39"/>
  <c r="F212" i="39"/>
  <c r="E212" i="39"/>
  <c r="AS211" i="39"/>
  <c r="AJ211" i="39"/>
  <c r="P211" i="39"/>
  <c r="S211" i="39" s="1"/>
  <c r="F211" i="39"/>
  <c r="E211" i="39"/>
  <c r="AJ210" i="39"/>
  <c r="S210" i="39"/>
  <c r="P210" i="39"/>
  <c r="F210" i="39"/>
  <c r="E210" i="39"/>
  <c r="AS209" i="39"/>
  <c r="AJ209" i="39"/>
  <c r="P209" i="39"/>
  <c r="S209" i="39" s="1"/>
  <c r="F209" i="39"/>
  <c r="E209" i="39"/>
  <c r="AJ208" i="39"/>
  <c r="P208" i="39"/>
  <c r="F208" i="39"/>
  <c r="E208" i="39"/>
  <c r="AJ207" i="39"/>
  <c r="P207" i="39"/>
  <c r="S207" i="39" s="1"/>
  <c r="F207" i="39"/>
  <c r="E207" i="39"/>
  <c r="AS206" i="39"/>
  <c r="AJ206" i="39"/>
  <c r="F206" i="39"/>
  <c r="E206" i="39"/>
  <c r="AS205" i="39"/>
  <c r="AJ205" i="39"/>
  <c r="X205" i="39"/>
  <c r="P205" i="39"/>
  <c r="S205" i="39" s="1"/>
  <c r="F205" i="39"/>
  <c r="E205" i="39"/>
  <c r="AS204" i="39"/>
  <c r="AJ204" i="39"/>
  <c r="X204" i="39"/>
  <c r="P204" i="39"/>
  <c r="S204" i="39" s="1"/>
  <c r="F204" i="39"/>
  <c r="E204" i="39"/>
  <c r="AS203" i="39"/>
  <c r="AJ203" i="39"/>
  <c r="F203" i="39"/>
  <c r="E203" i="39"/>
  <c r="AS202" i="39"/>
  <c r="AJ202" i="39"/>
  <c r="F202" i="39"/>
  <c r="E202" i="39"/>
  <c r="AS201" i="39"/>
  <c r="AS200" i="39"/>
  <c r="AS199" i="39"/>
  <c r="AJ199" i="39"/>
  <c r="X199" i="39"/>
  <c r="P199" i="39"/>
  <c r="S199" i="39" s="1"/>
  <c r="F199" i="39"/>
  <c r="E199" i="39"/>
  <c r="AS198" i="39"/>
  <c r="AJ198" i="39"/>
  <c r="X198" i="39"/>
  <c r="P198" i="39"/>
  <c r="S198" i="39" s="1"/>
  <c r="F198" i="39"/>
  <c r="E198" i="39"/>
  <c r="AS197" i="39"/>
  <c r="AJ197" i="39"/>
  <c r="X197" i="39"/>
  <c r="P197" i="39"/>
  <c r="S197" i="39" s="1"/>
  <c r="F197" i="39"/>
  <c r="E197" i="39"/>
  <c r="AS196" i="39"/>
  <c r="AJ196" i="39"/>
  <c r="X196" i="39"/>
  <c r="P196" i="39"/>
  <c r="S196" i="39" s="1"/>
  <c r="F196" i="39"/>
  <c r="E196" i="39"/>
  <c r="AS195" i="39"/>
  <c r="AJ195" i="39"/>
  <c r="X195" i="39"/>
  <c r="P195" i="39"/>
  <c r="S195" i="39" s="1"/>
  <c r="F195" i="39"/>
  <c r="E195" i="39"/>
  <c r="AS194" i="39"/>
  <c r="AJ194" i="39"/>
  <c r="X194" i="39"/>
  <c r="P194" i="39"/>
  <c r="S194" i="39" s="1"/>
  <c r="F194" i="39"/>
  <c r="E194" i="39"/>
  <c r="AS193" i="39"/>
  <c r="AJ193" i="39"/>
  <c r="X193" i="39"/>
  <c r="P193" i="39"/>
  <c r="S193" i="39" s="1"/>
  <c r="F193" i="39"/>
  <c r="E193" i="39"/>
  <c r="AS192" i="39"/>
  <c r="AJ192" i="39"/>
  <c r="X192" i="39"/>
  <c r="P192" i="39"/>
  <c r="S192" i="39" s="1"/>
  <c r="F192" i="39"/>
  <c r="E192" i="39"/>
  <c r="AS191" i="39"/>
  <c r="AJ191" i="39"/>
  <c r="X191" i="39"/>
  <c r="S191" i="39"/>
  <c r="P191" i="39"/>
  <c r="F191" i="39"/>
  <c r="E191" i="39"/>
  <c r="AS190" i="39"/>
  <c r="AJ190" i="39"/>
  <c r="X190" i="39"/>
  <c r="P190" i="39"/>
  <c r="S190" i="39" s="1"/>
  <c r="F190" i="39"/>
  <c r="E190" i="39"/>
  <c r="AS189" i="39"/>
  <c r="AJ189" i="39"/>
  <c r="X189" i="39"/>
  <c r="S189" i="39"/>
  <c r="P189" i="39"/>
  <c r="F189" i="39"/>
  <c r="E189" i="39"/>
  <c r="AS188" i="39"/>
  <c r="AJ188" i="39"/>
  <c r="X188" i="39"/>
  <c r="P188" i="39"/>
  <c r="S188" i="39" s="1"/>
  <c r="F188" i="39"/>
  <c r="E188" i="39"/>
  <c r="AS187" i="39"/>
  <c r="AJ187" i="39"/>
  <c r="X187" i="39"/>
  <c r="P187" i="39"/>
  <c r="S187" i="39" s="1"/>
  <c r="F187" i="39"/>
  <c r="E187" i="39"/>
  <c r="AS186" i="39"/>
  <c r="AJ186" i="39"/>
  <c r="X186" i="39"/>
  <c r="S186" i="39"/>
  <c r="P186" i="39"/>
  <c r="F186" i="39"/>
  <c r="E186" i="39"/>
  <c r="AS185" i="39"/>
  <c r="AS184" i="39"/>
  <c r="AJ184" i="39"/>
  <c r="X184" i="39"/>
  <c r="P184" i="39"/>
  <c r="S184" i="39" s="1"/>
  <c r="F184" i="39"/>
  <c r="E184" i="39"/>
  <c r="AS183" i="39"/>
  <c r="AJ183" i="39"/>
  <c r="X183" i="39"/>
  <c r="P183" i="39"/>
  <c r="S183" i="39" s="1"/>
  <c r="F183" i="39"/>
  <c r="E183" i="39"/>
  <c r="AS182" i="39"/>
  <c r="AJ182" i="39"/>
  <c r="X182" i="39"/>
  <c r="P182" i="39"/>
  <c r="S182" i="39" s="1"/>
  <c r="F182" i="39"/>
  <c r="E182" i="39"/>
  <c r="AS181" i="39"/>
  <c r="AJ181" i="39"/>
  <c r="X181" i="39"/>
  <c r="P181" i="39"/>
  <c r="S181" i="39" s="1"/>
  <c r="F181" i="39"/>
  <c r="E181" i="39"/>
  <c r="AS180" i="39"/>
  <c r="AJ180" i="39"/>
  <c r="X180" i="39"/>
  <c r="P180" i="39"/>
  <c r="S180" i="39" s="1"/>
  <c r="F180" i="39"/>
  <c r="E180" i="39"/>
  <c r="AS179" i="39"/>
  <c r="AJ179" i="39"/>
  <c r="X179" i="39"/>
  <c r="P179" i="39"/>
  <c r="S179" i="39" s="1"/>
  <c r="F179" i="39"/>
  <c r="E179" i="39"/>
  <c r="AS178" i="39"/>
  <c r="AJ178" i="39"/>
  <c r="X178" i="39"/>
  <c r="P178" i="39"/>
  <c r="S178" i="39" s="1"/>
  <c r="F178" i="39"/>
  <c r="E178" i="39"/>
  <c r="AS177" i="39"/>
  <c r="AJ177" i="39"/>
  <c r="X177" i="39"/>
  <c r="P177" i="39"/>
  <c r="S177" i="39" s="1"/>
  <c r="F177" i="39"/>
  <c r="E177" i="39"/>
  <c r="AS176" i="39"/>
  <c r="AJ176" i="39"/>
  <c r="X176" i="39"/>
  <c r="P176" i="39"/>
  <c r="S176" i="39" s="1"/>
  <c r="F176" i="39"/>
  <c r="E176" i="39"/>
  <c r="AS175" i="39"/>
  <c r="AJ175" i="39"/>
  <c r="X175" i="39"/>
  <c r="P175" i="39"/>
  <c r="S175" i="39" s="1"/>
  <c r="F175" i="39"/>
  <c r="E175" i="39"/>
  <c r="AS174" i="39"/>
  <c r="AJ174" i="39"/>
  <c r="X174" i="39"/>
  <c r="P174" i="39"/>
  <c r="S174" i="39" s="1"/>
  <c r="F174" i="39"/>
  <c r="E174" i="39"/>
  <c r="AS173" i="39"/>
  <c r="AJ173" i="39"/>
  <c r="X173" i="39"/>
  <c r="S173" i="39"/>
  <c r="P173" i="39"/>
  <c r="F173" i="39"/>
  <c r="E173" i="39"/>
  <c r="AS172" i="39"/>
  <c r="AJ172" i="39"/>
  <c r="X172" i="39"/>
  <c r="P172" i="39"/>
  <c r="S172" i="39" s="1"/>
  <c r="F172" i="39"/>
  <c r="E172" i="39"/>
  <c r="AS171" i="39"/>
  <c r="AJ171" i="39"/>
  <c r="X171" i="39"/>
  <c r="S171" i="39"/>
  <c r="P171" i="39"/>
  <c r="F171" i="39"/>
  <c r="E171" i="39"/>
  <c r="AS170" i="39"/>
  <c r="AJ170" i="39"/>
  <c r="X170" i="39"/>
  <c r="P170" i="39"/>
  <c r="S170" i="39" s="1"/>
  <c r="F170" i="39"/>
  <c r="E170" i="39"/>
  <c r="AS169" i="39"/>
  <c r="AJ169" i="39"/>
  <c r="X169" i="39"/>
  <c r="P169" i="39"/>
  <c r="S169" i="39" s="1"/>
  <c r="F169" i="39"/>
  <c r="E169" i="39"/>
  <c r="AS168" i="39"/>
  <c r="AJ168" i="39"/>
  <c r="X168" i="39"/>
  <c r="S168" i="39"/>
  <c r="P168" i="39"/>
  <c r="F168" i="39"/>
  <c r="E168" i="39"/>
  <c r="AS167" i="39"/>
  <c r="AJ167" i="39"/>
  <c r="X167" i="39"/>
  <c r="P167" i="39"/>
  <c r="S167" i="39" s="1"/>
  <c r="F167" i="39"/>
  <c r="E167" i="39"/>
  <c r="AS166" i="39"/>
  <c r="AJ166" i="39"/>
  <c r="X166" i="39"/>
  <c r="S166" i="39"/>
  <c r="P166" i="39"/>
  <c r="F166" i="39"/>
  <c r="E166" i="39"/>
  <c r="AS165" i="39"/>
  <c r="AJ165" i="39"/>
  <c r="X165" i="39"/>
  <c r="P165" i="39"/>
  <c r="S165" i="39" s="1"/>
  <c r="F165" i="39"/>
  <c r="E165" i="39"/>
  <c r="AS164" i="39"/>
  <c r="AJ164" i="39"/>
  <c r="X164" i="39"/>
  <c r="P164" i="39"/>
  <c r="S164" i="39" s="1"/>
  <c r="F164" i="39"/>
  <c r="E164" i="39"/>
  <c r="AS163" i="39"/>
  <c r="AJ163" i="39"/>
  <c r="X163" i="39"/>
  <c r="P163" i="39"/>
  <c r="S163" i="39" s="1"/>
  <c r="F163" i="39"/>
  <c r="E163" i="39"/>
  <c r="AS162" i="39"/>
  <c r="AJ162" i="39"/>
  <c r="X162" i="39"/>
  <c r="P162" i="39"/>
  <c r="S162" i="39" s="1"/>
  <c r="F162" i="39"/>
  <c r="E162" i="39"/>
  <c r="AS161" i="39"/>
  <c r="AJ161" i="39"/>
  <c r="X161" i="39"/>
  <c r="P161" i="39"/>
  <c r="S161" i="39" s="1"/>
  <c r="F161" i="39"/>
  <c r="E161" i="39"/>
  <c r="AS160" i="39"/>
  <c r="AJ160" i="39"/>
  <c r="X160" i="39"/>
  <c r="P160" i="39"/>
  <c r="S160" i="39" s="1"/>
  <c r="F160" i="39"/>
  <c r="E160" i="39"/>
  <c r="AS159" i="39"/>
  <c r="AJ159" i="39"/>
  <c r="X159" i="39"/>
  <c r="P159" i="39"/>
  <c r="S159" i="39" s="1"/>
  <c r="F159" i="39"/>
  <c r="E159" i="39"/>
  <c r="AS158" i="39"/>
  <c r="AJ158" i="39"/>
  <c r="X158" i="39"/>
  <c r="P158" i="39"/>
  <c r="S158" i="39" s="1"/>
  <c r="F158" i="39"/>
  <c r="E158" i="39"/>
  <c r="AS157" i="39"/>
  <c r="AJ157" i="39"/>
  <c r="X157" i="39"/>
  <c r="P157" i="39"/>
  <c r="S157" i="39" s="1"/>
  <c r="F157" i="39"/>
  <c r="E157" i="39"/>
  <c r="AS156" i="39"/>
  <c r="AJ156" i="39"/>
  <c r="X156" i="39"/>
  <c r="P156" i="39"/>
  <c r="S156" i="39" s="1"/>
  <c r="F156" i="39"/>
  <c r="E156" i="39"/>
  <c r="AS155" i="39"/>
  <c r="AJ155" i="39"/>
  <c r="X155" i="39"/>
  <c r="P155" i="39"/>
  <c r="S155" i="39" s="1"/>
  <c r="F155" i="39"/>
  <c r="E155" i="39"/>
  <c r="AS154" i="39"/>
  <c r="AJ154" i="39"/>
  <c r="X154" i="39"/>
  <c r="P154" i="39"/>
  <c r="S154" i="39" s="1"/>
  <c r="F154" i="39"/>
  <c r="E154" i="39"/>
  <c r="AS153" i="39"/>
  <c r="AJ153" i="39"/>
  <c r="X153" i="39"/>
  <c r="P153" i="39"/>
  <c r="S153" i="39" s="1"/>
  <c r="F153" i="39"/>
  <c r="E153" i="39"/>
  <c r="AS152" i="39"/>
  <c r="AJ152" i="39"/>
  <c r="X152" i="39"/>
  <c r="P152" i="39"/>
  <c r="S152" i="39" s="1"/>
  <c r="F152" i="39"/>
  <c r="E152" i="39"/>
  <c r="AS151" i="39"/>
  <c r="AJ151" i="39"/>
  <c r="X151" i="39"/>
  <c r="P151" i="39"/>
  <c r="S151" i="39" s="1"/>
  <c r="F151" i="39"/>
  <c r="E151" i="39"/>
  <c r="AS150" i="39"/>
  <c r="AJ150" i="39"/>
  <c r="X150" i="39"/>
  <c r="P150" i="39"/>
  <c r="S150" i="39" s="1"/>
  <c r="F150" i="39"/>
  <c r="E150" i="39"/>
  <c r="AS149" i="39"/>
  <c r="AJ149" i="39"/>
  <c r="X149" i="39"/>
  <c r="P149" i="39"/>
  <c r="S149" i="39" s="1"/>
  <c r="F149" i="39"/>
  <c r="E149" i="39"/>
  <c r="AS148" i="39"/>
  <c r="AJ148" i="39"/>
  <c r="X148" i="39"/>
  <c r="P148" i="39"/>
  <c r="S148" i="39" s="1"/>
  <c r="F148" i="39"/>
  <c r="E148" i="39"/>
  <c r="AS147" i="39"/>
  <c r="AJ147" i="39"/>
  <c r="X147" i="39"/>
  <c r="P147" i="39"/>
  <c r="S147" i="39" s="1"/>
  <c r="F147" i="39"/>
  <c r="E147" i="39"/>
  <c r="AS146" i="39"/>
  <c r="AS145" i="39"/>
  <c r="AJ145" i="39"/>
  <c r="X145" i="39"/>
  <c r="P145" i="39"/>
  <c r="S145" i="39" s="1"/>
  <c r="F145" i="39"/>
  <c r="E145" i="39"/>
  <c r="AS144" i="39"/>
  <c r="AJ144" i="39"/>
  <c r="X144" i="39"/>
  <c r="P144" i="39"/>
  <c r="S144" i="39" s="1"/>
  <c r="F144" i="39"/>
  <c r="E144" i="39"/>
  <c r="AS143" i="39"/>
  <c r="AJ143" i="39"/>
  <c r="X143" i="39"/>
  <c r="P143" i="39"/>
  <c r="S143" i="39" s="1"/>
  <c r="F143" i="39"/>
  <c r="E143" i="39"/>
  <c r="AS142" i="39"/>
  <c r="AJ142" i="39"/>
  <c r="X142" i="39"/>
  <c r="P142" i="39"/>
  <c r="S142" i="39" s="1"/>
  <c r="F142" i="39"/>
  <c r="E142" i="39"/>
  <c r="AS141" i="39"/>
  <c r="AJ141" i="39"/>
  <c r="X141" i="39"/>
  <c r="P141" i="39"/>
  <c r="S141" i="39" s="1"/>
  <c r="F141" i="39"/>
  <c r="E141" i="39"/>
  <c r="AS140" i="39"/>
  <c r="AJ140" i="39"/>
  <c r="X140" i="39"/>
  <c r="P140" i="39"/>
  <c r="S140" i="39" s="1"/>
  <c r="F140" i="39"/>
  <c r="E140" i="39"/>
  <c r="AS139" i="39"/>
  <c r="AJ139" i="39"/>
  <c r="X139" i="39"/>
  <c r="P139" i="39"/>
  <c r="S139" i="39" s="1"/>
  <c r="F139" i="39"/>
  <c r="E139" i="39"/>
  <c r="AS138" i="39"/>
  <c r="AJ138" i="39"/>
  <c r="X138" i="39"/>
  <c r="P138" i="39"/>
  <c r="S138" i="39" s="1"/>
  <c r="F138" i="39"/>
  <c r="E138" i="39"/>
  <c r="AS137" i="39"/>
  <c r="AJ137" i="39"/>
  <c r="X137" i="39"/>
  <c r="P137" i="39"/>
  <c r="S137" i="39" s="1"/>
  <c r="F137" i="39"/>
  <c r="E137" i="39"/>
  <c r="AS136" i="39"/>
  <c r="AJ136" i="39"/>
  <c r="X136" i="39"/>
  <c r="P136" i="39"/>
  <c r="S136" i="39" s="1"/>
  <c r="F136" i="39"/>
  <c r="E136" i="39"/>
  <c r="AS135" i="39"/>
  <c r="AJ135" i="39"/>
  <c r="X135" i="39"/>
  <c r="P135" i="39"/>
  <c r="S135" i="39" s="1"/>
  <c r="F135" i="39"/>
  <c r="E135" i="39"/>
  <c r="AS134" i="39"/>
  <c r="AJ134" i="39"/>
  <c r="X134" i="39"/>
  <c r="P134" i="39"/>
  <c r="S134" i="39" s="1"/>
  <c r="F134" i="39"/>
  <c r="E134" i="39"/>
  <c r="AS133" i="39"/>
  <c r="AJ133" i="39"/>
  <c r="X133" i="39"/>
  <c r="P133" i="39"/>
  <c r="S133" i="39" s="1"/>
  <c r="F133" i="39"/>
  <c r="E133" i="39"/>
  <c r="AS132" i="39"/>
  <c r="AJ132" i="39"/>
  <c r="X132" i="39"/>
  <c r="P132" i="39"/>
  <c r="S132" i="39" s="1"/>
  <c r="F132" i="39"/>
  <c r="E132" i="39"/>
  <c r="AS131" i="39"/>
  <c r="AJ131" i="39"/>
  <c r="X131" i="39"/>
  <c r="P131" i="39"/>
  <c r="S131" i="39" s="1"/>
  <c r="F131" i="39"/>
  <c r="E131" i="39"/>
  <c r="AS130" i="39"/>
  <c r="AJ130" i="39"/>
  <c r="X130" i="39"/>
  <c r="P130" i="39"/>
  <c r="S130" i="39" s="1"/>
  <c r="F130" i="39"/>
  <c r="E130" i="39"/>
  <c r="AS129" i="39"/>
  <c r="AJ129" i="39"/>
  <c r="X129" i="39"/>
  <c r="P129" i="39"/>
  <c r="S129" i="39" s="1"/>
  <c r="F129" i="39"/>
  <c r="E129" i="39"/>
  <c r="AS128" i="39"/>
  <c r="AJ128" i="39"/>
  <c r="X128" i="39"/>
  <c r="P128" i="39"/>
  <c r="S128" i="39" s="1"/>
  <c r="F128" i="39"/>
  <c r="E128" i="39"/>
  <c r="AS127" i="39"/>
  <c r="AJ127" i="39"/>
  <c r="X127" i="39"/>
  <c r="P127" i="39"/>
  <c r="S127" i="39" s="1"/>
  <c r="F127" i="39"/>
  <c r="E127" i="39"/>
  <c r="AS126" i="39"/>
  <c r="AJ126" i="39"/>
  <c r="X126" i="39"/>
  <c r="P126" i="39"/>
  <c r="S126" i="39" s="1"/>
  <c r="F126" i="39"/>
  <c r="E126" i="39"/>
  <c r="AS125" i="39"/>
  <c r="AJ125" i="39"/>
  <c r="X125" i="39"/>
  <c r="P125" i="39"/>
  <c r="S125" i="39" s="1"/>
  <c r="F125" i="39"/>
  <c r="E125" i="39"/>
  <c r="AS124" i="39"/>
  <c r="AJ124" i="39"/>
  <c r="X124" i="39"/>
  <c r="P124" i="39"/>
  <c r="S124" i="39" s="1"/>
  <c r="F124" i="39"/>
  <c r="E124" i="39"/>
  <c r="AS123" i="39"/>
  <c r="AJ123" i="39"/>
  <c r="X123" i="39"/>
  <c r="S123" i="39"/>
  <c r="P123" i="39"/>
  <c r="F123" i="39"/>
  <c r="E123" i="39"/>
  <c r="AS122" i="39"/>
  <c r="AJ122" i="39"/>
  <c r="X122" i="39"/>
  <c r="P122" i="39"/>
  <c r="S122" i="39" s="1"/>
  <c r="F122" i="39"/>
  <c r="E122" i="39"/>
  <c r="AS121" i="39"/>
  <c r="AJ121" i="39"/>
  <c r="X121" i="39"/>
  <c r="S121" i="39"/>
  <c r="P121" i="39"/>
  <c r="F121" i="39"/>
  <c r="E121" i="39"/>
  <c r="AS120" i="39"/>
  <c r="AJ120" i="39"/>
  <c r="X120" i="39"/>
  <c r="P120" i="39"/>
  <c r="S120" i="39" s="1"/>
  <c r="F120" i="39"/>
  <c r="E120" i="39"/>
  <c r="AS119" i="39"/>
  <c r="AJ119" i="39"/>
  <c r="X119" i="39"/>
  <c r="P119" i="39"/>
  <c r="S119" i="39" s="1"/>
  <c r="F119" i="39"/>
  <c r="E119" i="39"/>
  <c r="AS118" i="39"/>
  <c r="AJ118" i="39"/>
  <c r="X118" i="39"/>
  <c r="S118" i="39"/>
  <c r="P118" i="39"/>
  <c r="F118" i="39"/>
  <c r="E118" i="39"/>
  <c r="AS117" i="39"/>
  <c r="AJ117" i="39"/>
  <c r="X117" i="39"/>
  <c r="P117" i="39"/>
  <c r="S117" i="39" s="1"/>
  <c r="F117" i="39"/>
  <c r="E117" i="39"/>
  <c r="AS116" i="39"/>
  <c r="AJ116" i="39"/>
  <c r="X116" i="39"/>
  <c r="S116" i="39"/>
  <c r="P116" i="39"/>
  <c r="F116" i="39"/>
  <c r="E116" i="39"/>
  <c r="AS115" i="39"/>
  <c r="AJ115" i="39"/>
  <c r="X115" i="39"/>
  <c r="P115" i="39"/>
  <c r="S115" i="39" s="1"/>
  <c r="F115" i="39"/>
  <c r="E115" i="39"/>
  <c r="AS114" i="39"/>
  <c r="AJ114" i="39"/>
  <c r="X114" i="39"/>
  <c r="P114" i="39"/>
  <c r="S114" i="39" s="1"/>
  <c r="F114" i="39"/>
  <c r="E114" i="39"/>
  <c r="AS113" i="39"/>
  <c r="AJ113" i="39"/>
  <c r="X113" i="39"/>
  <c r="P113" i="39"/>
  <c r="S113" i="39" s="1"/>
  <c r="F113" i="39"/>
  <c r="E113" i="39"/>
  <c r="AS112" i="39"/>
  <c r="AJ112" i="39"/>
  <c r="X112" i="39"/>
  <c r="P112" i="39"/>
  <c r="S112" i="39" s="1"/>
  <c r="F112" i="39"/>
  <c r="E112" i="39"/>
  <c r="AS111" i="39"/>
  <c r="AJ111" i="39"/>
  <c r="AE111" i="39"/>
  <c r="X111" i="39"/>
  <c r="P111" i="39"/>
  <c r="S111" i="39" s="1"/>
  <c r="F111" i="39"/>
  <c r="E111" i="39"/>
  <c r="AS110" i="39"/>
  <c r="AJ110" i="39"/>
  <c r="X110" i="39"/>
  <c r="P110" i="39"/>
  <c r="S110" i="39" s="1"/>
  <c r="F110" i="39"/>
  <c r="E110" i="39"/>
  <c r="AS109" i="39"/>
  <c r="AJ109" i="39"/>
  <c r="X109" i="39"/>
  <c r="P109" i="39"/>
  <c r="S109" i="39" s="1"/>
  <c r="F109" i="39"/>
  <c r="E109" i="39"/>
  <c r="AS108" i="39"/>
  <c r="AJ108" i="39"/>
  <c r="X108" i="39"/>
  <c r="P108" i="39"/>
  <c r="S108" i="39" s="1"/>
  <c r="F108" i="39"/>
  <c r="E108" i="39"/>
  <c r="AS107" i="39"/>
  <c r="AJ107" i="39"/>
  <c r="X107" i="39"/>
  <c r="S107" i="39"/>
  <c r="P107" i="39"/>
  <c r="F107" i="39"/>
  <c r="E107" i="39"/>
  <c r="AS106" i="39"/>
  <c r="AJ106" i="39"/>
  <c r="X106" i="39"/>
  <c r="P106" i="39"/>
  <c r="S106" i="39" s="1"/>
  <c r="F106" i="39"/>
  <c r="E106" i="39"/>
  <c r="AS105" i="39"/>
  <c r="AS104" i="39"/>
  <c r="AS103" i="39"/>
  <c r="AS102" i="39"/>
  <c r="AS101" i="39"/>
  <c r="AS100" i="39"/>
  <c r="AS99" i="39"/>
  <c r="AJ98" i="39"/>
  <c r="X98" i="39"/>
  <c r="P98" i="39"/>
  <c r="S98" i="39" s="1"/>
  <c r="F98" i="39"/>
  <c r="E98" i="39"/>
  <c r="AS97" i="39"/>
  <c r="AJ97" i="39"/>
  <c r="X97" i="39"/>
  <c r="P97" i="39"/>
  <c r="S97" i="39" s="1"/>
  <c r="F97" i="39"/>
  <c r="E97" i="39"/>
  <c r="AJ96" i="39"/>
  <c r="P96" i="39"/>
  <c r="F96" i="39"/>
  <c r="E96" i="39"/>
  <c r="AJ95" i="39"/>
  <c r="F95" i="39"/>
  <c r="E95" i="39"/>
  <c r="AJ94" i="39"/>
  <c r="X94" i="39"/>
  <c r="P94" i="39"/>
  <c r="S94" i="39" s="1"/>
  <c r="F94" i="39"/>
  <c r="E94" i="39"/>
  <c r="AJ93" i="39"/>
  <c r="X93" i="39"/>
  <c r="P93" i="39"/>
  <c r="S93" i="39" s="1"/>
  <c r="F93" i="39"/>
  <c r="E93" i="39"/>
  <c r="AS92" i="39"/>
  <c r="AJ92" i="39"/>
  <c r="X92" i="39"/>
  <c r="P92" i="39"/>
  <c r="S92" i="39" s="1"/>
  <c r="F92" i="39"/>
  <c r="E92" i="39"/>
  <c r="AS91" i="39"/>
  <c r="AJ91" i="39"/>
  <c r="X91" i="39"/>
  <c r="P91" i="39"/>
  <c r="S91" i="39" s="1"/>
  <c r="F91" i="39"/>
  <c r="E91" i="39"/>
  <c r="AS90" i="39"/>
  <c r="AJ90" i="39"/>
  <c r="X90" i="39"/>
  <c r="P90" i="39"/>
  <c r="S90" i="39" s="1"/>
  <c r="F90" i="39"/>
  <c r="E90" i="39"/>
  <c r="AS89" i="39"/>
  <c r="AJ89" i="39"/>
  <c r="X89" i="39"/>
  <c r="P89" i="39"/>
  <c r="S89" i="39" s="1"/>
  <c r="F89" i="39"/>
  <c r="E89" i="39"/>
  <c r="AS88" i="39"/>
  <c r="AJ88" i="39"/>
  <c r="X88" i="39"/>
  <c r="P88" i="39"/>
  <c r="S88" i="39" s="1"/>
  <c r="F88" i="39"/>
  <c r="E88" i="39"/>
  <c r="AS87" i="39"/>
  <c r="AJ87" i="39"/>
  <c r="X87" i="39"/>
  <c r="P87" i="39"/>
  <c r="S87" i="39" s="1"/>
  <c r="F87" i="39"/>
  <c r="E87" i="39"/>
  <c r="AS86" i="39"/>
  <c r="AJ86" i="39"/>
  <c r="X86" i="39"/>
  <c r="S86" i="39"/>
  <c r="P86" i="39"/>
  <c r="F86" i="39"/>
  <c r="E86" i="39"/>
  <c r="F85" i="39"/>
  <c r="AO84" i="39"/>
  <c r="D84" i="39"/>
  <c r="AS83" i="39"/>
  <c r="AJ83" i="39"/>
  <c r="P83" i="39"/>
  <c r="S83" i="39" s="1"/>
  <c r="F83" i="39"/>
  <c r="E83" i="39"/>
  <c r="AS82" i="39"/>
  <c r="AJ82" i="39"/>
  <c r="X82" i="39"/>
  <c r="S82" i="39"/>
  <c r="P82" i="39"/>
  <c r="F82" i="39"/>
  <c r="E82" i="39"/>
  <c r="AS81" i="39"/>
  <c r="AJ81" i="39"/>
  <c r="X81" i="39"/>
  <c r="P81" i="39"/>
  <c r="S81" i="39" s="1"/>
  <c r="F81" i="39"/>
  <c r="E81" i="39"/>
  <c r="AS80" i="39"/>
  <c r="AJ80" i="39"/>
  <c r="X80" i="39"/>
  <c r="P80" i="39"/>
  <c r="S80" i="39" s="1"/>
  <c r="F80" i="39"/>
  <c r="E80" i="39"/>
  <c r="AS79" i="39"/>
  <c r="AJ79" i="39"/>
  <c r="X79" i="39"/>
  <c r="P79" i="39"/>
  <c r="S79" i="39" s="1"/>
  <c r="F79" i="39"/>
  <c r="E79" i="39"/>
  <c r="AS78" i="39"/>
  <c r="AJ78" i="39"/>
  <c r="X78" i="39"/>
  <c r="P78" i="39"/>
  <c r="S78" i="39" s="1"/>
  <c r="F78" i="39"/>
  <c r="E78" i="39"/>
  <c r="AS77" i="39"/>
  <c r="AJ77" i="39"/>
  <c r="X77" i="39"/>
  <c r="S77" i="39"/>
  <c r="P77" i="39"/>
  <c r="F77" i="39"/>
  <c r="E77" i="39"/>
  <c r="AS76" i="39"/>
  <c r="AJ76" i="39"/>
  <c r="P76" i="39"/>
  <c r="S76" i="39" s="1"/>
  <c r="F76" i="39"/>
  <c r="E76" i="39"/>
  <c r="AS75" i="39"/>
  <c r="AJ75" i="39"/>
  <c r="P75" i="39"/>
  <c r="S75" i="39" s="1"/>
  <c r="F75" i="39"/>
  <c r="E75" i="39"/>
  <c r="AS74" i="39"/>
  <c r="AJ74" i="39"/>
  <c r="X74" i="39"/>
  <c r="P74" i="39"/>
  <c r="S74" i="39" s="1"/>
  <c r="F74" i="39"/>
  <c r="E74" i="39"/>
  <c r="AJ73" i="39"/>
  <c r="X73" i="39"/>
  <c r="P73" i="39"/>
  <c r="S73" i="39" s="1"/>
  <c r="F73" i="39"/>
  <c r="E73" i="39"/>
  <c r="AJ72" i="39"/>
  <c r="X72" i="39"/>
  <c r="P72" i="39"/>
  <c r="S72" i="39" s="1"/>
  <c r="F72" i="39"/>
  <c r="E72" i="39"/>
  <c r="AS71" i="39"/>
  <c r="AJ71" i="39"/>
  <c r="F71" i="39"/>
  <c r="E71" i="39"/>
  <c r="AJ70" i="39"/>
  <c r="F70" i="39"/>
  <c r="E70" i="39"/>
  <c r="AJ69" i="39"/>
  <c r="X69" i="39"/>
  <c r="P69" i="39"/>
  <c r="S69" i="39" s="1"/>
  <c r="F69" i="39"/>
  <c r="E69" i="39"/>
  <c r="AJ68" i="39"/>
  <c r="X68" i="39"/>
  <c r="P68" i="39"/>
  <c r="S68" i="39" s="1"/>
  <c r="F68" i="39"/>
  <c r="E68" i="39"/>
  <c r="AS67" i="39"/>
  <c r="AJ67" i="39"/>
  <c r="X67" i="39"/>
  <c r="P67" i="39"/>
  <c r="S67" i="39" s="1"/>
  <c r="F67" i="39"/>
  <c r="E67" i="39"/>
  <c r="AS66" i="39"/>
  <c r="AJ66" i="39"/>
  <c r="X66" i="39"/>
  <c r="P66" i="39"/>
  <c r="S66" i="39" s="1"/>
  <c r="F66" i="39"/>
  <c r="E66" i="39"/>
  <c r="AJ65" i="39"/>
  <c r="P65" i="39"/>
  <c r="S65" i="39" s="1"/>
  <c r="F65" i="39"/>
  <c r="E65" i="39"/>
  <c r="AS64" i="39"/>
  <c r="AJ64" i="39"/>
  <c r="X64" i="39"/>
  <c r="P64" i="39"/>
  <c r="S64" i="39" s="1"/>
  <c r="F64" i="39"/>
  <c r="E64" i="39"/>
  <c r="AS63" i="39"/>
  <c r="AJ63" i="39"/>
  <c r="X63" i="39"/>
  <c r="S63" i="39"/>
  <c r="P63" i="39"/>
  <c r="F63" i="39"/>
  <c r="E63" i="39"/>
  <c r="AS62" i="39"/>
  <c r="AJ62" i="39"/>
  <c r="X62" i="39"/>
  <c r="P62" i="39"/>
  <c r="S62" i="39" s="1"/>
  <c r="F62" i="39"/>
  <c r="E62" i="39"/>
  <c r="AS61" i="39"/>
  <c r="AJ61" i="39"/>
  <c r="X61" i="39"/>
  <c r="P61" i="39"/>
  <c r="S61" i="39" s="1"/>
  <c r="F61" i="39"/>
  <c r="E61" i="39"/>
  <c r="AS60" i="39"/>
  <c r="AJ60" i="39"/>
  <c r="X60" i="39"/>
  <c r="P60" i="39"/>
  <c r="S60" i="39" s="1"/>
  <c r="F60" i="39"/>
  <c r="E60" i="39"/>
  <c r="AS59" i="39"/>
  <c r="AS58" i="39"/>
  <c r="AJ58" i="39"/>
  <c r="X58" i="39"/>
  <c r="P58" i="39"/>
  <c r="S58" i="39" s="1"/>
  <c r="F58" i="39"/>
  <c r="E58" i="39"/>
  <c r="AS57" i="39"/>
  <c r="AJ57" i="39"/>
  <c r="X57" i="39"/>
  <c r="P57" i="39"/>
  <c r="S57" i="39" s="1"/>
  <c r="F57" i="39"/>
  <c r="E57" i="39"/>
  <c r="AS56" i="39"/>
  <c r="AJ56" i="39"/>
  <c r="X56" i="39"/>
  <c r="S56" i="39"/>
  <c r="P56" i="39"/>
  <c r="F56" i="39"/>
  <c r="E56" i="39"/>
  <c r="AS55" i="39"/>
  <c r="AJ55" i="39"/>
  <c r="X55" i="39"/>
  <c r="P55" i="39"/>
  <c r="S55" i="39" s="1"/>
  <c r="F55" i="39"/>
  <c r="E55" i="39"/>
  <c r="AS54" i="39"/>
  <c r="AJ54" i="39"/>
  <c r="X54" i="39"/>
  <c r="P54" i="39"/>
  <c r="S54" i="39" s="1"/>
  <c r="F54" i="39"/>
  <c r="E54" i="39"/>
  <c r="AS53" i="39"/>
  <c r="AJ53" i="39"/>
  <c r="X53" i="39"/>
  <c r="S53" i="39"/>
  <c r="P53" i="39"/>
  <c r="F53" i="39"/>
  <c r="E53" i="39"/>
  <c r="AS52" i="39"/>
  <c r="AJ52" i="39"/>
  <c r="X52" i="39"/>
  <c r="P52" i="39"/>
  <c r="S52" i="39" s="1"/>
  <c r="F52" i="39"/>
  <c r="E52" i="39"/>
  <c r="AS51" i="39"/>
  <c r="AJ51" i="39"/>
  <c r="P51" i="39"/>
  <c r="F51" i="39"/>
  <c r="E51" i="39"/>
  <c r="AO49" i="39"/>
  <c r="D49" i="39"/>
  <c r="AS48" i="39"/>
  <c r="AJ48" i="39"/>
  <c r="X48" i="39"/>
  <c r="P48" i="39"/>
  <c r="S48" i="39" s="1"/>
  <c r="F48" i="39"/>
  <c r="E48" i="39"/>
  <c r="AS47" i="39"/>
  <c r="AJ47" i="39"/>
  <c r="P47" i="39"/>
  <c r="S47" i="39" s="1"/>
  <c r="F47" i="39"/>
  <c r="E47" i="39"/>
  <c r="AS46" i="39"/>
  <c r="AJ46" i="39"/>
  <c r="X46" i="39"/>
  <c r="S46" i="39"/>
  <c r="P46" i="39"/>
  <c r="F46" i="39"/>
  <c r="E46" i="39"/>
  <c r="AJ45" i="39"/>
  <c r="P45" i="39"/>
  <c r="S45" i="39" s="1"/>
  <c r="F45" i="39"/>
  <c r="E45" i="39"/>
  <c r="AS44" i="39"/>
  <c r="AJ44" i="39"/>
  <c r="X44" i="39"/>
  <c r="P44" i="39"/>
  <c r="S44" i="39" s="1"/>
  <c r="F44" i="39"/>
  <c r="E44" i="39"/>
  <c r="AS43" i="39"/>
  <c r="AJ43" i="39"/>
  <c r="X43" i="39"/>
  <c r="P43" i="39"/>
  <c r="S43" i="39" s="1"/>
  <c r="F43" i="39"/>
  <c r="E43" i="39"/>
  <c r="AS42" i="39"/>
  <c r="AJ42" i="39"/>
  <c r="P42" i="39"/>
  <c r="S42" i="39" s="1"/>
  <c r="F42" i="39"/>
  <c r="E42" i="39"/>
  <c r="AS41" i="39"/>
  <c r="AJ41" i="39"/>
  <c r="X41" i="39"/>
  <c r="P41" i="39"/>
  <c r="S41" i="39" s="1"/>
  <c r="F41" i="39"/>
  <c r="E41" i="39"/>
  <c r="AS40" i="39"/>
  <c r="AJ40" i="39"/>
  <c r="X40" i="39"/>
  <c r="P40" i="39"/>
  <c r="S40" i="39" s="1"/>
  <c r="F40" i="39"/>
  <c r="E40" i="39"/>
  <c r="AS39" i="39"/>
  <c r="AJ39" i="39"/>
  <c r="X39" i="39"/>
  <c r="P39" i="39"/>
  <c r="S39" i="39" s="1"/>
  <c r="F39" i="39"/>
  <c r="E39" i="39"/>
  <c r="AS38" i="39"/>
  <c r="AJ38" i="39"/>
  <c r="X38" i="39"/>
  <c r="P38" i="39"/>
  <c r="S38" i="39" s="1"/>
  <c r="F38" i="39"/>
  <c r="E38" i="39"/>
  <c r="AO36" i="39"/>
  <c r="D36" i="39"/>
  <c r="AS35" i="39"/>
  <c r="AJ35" i="39"/>
  <c r="X35" i="39"/>
  <c r="P35" i="39"/>
  <c r="S35" i="39" s="1"/>
  <c r="F35" i="39"/>
  <c r="E35" i="39"/>
  <c r="AJ34" i="39"/>
  <c r="P34" i="39"/>
  <c r="S34" i="39" s="1"/>
  <c r="F34" i="39"/>
  <c r="E34" i="39"/>
  <c r="AS33" i="39"/>
  <c r="AJ33" i="39"/>
  <c r="X33" i="39"/>
  <c r="P33" i="39"/>
  <c r="S33" i="39" s="1"/>
  <c r="F33" i="39"/>
  <c r="E33" i="39"/>
  <c r="AJ32" i="39"/>
  <c r="F32" i="39"/>
  <c r="E32" i="39"/>
  <c r="AS31" i="39"/>
  <c r="AJ31" i="39"/>
  <c r="X31" i="39"/>
  <c r="P31" i="39"/>
  <c r="S31" i="39" s="1"/>
  <c r="F31" i="39"/>
  <c r="E31" i="39"/>
  <c r="AJ30" i="39"/>
  <c r="X30" i="39"/>
  <c r="P30" i="39"/>
  <c r="S30" i="39" s="1"/>
  <c r="F30" i="39"/>
  <c r="E30" i="39"/>
  <c r="AS29" i="39"/>
  <c r="AJ29" i="39"/>
  <c r="X29" i="39"/>
  <c r="P29" i="39"/>
  <c r="S29" i="39" s="1"/>
  <c r="F29" i="39"/>
  <c r="E29" i="39"/>
  <c r="AS28" i="39"/>
  <c r="AJ28" i="39"/>
  <c r="X28" i="39"/>
  <c r="P28" i="39"/>
  <c r="S28" i="39" s="1"/>
  <c r="F28" i="39"/>
  <c r="E28" i="39"/>
  <c r="AS27" i="39"/>
  <c r="AJ27" i="39"/>
  <c r="X27" i="39"/>
  <c r="P27" i="39"/>
  <c r="S27" i="39" s="1"/>
  <c r="F27" i="39"/>
  <c r="E27" i="39"/>
  <c r="AS26" i="39"/>
  <c r="AJ26" i="39"/>
  <c r="X26" i="39"/>
  <c r="P26" i="39"/>
  <c r="S26" i="39" s="1"/>
  <c r="F26" i="39"/>
  <c r="E26" i="39"/>
  <c r="AS25" i="39"/>
  <c r="AJ25" i="39"/>
  <c r="X25" i="39"/>
  <c r="P25" i="39"/>
  <c r="S25" i="39" s="1"/>
  <c r="F25" i="39"/>
  <c r="E25" i="39"/>
  <c r="AR23" i="39"/>
  <c r="AO23" i="39"/>
  <c r="D23" i="39"/>
  <c r="AJ22" i="39"/>
  <c r="X22" i="39"/>
  <c r="P22" i="39"/>
  <c r="S22" i="39" s="1"/>
  <c r="F22" i="39"/>
  <c r="E22" i="39"/>
  <c r="AS21" i="39"/>
  <c r="AJ21" i="39"/>
  <c r="X21" i="39"/>
  <c r="P21" i="39"/>
  <c r="S21" i="39" s="1"/>
  <c r="F21" i="39"/>
  <c r="E21" i="39"/>
  <c r="AJ20" i="39"/>
  <c r="P20" i="39"/>
  <c r="S20" i="39" s="1"/>
  <c r="F20" i="39"/>
  <c r="E20" i="39"/>
  <c r="AJ19" i="39"/>
  <c r="X19" i="39"/>
  <c r="P19" i="39"/>
  <c r="S19" i="39" s="1"/>
  <c r="F19" i="39"/>
  <c r="E19" i="39"/>
  <c r="AS18" i="39"/>
  <c r="AJ18" i="39"/>
  <c r="X18" i="39"/>
  <c r="P18" i="39"/>
  <c r="S18" i="39" s="1"/>
  <c r="F18" i="39"/>
  <c r="E18" i="39"/>
  <c r="AJ17" i="39"/>
  <c r="X17" i="39"/>
  <c r="P17" i="39"/>
  <c r="S17" i="39" s="1"/>
  <c r="F17" i="39"/>
  <c r="E17" i="39"/>
  <c r="AJ16" i="39"/>
  <c r="X16" i="39"/>
  <c r="P16" i="39"/>
  <c r="S16" i="39" s="1"/>
  <c r="F16" i="39"/>
  <c r="E16" i="39"/>
  <c r="AS15" i="39"/>
  <c r="AS14" i="39"/>
  <c r="AS13" i="39"/>
  <c r="AJ13" i="39"/>
  <c r="X13" i="39"/>
  <c r="P13" i="39"/>
  <c r="S13" i="39" s="1"/>
  <c r="F13" i="39"/>
  <c r="E13" i="39"/>
  <c r="AS12" i="39"/>
  <c r="AQ12" i="39"/>
  <c r="AH12" i="39"/>
  <c r="AJ12" i="39" s="1"/>
  <c r="AG12" i="39"/>
  <c r="X12" i="39"/>
  <c r="T12" i="39"/>
  <c r="P12" i="39"/>
  <c r="S12" i="39" s="1"/>
  <c r="G12" i="39"/>
  <c r="E12" i="39"/>
  <c r="AS11" i="39"/>
  <c r="AJ11" i="39"/>
  <c r="X11" i="39"/>
  <c r="P11" i="39"/>
  <c r="S11" i="39" s="1"/>
  <c r="F11" i="39"/>
  <c r="E11" i="39"/>
  <c r="A291" i="39"/>
  <c r="C14" i="38" l="1"/>
  <c r="N13" i="53"/>
  <c r="I32" i="66"/>
  <c r="N68" i="66"/>
  <c r="O68" i="66" s="1"/>
  <c r="Q68" i="66" s="1"/>
  <c r="K68" i="66" s="1"/>
  <c r="L68" i="66" s="1"/>
  <c r="N22" i="35"/>
  <c r="O22" i="35" s="1"/>
  <c r="Q22" i="35" s="1"/>
  <c r="K22" i="35" s="1"/>
  <c r="L22" i="35" s="1"/>
  <c r="M18" i="66"/>
  <c r="N18" i="66" s="1"/>
  <c r="I26" i="35"/>
  <c r="I30" i="53"/>
  <c r="F16" i="5"/>
  <c r="N23" i="35"/>
  <c r="N16" i="53"/>
  <c r="N42" i="66"/>
  <c r="M16" i="53"/>
  <c r="I31" i="53"/>
  <c r="F14" i="5"/>
  <c r="I32" i="53"/>
  <c r="O18" i="47"/>
  <c r="O113" i="47"/>
  <c r="O103" i="47"/>
  <c r="O83" i="47"/>
  <c r="O158" i="47"/>
  <c r="O118" i="47"/>
  <c r="O112" i="47"/>
  <c r="O79" i="47"/>
  <c r="O111" i="47"/>
  <c r="O172" i="47"/>
  <c r="O173" i="47"/>
  <c r="O3" i="47"/>
  <c r="O63" i="47"/>
  <c r="O92" i="47"/>
  <c r="O105" i="47"/>
  <c r="O139" i="47"/>
  <c r="O177" i="47"/>
  <c r="O179" i="47"/>
  <c r="O187" i="47"/>
  <c r="O221" i="47"/>
  <c r="J127" i="43"/>
  <c r="J129" i="43"/>
  <c r="J140" i="43"/>
  <c r="J148" i="43"/>
  <c r="J159" i="43"/>
  <c r="J183" i="43"/>
  <c r="J171" i="42"/>
  <c r="J186" i="42"/>
  <c r="J210" i="42"/>
  <c r="J214" i="42"/>
  <c r="J216" i="42"/>
  <c r="J226" i="42"/>
  <c r="J243" i="42"/>
  <c r="J251" i="42"/>
  <c r="J169" i="43"/>
  <c r="J177" i="43"/>
  <c r="J180" i="43"/>
  <c r="J184" i="43"/>
  <c r="J204" i="43"/>
  <c r="J208" i="43"/>
  <c r="J210" i="43"/>
  <c r="J217" i="43"/>
  <c r="J224" i="43"/>
  <c r="J241" i="43"/>
  <c r="J30" i="43"/>
  <c r="J40" i="43"/>
  <c r="J48" i="43"/>
  <c r="J56" i="43"/>
  <c r="J64" i="43"/>
  <c r="J67" i="43"/>
  <c r="J83" i="43"/>
  <c r="J117" i="43"/>
  <c r="J126" i="43"/>
  <c r="J248" i="43"/>
  <c r="J20" i="42"/>
  <c r="J30" i="42"/>
  <c r="J40" i="42"/>
  <c r="J48" i="42"/>
  <c r="J56" i="42"/>
  <c r="J93" i="42"/>
  <c r="J103" i="42"/>
  <c r="J125" i="42"/>
  <c r="J149" i="42"/>
  <c r="J155" i="42"/>
  <c r="J160" i="42"/>
  <c r="J165" i="42"/>
  <c r="J190" i="42"/>
  <c r="J193" i="42"/>
  <c r="J201" i="42"/>
  <c r="J218" i="42"/>
  <c r="J89" i="43"/>
  <c r="J123" i="43"/>
  <c r="J125" i="43"/>
  <c r="J233" i="43"/>
  <c r="J238" i="43"/>
  <c r="J148" i="42"/>
  <c r="J164" i="42"/>
  <c r="J76" i="43"/>
  <c r="J78" i="43"/>
  <c r="J94" i="43"/>
  <c r="J96" i="43"/>
  <c r="J102" i="43"/>
  <c r="J104" i="43"/>
  <c r="J133" i="43"/>
  <c r="J137" i="43"/>
  <c r="J145" i="43"/>
  <c r="J147" i="43"/>
  <c r="J149" i="43"/>
  <c r="J153" i="43"/>
  <c r="J158" i="43"/>
  <c r="J187" i="43"/>
  <c r="J223" i="43"/>
  <c r="J8" i="42"/>
  <c r="J69" i="42"/>
  <c r="J71" i="42"/>
  <c r="J76" i="42"/>
  <c r="J78" i="42"/>
  <c r="J85" i="42"/>
  <c r="J95" i="42"/>
  <c r="J9" i="43"/>
  <c r="J11" i="43"/>
  <c r="J21" i="43"/>
  <c r="J31" i="43"/>
  <c r="J41" i="43"/>
  <c r="J49" i="43"/>
  <c r="J75" i="43"/>
  <c r="J77" i="43"/>
  <c r="J80" i="43"/>
  <c r="J95" i="43"/>
  <c r="J112" i="43"/>
  <c r="J181" i="43"/>
  <c r="J186" i="43"/>
  <c r="J199" i="43"/>
  <c r="J205" i="43"/>
  <c r="J215" i="43"/>
  <c r="J234" i="43"/>
  <c r="J239" i="43"/>
  <c r="J246" i="43"/>
  <c r="J251" i="43"/>
  <c r="J11" i="42"/>
  <c r="J13" i="42"/>
  <c r="J21" i="42"/>
  <c r="J31" i="42"/>
  <c r="J41" i="42"/>
  <c r="J49" i="42"/>
  <c r="J57" i="42"/>
  <c r="J75" i="42"/>
  <c r="J88" i="42"/>
  <c r="J94" i="42"/>
  <c r="J96" i="42"/>
  <c r="J98" i="42"/>
  <c r="J100" i="42"/>
  <c r="J109" i="42"/>
  <c r="J126" i="42"/>
  <c r="J130" i="42"/>
  <c r="J132" i="42"/>
  <c r="J140" i="42"/>
  <c r="J142" i="42"/>
  <c r="J220" i="42"/>
  <c r="BG263" i="1"/>
  <c r="J219" i="43"/>
  <c r="J236" i="43"/>
  <c r="J19" i="42"/>
  <c r="J72" i="42"/>
  <c r="J73" i="42"/>
  <c r="J77" i="42"/>
  <c r="J118" i="42"/>
  <c r="J120" i="42"/>
  <c r="J123" i="42"/>
  <c r="J129" i="42"/>
  <c r="J147" i="42"/>
  <c r="J158" i="42"/>
  <c r="J189" i="42"/>
  <c r="J191" i="42"/>
  <c r="J194" i="42"/>
  <c r="J198" i="42"/>
  <c r="J219" i="42"/>
  <c r="J237" i="42"/>
  <c r="J242" i="42"/>
  <c r="J244" i="42"/>
  <c r="J248" i="42"/>
  <c r="J161" i="43"/>
  <c r="J168" i="43"/>
  <c r="J207" i="43"/>
  <c r="J212" i="43"/>
  <c r="J221" i="43"/>
  <c r="J235" i="43"/>
  <c r="J250" i="43"/>
  <c r="J18" i="42"/>
  <c r="J152" i="42"/>
  <c r="J154" i="42"/>
  <c r="J157" i="42"/>
  <c r="J187" i="42"/>
  <c r="J211" i="42"/>
  <c r="J217" i="42"/>
  <c r="J232" i="42"/>
  <c r="J234" i="42"/>
  <c r="J236" i="42"/>
  <c r="J241" i="42"/>
  <c r="J23" i="43"/>
  <c r="J27" i="43"/>
  <c r="J59" i="43"/>
  <c r="J70" i="43"/>
  <c r="J72" i="43"/>
  <c r="J91" i="43"/>
  <c r="J116" i="43"/>
  <c r="J118" i="43"/>
  <c r="J120" i="43"/>
  <c r="J157" i="43"/>
  <c r="J171" i="43"/>
  <c r="J192" i="43"/>
  <c r="J196" i="43"/>
  <c r="J211" i="43"/>
  <c r="J12" i="43"/>
  <c r="J22" i="43"/>
  <c r="J58" i="43"/>
  <c r="J79" i="43"/>
  <c r="J85" i="43"/>
  <c r="J195" i="43"/>
  <c r="J64" i="42"/>
  <c r="J74" i="42"/>
  <c r="J83" i="42"/>
  <c r="J119" i="42"/>
  <c r="J124" i="42"/>
  <c r="J174" i="42"/>
  <c r="O42" i="47"/>
  <c r="O97" i="47"/>
  <c r="O133" i="47"/>
  <c r="O165" i="47"/>
  <c r="O93" i="47"/>
  <c r="J101" i="43"/>
  <c r="J105" i="43"/>
  <c r="J190" i="43"/>
  <c r="J232" i="43"/>
  <c r="J249" i="43"/>
  <c r="J179" i="42"/>
  <c r="J254" i="42"/>
  <c r="O157" i="47"/>
  <c r="O164" i="47"/>
  <c r="J68" i="43"/>
  <c r="J218" i="43"/>
  <c r="J225" i="43"/>
  <c r="J231" i="43"/>
  <c r="J16" i="42"/>
  <c r="J59" i="42"/>
  <c r="J66" i="42"/>
  <c r="J84" i="42"/>
  <c r="J90" i="42"/>
  <c r="J199" i="42"/>
  <c r="J231" i="42"/>
  <c r="J253" i="42"/>
  <c r="O2" i="47"/>
  <c r="K12" i="1"/>
  <c r="O58" i="47"/>
  <c r="O90" i="47"/>
  <c r="O122" i="47"/>
  <c r="O159" i="47"/>
  <c r="O166" i="47"/>
  <c r="O77" i="47"/>
  <c r="J22" i="42"/>
  <c r="J32" i="42"/>
  <c r="J58" i="42"/>
  <c r="N239" i="42"/>
  <c r="O239" i="42" s="1"/>
  <c r="J252" i="42"/>
  <c r="AO286" i="39"/>
  <c r="D286" i="39"/>
  <c r="O36" i="47"/>
  <c r="O69" i="47"/>
  <c r="O198" i="47"/>
  <c r="J57" i="43"/>
  <c r="J65" i="43"/>
  <c r="J71" i="43"/>
  <c r="J73" i="43"/>
  <c r="J88" i="43"/>
  <c r="J90" i="43"/>
  <c r="J97" i="43"/>
  <c r="J99" i="43"/>
  <c r="J113" i="43"/>
  <c r="J115" i="43"/>
  <c r="J146" i="43"/>
  <c r="J155" i="43"/>
  <c r="O55" i="47"/>
  <c r="O114" i="47"/>
  <c r="O127" i="47"/>
  <c r="J10" i="43"/>
  <c r="J18" i="43"/>
  <c r="J20" i="43"/>
  <c r="J33" i="43"/>
  <c r="J43" i="43"/>
  <c r="J51" i="43"/>
  <c r="J53" i="43"/>
  <c r="J87" i="43"/>
  <c r="J122" i="43"/>
  <c r="H72" i="37"/>
  <c r="O22" i="47"/>
  <c r="O62" i="47"/>
  <c r="O64" i="47"/>
  <c r="O102" i="47"/>
  <c r="O117" i="47"/>
  <c r="O142" i="47"/>
  <c r="O146" i="47"/>
  <c r="J13" i="43"/>
  <c r="J32" i="43"/>
  <c r="J42" i="43"/>
  <c r="J50" i="43"/>
  <c r="J74" i="43"/>
  <c r="J100" i="43"/>
  <c r="J103" i="43"/>
  <c r="J107" i="43"/>
  <c r="J124" i="43"/>
  <c r="J128" i="43"/>
  <c r="N136" i="43"/>
  <c r="O136" i="43" s="1"/>
  <c r="J151" i="43"/>
  <c r="J191" i="43"/>
  <c r="J197" i="43"/>
  <c r="J209" i="43"/>
  <c r="J214" i="43"/>
  <c r="J216" i="43"/>
  <c r="J228" i="43"/>
  <c r="J237" i="43"/>
  <c r="J240" i="43"/>
  <c r="N120" i="42"/>
  <c r="O120" i="42" s="1"/>
  <c r="J200" i="42"/>
  <c r="J212" i="42"/>
  <c r="J238" i="42"/>
  <c r="J246" i="42"/>
  <c r="J119" i="43"/>
  <c r="J142" i="43"/>
  <c r="J150" i="43"/>
  <c r="J156" i="43"/>
  <c r="J162" i="43"/>
  <c r="J176" i="43"/>
  <c r="J188" i="43"/>
  <c r="J198" i="43"/>
  <c r="J200" i="43"/>
  <c r="J213" i="43"/>
  <c r="J229" i="43"/>
  <c r="J163" i="43"/>
  <c r="J182" i="43"/>
  <c r="J185" i="43"/>
  <c r="J243" i="43"/>
  <c r="J245" i="43"/>
  <c r="J10" i="42"/>
  <c r="J12" i="42"/>
  <c r="J29" i="42"/>
  <c r="J35" i="42"/>
  <c r="J39" i="42"/>
  <c r="J45" i="42"/>
  <c r="J47" i="42"/>
  <c r="J55" i="42"/>
  <c r="J65" i="42"/>
  <c r="J80" i="42"/>
  <c r="J102" i="42"/>
  <c r="J106" i="42"/>
  <c r="J115" i="42"/>
  <c r="J117" i="42"/>
  <c r="J131" i="42"/>
  <c r="J135" i="42"/>
  <c r="J156" i="42"/>
  <c r="J166" i="42"/>
  <c r="J173" i="42"/>
  <c r="J184" i="42"/>
  <c r="J195" i="42"/>
  <c r="J221" i="42"/>
  <c r="J227" i="42"/>
  <c r="J240" i="42"/>
  <c r="J250" i="42"/>
  <c r="J152" i="43"/>
  <c r="J154" i="43"/>
  <c r="M243" i="43"/>
  <c r="J242" i="43"/>
  <c r="J9" i="42"/>
  <c r="J26" i="42"/>
  <c r="J28" i="42"/>
  <c r="J38" i="42"/>
  <c r="J44" i="42"/>
  <c r="J46" i="42"/>
  <c r="J54" i="42"/>
  <c r="J67" i="42"/>
  <c r="J92" i="42"/>
  <c r="J99" i="42"/>
  <c r="J101" i="42"/>
  <c r="J110" i="42"/>
  <c r="J128" i="42"/>
  <c r="J153" i="42"/>
  <c r="J161" i="42"/>
  <c r="J168" i="42"/>
  <c r="J170" i="42"/>
  <c r="J176" i="42"/>
  <c r="J183" i="42"/>
  <c r="J185" i="42"/>
  <c r="J203" i="42"/>
  <c r="J209" i="42"/>
  <c r="J213" i="42"/>
  <c r="J222" i="42"/>
  <c r="J228" i="42"/>
  <c r="J235" i="42"/>
  <c r="J239" i="42"/>
  <c r="J245" i="42"/>
  <c r="P33" i="29"/>
  <c r="Q33" i="29" s="1"/>
  <c r="J60" i="29"/>
  <c r="N17" i="53"/>
  <c r="N14" i="66"/>
  <c r="N12" i="35"/>
  <c r="I29" i="35"/>
  <c r="N57" i="53"/>
  <c r="O33" i="29"/>
  <c r="O52" i="29"/>
  <c r="O56" i="29"/>
  <c r="I23" i="35"/>
  <c r="Q24" i="35"/>
  <c r="K24" i="35" s="1"/>
  <c r="L24" i="35" s="1"/>
  <c r="I25" i="35"/>
  <c r="N28" i="35"/>
  <c r="O28" i="35" s="1"/>
  <c r="I34" i="53"/>
  <c r="I70" i="66"/>
  <c r="K122" i="1"/>
  <c r="N138" i="43"/>
  <c r="O138" i="43" s="1"/>
  <c r="N139" i="43"/>
  <c r="O139" i="43" s="1"/>
  <c r="N234" i="43"/>
  <c r="O234" i="43" s="1"/>
  <c r="N112" i="42"/>
  <c r="O112" i="42" s="1"/>
  <c r="N182" i="42"/>
  <c r="O182" i="42" s="1"/>
  <c r="N208" i="42"/>
  <c r="O208" i="42" s="1"/>
  <c r="O123" i="47"/>
  <c r="N118" i="43"/>
  <c r="O118" i="43" s="1"/>
  <c r="J131" i="43"/>
  <c r="J179" i="43"/>
  <c r="J194" i="43"/>
  <c r="N208" i="43"/>
  <c r="O208" i="43" s="1"/>
  <c r="J222" i="43"/>
  <c r="J230" i="43"/>
  <c r="J247" i="43"/>
  <c r="J70" i="42"/>
  <c r="N142" i="42"/>
  <c r="O142" i="42" s="1"/>
  <c r="J182" i="42"/>
  <c r="J249" i="42"/>
  <c r="J69" i="43"/>
  <c r="J130" i="43"/>
  <c r="J138" i="43"/>
  <c r="J167" i="43"/>
  <c r="J173" i="43"/>
  <c r="N178" i="43"/>
  <c r="O178" i="43" s="1"/>
  <c r="J193" i="43"/>
  <c r="N210" i="43"/>
  <c r="O210" i="43" s="1"/>
  <c r="J206" i="43"/>
  <c r="N231" i="43"/>
  <c r="O231" i="43" s="1"/>
  <c r="J244" i="43"/>
  <c r="J68" i="42"/>
  <c r="J79" i="42"/>
  <c r="J150" i="42"/>
  <c r="J196" i="42"/>
  <c r="J202" i="42"/>
  <c r="J224" i="42"/>
  <c r="K69" i="1"/>
  <c r="O73" i="47"/>
  <c r="J63" i="43"/>
  <c r="J66" i="43"/>
  <c r="J114" i="43"/>
  <c r="N66" i="42"/>
  <c r="O66" i="42" s="1"/>
  <c r="J89" i="42"/>
  <c r="N151" i="42"/>
  <c r="O151" i="42" s="1"/>
  <c r="J172" i="42"/>
  <c r="N213" i="42"/>
  <c r="O213" i="42" s="1"/>
  <c r="N140" i="43"/>
  <c r="O140" i="43" s="1"/>
  <c r="J203" i="43"/>
  <c r="J208" i="42"/>
  <c r="N70" i="43"/>
  <c r="O70" i="43" s="1"/>
  <c r="J98" i="43"/>
  <c r="J109" i="43"/>
  <c r="N151" i="43"/>
  <c r="O151" i="43" s="1"/>
  <c r="J172" i="43"/>
  <c r="J82" i="42"/>
  <c r="N114" i="42"/>
  <c r="O114" i="42" s="1"/>
  <c r="J139" i="42"/>
  <c r="J169" i="42"/>
  <c r="N214" i="42"/>
  <c r="J84" i="43"/>
  <c r="J108" i="43"/>
  <c r="J170" i="43"/>
  <c r="J63" i="42"/>
  <c r="J81" i="42"/>
  <c r="J97" i="42"/>
  <c r="J116" i="42"/>
  <c r="J151" i="42"/>
  <c r="J206" i="42"/>
  <c r="N65" i="43"/>
  <c r="O65" i="43" s="1"/>
  <c r="N148" i="43"/>
  <c r="O148" i="43" s="1"/>
  <c r="N146" i="43"/>
  <c r="O146" i="43" s="1"/>
  <c r="N181" i="43"/>
  <c r="O181" i="43" s="1"/>
  <c r="N232" i="42"/>
  <c r="O232" i="42" s="1"/>
  <c r="N71" i="43"/>
  <c r="O71" i="43" s="1"/>
  <c r="J82" i="43"/>
  <c r="J93" i="43"/>
  <c r="J166" i="43"/>
  <c r="N69" i="42"/>
  <c r="O69" i="42" s="1"/>
  <c r="J114" i="42"/>
  <c r="J81" i="43"/>
  <c r="J92" i="43"/>
  <c r="N112" i="43"/>
  <c r="O112" i="43" s="1"/>
  <c r="J165" i="43"/>
  <c r="J91" i="42"/>
  <c r="J108" i="42"/>
  <c r="J175" i="42"/>
  <c r="N41" i="47"/>
  <c r="O41" i="47"/>
  <c r="K15" i="1"/>
  <c r="N44" i="47"/>
  <c r="O44" i="47"/>
  <c r="AX255" i="1"/>
  <c r="J28" i="43"/>
  <c r="J44" i="43"/>
  <c r="J54" i="43"/>
  <c r="E254" i="56"/>
  <c r="J8" i="43"/>
  <c r="J26" i="43"/>
  <c r="J39" i="43"/>
  <c r="J52" i="43"/>
  <c r="J27" i="42"/>
  <c r="J43" i="42"/>
  <c r="J7" i="43"/>
  <c r="J38" i="43"/>
  <c r="J42" i="42"/>
  <c r="J53" i="42"/>
  <c r="J19" i="43"/>
  <c r="J35" i="43"/>
  <c r="J60" i="43"/>
  <c r="J7" i="42"/>
  <c r="J23" i="42"/>
  <c r="J52" i="42"/>
  <c r="J34" i="43"/>
  <c r="J47" i="43"/>
  <c r="J51" i="42"/>
  <c r="J17" i="43"/>
  <c r="J46" i="43"/>
  <c r="J34" i="42"/>
  <c r="J50" i="42"/>
  <c r="O15" i="47"/>
  <c r="J16" i="43"/>
  <c r="J29" i="43"/>
  <c r="J45" i="43"/>
  <c r="J55" i="43"/>
  <c r="J17" i="42"/>
  <c r="J33" i="42"/>
  <c r="J60" i="42"/>
  <c r="BB226" i="1"/>
  <c r="BC226" i="1" s="1"/>
  <c r="BD226" i="1" s="1"/>
  <c r="BE226" i="1" s="1"/>
  <c r="BB236" i="1"/>
  <c r="BC236" i="1" s="1"/>
  <c r="BD236" i="1" s="1"/>
  <c r="BE236" i="1" s="1"/>
  <c r="BB229" i="1"/>
  <c r="BC229" i="1" s="1"/>
  <c r="BD229" i="1" s="1"/>
  <c r="BE229" i="1" s="1"/>
  <c r="BB218" i="1"/>
  <c r="BC218" i="1" s="1"/>
  <c r="BD218" i="1" s="1"/>
  <c r="BE218" i="1" s="1"/>
  <c r="BB216" i="1"/>
  <c r="BC216" i="1" s="1"/>
  <c r="BD216" i="1" s="1"/>
  <c r="BE216" i="1" s="1"/>
  <c r="BB224" i="1"/>
  <c r="BC224" i="1" s="1"/>
  <c r="BD224" i="1" s="1"/>
  <c r="BE224" i="1" s="1"/>
  <c r="BB227" i="1"/>
  <c r="BC227" i="1" s="1"/>
  <c r="BD227" i="1" s="1"/>
  <c r="BE227" i="1" s="1"/>
  <c r="BB234" i="1"/>
  <c r="BC234" i="1" s="1"/>
  <c r="BD234" i="1" s="1"/>
  <c r="BE234" i="1" s="1"/>
  <c r="BB238" i="1"/>
  <c r="BC238" i="1" s="1"/>
  <c r="BD238" i="1" s="1"/>
  <c r="BE238" i="1" s="1"/>
  <c r="BB223" i="1"/>
  <c r="BB221" i="1"/>
  <c r="BC221" i="1" s="1"/>
  <c r="BD221" i="1" s="1"/>
  <c r="BE221" i="1" s="1"/>
  <c r="L15" i="67"/>
  <c r="Q16" i="67"/>
  <c r="Q16" i="22"/>
  <c r="Q17" i="11"/>
  <c r="O25" i="67"/>
  <c r="O25" i="22"/>
  <c r="O26" i="11"/>
  <c r="M25" i="47"/>
  <c r="O25" i="47"/>
  <c r="O28" i="67"/>
  <c r="O28" i="22"/>
  <c r="O29" i="11"/>
  <c r="M28" i="47"/>
  <c r="O28" i="47"/>
  <c r="A46" i="37"/>
  <c r="A47" i="37" s="1"/>
  <c r="A48" i="37" s="1"/>
  <c r="A49" i="37" s="1"/>
  <c r="A50" i="37" s="1"/>
  <c r="A51" i="37" s="1"/>
  <c r="A52" i="37" s="1"/>
  <c r="A53" i="37" s="1"/>
  <c r="A54" i="37" s="1"/>
  <c r="A55" i="37" s="1"/>
  <c r="A56" i="37" s="1"/>
  <c r="A57" i="37" s="1"/>
  <c r="A122" i="37" s="1"/>
  <c r="A58" i="37" s="1"/>
  <c r="A59" i="37" s="1"/>
  <c r="A60" i="37" s="1"/>
  <c r="A61" i="37" s="1"/>
  <c r="A62" i="37" s="1"/>
  <c r="A27" i="37"/>
  <c r="A28" i="37" s="1"/>
  <c r="A29" i="37" s="1"/>
  <c r="A30" i="37" s="1"/>
  <c r="A31" i="37" s="1"/>
  <c r="A32" i="37" s="1"/>
  <c r="A33" i="37" s="1"/>
  <c r="A34" i="37" s="1"/>
  <c r="A35" i="37" s="1"/>
  <c r="A36" i="37" s="1"/>
  <c r="A121" i="37" s="1"/>
  <c r="A37" i="37" s="1"/>
  <c r="A38" i="37" s="1"/>
  <c r="A39" i="37" s="1"/>
  <c r="A40" i="37" s="1"/>
  <c r="A41" i="37" s="1"/>
  <c r="A42"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43" i="37" s="1"/>
  <c r="A44" i="37" s="1"/>
  <c r="A45" i="37" s="1"/>
  <c r="L21" i="67"/>
  <c r="L40" i="67"/>
  <c r="L41" i="67"/>
  <c r="BE12" i="1"/>
  <c r="O5" i="67"/>
  <c r="O5" i="22"/>
  <c r="O6" i="11"/>
  <c r="M5" i="47"/>
  <c r="O5" i="47"/>
  <c r="L24" i="67"/>
  <c r="L27" i="67"/>
  <c r="O12" i="67"/>
  <c r="O12" i="22"/>
  <c r="O13" i="11"/>
  <c r="M12" i="47"/>
  <c r="O12" i="47"/>
  <c r="L4" i="67"/>
  <c r="L5" i="67"/>
  <c r="O6" i="67"/>
  <c r="O6" i="22"/>
  <c r="O7" i="11"/>
  <c r="M6" i="47"/>
  <c r="O6" i="47"/>
  <c r="O7" i="67"/>
  <c r="O7" i="22"/>
  <c r="O8" i="11"/>
  <c r="M7" i="47"/>
  <c r="O7" i="47"/>
  <c r="L17" i="67"/>
  <c r="L13" i="67"/>
  <c r="L6" i="67"/>
  <c r="L8" i="67"/>
  <c r="O13" i="67"/>
  <c r="O13" i="22"/>
  <c r="O14" i="11"/>
  <c r="M13" i="47"/>
  <c r="O13" i="47"/>
  <c r="O14" i="67"/>
  <c r="O14" i="22"/>
  <c r="O15" i="11"/>
  <c r="M14" i="47"/>
  <c r="O14" i="47"/>
  <c r="L30" i="67"/>
  <c r="L52" i="67"/>
  <c r="G2" i="67"/>
  <c r="G2" i="22"/>
  <c r="G3" i="11"/>
  <c r="P2" i="47"/>
  <c r="P2" i="67"/>
  <c r="P2" i="22"/>
  <c r="P3" i="11"/>
  <c r="G3" i="67"/>
  <c r="G3" i="22"/>
  <c r="G4" i="11"/>
  <c r="P3" i="47"/>
  <c r="P3" i="67"/>
  <c r="P3" i="22"/>
  <c r="P4" i="11"/>
  <c r="H4" i="67"/>
  <c r="H4" i="22"/>
  <c r="H5" i="11"/>
  <c r="Q4" i="47"/>
  <c r="L7" i="67"/>
  <c r="J8" i="67"/>
  <c r="J8" i="22"/>
  <c r="J9" i="11"/>
  <c r="H13" i="42"/>
  <c r="I8" i="47"/>
  <c r="H13" i="43"/>
  <c r="G11" i="67"/>
  <c r="G11" i="22"/>
  <c r="G12" i="11"/>
  <c r="P11" i="47"/>
  <c r="P11" i="67"/>
  <c r="P11" i="22"/>
  <c r="P12" i="11"/>
  <c r="L14" i="67"/>
  <c r="H15" i="67"/>
  <c r="H15" i="22"/>
  <c r="H16" i="11"/>
  <c r="Q15" i="47"/>
  <c r="G16" i="67"/>
  <c r="G16" i="22"/>
  <c r="G17" i="11"/>
  <c r="P16" i="47"/>
  <c r="J17" i="67"/>
  <c r="J17" i="22"/>
  <c r="J18" i="11"/>
  <c r="H22" i="42"/>
  <c r="I17" i="47"/>
  <c r="H22" i="43"/>
  <c r="P22" i="67"/>
  <c r="P22" i="22"/>
  <c r="P23" i="11"/>
  <c r="L25" i="67"/>
  <c r="J29" i="67"/>
  <c r="J29" i="22"/>
  <c r="J30" i="11"/>
  <c r="H34" i="42"/>
  <c r="H34" i="43"/>
  <c r="I29" i="47"/>
  <c r="L33" i="67"/>
  <c r="G34" i="67"/>
  <c r="G34" i="22"/>
  <c r="G35" i="11"/>
  <c r="P34" i="47"/>
  <c r="BB45" i="1"/>
  <c r="BC45" i="1" s="1"/>
  <c r="BD45" i="1" s="1"/>
  <c r="BE45" i="1" s="1"/>
  <c r="L36" i="67"/>
  <c r="O45" i="67"/>
  <c r="O45" i="22"/>
  <c r="O46" i="11"/>
  <c r="M45" i="47"/>
  <c r="O45" i="47"/>
  <c r="O52" i="67"/>
  <c r="O52" i="22"/>
  <c r="O53" i="11"/>
  <c r="M52" i="47"/>
  <c r="H59" i="67"/>
  <c r="H59" i="22"/>
  <c r="H60" i="11"/>
  <c r="Q59" i="47"/>
  <c r="P64" i="67"/>
  <c r="P64" i="22"/>
  <c r="P65" i="11"/>
  <c r="P69" i="67"/>
  <c r="P69" i="22"/>
  <c r="P70" i="11"/>
  <c r="O70" i="67"/>
  <c r="O70" i="22"/>
  <c r="O71" i="11"/>
  <c r="M70" i="47"/>
  <c r="O70" i="47"/>
  <c r="O72" i="67"/>
  <c r="O86" i="22"/>
  <c r="O87" i="11"/>
  <c r="M86" i="47"/>
  <c r="O86" i="47"/>
  <c r="H76" i="67"/>
  <c r="H94" i="22"/>
  <c r="H95" i="11"/>
  <c r="Q94" i="47"/>
  <c r="O79" i="67"/>
  <c r="O98" i="22"/>
  <c r="O99" i="11"/>
  <c r="M98" i="47"/>
  <c r="O98" i="47"/>
  <c r="P86" i="67"/>
  <c r="P102" i="22"/>
  <c r="P103" i="11"/>
  <c r="L95" i="67"/>
  <c r="O99" i="67"/>
  <c r="O87" i="22"/>
  <c r="O88" i="11"/>
  <c r="M87" i="47"/>
  <c r="O87" i="47"/>
  <c r="O108" i="67"/>
  <c r="O121" i="22"/>
  <c r="O122" i="11"/>
  <c r="M121" i="47"/>
  <c r="O121" i="47"/>
  <c r="O111" i="67"/>
  <c r="O143" i="22"/>
  <c r="O144" i="11"/>
  <c r="M143" i="47"/>
  <c r="O143" i="47"/>
  <c r="L112" i="67"/>
  <c r="L113" i="67"/>
  <c r="L116" i="67"/>
  <c r="O117" i="67"/>
  <c r="O132" i="22"/>
  <c r="O133" i="11"/>
  <c r="M132" i="47"/>
  <c r="O132" i="47"/>
  <c r="O120" i="67"/>
  <c r="O136" i="22"/>
  <c r="O137" i="11"/>
  <c r="M136" i="47"/>
  <c r="O136" i="47"/>
  <c r="O121" i="67"/>
  <c r="O137" i="22"/>
  <c r="O138" i="11"/>
  <c r="M137" i="47"/>
  <c r="P122" i="67"/>
  <c r="P139" i="22"/>
  <c r="P140" i="11"/>
  <c r="O124" i="67"/>
  <c r="O155" i="22"/>
  <c r="O156" i="11"/>
  <c r="M155" i="47"/>
  <c r="O155" i="47"/>
  <c r="L125" i="67"/>
  <c r="L129" i="67"/>
  <c r="G130" i="67"/>
  <c r="G146" i="22"/>
  <c r="G147" i="11"/>
  <c r="P146" i="47"/>
  <c r="O134" i="67"/>
  <c r="O152" i="22"/>
  <c r="O153" i="11"/>
  <c r="M152" i="47"/>
  <c r="O152" i="47"/>
  <c r="O139" i="67"/>
  <c r="O128" i="22"/>
  <c r="O129" i="11"/>
  <c r="M128" i="47"/>
  <c r="O128" i="47"/>
  <c r="L161" i="67"/>
  <c r="L165" i="67"/>
  <c r="L169" i="67"/>
  <c r="O170" i="67"/>
  <c r="O170" i="22"/>
  <c r="O171" i="11"/>
  <c r="M170" i="47"/>
  <c r="O170" i="47"/>
  <c r="L182" i="67"/>
  <c r="L186" i="67"/>
  <c r="L206" i="67"/>
  <c r="O207" i="67"/>
  <c r="O207" i="22"/>
  <c r="O208" i="11"/>
  <c r="M207" i="47"/>
  <c r="O207" i="47"/>
  <c r="O222" i="67"/>
  <c r="O223" i="22"/>
  <c r="O224" i="11"/>
  <c r="M223" i="47"/>
  <c r="O223" i="47"/>
  <c r="H2" i="67"/>
  <c r="H2" i="22"/>
  <c r="H3" i="11"/>
  <c r="AW241" i="1"/>
  <c r="Q2" i="47"/>
  <c r="H3" i="67"/>
  <c r="H3" i="22"/>
  <c r="H4" i="11"/>
  <c r="Q3" i="47"/>
  <c r="J7" i="67"/>
  <c r="J7" i="22"/>
  <c r="J8" i="11"/>
  <c r="H12" i="42"/>
  <c r="H12" i="43"/>
  <c r="I7" i="47"/>
  <c r="H11" i="67"/>
  <c r="H11" i="22"/>
  <c r="H12" i="11"/>
  <c r="Q11" i="47"/>
  <c r="BB22" i="1"/>
  <c r="BC22" i="1" s="1"/>
  <c r="BD22" i="1" s="1"/>
  <c r="BE22" i="1" s="1"/>
  <c r="J14" i="67"/>
  <c r="J14" i="22"/>
  <c r="J15" i="11"/>
  <c r="H19" i="42"/>
  <c r="I14" i="47"/>
  <c r="H19" i="43"/>
  <c r="H16" i="67"/>
  <c r="H16" i="22"/>
  <c r="H17" i="11"/>
  <c r="Q16" i="47"/>
  <c r="L18" i="67"/>
  <c r="G22" i="67"/>
  <c r="G22" i="22"/>
  <c r="G23" i="11"/>
  <c r="P22" i="47"/>
  <c r="L26" i="67"/>
  <c r="J33" i="67"/>
  <c r="J33" i="22"/>
  <c r="J34" i="11"/>
  <c r="H38" i="42"/>
  <c r="I33" i="47"/>
  <c r="H38" i="43"/>
  <c r="P33" i="67"/>
  <c r="P33" i="22"/>
  <c r="P34" i="11"/>
  <c r="H34" i="67"/>
  <c r="H34" i="22"/>
  <c r="H35" i="11"/>
  <c r="Q34" i="47"/>
  <c r="J36" i="67"/>
  <c r="J36" i="22"/>
  <c r="J37" i="11"/>
  <c r="H41" i="42"/>
  <c r="H41" i="43"/>
  <c r="I36" i="47"/>
  <c r="J43" i="67"/>
  <c r="J43" i="22"/>
  <c r="J44" i="11"/>
  <c r="H48" i="42"/>
  <c r="H48" i="43"/>
  <c r="I43" i="47"/>
  <c r="O44" i="67"/>
  <c r="O44" i="22"/>
  <c r="O45" i="11"/>
  <c r="M44" i="47"/>
  <c r="BB57" i="1"/>
  <c r="G50" i="67"/>
  <c r="G50" i="22"/>
  <c r="G51" i="11"/>
  <c r="P50" i="47"/>
  <c r="L58" i="67"/>
  <c r="L59" i="67"/>
  <c r="L62" i="67"/>
  <c r="L63" i="67"/>
  <c r="O66" i="67"/>
  <c r="O65" i="22"/>
  <c r="O66" i="11"/>
  <c r="M66" i="47"/>
  <c r="O66" i="47"/>
  <c r="O68" i="67"/>
  <c r="O68" i="22"/>
  <c r="O69" i="11"/>
  <c r="M68" i="47"/>
  <c r="L76" i="67"/>
  <c r="J81" i="67"/>
  <c r="J72" i="22"/>
  <c r="J73" i="11"/>
  <c r="H232" i="42"/>
  <c r="I72" i="47"/>
  <c r="H229" i="43"/>
  <c r="O85" i="67"/>
  <c r="O101" i="22"/>
  <c r="O102" i="11"/>
  <c r="M101" i="47"/>
  <c r="H91" i="67"/>
  <c r="H107" i="11"/>
  <c r="H106" i="22"/>
  <c r="Q106" i="47"/>
  <c r="O93" i="67"/>
  <c r="O110" i="22"/>
  <c r="O111" i="11"/>
  <c r="M110" i="47"/>
  <c r="P94" i="67"/>
  <c r="P83" i="22"/>
  <c r="P84" i="11"/>
  <c r="O96" i="67"/>
  <c r="O156" i="22"/>
  <c r="O157" i="11"/>
  <c r="M156" i="47"/>
  <c r="O156" i="47"/>
  <c r="L97" i="67"/>
  <c r="L101" i="67"/>
  <c r="O107" i="67"/>
  <c r="O120" i="22"/>
  <c r="O121" i="11"/>
  <c r="M120" i="47"/>
  <c r="O120" i="47"/>
  <c r="L108" i="67"/>
  <c r="L109" i="67"/>
  <c r="O119" i="67"/>
  <c r="O135" i="22"/>
  <c r="O136" i="11"/>
  <c r="M135" i="47"/>
  <c r="O135" i="47"/>
  <c r="L124" i="67"/>
  <c r="L196" i="67"/>
  <c r="F12" i="39"/>
  <c r="G5" i="67"/>
  <c r="G5" i="22"/>
  <c r="G6" i="11"/>
  <c r="P5" i="47"/>
  <c r="P5" i="67"/>
  <c r="P5" i="22"/>
  <c r="P6" i="11"/>
  <c r="G6" i="67"/>
  <c r="G6" i="22"/>
  <c r="G7" i="11"/>
  <c r="P6" i="47"/>
  <c r="P6" i="67"/>
  <c r="P6" i="22"/>
  <c r="P7" i="11"/>
  <c r="BB18" i="1"/>
  <c r="BC18" i="1" s="1"/>
  <c r="BD18" i="1" s="1"/>
  <c r="BE18" i="1" s="1"/>
  <c r="G13" i="67"/>
  <c r="G13" i="22"/>
  <c r="G14" i="11"/>
  <c r="P13" i="47"/>
  <c r="P13" i="67"/>
  <c r="P13" i="22"/>
  <c r="P14" i="11"/>
  <c r="L16" i="67"/>
  <c r="J18" i="67"/>
  <c r="J18" i="22"/>
  <c r="J19" i="11"/>
  <c r="H23" i="42"/>
  <c r="I18" i="47"/>
  <c r="H23" i="43"/>
  <c r="J23" i="67"/>
  <c r="J23" i="22"/>
  <c r="J24" i="11"/>
  <c r="H28" i="42"/>
  <c r="I23" i="47"/>
  <c r="H28" i="43"/>
  <c r="J24" i="67"/>
  <c r="J24" i="22"/>
  <c r="J25" i="11"/>
  <c r="H29" i="42"/>
  <c r="I24" i="47"/>
  <c r="H29" i="43"/>
  <c r="J26" i="67"/>
  <c r="J26" i="22"/>
  <c r="J27" i="11"/>
  <c r="H31" i="42"/>
  <c r="I26" i="47"/>
  <c r="H31" i="43"/>
  <c r="J27" i="67"/>
  <c r="J27" i="22"/>
  <c r="J28" i="11"/>
  <c r="H32" i="42"/>
  <c r="I27" i="47"/>
  <c r="H32" i="43"/>
  <c r="P27" i="67"/>
  <c r="P27" i="22"/>
  <c r="P28" i="11"/>
  <c r="BB39" i="1"/>
  <c r="BC39" i="1" s="1"/>
  <c r="BD39" i="1" s="1"/>
  <c r="BE39" i="1" s="1"/>
  <c r="O29" i="67"/>
  <c r="O29" i="22"/>
  <c r="O30" i="11"/>
  <c r="M29" i="47"/>
  <c r="BB43" i="1"/>
  <c r="BC43" i="1" s="1"/>
  <c r="BD43" i="1" s="1"/>
  <c r="BE43" i="1" s="1"/>
  <c r="L37" i="67"/>
  <c r="O38" i="67"/>
  <c r="O38" i="22"/>
  <c r="O39" i="11"/>
  <c r="M38" i="47"/>
  <c r="O39" i="67"/>
  <c r="O39" i="22"/>
  <c r="O40" i="11"/>
  <c r="M39" i="47"/>
  <c r="O42" i="67"/>
  <c r="O42" i="22"/>
  <c r="O43" i="11"/>
  <c r="M42" i="47"/>
  <c r="J46" i="67"/>
  <c r="J46" i="22"/>
  <c r="J47" i="11"/>
  <c r="H51" i="42"/>
  <c r="H51" i="43"/>
  <c r="I46" i="47"/>
  <c r="H50" i="67"/>
  <c r="H50" i="22"/>
  <c r="H51" i="11"/>
  <c r="Q50" i="47"/>
  <c r="O54" i="67"/>
  <c r="O54" i="22"/>
  <c r="O55" i="11"/>
  <c r="M54" i="47"/>
  <c r="O54" i="47"/>
  <c r="J58" i="67"/>
  <c r="J58" i="22"/>
  <c r="J59" i="11"/>
  <c r="H138" i="42"/>
  <c r="H136" i="43"/>
  <c r="I58" i="47"/>
  <c r="G60" i="67"/>
  <c r="G60" i="22"/>
  <c r="G61" i="11"/>
  <c r="P60" i="47"/>
  <c r="G64" i="67"/>
  <c r="G64" i="22"/>
  <c r="G65" i="11"/>
  <c r="P64" i="47"/>
  <c r="G69" i="67"/>
  <c r="G69" i="22"/>
  <c r="G70" i="11"/>
  <c r="P69" i="47"/>
  <c r="O71" i="67"/>
  <c r="O84" i="22"/>
  <c r="O85" i="11"/>
  <c r="M85" i="47"/>
  <c r="O85" i="47"/>
  <c r="P75" i="67"/>
  <c r="P92" i="22"/>
  <c r="P93" i="11"/>
  <c r="BB90" i="1"/>
  <c r="G86" i="67"/>
  <c r="G102" i="22"/>
  <c r="G103" i="11"/>
  <c r="P102" i="47"/>
  <c r="L91" i="67"/>
  <c r="L96" i="67"/>
  <c r="O113" i="67"/>
  <c r="O153" i="22"/>
  <c r="O154" i="11"/>
  <c r="M153" i="47"/>
  <c r="O153" i="47"/>
  <c r="L121" i="67"/>
  <c r="G122" i="67"/>
  <c r="G140" i="11"/>
  <c r="G139" i="22"/>
  <c r="P139" i="47"/>
  <c r="J166" i="22"/>
  <c r="J126" i="67"/>
  <c r="J167" i="11"/>
  <c r="H195" i="42"/>
  <c r="I166" i="47"/>
  <c r="H192" i="43"/>
  <c r="O129" i="67"/>
  <c r="O145" i="22"/>
  <c r="O146" i="11"/>
  <c r="M145" i="47"/>
  <c r="O145" i="47"/>
  <c r="O133" i="67"/>
  <c r="O150" i="22"/>
  <c r="O151" i="11"/>
  <c r="M150" i="47"/>
  <c r="O150" i="47"/>
  <c r="L150" i="67"/>
  <c r="L156" i="67"/>
  <c r="O158" i="67"/>
  <c r="O108" i="22"/>
  <c r="O109" i="11"/>
  <c r="M108" i="47"/>
  <c r="O108" i="47"/>
  <c r="O160" i="67"/>
  <c r="O119" i="22"/>
  <c r="O120" i="11"/>
  <c r="M119" i="47"/>
  <c r="O119" i="47"/>
  <c r="L174" i="67"/>
  <c r="O178" i="67"/>
  <c r="O178" i="22"/>
  <c r="O179" i="11"/>
  <c r="M178" i="47"/>
  <c r="O178" i="47"/>
  <c r="L194" i="67"/>
  <c r="O195" i="67"/>
  <c r="O195" i="22"/>
  <c r="O196" i="11"/>
  <c r="M195" i="47"/>
  <c r="O195" i="47"/>
  <c r="L2" i="67"/>
  <c r="L3" i="67"/>
  <c r="J4" i="67"/>
  <c r="J4" i="22"/>
  <c r="J5" i="11"/>
  <c r="H9" i="42"/>
  <c r="I4" i="47"/>
  <c r="H9" i="43"/>
  <c r="H5" i="67"/>
  <c r="H5" i="22"/>
  <c r="H6" i="11"/>
  <c r="Q5" i="47"/>
  <c r="H6" i="67"/>
  <c r="H6" i="22"/>
  <c r="H7" i="11"/>
  <c r="Q6" i="47"/>
  <c r="O8" i="67"/>
  <c r="O8" i="22"/>
  <c r="O9" i="11"/>
  <c r="M8" i="47"/>
  <c r="L11" i="67"/>
  <c r="G12" i="67"/>
  <c r="G12" i="22"/>
  <c r="G13" i="11"/>
  <c r="P12" i="47"/>
  <c r="P12" i="67"/>
  <c r="P12" i="22"/>
  <c r="P13" i="11"/>
  <c r="H13" i="67"/>
  <c r="H13" i="22"/>
  <c r="H14" i="11"/>
  <c r="Q13" i="47"/>
  <c r="J15" i="67"/>
  <c r="J15" i="22"/>
  <c r="J16" i="11"/>
  <c r="H20" i="42"/>
  <c r="H20" i="43"/>
  <c r="I15" i="47"/>
  <c r="J16" i="67"/>
  <c r="J16" i="22"/>
  <c r="J17" i="11"/>
  <c r="H21" i="42"/>
  <c r="I16" i="47"/>
  <c r="H21" i="43"/>
  <c r="O17" i="67"/>
  <c r="O17" i="22"/>
  <c r="O18" i="11"/>
  <c r="M17" i="47"/>
  <c r="I19" i="67"/>
  <c r="I19" i="22"/>
  <c r="I20" i="11"/>
  <c r="G19" i="47"/>
  <c r="J21" i="67"/>
  <c r="J21" i="22"/>
  <c r="J22" i="11"/>
  <c r="H26" i="42"/>
  <c r="H26" i="43"/>
  <c r="I21" i="47"/>
  <c r="BB37" i="1"/>
  <c r="BC37" i="1" s="1"/>
  <c r="BD37" i="1" s="1"/>
  <c r="BE37" i="1" s="1"/>
  <c r="G28" i="67"/>
  <c r="G28" i="22"/>
  <c r="G29" i="11"/>
  <c r="P28" i="47"/>
  <c r="P28" i="67"/>
  <c r="P28" i="22"/>
  <c r="P29" i="11"/>
  <c r="P29" i="67"/>
  <c r="P29" i="22"/>
  <c r="P30" i="11"/>
  <c r="H30" i="67"/>
  <c r="H30" i="22"/>
  <c r="H31" i="11"/>
  <c r="Q30" i="47"/>
  <c r="L34" i="67"/>
  <c r="J37" i="67"/>
  <c r="J37" i="22"/>
  <c r="J38" i="11"/>
  <c r="H42" i="42"/>
  <c r="H42" i="43"/>
  <c r="I37" i="47"/>
  <c r="O41" i="67"/>
  <c r="O41" i="22"/>
  <c r="O42" i="11"/>
  <c r="M41" i="47"/>
  <c r="L44" i="67"/>
  <c r="J45" i="67"/>
  <c r="J45" i="22"/>
  <c r="J46" i="11"/>
  <c r="H50" i="42"/>
  <c r="H50" i="43"/>
  <c r="I45" i="47"/>
  <c r="BB56" i="1"/>
  <c r="BC56" i="1" s="1"/>
  <c r="BD56" i="1" s="1"/>
  <c r="BE56" i="1" s="1"/>
  <c r="O48" i="67"/>
  <c r="O48" i="22"/>
  <c r="O49" i="11"/>
  <c r="M48" i="47"/>
  <c r="O48" i="47"/>
  <c r="L50" i="67"/>
  <c r="O53" i="67"/>
  <c r="O53" i="22"/>
  <c r="O54" i="11"/>
  <c r="M53" i="47"/>
  <c r="H60" i="67"/>
  <c r="H60" i="22"/>
  <c r="H61" i="11"/>
  <c r="Q60" i="47"/>
  <c r="O67" i="67"/>
  <c r="O67" i="22"/>
  <c r="O68" i="11"/>
  <c r="M67" i="47"/>
  <c r="O67" i="47"/>
  <c r="L68" i="67"/>
  <c r="O77" i="67"/>
  <c r="O95" i="22"/>
  <c r="O96" i="11"/>
  <c r="M95" i="47"/>
  <c r="O95" i="47"/>
  <c r="J79" i="67"/>
  <c r="J98" i="22"/>
  <c r="J99" i="11"/>
  <c r="H95" i="42"/>
  <c r="I98" i="47"/>
  <c r="H94" i="43"/>
  <c r="O82" i="67"/>
  <c r="O100" i="11"/>
  <c r="O99" i="22"/>
  <c r="M99" i="47"/>
  <c r="O83" i="67"/>
  <c r="O100" i="22"/>
  <c r="O101" i="11"/>
  <c r="M100" i="47"/>
  <c r="O100" i="47"/>
  <c r="L85" i="67"/>
  <c r="H89" i="67"/>
  <c r="H104" i="22"/>
  <c r="H105" i="11"/>
  <c r="Q104" i="47"/>
  <c r="P90" i="67"/>
  <c r="P105" i="22"/>
  <c r="P106" i="11"/>
  <c r="O92" i="67"/>
  <c r="O109" i="22"/>
  <c r="O110" i="11"/>
  <c r="M109" i="47"/>
  <c r="O109" i="47"/>
  <c r="L93" i="67"/>
  <c r="G94" i="67"/>
  <c r="G84" i="11"/>
  <c r="G83" i="22"/>
  <c r="P83" i="47"/>
  <c r="J158" i="22"/>
  <c r="J98" i="67"/>
  <c r="J159" i="11"/>
  <c r="H99" i="42"/>
  <c r="I158" i="47"/>
  <c r="H98" i="43"/>
  <c r="J102" i="67"/>
  <c r="J114" i="22"/>
  <c r="J115" i="11"/>
  <c r="H173" i="42"/>
  <c r="I114" i="47"/>
  <c r="H170" i="43"/>
  <c r="H103" i="67"/>
  <c r="H115" i="22"/>
  <c r="H116" i="11"/>
  <c r="Q115" i="47"/>
  <c r="O105" i="67"/>
  <c r="O117" i="22"/>
  <c r="O118" i="11"/>
  <c r="M117" i="47"/>
  <c r="J110" i="67"/>
  <c r="J142" i="22"/>
  <c r="J143" i="11"/>
  <c r="H129" i="42"/>
  <c r="I142" i="47"/>
  <c r="H128" i="43"/>
  <c r="BB137" i="1"/>
  <c r="BC137" i="1" s="1"/>
  <c r="BD137" i="1" s="1"/>
  <c r="BE137" i="1" s="1"/>
  <c r="O131" i="67"/>
  <c r="O148" i="11"/>
  <c r="O147" i="22"/>
  <c r="M147" i="47"/>
  <c r="O147" i="47"/>
  <c r="L133" i="67"/>
  <c r="L148" i="67"/>
  <c r="O149" i="67"/>
  <c r="O75" i="22"/>
  <c r="O76" i="11"/>
  <c r="M75" i="47"/>
  <c r="O75" i="47"/>
  <c r="L164" i="67"/>
  <c r="L168" i="67"/>
  <c r="L178" i="67"/>
  <c r="L180" i="67"/>
  <c r="O192" i="67"/>
  <c r="O192" i="22"/>
  <c r="O193" i="11"/>
  <c r="M192" i="47"/>
  <c r="O192" i="47"/>
  <c r="A2" i="42"/>
  <c r="A2" i="43"/>
  <c r="J2" i="67"/>
  <c r="J2" i="22"/>
  <c r="J3" i="11"/>
  <c r="H7" i="42"/>
  <c r="H7" i="43"/>
  <c r="I2" i="47"/>
  <c r="J3" i="67"/>
  <c r="J3" i="22"/>
  <c r="J4" i="11"/>
  <c r="H8" i="42"/>
  <c r="I3" i="47"/>
  <c r="H8" i="43"/>
  <c r="G8" i="67"/>
  <c r="G8" i="22"/>
  <c r="G9" i="11"/>
  <c r="P8" i="47"/>
  <c r="P8" i="67"/>
  <c r="P8" i="22"/>
  <c r="P9" i="11"/>
  <c r="I9" i="67"/>
  <c r="I9" i="22"/>
  <c r="I10" i="11"/>
  <c r="G9" i="47"/>
  <c r="J11" i="67"/>
  <c r="J11" i="22"/>
  <c r="J12" i="11"/>
  <c r="H16" i="42"/>
  <c r="H16" i="43"/>
  <c r="I11" i="47"/>
  <c r="H12" i="67"/>
  <c r="H12" i="22"/>
  <c r="H13" i="11"/>
  <c r="Q12" i="47"/>
  <c r="BB25" i="1"/>
  <c r="O15" i="67"/>
  <c r="O15" i="22"/>
  <c r="O16" i="11"/>
  <c r="M15" i="47"/>
  <c r="G17" i="67"/>
  <c r="G17" i="22"/>
  <c r="G18" i="11"/>
  <c r="P17" i="47"/>
  <c r="P17" i="67"/>
  <c r="P17" i="22"/>
  <c r="P18" i="11"/>
  <c r="BB28" i="1"/>
  <c r="O21" i="67"/>
  <c r="O21" i="22"/>
  <c r="O22" i="11"/>
  <c r="M21" i="47"/>
  <c r="L22" i="67"/>
  <c r="BB33" i="1"/>
  <c r="BC33" i="1" s="1"/>
  <c r="BD33" i="1" s="1"/>
  <c r="BE33" i="1" s="1"/>
  <c r="BB34" i="1"/>
  <c r="BC34" i="1" s="1"/>
  <c r="BD34" i="1" s="1"/>
  <c r="BE34" i="1" s="1"/>
  <c r="BB36" i="1"/>
  <c r="BC36" i="1" s="1"/>
  <c r="BD36" i="1" s="1"/>
  <c r="BE36" i="1" s="1"/>
  <c r="O26" i="67"/>
  <c r="O26" i="22"/>
  <c r="O27" i="11"/>
  <c r="M26" i="47"/>
  <c r="H28" i="67"/>
  <c r="H28" i="22"/>
  <c r="H29" i="11"/>
  <c r="Q28" i="47"/>
  <c r="G29" i="67"/>
  <c r="G29" i="22"/>
  <c r="G30" i="11"/>
  <c r="P29" i="47"/>
  <c r="J34" i="67"/>
  <c r="J34" i="22"/>
  <c r="J35" i="11"/>
  <c r="H39" i="42"/>
  <c r="H39" i="43"/>
  <c r="I34" i="47"/>
  <c r="H35" i="67"/>
  <c r="H35" i="22"/>
  <c r="H36" i="11"/>
  <c r="Q35" i="47"/>
  <c r="O37" i="67"/>
  <c r="O37" i="22"/>
  <c r="O38" i="11"/>
  <c r="M37" i="47"/>
  <c r="O37" i="47"/>
  <c r="L38" i="67"/>
  <c r="L39" i="67"/>
  <c r="P40" i="67"/>
  <c r="P40" i="22"/>
  <c r="P41" i="11"/>
  <c r="L42" i="67"/>
  <c r="J44" i="67"/>
  <c r="J44" i="22"/>
  <c r="J45" i="11"/>
  <c r="H49" i="42"/>
  <c r="H49" i="43"/>
  <c r="I44" i="47"/>
  <c r="BB55" i="1"/>
  <c r="BC55" i="1" s="1"/>
  <c r="BD55" i="1" s="1"/>
  <c r="BE55" i="1" s="1"/>
  <c r="O47" i="67"/>
  <c r="O47" i="22"/>
  <c r="O48" i="11"/>
  <c r="M47" i="47"/>
  <c r="O47" i="47"/>
  <c r="L60" i="67"/>
  <c r="P63" i="67"/>
  <c r="P63" i="22"/>
  <c r="P64" i="11"/>
  <c r="J66" i="67"/>
  <c r="J65" i="22"/>
  <c r="J66" i="11"/>
  <c r="H207" i="42"/>
  <c r="H204" i="43"/>
  <c r="I66" i="47"/>
  <c r="BB82" i="1"/>
  <c r="BC82" i="1" s="1"/>
  <c r="BD82" i="1" s="1"/>
  <c r="BE82" i="1" s="1"/>
  <c r="L74" i="67"/>
  <c r="G75" i="67"/>
  <c r="G92" i="22"/>
  <c r="G93" i="11"/>
  <c r="P92" i="47"/>
  <c r="L77" i="67"/>
  <c r="L89" i="67"/>
  <c r="L92" i="67"/>
  <c r="BB109" i="1"/>
  <c r="BC109" i="1" s="1"/>
  <c r="BD109" i="1" s="1"/>
  <c r="BE109" i="1" s="1"/>
  <c r="L103" i="67"/>
  <c r="P106" i="67"/>
  <c r="P118" i="22"/>
  <c r="P119" i="11"/>
  <c r="BB121" i="1"/>
  <c r="BC121" i="1" s="1"/>
  <c r="BD121" i="1" s="1"/>
  <c r="BE121" i="1" s="1"/>
  <c r="J114" i="67"/>
  <c r="J159" i="22"/>
  <c r="J160" i="11"/>
  <c r="H170" i="42"/>
  <c r="I159" i="47"/>
  <c r="H167" i="43"/>
  <c r="P118" i="67"/>
  <c r="P133" i="22"/>
  <c r="P134" i="11"/>
  <c r="O132" i="67"/>
  <c r="O148" i="22"/>
  <c r="O149" i="11"/>
  <c r="M148" i="47"/>
  <c r="O148" i="47"/>
  <c r="L144" i="67"/>
  <c r="O145" i="67"/>
  <c r="O81" i="22"/>
  <c r="O82" i="11"/>
  <c r="M81" i="47"/>
  <c r="O81" i="47"/>
  <c r="L149" i="67"/>
  <c r="O154" i="67"/>
  <c r="O80" i="22"/>
  <c r="O81" i="11"/>
  <c r="M80" i="47"/>
  <c r="O80" i="47"/>
  <c r="L183" i="67"/>
  <c r="O184" i="67"/>
  <c r="O184" i="22"/>
  <c r="O185" i="11"/>
  <c r="M184" i="47"/>
  <c r="O184" i="47"/>
  <c r="O185" i="67"/>
  <c r="O185" i="22"/>
  <c r="O186" i="11"/>
  <c r="M185" i="47"/>
  <c r="O185" i="47"/>
  <c r="L189" i="67"/>
  <c r="L202" i="67"/>
  <c r="O203" i="67"/>
  <c r="O203" i="22"/>
  <c r="O204" i="11"/>
  <c r="M203" i="47"/>
  <c r="O203" i="47"/>
  <c r="O205" i="67"/>
  <c r="O205" i="22"/>
  <c r="O206" i="11"/>
  <c r="M205" i="47"/>
  <c r="O205" i="47"/>
  <c r="BF261" i="1"/>
  <c r="AZ261" i="1"/>
  <c r="BF258" i="1"/>
  <c r="AZ258" i="1"/>
  <c r="BF260" i="1"/>
  <c r="AZ260" i="1"/>
  <c r="BF259" i="1"/>
  <c r="AZ259" i="1"/>
  <c r="K14" i="1"/>
  <c r="C14" i="8" s="1"/>
  <c r="G7" i="67"/>
  <c r="G7" i="22"/>
  <c r="G8" i="11"/>
  <c r="P7" i="47"/>
  <c r="P7" i="67"/>
  <c r="P7" i="22"/>
  <c r="P8" i="11"/>
  <c r="H8" i="67"/>
  <c r="H8" i="22"/>
  <c r="H9" i="11"/>
  <c r="Q8" i="47"/>
  <c r="G14" i="67"/>
  <c r="G14" i="22"/>
  <c r="G15" i="11"/>
  <c r="P14" i="47"/>
  <c r="P14" i="67"/>
  <c r="P14" i="22"/>
  <c r="P15" i="11"/>
  <c r="P15" i="67"/>
  <c r="P15" i="22"/>
  <c r="P16" i="11"/>
  <c r="BB26" i="1"/>
  <c r="BC26" i="1" s="1"/>
  <c r="BD26" i="1" s="1"/>
  <c r="BE26" i="1" s="1"/>
  <c r="H17" i="67"/>
  <c r="H17" i="22"/>
  <c r="H18" i="11"/>
  <c r="Q17" i="47"/>
  <c r="O18" i="67"/>
  <c r="O18" i="22"/>
  <c r="O19" i="11"/>
  <c r="M18" i="47"/>
  <c r="BB31" i="1"/>
  <c r="BC31" i="1" s="1"/>
  <c r="BD31" i="1" s="1"/>
  <c r="BE31" i="1" s="1"/>
  <c r="J22" i="67"/>
  <c r="J22" i="22"/>
  <c r="J23" i="11"/>
  <c r="H27" i="42"/>
  <c r="H27" i="43"/>
  <c r="I22" i="47"/>
  <c r="O23" i="67"/>
  <c r="O23" i="22"/>
  <c r="O24" i="11"/>
  <c r="M23" i="47"/>
  <c r="O23" i="47"/>
  <c r="G25" i="67"/>
  <c r="G25" i="22"/>
  <c r="G26" i="11"/>
  <c r="P25" i="47"/>
  <c r="P25" i="67"/>
  <c r="P25" i="22"/>
  <c r="P26" i="11"/>
  <c r="P26" i="67"/>
  <c r="P26" i="22"/>
  <c r="P27" i="11"/>
  <c r="O29" i="47"/>
  <c r="G33" i="67"/>
  <c r="G33" i="22"/>
  <c r="G34" i="11"/>
  <c r="P33" i="47"/>
  <c r="BB44" i="1"/>
  <c r="BC44" i="1" s="1"/>
  <c r="BD44" i="1" s="1"/>
  <c r="BE44" i="1" s="1"/>
  <c r="BB47" i="1"/>
  <c r="BC47" i="1" s="1"/>
  <c r="BD47" i="1" s="1"/>
  <c r="BE47" i="1" s="1"/>
  <c r="J38" i="67"/>
  <c r="J38" i="22"/>
  <c r="J39" i="11"/>
  <c r="H43" i="42"/>
  <c r="H43" i="43"/>
  <c r="I38" i="47"/>
  <c r="O38" i="47"/>
  <c r="J39" i="67"/>
  <c r="J39" i="22"/>
  <c r="J40" i="11"/>
  <c r="H44" i="42"/>
  <c r="H44" i="43"/>
  <c r="I39" i="47"/>
  <c r="J42" i="67"/>
  <c r="J42" i="22"/>
  <c r="J43" i="11"/>
  <c r="H47" i="42"/>
  <c r="H47" i="43"/>
  <c r="I42" i="47"/>
  <c r="H51" i="67"/>
  <c r="H51" i="22"/>
  <c r="H52" i="11"/>
  <c r="Q51" i="47"/>
  <c r="L53" i="67"/>
  <c r="J54" i="67"/>
  <c r="J54" i="22"/>
  <c r="J55" i="11"/>
  <c r="H59" i="42"/>
  <c r="H59" i="43"/>
  <c r="I54" i="47"/>
  <c r="O68" i="47"/>
  <c r="J71" i="67"/>
  <c r="J84" i="22"/>
  <c r="J85" i="11"/>
  <c r="H91" i="42"/>
  <c r="H90" i="43"/>
  <c r="I85" i="47"/>
  <c r="O78" i="67"/>
  <c r="O97" i="22"/>
  <c r="O98" i="11"/>
  <c r="M97" i="47"/>
  <c r="L82" i="67"/>
  <c r="BB94" i="1"/>
  <c r="BC94" i="1" s="1"/>
  <c r="BD94" i="1" s="1"/>
  <c r="BE94" i="1" s="1"/>
  <c r="O101" i="47"/>
  <c r="P88" i="67"/>
  <c r="P103" i="22"/>
  <c r="P104" i="11"/>
  <c r="G90" i="67"/>
  <c r="G105" i="22"/>
  <c r="G106" i="11"/>
  <c r="P105" i="47"/>
  <c r="O110" i="47"/>
  <c r="O104" i="67"/>
  <c r="O116" i="22"/>
  <c r="O117" i="11"/>
  <c r="M116" i="47"/>
  <c r="O116" i="47"/>
  <c r="L105" i="67"/>
  <c r="BB117" i="1"/>
  <c r="BC117" i="1" s="1"/>
  <c r="BD117" i="1" s="1"/>
  <c r="BE117" i="1" s="1"/>
  <c r="H115" i="67"/>
  <c r="H160" i="22"/>
  <c r="H161" i="11"/>
  <c r="Q160" i="47"/>
  <c r="BB129" i="1"/>
  <c r="BC129" i="1" s="1"/>
  <c r="BD129" i="1" s="1"/>
  <c r="BE129" i="1" s="1"/>
  <c r="O137" i="47"/>
  <c r="L132" i="67"/>
  <c r="L145" i="67"/>
  <c r="O155" i="67"/>
  <c r="O85" i="22"/>
  <c r="O86" i="11"/>
  <c r="M84" i="47"/>
  <c r="O84" i="47"/>
  <c r="O176" i="67"/>
  <c r="O176" i="22"/>
  <c r="O177" i="11"/>
  <c r="M176" i="47"/>
  <c r="O176" i="47"/>
  <c r="O199" i="67"/>
  <c r="O199" i="22"/>
  <c r="O200" i="11"/>
  <c r="M199" i="47"/>
  <c r="O199" i="47"/>
  <c r="L203" i="67"/>
  <c r="O211" i="67"/>
  <c r="O211" i="22"/>
  <c r="O212" i="11"/>
  <c r="M211" i="47"/>
  <c r="O211" i="47"/>
  <c r="Q52" i="8"/>
  <c r="O12" i="8"/>
  <c r="P52" i="8"/>
  <c r="N24" i="8"/>
  <c r="N12" i="8"/>
  <c r="H59" i="8"/>
  <c r="I25" i="8"/>
  <c r="I13" i="8"/>
  <c r="M66" i="8"/>
  <c r="P25" i="8"/>
  <c r="P13" i="8"/>
  <c r="E80" i="8"/>
  <c r="C26" i="8"/>
  <c r="L87" i="8"/>
  <c r="N27" i="8"/>
  <c r="N21" i="8"/>
  <c r="F17" i="8"/>
  <c r="N11" i="8"/>
  <c r="F7" i="8"/>
  <c r="K45" i="8"/>
  <c r="I32" i="8"/>
  <c r="I28" i="8"/>
  <c r="Q24" i="8"/>
  <c r="E21" i="8"/>
  <c r="E17" i="8"/>
  <c r="I14" i="8"/>
  <c r="Q10" i="8"/>
  <c r="Q6" i="8"/>
  <c r="H32" i="8"/>
  <c r="H28" i="8"/>
  <c r="P24" i="8"/>
  <c r="D21" i="8"/>
  <c r="D17" i="8"/>
  <c r="H14" i="8"/>
  <c r="P10" i="8"/>
  <c r="P6" i="8"/>
  <c r="O4" i="67"/>
  <c r="O4" i="22"/>
  <c r="O5" i="11"/>
  <c r="M4" i="47"/>
  <c r="J5" i="67"/>
  <c r="J5" i="22"/>
  <c r="J6" i="11"/>
  <c r="H10" i="42"/>
  <c r="I5" i="47"/>
  <c r="H10" i="43"/>
  <c r="J6" i="67"/>
  <c r="J6" i="22"/>
  <c r="J7" i="11"/>
  <c r="H11" i="42"/>
  <c r="H11" i="43"/>
  <c r="I6" i="47"/>
  <c r="H7" i="67"/>
  <c r="H7" i="22"/>
  <c r="H8" i="11"/>
  <c r="Q7" i="47"/>
  <c r="L12" i="67"/>
  <c r="J13" i="67"/>
  <c r="J13" i="22"/>
  <c r="J14" i="11"/>
  <c r="H18" i="42"/>
  <c r="I13" i="47"/>
  <c r="H18" i="43"/>
  <c r="H14" i="67"/>
  <c r="H14" i="22"/>
  <c r="H15" i="11"/>
  <c r="Q14" i="47"/>
  <c r="Q15" i="67"/>
  <c r="Q15" i="22"/>
  <c r="Q16" i="11"/>
  <c r="O16" i="67"/>
  <c r="O16" i="22"/>
  <c r="O17" i="11"/>
  <c r="M16" i="47"/>
  <c r="O16" i="47"/>
  <c r="G18" i="67"/>
  <c r="G18" i="22"/>
  <c r="G19" i="11"/>
  <c r="P18" i="47"/>
  <c r="P18" i="67"/>
  <c r="P18" i="22"/>
  <c r="P19" i="11"/>
  <c r="G23" i="67"/>
  <c r="G23" i="22"/>
  <c r="G24" i="11"/>
  <c r="P23" i="47"/>
  <c r="P23" i="67"/>
  <c r="P23" i="22"/>
  <c r="P24" i="11"/>
  <c r="H25" i="67"/>
  <c r="H25" i="22"/>
  <c r="H26" i="11"/>
  <c r="Q25" i="47"/>
  <c r="G26" i="67"/>
  <c r="G26" i="22"/>
  <c r="G27" i="11"/>
  <c r="P26" i="47"/>
  <c r="G27" i="67"/>
  <c r="G27" i="22"/>
  <c r="G28" i="11"/>
  <c r="P27" i="47"/>
  <c r="L28" i="67"/>
  <c r="J30" i="67"/>
  <c r="J30" i="22"/>
  <c r="J31" i="11"/>
  <c r="H35" i="42"/>
  <c r="H35" i="43"/>
  <c r="I30" i="47"/>
  <c r="H33" i="67"/>
  <c r="H33" i="22"/>
  <c r="H34" i="11"/>
  <c r="Q33" i="47"/>
  <c r="L35" i="67"/>
  <c r="O36" i="67"/>
  <c r="O36" i="22"/>
  <c r="O37" i="11"/>
  <c r="M36" i="47"/>
  <c r="BB48" i="1"/>
  <c r="BC48" i="1" s="1"/>
  <c r="BD48" i="1" s="1"/>
  <c r="BE48" i="1" s="1"/>
  <c r="G40" i="67"/>
  <c r="G40" i="22"/>
  <c r="G41" i="11"/>
  <c r="P40" i="47"/>
  <c r="J41" i="67"/>
  <c r="J41" i="22"/>
  <c r="J42" i="11"/>
  <c r="H46" i="42"/>
  <c r="I41" i="47"/>
  <c r="H46" i="43"/>
  <c r="BB52" i="1"/>
  <c r="BC52" i="1" s="1"/>
  <c r="BD52" i="1" s="1"/>
  <c r="BE52" i="1" s="1"/>
  <c r="O43" i="67"/>
  <c r="O43" i="22"/>
  <c r="O44" i="11"/>
  <c r="M43" i="47"/>
  <c r="O43" i="47"/>
  <c r="J48" i="67"/>
  <c r="J48" i="22"/>
  <c r="J49" i="11"/>
  <c r="H53" i="42"/>
  <c r="H53" i="43"/>
  <c r="I48" i="47"/>
  <c r="H49" i="67"/>
  <c r="H49" i="22"/>
  <c r="H50" i="11"/>
  <c r="Q49" i="47"/>
  <c r="P50" i="67"/>
  <c r="P50" i="22"/>
  <c r="P51" i="11"/>
  <c r="L51" i="67"/>
  <c r="J53" i="67"/>
  <c r="J53" i="22"/>
  <c r="J54" i="11"/>
  <c r="H58" i="42"/>
  <c r="H58" i="43"/>
  <c r="I53" i="47"/>
  <c r="O53" i="47"/>
  <c r="BB64" i="1"/>
  <c r="BC64" i="1" s="1"/>
  <c r="BD64" i="1" s="1"/>
  <c r="BE64" i="1" s="1"/>
  <c r="N59" i="47"/>
  <c r="O61" i="67"/>
  <c r="O61" i="22"/>
  <c r="O62" i="11"/>
  <c r="M61" i="47"/>
  <c r="O61" i="47"/>
  <c r="L70" i="67"/>
  <c r="O74" i="67"/>
  <c r="O92" i="11"/>
  <c r="O91" i="22"/>
  <c r="M91" i="47"/>
  <c r="O91" i="47"/>
  <c r="O80" i="67"/>
  <c r="O71" i="22"/>
  <c r="O72" i="11"/>
  <c r="M71" i="47"/>
  <c r="O71" i="47"/>
  <c r="O81" i="67"/>
  <c r="O72" i="22"/>
  <c r="O73" i="11"/>
  <c r="M72" i="47"/>
  <c r="O72" i="47"/>
  <c r="J83" i="67"/>
  <c r="J100" i="22"/>
  <c r="J101" i="11"/>
  <c r="H67" i="42"/>
  <c r="I100" i="47"/>
  <c r="H67" i="43"/>
  <c r="H87" i="67"/>
  <c r="H74" i="22"/>
  <c r="H75" i="11"/>
  <c r="Q74" i="47"/>
  <c r="L104" i="67"/>
  <c r="G106" i="67"/>
  <c r="G118" i="22"/>
  <c r="G119" i="11"/>
  <c r="P118" i="47"/>
  <c r="L115" i="67"/>
  <c r="L117" i="67"/>
  <c r="G118" i="67"/>
  <c r="G133" i="22"/>
  <c r="G134" i="11"/>
  <c r="P133" i="47"/>
  <c r="H123" i="67"/>
  <c r="H140" i="22"/>
  <c r="H141" i="11"/>
  <c r="Q140" i="47"/>
  <c r="O125" i="67"/>
  <c r="O165" i="22"/>
  <c r="O166" i="11"/>
  <c r="M165" i="47"/>
  <c r="O128" i="67"/>
  <c r="O141" i="22"/>
  <c r="O142" i="11"/>
  <c r="M141" i="47"/>
  <c r="O141" i="47"/>
  <c r="L136" i="67"/>
  <c r="O141" i="67"/>
  <c r="O132" i="11"/>
  <c r="O131" i="22"/>
  <c r="M131" i="47"/>
  <c r="O131" i="47"/>
  <c r="O142" i="67"/>
  <c r="O162" i="22"/>
  <c r="O163" i="11"/>
  <c r="M162" i="47"/>
  <c r="O162" i="47"/>
  <c r="L146" i="67"/>
  <c r="L155" i="67"/>
  <c r="L162" i="67"/>
  <c r="O166" i="67"/>
  <c r="O151" i="22"/>
  <c r="O152" i="11"/>
  <c r="M151" i="47"/>
  <c r="O151" i="47"/>
  <c r="L190" i="67"/>
  <c r="O204" i="67"/>
  <c r="O204" i="22"/>
  <c r="O205" i="11"/>
  <c r="M204" i="47"/>
  <c r="O204" i="47"/>
  <c r="O217" i="67"/>
  <c r="O218" i="22"/>
  <c r="O219" i="11"/>
  <c r="M218" i="47"/>
  <c r="O218" i="47"/>
  <c r="BF252" i="1"/>
  <c r="AZ252" i="1"/>
  <c r="BF248" i="1"/>
  <c r="BF249" i="1"/>
  <c r="AZ248" i="1"/>
  <c r="BF253" i="1"/>
  <c r="AZ249" i="1"/>
  <c r="AZ253" i="1"/>
  <c r="BF250" i="1"/>
  <c r="AZ250" i="1"/>
  <c r="BF254" i="1"/>
  <c r="BF251" i="1"/>
  <c r="BF247" i="1"/>
  <c r="AZ254" i="1"/>
  <c r="AZ251" i="1"/>
  <c r="AZ247" i="1"/>
  <c r="O2" i="67"/>
  <c r="O2" i="22"/>
  <c r="O3" i="11"/>
  <c r="M2" i="47"/>
  <c r="O3" i="67"/>
  <c r="O3" i="22"/>
  <c r="O4" i="11"/>
  <c r="M3" i="47"/>
  <c r="G4" i="67"/>
  <c r="G4" i="22"/>
  <c r="G5" i="11"/>
  <c r="P4" i="47"/>
  <c r="P4" i="67"/>
  <c r="P4" i="22"/>
  <c r="P5" i="11"/>
  <c r="O8" i="47"/>
  <c r="O11" i="67"/>
  <c r="O11" i="22"/>
  <c r="O12" i="11"/>
  <c r="M11" i="47"/>
  <c r="J12" i="67"/>
  <c r="J12" i="22"/>
  <c r="J13" i="11"/>
  <c r="H17" i="42"/>
  <c r="H17" i="43"/>
  <c r="I12" i="47"/>
  <c r="G15" i="67"/>
  <c r="G15" i="22"/>
  <c r="G16" i="11"/>
  <c r="P15" i="47"/>
  <c r="P16" i="67"/>
  <c r="P16" i="22"/>
  <c r="P17" i="11"/>
  <c r="O17" i="47"/>
  <c r="H18" i="67"/>
  <c r="H18" i="22"/>
  <c r="H19" i="11"/>
  <c r="Q18" i="47"/>
  <c r="O21" i="47"/>
  <c r="BB32" i="1"/>
  <c r="BC32" i="1" s="1"/>
  <c r="BD32" i="1" s="1"/>
  <c r="BE32" i="1" s="1"/>
  <c r="O22" i="67"/>
  <c r="O22" i="22"/>
  <c r="O23" i="11"/>
  <c r="M22" i="47"/>
  <c r="H23" i="67"/>
  <c r="H23" i="22"/>
  <c r="H24" i="11"/>
  <c r="Q23" i="47"/>
  <c r="H24" i="67"/>
  <c r="H24" i="22"/>
  <c r="H25" i="11"/>
  <c r="Q24" i="47"/>
  <c r="O26" i="47"/>
  <c r="H27" i="67"/>
  <c r="H27" i="22"/>
  <c r="H28" i="11"/>
  <c r="Q27" i="47"/>
  <c r="L29" i="67"/>
  <c r="J35" i="67"/>
  <c r="J35" i="22"/>
  <c r="J36" i="11"/>
  <c r="H40" i="42"/>
  <c r="H40" i="43"/>
  <c r="I35" i="47"/>
  <c r="BB49" i="1"/>
  <c r="BC49" i="1" s="1"/>
  <c r="BD49" i="1" s="1"/>
  <c r="BE49" i="1" s="1"/>
  <c r="O39" i="47"/>
  <c r="H40" i="67"/>
  <c r="H40" i="22"/>
  <c r="H41" i="11"/>
  <c r="Q40" i="47"/>
  <c r="O46" i="67"/>
  <c r="O46" i="22"/>
  <c r="O47" i="11"/>
  <c r="M46" i="47"/>
  <c r="O46" i="47"/>
  <c r="BB58" i="1"/>
  <c r="BC58" i="1" s="1"/>
  <c r="BD58" i="1" s="1"/>
  <c r="BE58" i="1" s="1"/>
  <c r="L49" i="67"/>
  <c r="O52" i="47"/>
  <c r="BB65" i="1"/>
  <c r="BC65" i="1" s="1"/>
  <c r="BD65" i="1" s="1"/>
  <c r="BE65" i="1" s="1"/>
  <c r="O58" i="67"/>
  <c r="O58" i="22"/>
  <c r="O59" i="11"/>
  <c r="M58" i="47"/>
  <c r="L61" i="67"/>
  <c r="O62" i="67"/>
  <c r="O62" i="22"/>
  <c r="O63" i="11"/>
  <c r="M62" i="47"/>
  <c r="G63" i="67"/>
  <c r="G63" i="22"/>
  <c r="G64" i="11"/>
  <c r="P63" i="47"/>
  <c r="BB77" i="1"/>
  <c r="BC77" i="1" s="1"/>
  <c r="BD77" i="1" s="1"/>
  <c r="BE77" i="1" s="1"/>
  <c r="L78" i="67"/>
  <c r="O99" i="47"/>
  <c r="L87" i="67"/>
  <c r="G88" i="67"/>
  <c r="G103" i="22"/>
  <c r="G104" i="11"/>
  <c r="P103" i="47"/>
  <c r="H95" i="67"/>
  <c r="H107" i="22"/>
  <c r="H108" i="11"/>
  <c r="Q107" i="47"/>
  <c r="O97" i="67"/>
  <c r="O157" i="22"/>
  <c r="O158" i="11"/>
  <c r="M157" i="47"/>
  <c r="O100" i="67"/>
  <c r="O88" i="22"/>
  <c r="O89" i="11"/>
  <c r="M88" i="47"/>
  <c r="O88" i="47"/>
  <c r="O101" i="67"/>
  <c r="O113" i="22"/>
  <c r="O114" i="11"/>
  <c r="M113" i="47"/>
  <c r="O109" i="67"/>
  <c r="O122" i="22"/>
  <c r="O123" i="11"/>
  <c r="M122" i="47"/>
  <c r="O112" i="67"/>
  <c r="O149" i="22"/>
  <c r="O150" i="11"/>
  <c r="M149" i="47"/>
  <c r="O149" i="47"/>
  <c r="O116" i="67"/>
  <c r="O169" i="22"/>
  <c r="O170" i="11"/>
  <c r="M169" i="47"/>
  <c r="O169" i="47"/>
  <c r="L123" i="67"/>
  <c r="O127" i="67"/>
  <c r="O167" i="22"/>
  <c r="O168" i="11"/>
  <c r="M167" i="47"/>
  <c r="O167" i="47"/>
  <c r="L137" i="67"/>
  <c r="O140" i="67"/>
  <c r="O129" i="22"/>
  <c r="O130" i="11"/>
  <c r="M129" i="47"/>
  <c r="O129" i="47"/>
  <c r="O152" i="67"/>
  <c r="O78" i="22"/>
  <c r="O79" i="11"/>
  <c r="M78" i="47"/>
  <c r="O78" i="47"/>
  <c r="O161" i="67"/>
  <c r="O126" i="22"/>
  <c r="O127" i="11"/>
  <c r="M126" i="47"/>
  <c r="O126" i="47"/>
  <c r="O165" i="67"/>
  <c r="O144" i="22"/>
  <c r="O145" i="11"/>
  <c r="M144" i="47"/>
  <c r="O144" i="47"/>
  <c r="O169" i="67"/>
  <c r="O168" i="22"/>
  <c r="O169" i="11"/>
  <c r="M168" i="47"/>
  <c r="O168" i="47"/>
  <c r="O182" i="67"/>
  <c r="O182" i="22"/>
  <c r="O183" i="11"/>
  <c r="M182" i="47"/>
  <c r="O182" i="47"/>
  <c r="L193" i="67"/>
  <c r="L200" i="67"/>
  <c r="L204" i="67"/>
  <c r="P130" i="67"/>
  <c r="P147" i="11"/>
  <c r="P146" i="22"/>
  <c r="L134" i="67"/>
  <c r="G135" i="67"/>
  <c r="G124" i="11"/>
  <c r="G123" i="22"/>
  <c r="P123" i="47"/>
  <c r="P135" i="67"/>
  <c r="P123" i="22"/>
  <c r="P124" i="11"/>
  <c r="H136" i="67"/>
  <c r="H124" i="22"/>
  <c r="H125" i="11"/>
  <c r="Q124" i="47"/>
  <c r="O137" i="67"/>
  <c r="O125" i="22"/>
  <c r="O126" i="11"/>
  <c r="M125" i="47"/>
  <c r="J138" i="67"/>
  <c r="J127" i="22"/>
  <c r="J128" i="11"/>
  <c r="H247" i="42"/>
  <c r="I127" i="47"/>
  <c r="H244" i="43"/>
  <c r="L142" i="67"/>
  <c r="G143" i="67"/>
  <c r="G164" i="22"/>
  <c r="G165" i="11"/>
  <c r="P164" i="47"/>
  <c r="P143" i="67"/>
  <c r="P164" i="22"/>
  <c r="P165" i="11"/>
  <c r="H144" i="67"/>
  <c r="H83" i="11"/>
  <c r="H82" i="22"/>
  <c r="Q82" i="47"/>
  <c r="O146" i="67"/>
  <c r="O96" i="22"/>
  <c r="O97" i="11"/>
  <c r="M96" i="47"/>
  <c r="J147" i="67"/>
  <c r="J113" i="11"/>
  <c r="J112" i="22"/>
  <c r="H171" i="42"/>
  <c r="I112" i="47"/>
  <c r="H168" i="43"/>
  <c r="H148" i="67"/>
  <c r="H163" i="22"/>
  <c r="H164" i="11"/>
  <c r="Q163" i="47"/>
  <c r="O150" i="67"/>
  <c r="O76" i="22"/>
  <c r="O77" i="11"/>
  <c r="M76" i="47"/>
  <c r="J151" i="67"/>
  <c r="J77" i="22"/>
  <c r="J78" i="11"/>
  <c r="H209" i="42"/>
  <c r="H206" i="43"/>
  <c r="I77" i="47"/>
  <c r="J153" i="67"/>
  <c r="J79" i="22"/>
  <c r="J80" i="11"/>
  <c r="H150" i="42"/>
  <c r="H148" i="43"/>
  <c r="I79" i="47"/>
  <c r="O156" i="67"/>
  <c r="O89" i="22"/>
  <c r="O90" i="11"/>
  <c r="M89" i="47"/>
  <c r="J157" i="67"/>
  <c r="J93" i="22"/>
  <c r="J94" i="11"/>
  <c r="H69" i="42"/>
  <c r="I93" i="47"/>
  <c r="H69" i="43"/>
  <c r="L158" i="67"/>
  <c r="G159" i="67"/>
  <c r="G111" i="22"/>
  <c r="G112" i="11"/>
  <c r="P111" i="47"/>
  <c r="P159" i="67"/>
  <c r="P111" i="22"/>
  <c r="P112" i="11"/>
  <c r="O162" i="67"/>
  <c r="O130" i="22"/>
  <c r="O131" i="11"/>
  <c r="M130" i="47"/>
  <c r="J163" i="67"/>
  <c r="J134" i="22"/>
  <c r="J135" i="11"/>
  <c r="H183" i="42"/>
  <c r="I134" i="47"/>
  <c r="H180" i="43"/>
  <c r="H164" i="67"/>
  <c r="H139" i="11"/>
  <c r="H138" i="22"/>
  <c r="Q138" i="47"/>
  <c r="L166" i="67"/>
  <c r="G167" i="67"/>
  <c r="G154" i="22"/>
  <c r="G155" i="11"/>
  <c r="P154" i="47"/>
  <c r="P167" i="67"/>
  <c r="P155" i="11"/>
  <c r="P154" i="22"/>
  <c r="H168" i="67"/>
  <c r="H161" i="22"/>
  <c r="H162" i="11"/>
  <c r="Q161" i="47"/>
  <c r="L170" i="67"/>
  <c r="G171" i="67"/>
  <c r="G171" i="22"/>
  <c r="G172" i="11"/>
  <c r="P171" i="47"/>
  <c r="P171" i="67"/>
  <c r="P171" i="22"/>
  <c r="P172" i="11"/>
  <c r="J173" i="67"/>
  <c r="J173" i="22"/>
  <c r="J174" i="11"/>
  <c r="H143" i="42"/>
  <c r="I173" i="47"/>
  <c r="H141" i="43"/>
  <c r="H174" i="67"/>
  <c r="H174" i="22"/>
  <c r="H175" i="11"/>
  <c r="Q174" i="47"/>
  <c r="G175" i="67"/>
  <c r="G175" i="22"/>
  <c r="G176" i="11"/>
  <c r="P175" i="47"/>
  <c r="P175" i="67"/>
  <c r="P175" i="22"/>
  <c r="P176" i="11"/>
  <c r="G179" i="67"/>
  <c r="G179" i="22"/>
  <c r="G180" i="11"/>
  <c r="P179" i="47"/>
  <c r="P179" i="67"/>
  <c r="P179" i="22"/>
  <c r="P180" i="11"/>
  <c r="O180" i="67"/>
  <c r="O180" i="22"/>
  <c r="O181" i="11"/>
  <c r="M180" i="47"/>
  <c r="J181" i="67"/>
  <c r="J181" i="22"/>
  <c r="J182" i="11"/>
  <c r="H213" i="42"/>
  <c r="I181" i="47"/>
  <c r="H210" i="43"/>
  <c r="H183" i="67"/>
  <c r="H183" i="22"/>
  <c r="H184" i="11"/>
  <c r="Q183" i="47"/>
  <c r="L185" i="67"/>
  <c r="H186" i="67"/>
  <c r="H186" i="22"/>
  <c r="H187" i="11"/>
  <c r="Q186" i="47"/>
  <c r="G187" i="67"/>
  <c r="G187" i="22"/>
  <c r="G188" i="11"/>
  <c r="P187" i="47"/>
  <c r="P187" i="67"/>
  <c r="P187" i="22"/>
  <c r="P188" i="11"/>
  <c r="J188" i="67"/>
  <c r="J188" i="22"/>
  <c r="J189" i="11"/>
  <c r="H156" i="42"/>
  <c r="I188" i="47"/>
  <c r="H154" i="43"/>
  <c r="H189" i="67"/>
  <c r="H189" i="22"/>
  <c r="H190" i="11"/>
  <c r="Q189" i="47"/>
  <c r="O190" i="67"/>
  <c r="O190" i="22"/>
  <c r="O191" i="11"/>
  <c r="M190" i="47"/>
  <c r="J191" i="67"/>
  <c r="J191" i="22"/>
  <c r="J192" i="11"/>
  <c r="H72" i="42"/>
  <c r="I191" i="47"/>
  <c r="H72" i="43"/>
  <c r="L192" i="67"/>
  <c r="H193" i="67"/>
  <c r="H193" i="22"/>
  <c r="H194" i="11"/>
  <c r="Q193" i="47"/>
  <c r="H194" i="67"/>
  <c r="H194" i="22"/>
  <c r="H195" i="11"/>
  <c r="Q194" i="47"/>
  <c r="O196" i="67"/>
  <c r="O196" i="22"/>
  <c r="O197" i="11"/>
  <c r="M196" i="47"/>
  <c r="G197" i="67"/>
  <c r="G197" i="22"/>
  <c r="G198" i="11"/>
  <c r="P197" i="47"/>
  <c r="P197" i="67"/>
  <c r="P197" i="22"/>
  <c r="P198" i="11"/>
  <c r="G198" i="67"/>
  <c r="G198" i="22"/>
  <c r="G199" i="11"/>
  <c r="P198" i="47"/>
  <c r="P198" i="67"/>
  <c r="P198" i="22"/>
  <c r="P199" i="11"/>
  <c r="O200" i="67"/>
  <c r="O200" i="22"/>
  <c r="O201" i="11"/>
  <c r="M200" i="47"/>
  <c r="G201" i="67"/>
  <c r="G201" i="22"/>
  <c r="G202" i="11"/>
  <c r="P201" i="47"/>
  <c r="P201" i="67"/>
  <c r="P201" i="22"/>
  <c r="P202" i="11"/>
  <c r="H202" i="67"/>
  <c r="H202" i="22"/>
  <c r="H203" i="11"/>
  <c r="Q202" i="47"/>
  <c r="L205" i="67"/>
  <c r="H206" i="67"/>
  <c r="H206" i="22"/>
  <c r="H207" i="11"/>
  <c r="Q206" i="47"/>
  <c r="L207" i="67"/>
  <c r="P208" i="67"/>
  <c r="P208" i="22"/>
  <c r="P209" i="11"/>
  <c r="O209" i="67"/>
  <c r="O209" i="22"/>
  <c r="O210" i="11"/>
  <c r="M209" i="47"/>
  <c r="G210" i="67"/>
  <c r="G210" i="22"/>
  <c r="G211" i="11"/>
  <c r="P210" i="47"/>
  <c r="L211" i="67"/>
  <c r="L213" i="67"/>
  <c r="L215" i="67"/>
  <c r="O218" i="67"/>
  <c r="O219" i="22"/>
  <c r="O220" i="11"/>
  <c r="M219" i="47"/>
  <c r="O219" i="47"/>
  <c r="P221" i="67"/>
  <c r="P222" i="22"/>
  <c r="P223" i="11"/>
  <c r="H223" i="67"/>
  <c r="H224" i="22"/>
  <c r="H225" i="11"/>
  <c r="Q224" i="47"/>
  <c r="G21" i="67"/>
  <c r="G21" i="22"/>
  <c r="G22" i="11"/>
  <c r="P21" i="47"/>
  <c r="P21" i="67"/>
  <c r="P21" i="22"/>
  <c r="P22" i="11"/>
  <c r="H22" i="67"/>
  <c r="H22" i="22"/>
  <c r="H23" i="11"/>
  <c r="Q22" i="47"/>
  <c r="J25" i="67"/>
  <c r="J25" i="22"/>
  <c r="J26" i="11"/>
  <c r="H30" i="42"/>
  <c r="I25" i="47"/>
  <c r="H30" i="43"/>
  <c r="H26" i="67"/>
  <c r="H26" i="22"/>
  <c r="H27" i="11"/>
  <c r="Q26" i="47"/>
  <c r="J28" i="67"/>
  <c r="J28" i="22"/>
  <c r="J29" i="11"/>
  <c r="H33" i="42"/>
  <c r="H33" i="43"/>
  <c r="I28" i="47"/>
  <c r="H29" i="67"/>
  <c r="H29" i="22"/>
  <c r="H30" i="11"/>
  <c r="Q29" i="47"/>
  <c r="I31" i="67"/>
  <c r="I31" i="22"/>
  <c r="I32" i="11"/>
  <c r="G31" i="47"/>
  <c r="G37" i="67"/>
  <c r="G37" i="22"/>
  <c r="G38" i="11"/>
  <c r="P37" i="47"/>
  <c r="P37" i="67"/>
  <c r="P37" i="22"/>
  <c r="P38" i="11"/>
  <c r="J40" i="67"/>
  <c r="J40" i="22"/>
  <c r="J41" i="11"/>
  <c r="H45" i="42"/>
  <c r="H45" i="43"/>
  <c r="I40" i="47"/>
  <c r="P46" i="67"/>
  <c r="P46" i="22"/>
  <c r="P47" i="11"/>
  <c r="J52" i="67"/>
  <c r="J52" i="22"/>
  <c r="J53" i="11"/>
  <c r="H57" i="42"/>
  <c r="H57" i="43"/>
  <c r="I52" i="47"/>
  <c r="O55" i="67"/>
  <c r="O55" i="22"/>
  <c r="O56" i="11"/>
  <c r="M55" i="47"/>
  <c r="J62" i="67"/>
  <c r="J62" i="22"/>
  <c r="J63" i="11"/>
  <c r="H179" i="42"/>
  <c r="I62" i="47"/>
  <c r="H176" i="43"/>
  <c r="H63" i="67"/>
  <c r="H63" i="22"/>
  <c r="H64" i="11"/>
  <c r="Q63" i="47"/>
  <c r="H64" i="67"/>
  <c r="H64" i="22"/>
  <c r="H65" i="11"/>
  <c r="Q64" i="47"/>
  <c r="J68" i="67"/>
  <c r="J68" i="22"/>
  <c r="J69" i="11"/>
  <c r="H181" i="42"/>
  <c r="H178" i="43"/>
  <c r="I68" i="47"/>
  <c r="H69" i="67"/>
  <c r="H69" i="22"/>
  <c r="H70" i="11"/>
  <c r="Q69" i="47"/>
  <c r="G70" i="67"/>
  <c r="G70" i="22"/>
  <c r="G71" i="11"/>
  <c r="P70" i="47"/>
  <c r="P70" i="67"/>
  <c r="P70" i="22"/>
  <c r="P71" i="11"/>
  <c r="O73" i="67"/>
  <c r="O90" i="22"/>
  <c r="O91" i="11"/>
  <c r="M90" i="47"/>
  <c r="G74" i="67"/>
  <c r="G92" i="11"/>
  <c r="G91" i="22"/>
  <c r="P91" i="47"/>
  <c r="P74" i="67"/>
  <c r="P91" i="22"/>
  <c r="P92" i="11"/>
  <c r="H75" i="67"/>
  <c r="H92" i="22"/>
  <c r="H93" i="11"/>
  <c r="Q92" i="47"/>
  <c r="J78" i="67"/>
  <c r="J97" i="22"/>
  <c r="J98" i="11"/>
  <c r="H96" i="42"/>
  <c r="I97" i="47"/>
  <c r="H95" i="43"/>
  <c r="J82" i="67"/>
  <c r="J99" i="22"/>
  <c r="J100" i="11"/>
  <c r="H90" i="42"/>
  <c r="I99" i="47"/>
  <c r="H89" i="43"/>
  <c r="J85" i="67"/>
  <c r="J101" i="22"/>
  <c r="J102" i="11"/>
  <c r="H97" i="42"/>
  <c r="I101" i="47"/>
  <c r="H96" i="43"/>
  <c r="H86" i="67"/>
  <c r="H102" i="22"/>
  <c r="H103" i="11"/>
  <c r="Q102" i="47"/>
  <c r="H88" i="67"/>
  <c r="H103" i="22"/>
  <c r="H104" i="11"/>
  <c r="Q103" i="47"/>
  <c r="H90" i="67"/>
  <c r="H105" i="22"/>
  <c r="H106" i="11"/>
  <c r="Q105" i="47"/>
  <c r="J93" i="67"/>
  <c r="J110" i="22"/>
  <c r="J111" i="11"/>
  <c r="H81" i="42"/>
  <c r="I110" i="47"/>
  <c r="H81" i="43"/>
  <c r="H94" i="67"/>
  <c r="H83" i="22"/>
  <c r="H84" i="11"/>
  <c r="Q83" i="47"/>
  <c r="J157" i="22"/>
  <c r="J97" i="67"/>
  <c r="J158" i="11"/>
  <c r="H105" i="42"/>
  <c r="I157" i="47"/>
  <c r="H104" i="43"/>
  <c r="J101" i="67"/>
  <c r="J113" i="22"/>
  <c r="J114" i="11"/>
  <c r="H169" i="42"/>
  <c r="I113" i="47"/>
  <c r="H166" i="43"/>
  <c r="J105" i="67"/>
  <c r="J117" i="22"/>
  <c r="J118" i="11"/>
  <c r="H166" i="42"/>
  <c r="H163" i="43"/>
  <c r="I117" i="47"/>
  <c r="H106" i="67"/>
  <c r="H118" i="22"/>
  <c r="H119" i="11"/>
  <c r="Q118" i="47"/>
  <c r="J109" i="67"/>
  <c r="J122" i="22"/>
  <c r="J123" i="11"/>
  <c r="H175" i="42"/>
  <c r="I122" i="47"/>
  <c r="H172" i="43"/>
  <c r="G113" i="67"/>
  <c r="G153" i="22"/>
  <c r="G154" i="11"/>
  <c r="P153" i="47"/>
  <c r="P113" i="67"/>
  <c r="P153" i="22"/>
  <c r="P154" i="11"/>
  <c r="G117" i="67"/>
  <c r="G132" i="22"/>
  <c r="G133" i="11"/>
  <c r="P132" i="47"/>
  <c r="P117" i="67"/>
  <c r="P132" i="22"/>
  <c r="P133" i="11"/>
  <c r="H118" i="67"/>
  <c r="H133" i="22"/>
  <c r="H134" i="11"/>
  <c r="Q133" i="47"/>
  <c r="J121" i="67"/>
  <c r="J137" i="22"/>
  <c r="J138" i="11"/>
  <c r="H196" i="42"/>
  <c r="I137" i="47"/>
  <c r="H193" i="43"/>
  <c r="H122" i="67"/>
  <c r="H139" i="22"/>
  <c r="H140" i="11"/>
  <c r="Q139" i="47"/>
  <c r="J125" i="67"/>
  <c r="J165" i="22"/>
  <c r="J166" i="11"/>
  <c r="H202" i="42"/>
  <c r="I165" i="47"/>
  <c r="H199" i="43"/>
  <c r="G129" i="67"/>
  <c r="G145" i="22"/>
  <c r="G146" i="11"/>
  <c r="P145" i="47"/>
  <c r="P129" i="67"/>
  <c r="P145" i="22"/>
  <c r="P146" i="11"/>
  <c r="H130" i="67"/>
  <c r="H147" i="11"/>
  <c r="H146" i="22"/>
  <c r="Q146" i="47"/>
  <c r="BB141" i="1"/>
  <c r="BC141" i="1" s="1"/>
  <c r="BD141" i="1" s="1"/>
  <c r="BE141" i="1" s="1"/>
  <c r="J134" i="67"/>
  <c r="J153" i="11"/>
  <c r="J152" i="22"/>
  <c r="H226" i="42"/>
  <c r="I152" i="47"/>
  <c r="H223" i="43"/>
  <c r="H135" i="67"/>
  <c r="H123" i="22"/>
  <c r="H124" i="11"/>
  <c r="Q123" i="47"/>
  <c r="G137" i="67"/>
  <c r="G125" i="22"/>
  <c r="G126" i="11"/>
  <c r="P125" i="47"/>
  <c r="P137" i="67"/>
  <c r="P125" i="22"/>
  <c r="P126" i="11"/>
  <c r="BB149" i="1"/>
  <c r="BC149" i="1" s="1"/>
  <c r="BD149" i="1" s="1"/>
  <c r="BE149" i="1" s="1"/>
  <c r="BB150" i="1"/>
  <c r="BC150" i="1" s="1"/>
  <c r="BD150" i="1" s="1"/>
  <c r="BE150" i="1" s="1"/>
  <c r="J142" i="67"/>
  <c r="J162" i="22"/>
  <c r="J163" i="11"/>
  <c r="H244" i="42"/>
  <c r="I162" i="47"/>
  <c r="H241" i="43"/>
  <c r="H143" i="67"/>
  <c r="H164" i="22"/>
  <c r="H165" i="11"/>
  <c r="Q164" i="47"/>
  <c r="G146" i="67"/>
  <c r="G96" i="22"/>
  <c r="G97" i="11"/>
  <c r="P96" i="47"/>
  <c r="P146" i="67"/>
  <c r="P96" i="22"/>
  <c r="P97" i="11"/>
  <c r="G150" i="67"/>
  <c r="G76" i="22"/>
  <c r="G77" i="11"/>
  <c r="P76" i="47"/>
  <c r="P150" i="67"/>
  <c r="P76" i="22"/>
  <c r="P77" i="11"/>
  <c r="BB162" i="1"/>
  <c r="BC162" i="1" s="1"/>
  <c r="BD162" i="1" s="1"/>
  <c r="BE162" i="1" s="1"/>
  <c r="BB164" i="1"/>
  <c r="BC164" i="1" s="1"/>
  <c r="BD164" i="1" s="1"/>
  <c r="BE164" i="1" s="1"/>
  <c r="G156" i="67"/>
  <c r="G89" i="22"/>
  <c r="G90" i="11"/>
  <c r="P89" i="47"/>
  <c r="P156" i="67"/>
  <c r="P89" i="22"/>
  <c r="P90" i="11"/>
  <c r="J158" i="67"/>
  <c r="J108" i="22"/>
  <c r="J109" i="11"/>
  <c r="H68" i="42"/>
  <c r="I108" i="47"/>
  <c r="H68" i="43"/>
  <c r="H159" i="67"/>
  <c r="H111" i="22"/>
  <c r="H112" i="11"/>
  <c r="Q111" i="47"/>
  <c r="BB170" i="1"/>
  <c r="BC170" i="1" s="1"/>
  <c r="BD170" i="1" s="1"/>
  <c r="BE170" i="1" s="1"/>
  <c r="G162" i="67"/>
  <c r="G130" i="22"/>
  <c r="G131" i="11"/>
  <c r="P130" i="47"/>
  <c r="P162" i="67"/>
  <c r="P131" i="11"/>
  <c r="P130" i="22"/>
  <c r="J166" i="67"/>
  <c r="J151" i="22"/>
  <c r="J152" i="11"/>
  <c r="H119" i="42"/>
  <c r="I151" i="47"/>
  <c r="H118" i="43"/>
  <c r="H167" i="67"/>
  <c r="H155" i="11"/>
  <c r="H154" i="22"/>
  <c r="Q154" i="47"/>
  <c r="J170" i="67"/>
  <c r="J170" i="22"/>
  <c r="J171" i="11"/>
  <c r="H117" i="42"/>
  <c r="I170" i="47"/>
  <c r="H116" i="43"/>
  <c r="H171" i="67"/>
  <c r="H171" i="22"/>
  <c r="H172" i="11"/>
  <c r="Q171" i="47"/>
  <c r="H175" i="67"/>
  <c r="H175" i="22"/>
  <c r="H176" i="11"/>
  <c r="Q175" i="47"/>
  <c r="BB187" i="1"/>
  <c r="BC187" i="1" s="1"/>
  <c r="BD187" i="1" s="1"/>
  <c r="BE187" i="1" s="1"/>
  <c r="H179" i="67"/>
  <c r="H179" i="22"/>
  <c r="H180" i="11"/>
  <c r="Q179" i="47"/>
  <c r="G180" i="67"/>
  <c r="G180" i="22"/>
  <c r="G181" i="11"/>
  <c r="P180" i="47"/>
  <c r="P180" i="67"/>
  <c r="P180" i="22"/>
  <c r="P181" i="11"/>
  <c r="J185" i="67"/>
  <c r="J185" i="22"/>
  <c r="J186" i="11"/>
  <c r="H245" i="42"/>
  <c r="I185" i="47"/>
  <c r="H242" i="43"/>
  <c r="H187" i="67"/>
  <c r="H187" i="22"/>
  <c r="H188" i="11"/>
  <c r="Q187" i="47"/>
  <c r="G190" i="67"/>
  <c r="G190" i="22"/>
  <c r="G191" i="11"/>
  <c r="P190" i="47"/>
  <c r="P190" i="67"/>
  <c r="P190" i="22"/>
  <c r="P191" i="11"/>
  <c r="J192" i="67"/>
  <c r="J192" i="22"/>
  <c r="J193" i="11"/>
  <c r="H135" i="42"/>
  <c r="I192" i="47"/>
  <c r="H133" i="43"/>
  <c r="G196" i="67"/>
  <c r="G196" i="22"/>
  <c r="G197" i="11"/>
  <c r="P196" i="47"/>
  <c r="P196" i="67"/>
  <c r="P196" i="22"/>
  <c r="P197" i="11"/>
  <c r="H197" i="67"/>
  <c r="H197" i="22"/>
  <c r="H198" i="11"/>
  <c r="Q197" i="47"/>
  <c r="H198" i="67"/>
  <c r="H198" i="22"/>
  <c r="H199" i="11"/>
  <c r="Q198" i="47"/>
  <c r="G200" i="67"/>
  <c r="G200" i="22"/>
  <c r="G201" i="11"/>
  <c r="P200" i="47"/>
  <c r="P200" i="67"/>
  <c r="P200" i="22"/>
  <c r="P201" i="11"/>
  <c r="H201" i="67"/>
  <c r="H201" i="22"/>
  <c r="H202" i="11"/>
  <c r="Q201" i="47"/>
  <c r="J205" i="67"/>
  <c r="J205" i="22"/>
  <c r="J206" i="11"/>
  <c r="H215" i="42"/>
  <c r="I205" i="47"/>
  <c r="H212" i="43"/>
  <c r="J207" i="67"/>
  <c r="J207" i="22"/>
  <c r="J208" i="11"/>
  <c r="H190" i="42"/>
  <c r="I207" i="47"/>
  <c r="H187" i="43"/>
  <c r="G209" i="67"/>
  <c r="G209" i="22"/>
  <c r="G210" i="11"/>
  <c r="P209" i="47"/>
  <c r="P209" i="67"/>
  <c r="P209" i="22"/>
  <c r="P210" i="11"/>
  <c r="H210" i="67"/>
  <c r="H210" i="22"/>
  <c r="H211" i="11"/>
  <c r="Q210" i="47"/>
  <c r="J211" i="67"/>
  <c r="J211" i="22"/>
  <c r="J212" i="11"/>
  <c r="H124" i="42"/>
  <c r="I211" i="47"/>
  <c r="H123" i="43"/>
  <c r="J213" i="67"/>
  <c r="J214" i="22"/>
  <c r="J215" i="11"/>
  <c r="H125" i="42"/>
  <c r="I214" i="47"/>
  <c r="H124" i="43"/>
  <c r="P215" i="67"/>
  <c r="P216" i="22"/>
  <c r="P217" i="11"/>
  <c r="O216" i="67"/>
  <c r="O217" i="22"/>
  <c r="O218" i="11"/>
  <c r="M217" i="47"/>
  <c r="O219" i="67"/>
  <c r="O220" i="22"/>
  <c r="O221" i="11"/>
  <c r="M220" i="47"/>
  <c r="BB231" i="1"/>
  <c r="BC231" i="1" s="1"/>
  <c r="BD231" i="1" s="1"/>
  <c r="BE231" i="1" s="1"/>
  <c r="O229" i="67"/>
  <c r="O230" i="22"/>
  <c r="O231" i="11"/>
  <c r="M230" i="47"/>
  <c r="O230" i="47"/>
  <c r="H21" i="67"/>
  <c r="H21" i="22"/>
  <c r="H22" i="11"/>
  <c r="Q21" i="47"/>
  <c r="L23" i="67"/>
  <c r="G24" i="67"/>
  <c r="G24" i="22"/>
  <c r="G25" i="11"/>
  <c r="P24" i="47"/>
  <c r="P24" i="67"/>
  <c r="P24" i="22"/>
  <c r="P25" i="11"/>
  <c r="G30" i="67"/>
  <c r="G30" i="22"/>
  <c r="G31" i="11"/>
  <c r="P30" i="47"/>
  <c r="P30" i="67"/>
  <c r="P30" i="22"/>
  <c r="P31" i="11"/>
  <c r="G36" i="67"/>
  <c r="G36" i="22"/>
  <c r="G37" i="11"/>
  <c r="P36" i="47"/>
  <c r="P36" i="67"/>
  <c r="P36" i="22"/>
  <c r="P37" i="11"/>
  <c r="H37" i="67"/>
  <c r="H37" i="22"/>
  <c r="H38" i="11"/>
  <c r="Q37" i="47"/>
  <c r="G39" i="67"/>
  <c r="G39" i="22"/>
  <c r="G40" i="11"/>
  <c r="P39" i="47"/>
  <c r="P39" i="67"/>
  <c r="P39" i="22"/>
  <c r="P40" i="11"/>
  <c r="BB51" i="1"/>
  <c r="BC51" i="1" s="1"/>
  <c r="BD51" i="1" s="1"/>
  <c r="BE51" i="1" s="1"/>
  <c r="G43" i="67"/>
  <c r="G43" i="22"/>
  <c r="G44" i="11"/>
  <c r="P43" i="47"/>
  <c r="P43" i="67"/>
  <c r="P43" i="22"/>
  <c r="P44" i="11"/>
  <c r="BB54" i="1"/>
  <c r="BC54" i="1" s="1"/>
  <c r="BD54" i="1" s="1"/>
  <c r="BE54" i="1" s="1"/>
  <c r="G47" i="67"/>
  <c r="G47" i="22"/>
  <c r="G48" i="11"/>
  <c r="P47" i="47"/>
  <c r="P47" i="67"/>
  <c r="P47" i="22"/>
  <c r="P48" i="11"/>
  <c r="J49" i="67"/>
  <c r="J49" i="22"/>
  <c r="J50" i="11"/>
  <c r="H54" i="42"/>
  <c r="I49" i="47"/>
  <c r="H54" i="43"/>
  <c r="J51" i="67"/>
  <c r="J51" i="22"/>
  <c r="J52" i="11"/>
  <c r="H56" i="42"/>
  <c r="H56" i="43"/>
  <c r="I51" i="47"/>
  <c r="BB63" i="1"/>
  <c r="BC63" i="1" s="1"/>
  <c r="BD63" i="1" s="1"/>
  <c r="BE63" i="1" s="1"/>
  <c r="G55" i="67"/>
  <c r="G55" i="22"/>
  <c r="G56" i="11"/>
  <c r="P55" i="47"/>
  <c r="P55" i="67"/>
  <c r="P55" i="22"/>
  <c r="P56" i="11"/>
  <c r="BB68" i="1"/>
  <c r="BC68" i="1" s="1"/>
  <c r="BD68" i="1" s="1"/>
  <c r="BE68" i="1" s="1"/>
  <c r="J59" i="67"/>
  <c r="J59" i="22"/>
  <c r="J60" i="11"/>
  <c r="H63" i="42"/>
  <c r="H63" i="43"/>
  <c r="I59" i="47"/>
  <c r="J61" i="67"/>
  <c r="J61" i="22"/>
  <c r="J62" i="11"/>
  <c r="H231" i="42"/>
  <c r="H228" i="43"/>
  <c r="I61" i="47"/>
  <c r="H70" i="67"/>
  <c r="H70" i="22"/>
  <c r="H71" i="11"/>
  <c r="Q70" i="47"/>
  <c r="BB81" i="1"/>
  <c r="BC81" i="1" s="1"/>
  <c r="BD81" i="1" s="1"/>
  <c r="BE81" i="1" s="1"/>
  <c r="G73" i="67"/>
  <c r="G90" i="22"/>
  <c r="G91" i="11"/>
  <c r="P90" i="47"/>
  <c r="P73" i="67"/>
  <c r="P91" i="11"/>
  <c r="P90" i="22"/>
  <c r="H74" i="67"/>
  <c r="H91" i="22"/>
  <c r="H92" i="11"/>
  <c r="Q91" i="47"/>
  <c r="J77" i="67"/>
  <c r="J95" i="22"/>
  <c r="J96" i="11"/>
  <c r="H93" i="42"/>
  <c r="I95" i="47"/>
  <c r="H92" i="43"/>
  <c r="BB89" i="1"/>
  <c r="BC89" i="1" s="1"/>
  <c r="BD89" i="1" s="1"/>
  <c r="BE89" i="1" s="1"/>
  <c r="BB91" i="1"/>
  <c r="BB93" i="1"/>
  <c r="BC93" i="1" s="1"/>
  <c r="BD93" i="1" s="1"/>
  <c r="BE93" i="1" s="1"/>
  <c r="O84" i="67"/>
  <c r="O73" i="22"/>
  <c r="O74" i="11"/>
  <c r="M73" i="47"/>
  <c r="J92" i="67"/>
  <c r="J109" i="22"/>
  <c r="J110" i="11"/>
  <c r="H85" i="42"/>
  <c r="H85" i="43"/>
  <c r="I109" i="47"/>
  <c r="J96" i="67"/>
  <c r="J156" i="22"/>
  <c r="J157" i="11"/>
  <c r="H103" i="42"/>
  <c r="I156" i="47"/>
  <c r="H102" i="43"/>
  <c r="BB108" i="1"/>
  <c r="BC108" i="1" s="1"/>
  <c r="BD108" i="1" s="1"/>
  <c r="BE108" i="1" s="1"/>
  <c r="G100" i="67"/>
  <c r="G88" i="22"/>
  <c r="G89" i="11"/>
  <c r="P88" i="47"/>
  <c r="P100" i="67"/>
  <c r="P88" i="22"/>
  <c r="P89" i="11"/>
  <c r="BB112" i="1"/>
  <c r="BC112" i="1" s="1"/>
  <c r="BD112" i="1" s="1"/>
  <c r="BE112" i="1" s="1"/>
  <c r="J104" i="67"/>
  <c r="J116" i="22"/>
  <c r="J117" i="11"/>
  <c r="H174" i="42"/>
  <c r="I116" i="47"/>
  <c r="H171" i="43"/>
  <c r="G108" i="67"/>
  <c r="G121" i="22"/>
  <c r="G122" i="11"/>
  <c r="P121" i="47"/>
  <c r="P108" i="67"/>
  <c r="P121" i="22"/>
  <c r="P122" i="11"/>
  <c r="BB120" i="1"/>
  <c r="BC120" i="1" s="1"/>
  <c r="BD120" i="1" s="1"/>
  <c r="BE120" i="1" s="1"/>
  <c r="G112" i="67"/>
  <c r="G149" i="22"/>
  <c r="G150" i="11"/>
  <c r="P149" i="47"/>
  <c r="P112" i="67"/>
  <c r="P149" i="22"/>
  <c r="P150" i="11"/>
  <c r="H113" i="67"/>
  <c r="H153" i="22"/>
  <c r="H154" i="11"/>
  <c r="Q153" i="47"/>
  <c r="BB124" i="1"/>
  <c r="BC124" i="1" s="1"/>
  <c r="BD124" i="1" s="1"/>
  <c r="BE124" i="1" s="1"/>
  <c r="J116" i="67"/>
  <c r="J169" i="22"/>
  <c r="J170" i="11"/>
  <c r="H132" i="42"/>
  <c r="I169" i="47"/>
  <c r="H131" i="43"/>
  <c r="H117" i="67"/>
  <c r="H132" i="22"/>
  <c r="H133" i="11"/>
  <c r="Q132" i="47"/>
  <c r="G120" i="67"/>
  <c r="G136" i="22"/>
  <c r="G137" i="11"/>
  <c r="P136" i="47"/>
  <c r="P120" i="67"/>
  <c r="P136" i="22"/>
  <c r="P137" i="11"/>
  <c r="J124" i="67"/>
  <c r="J155" i="22"/>
  <c r="J156" i="11"/>
  <c r="H194" i="42"/>
  <c r="I155" i="47"/>
  <c r="H191" i="43"/>
  <c r="BB136" i="1"/>
  <c r="BC136" i="1" s="1"/>
  <c r="BD136" i="1" s="1"/>
  <c r="BE136" i="1" s="1"/>
  <c r="G128" i="67"/>
  <c r="G141" i="22"/>
  <c r="G142" i="11"/>
  <c r="P141" i="47"/>
  <c r="P128" i="67"/>
  <c r="P141" i="22"/>
  <c r="P142" i="11"/>
  <c r="H129" i="67"/>
  <c r="H145" i="22"/>
  <c r="H146" i="11"/>
  <c r="Q145" i="47"/>
  <c r="J132" i="67"/>
  <c r="J148" i="22"/>
  <c r="J149" i="11"/>
  <c r="H224" i="42"/>
  <c r="I148" i="47"/>
  <c r="H221" i="43"/>
  <c r="J133" i="67"/>
  <c r="J150" i="22"/>
  <c r="J151" i="11"/>
  <c r="H227" i="42"/>
  <c r="I150" i="47"/>
  <c r="H224" i="43"/>
  <c r="H137" i="67"/>
  <c r="H125" i="22"/>
  <c r="H126" i="11"/>
  <c r="Q125" i="47"/>
  <c r="BB148" i="1"/>
  <c r="BC148" i="1" s="1"/>
  <c r="BD148" i="1" s="1"/>
  <c r="BE148" i="1" s="1"/>
  <c r="G141" i="67"/>
  <c r="G132" i="11"/>
  <c r="G131" i="22"/>
  <c r="P131" i="47"/>
  <c r="P141" i="67"/>
  <c r="P131" i="22"/>
  <c r="P132" i="11"/>
  <c r="J145" i="67"/>
  <c r="J81" i="22"/>
  <c r="J82" i="11"/>
  <c r="H79" i="42"/>
  <c r="I81" i="47"/>
  <c r="H79" i="43"/>
  <c r="H146" i="67"/>
  <c r="H96" i="22"/>
  <c r="H97" i="11"/>
  <c r="Q96" i="47"/>
  <c r="BB157" i="1"/>
  <c r="BC157" i="1" s="1"/>
  <c r="BD157" i="1" s="1"/>
  <c r="BE157" i="1" s="1"/>
  <c r="J149" i="67"/>
  <c r="J75" i="22"/>
  <c r="J76" i="11"/>
  <c r="H233" i="42"/>
  <c r="H230" i="43"/>
  <c r="I75" i="47"/>
  <c r="H150" i="67"/>
  <c r="H76" i="22"/>
  <c r="H77" i="11"/>
  <c r="Q76" i="47"/>
  <c r="BB161" i="1"/>
  <c r="BC161" i="1" s="1"/>
  <c r="BD161" i="1" s="1"/>
  <c r="BE161" i="1" s="1"/>
  <c r="BB163" i="1"/>
  <c r="BC163" i="1" s="1"/>
  <c r="BD163" i="1" s="1"/>
  <c r="BE163" i="1" s="1"/>
  <c r="J155" i="67"/>
  <c r="J85" i="22"/>
  <c r="J86" i="11"/>
  <c r="H140" i="42"/>
  <c r="I84" i="47"/>
  <c r="H138" i="43"/>
  <c r="H156" i="67"/>
  <c r="H89" i="22"/>
  <c r="H90" i="11"/>
  <c r="Q89" i="47"/>
  <c r="BB167" i="1"/>
  <c r="BC167" i="1" s="1"/>
  <c r="BD167" i="1" s="1"/>
  <c r="BE167" i="1" s="1"/>
  <c r="J161" i="67"/>
  <c r="J126" i="22"/>
  <c r="J127" i="11"/>
  <c r="H237" i="42"/>
  <c r="I126" i="47"/>
  <c r="H234" i="43"/>
  <c r="H162" i="67"/>
  <c r="H130" i="22"/>
  <c r="H131" i="11"/>
  <c r="Q130" i="47"/>
  <c r="BB173" i="1"/>
  <c r="BC173" i="1" s="1"/>
  <c r="BD173" i="1" s="1"/>
  <c r="BE173" i="1" s="1"/>
  <c r="G165" i="67"/>
  <c r="G144" i="22"/>
  <c r="G145" i="11"/>
  <c r="P144" i="47"/>
  <c r="P165" i="67"/>
  <c r="P144" i="22"/>
  <c r="P145" i="11"/>
  <c r="G169" i="67"/>
  <c r="G168" i="22"/>
  <c r="G169" i="11"/>
  <c r="P168" i="47"/>
  <c r="P169" i="67"/>
  <c r="P168" i="22"/>
  <c r="P169" i="11"/>
  <c r="O172" i="67"/>
  <c r="O172" i="22"/>
  <c r="O173" i="11"/>
  <c r="M172" i="47"/>
  <c r="G176" i="67"/>
  <c r="G176" i="22"/>
  <c r="G177" i="11"/>
  <c r="P176" i="47"/>
  <c r="P176" i="67"/>
  <c r="P176" i="22"/>
  <c r="P177" i="11"/>
  <c r="O177" i="67"/>
  <c r="O177" i="22"/>
  <c r="O178" i="11"/>
  <c r="M177" i="47"/>
  <c r="J178" i="67"/>
  <c r="J178" i="22"/>
  <c r="J179" i="11"/>
  <c r="H80" i="42"/>
  <c r="I178" i="47"/>
  <c r="H80" i="43"/>
  <c r="H180" i="67"/>
  <c r="H180" i="22"/>
  <c r="H181" i="11"/>
  <c r="Q180" i="47"/>
  <c r="BB191" i="1"/>
  <c r="BC191" i="1" s="1"/>
  <c r="BD191" i="1" s="1"/>
  <c r="BE191" i="1" s="1"/>
  <c r="J182" i="67"/>
  <c r="J182" i="22"/>
  <c r="J183" i="11"/>
  <c r="H120" i="42"/>
  <c r="I182" i="47"/>
  <c r="H119" i="43"/>
  <c r="G184" i="67"/>
  <c r="G184" i="22"/>
  <c r="G185" i="11"/>
  <c r="P184" i="47"/>
  <c r="P184" i="67"/>
  <c r="P184" i="22"/>
  <c r="P185" i="11"/>
  <c r="BB198" i="1"/>
  <c r="BC198" i="1" s="1"/>
  <c r="BD198" i="1" s="1"/>
  <c r="BE198" i="1" s="1"/>
  <c r="H190" i="67"/>
  <c r="H190" i="22"/>
  <c r="H191" i="11"/>
  <c r="Q190" i="47"/>
  <c r="G195" i="67"/>
  <c r="G195" i="22"/>
  <c r="G196" i="11"/>
  <c r="P195" i="47"/>
  <c r="P195" i="67"/>
  <c r="P195" i="22"/>
  <c r="P196" i="11"/>
  <c r="H196" i="67"/>
  <c r="H196" i="22"/>
  <c r="H197" i="11"/>
  <c r="Q196" i="47"/>
  <c r="G199" i="67"/>
  <c r="G199" i="22"/>
  <c r="G200" i="11"/>
  <c r="P199" i="47"/>
  <c r="P199" i="67"/>
  <c r="P199" i="22"/>
  <c r="P200" i="11"/>
  <c r="H200" i="67"/>
  <c r="H200" i="22"/>
  <c r="H201" i="11"/>
  <c r="Q200" i="47"/>
  <c r="J203" i="67"/>
  <c r="J203" i="22"/>
  <c r="J204" i="11"/>
  <c r="H216" i="42"/>
  <c r="I203" i="47"/>
  <c r="H213" i="43"/>
  <c r="J204" i="67"/>
  <c r="J204" i="22"/>
  <c r="J205" i="11"/>
  <c r="H188" i="42"/>
  <c r="I204" i="47"/>
  <c r="H185" i="43"/>
  <c r="BB217" i="1"/>
  <c r="BC217" i="1" s="1"/>
  <c r="BD217" i="1" s="1"/>
  <c r="BE217" i="1" s="1"/>
  <c r="G208" i="67"/>
  <c r="G208" i="22"/>
  <c r="G209" i="11"/>
  <c r="P208" i="47"/>
  <c r="H209" i="67"/>
  <c r="H209" i="22"/>
  <c r="H210" i="11"/>
  <c r="Q209" i="47"/>
  <c r="L210" i="67"/>
  <c r="G212" i="67"/>
  <c r="G212" i="22"/>
  <c r="G213" i="11"/>
  <c r="P212" i="47"/>
  <c r="BB225" i="1"/>
  <c r="BC225" i="1" s="1"/>
  <c r="BD225" i="1" s="1"/>
  <c r="BE225" i="1" s="1"/>
  <c r="P222" i="67"/>
  <c r="P223" i="22"/>
  <c r="P224" i="11"/>
  <c r="L223" i="67"/>
  <c r="L224" i="67"/>
  <c r="G225" i="67"/>
  <c r="G226" i="22"/>
  <c r="G227" i="11"/>
  <c r="P226" i="47"/>
  <c r="O228" i="67"/>
  <c r="O229" i="22"/>
  <c r="O230" i="11"/>
  <c r="M229" i="47"/>
  <c r="O229" i="47"/>
  <c r="P34" i="67"/>
  <c r="P34" i="22"/>
  <c r="P35" i="11"/>
  <c r="G35" i="67"/>
  <c r="G35" i="22"/>
  <c r="G36" i="11"/>
  <c r="P35" i="47"/>
  <c r="P35" i="67"/>
  <c r="P35" i="22"/>
  <c r="P36" i="11"/>
  <c r="H36" i="67"/>
  <c r="H36" i="22"/>
  <c r="H37" i="11"/>
  <c r="Q36" i="47"/>
  <c r="G38" i="67"/>
  <c r="G38" i="22"/>
  <c r="G39" i="11"/>
  <c r="P38" i="47"/>
  <c r="P38" i="67"/>
  <c r="P38" i="22"/>
  <c r="P39" i="11"/>
  <c r="H39" i="67"/>
  <c r="H39" i="22"/>
  <c r="H40" i="11"/>
  <c r="Q39" i="47"/>
  <c r="G42" i="67"/>
  <c r="G42" i="22"/>
  <c r="G43" i="11"/>
  <c r="P42" i="47"/>
  <c r="P42" i="67"/>
  <c r="P42" i="22"/>
  <c r="P43" i="11"/>
  <c r="H43" i="67"/>
  <c r="H43" i="22"/>
  <c r="H44" i="11"/>
  <c r="Q43" i="47"/>
  <c r="G45" i="67"/>
  <c r="G45" i="22"/>
  <c r="G46" i="11"/>
  <c r="P45" i="47"/>
  <c r="P45" i="67"/>
  <c r="P45" i="22"/>
  <c r="P46" i="11"/>
  <c r="G46" i="67"/>
  <c r="G46" i="22"/>
  <c r="G47" i="11"/>
  <c r="P46" i="47"/>
  <c r="H47" i="67"/>
  <c r="H47" i="22"/>
  <c r="H48" i="11"/>
  <c r="Q47" i="47"/>
  <c r="G48" i="67"/>
  <c r="G48" i="22"/>
  <c r="G49" i="11"/>
  <c r="P48" i="47"/>
  <c r="P48" i="67"/>
  <c r="P48" i="22"/>
  <c r="P49" i="11"/>
  <c r="J50" i="67"/>
  <c r="J50" i="22"/>
  <c r="J51" i="11"/>
  <c r="H55" i="42"/>
  <c r="H55" i="43"/>
  <c r="I50" i="47"/>
  <c r="G54" i="67"/>
  <c r="G54" i="22"/>
  <c r="G55" i="11"/>
  <c r="P54" i="47"/>
  <c r="P54" i="67"/>
  <c r="P54" i="22"/>
  <c r="P55" i="11"/>
  <c r="H55" i="67"/>
  <c r="H55" i="22"/>
  <c r="H56" i="11"/>
  <c r="Q55" i="47"/>
  <c r="J60" i="67"/>
  <c r="J60" i="22"/>
  <c r="J61" i="11"/>
  <c r="H147" i="42"/>
  <c r="I60" i="47"/>
  <c r="H145" i="43"/>
  <c r="L64" i="67"/>
  <c r="G67" i="67"/>
  <c r="G67" i="22"/>
  <c r="G68" i="11"/>
  <c r="P67" i="47"/>
  <c r="P67" i="67"/>
  <c r="P67" i="22"/>
  <c r="P68" i="11"/>
  <c r="L69" i="67"/>
  <c r="G72" i="67"/>
  <c r="G86" i="22"/>
  <c r="G87" i="11"/>
  <c r="P86" i="47"/>
  <c r="P72" i="67"/>
  <c r="P86" i="22"/>
  <c r="P87" i="11"/>
  <c r="H73" i="67"/>
  <c r="H91" i="11"/>
  <c r="H90" i="22"/>
  <c r="Q90" i="47"/>
  <c r="L75" i="67"/>
  <c r="J76" i="67"/>
  <c r="J94" i="22"/>
  <c r="J95" i="11"/>
  <c r="H66" i="42"/>
  <c r="I94" i="47"/>
  <c r="H66" i="43"/>
  <c r="G80" i="67"/>
  <c r="G71" i="22"/>
  <c r="G72" i="11"/>
  <c r="P71" i="47"/>
  <c r="P80" i="67"/>
  <c r="P71" i="22"/>
  <c r="P72" i="11"/>
  <c r="G84" i="67"/>
  <c r="G73" i="22"/>
  <c r="G74" i="11"/>
  <c r="P73" i="47"/>
  <c r="P84" i="67"/>
  <c r="P73" i="22"/>
  <c r="P74" i="11"/>
  <c r="L86" i="67"/>
  <c r="J87" i="67"/>
  <c r="J74" i="22"/>
  <c r="J75" i="11"/>
  <c r="H149" i="42"/>
  <c r="I74" i="47"/>
  <c r="H147" i="43"/>
  <c r="L88" i="67"/>
  <c r="J89" i="67"/>
  <c r="J104" i="22"/>
  <c r="J105" i="11"/>
  <c r="H110" i="42"/>
  <c r="I104" i="47"/>
  <c r="H109" i="43"/>
  <c r="L90" i="67"/>
  <c r="J91" i="67"/>
  <c r="J106" i="22"/>
  <c r="J107" i="11"/>
  <c r="H109" i="42"/>
  <c r="I106" i="47"/>
  <c r="H108" i="43"/>
  <c r="L94" i="67"/>
  <c r="J95" i="67"/>
  <c r="J107" i="22"/>
  <c r="J108" i="11"/>
  <c r="H84" i="42"/>
  <c r="I107" i="47"/>
  <c r="H84" i="43"/>
  <c r="O98" i="67"/>
  <c r="O158" i="22"/>
  <c r="O159" i="11"/>
  <c r="M158" i="47"/>
  <c r="G99" i="67"/>
  <c r="G87" i="22"/>
  <c r="G88" i="11"/>
  <c r="P87" i="47"/>
  <c r="P99" i="67"/>
  <c r="P87" i="22"/>
  <c r="P88" i="11"/>
  <c r="H100" i="67"/>
  <c r="H88" i="22"/>
  <c r="H89" i="11"/>
  <c r="Q88" i="47"/>
  <c r="O102" i="67"/>
  <c r="O114" i="22"/>
  <c r="O115" i="11"/>
  <c r="M114" i="47"/>
  <c r="J103" i="67"/>
  <c r="J115" i="22"/>
  <c r="J116" i="11"/>
  <c r="H151" i="42"/>
  <c r="I115" i="47"/>
  <c r="H149" i="43"/>
  <c r="L106" i="67"/>
  <c r="G107" i="67"/>
  <c r="G120" i="22"/>
  <c r="G121" i="11"/>
  <c r="P120" i="47"/>
  <c r="P107" i="67"/>
  <c r="P120" i="22"/>
  <c r="P121" i="11"/>
  <c r="H108" i="67"/>
  <c r="H121" i="22"/>
  <c r="H122" i="11"/>
  <c r="Q121" i="47"/>
  <c r="O110" i="67"/>
  <c r="O142" i="22"/>
  <c r="O143" i="11"/>
  <c r="M142" i="47"/>
  <c r="G111" i="67"/>
  <c r="G143" i="22"/>
  <c r="G144" i="11"/>
  <c r="P143" i="47"/>
  <c r="P111" i="67"/>
  <c r="P143" i="22"/>
  <c r="P144" i="11"/>
  <c r="H112" i="67"/>
  <c r="H149" i="22"/>
  <c r="H150" i="11"/>
  <c r="Q149" i="47"/>
  <c r="O114" i="67"/>
  <c r="O159" i="22"/>
  <c r="O160" i="11"/>
  <c r="M159" i="47"/>
  <c r="J115" i="67"/>
  <c r="J160" i="22"/>
  <c r="J161" i="11"/>
  <c r="H176" i="42"/>
  <c r="I160" i="47"/>
  <c r="H173" i="43"/>
  <c r="L118" i="67"/>
  <c r="G119" i="67"/>
  <c r="G135" i="22"/>
  <c r="G136" i="11"/>
  <c r="P135" i="47"/>
  <c r="P119" i="67"/>
  <c r="P135" i="22"/>
  <c r="P136" i="11"/>
  <c r="H120" i="67"/>
  <c r="H136" i="22"/>
  <c r="H137" i="11"/>
  <c r="Q136" i="47"/>
  <c r="L122" i="67"/>
  <c r="J123" i="67"/>
  <c r="J140" i="22"/>
  <c r="J141" i="11"/>
  <c r="H200" i="42"/>
  <c r="I140" i="47"/>
  <c r="H197" i="43"/>
  <c r="O126" i="67"/>
  <c r="O166" i="22"/>
  <c r="O167" i="11"/>
  <c r="M166" i="47"/>
  <c r="G127" i="67"/>
  <c r="G167" i="22"/>
  <c r="G168" i="11"/>
  <c r="P167" i="47"/>
  <c r="P127" i="67"/>
  <c r="P167" i="22"/>
  <c r="P168" i="11"/>
  <c r="H128" i="67"/>
  <c r="H141" i="22"/>
  <c r="H142" i="11"/>
  <c r="Q141" i="47"/>
  <c r="L130" i="67"/>
  <c r="G131" i="67"/>
  <c r="G148" i="11"/>
  <c r="G147" i="22"/>
  <c r="P147" i="47"/>
  <c r="P131" i="67"/>
  <c r="P147" i="22"/>
  <c r="P148" i="11"/>
  <c r="L135" i="67"/>
  <c r="J136" i="67"/>
  <c r="J124" i="22"/>
  <c r="J125" i="11"/>
  <c r="H246" i="42"/>
  <c r="I124" i="47"/>
  <c r="H243" i="43"/>
  <c r="O138" i="67"/>
  <c r="O127" i="22"/>
  <c r="O128" i="11"/>
  <c r="M127" i="47"/>
  <c r="G139" i="67"/>
  <c r="G128" i="22"/>
  <c r="G129" i="11"/>
  <c r="P128" i="47"/>
  <c r="P139" i="67"/>
  <c r="P128" i="22"/>
  <c r="P129" i="11"/>
  <c r="G140" i="67"/>
  <c r="G129" i="22"/>
  <c r="G130" i="11"/>
  <c r="P129" i="47"/>
  <c r="P140" i="67"/>
  <c r="P129" i="22"/>
  <c r="P130" i="11"/>
  <c r="H141" i="67"/>
  <c r="H131" i="22"/>
  <c r="H132" i="11"/>
  <c r="Q131" i="47"/>
  <c r="L143" i="67"/>
  <c r="J144" i="67"/>
  <c r="J82" i="22"/>
  <c r="J83" i="11"/>
  <c r="H98" i="42"/>
  <c r="I82" i="47"/>
  <c r="H97" i="43"/>
  <c r="O147" i="67"/>
  <c r="O112" i="22"/>
  <c r="O113" i="11"/>
  <c r="M112" i="47"/>
  <c r="J148" i="67"/>
  <c r="J163" i="22"/>
  <c r="J164" i="11"/>
  <c r="H234" i="42"/>
  <c r="I163" i="47"/>
  <c r="H231" i="43"/>
  <c r="O151" i="67"/>
  <c r="O77" i="22"/>
  <c r="O78" i="11"/>
  <c r="M77" i="47"/>
  <c r="G152" i="67"/>
  <c r="G78" i="22"/>
  <c r="G79" i="11"/>
  <c r="P78" i="47"/>
  <c r="P152" i="67"/>
  <c r="P78" i="22"/>
  <c r="P79" i="11"/>
  <c r="O153" i="67"/>
  <c r="O79" i="22"/>
  <c r="O80" i="11"/>
  <c r="M79" i="47"/>
  <c r="G154" i="67"/>
  <c r="G80" i="22"/>
  <c r="G81" i="11"/>
  <c r="P80" i="47"/>
  <c r="P154" i="67"/>
  <c r="P80" i="22"/>
  <c r="P81" i="11"/>
  <c r="O157" i="67"/>
  <c r="O93" i="22"/>
  <c r="O94" i="11"/>
  <c r="M93" i="47"/>
  <c r="L159" i="67"/>
  <c r="G160" i="67"/>
  <c r="G119" i="22"/>
  <c r="G120" i="11"/>
  <c r="P119" i="47"/>
  <c r="P160" i="67"/>
  <c r="P119" i="22"/>
  <c r="P120" i="11"/>
  <c r="O163" i="67"/>
  <c r="O134" i="22"/>
  <c r="O135" i="11"/>
  <c r="M134" i="47"/>
  <c r="J164" i="67"/>
  <c r="J138" i="22"/>
  <c r="J139" i="11"/>
  <c r="H184" i="42"/>
  <c r="I138" i="47"/>
  <c r="H181" i="43"/>
  <c r="H165" i="67"/>
  <c r="H144" i="22"/>
  <c r="H145" i="11"/>
  <c r="Q144" i="47"/>
  <c r="L167" i="67"/>
  <c r="J168" i="67"/>
  <c r="J161" i="22"/>
  <c r="J162" i="11"/>
  <c r="H152" i="42"/>
  <c r="I161" i="47"/>
  <c r="H150" i="43"/>
  <c r="H169" i="67"/>
  <c r="H168" i="22"/>
  <c r="H169" i="11"/>
  <c r="Q168" i="47"/>
  <c r="L171" i="67"/>
  <c r="G172" i="67"/>
  <c r="G172" i="22"/>
  <c r="G173" i="11"/>
  <c r="P172" i="47"/>
  <c r="P172" i="67"/>
  <c r="P172" i="22"/>
  <c r="P173" i="11"/>
  <c r="O173" i="67"/>
  <c r="O173" i="22"/>
  <c r="O174" i="11"/>
  <c r="M173" i="47"/>
  <c r="J174" i="67"/>
  <c r="J174" i="22"/>
  <c r="J175" i="11"/>
  <c r="H212" i="42"/>
  <c r="I174" i="47"/>
  <c r="H209" i="43"/>
  <c r="L175" i="67"/>
  <c r="H176" i="67"/>
  <c r="H176" i="22"/>
  <c r="H177" i="11"/>
  <c r="Q176" i="47"/>
  <c r="G177" i="67"/>
  <c r="G177" i="22"/>
  <c r="G178" i="11"/>
  <c r="P177" i="47"/>
  <c r="P177" i="67"/>
  <c r="P177" i="22"/>
  <c r="P178" i="11"/>
  <c r="L179" i="67"/>
  <c r="O181" i="67"/>
  <c r="O181" i="22"/>
  <c r="O182" i="11"/>
  <c r="M181" i="47"/>
  <c r="J183" i="67"/>
  <c r="J183" i="22"/>
  <c r="J184" i="11"/>
  <c r="H164" i="42"/>
  <c r="I183" i="47"/>
  <c r="H161" i="43"/>
  <c r="H184" i="67"/>
  <c r="H184" i="22"/>
  <c r="H185" i="11"/>
  <c r="Q184" i="47"/>
  <c r="J186" i="67"/>
  <c r="J186" i="22"/>
  <c r="J187" i="11"/>
  <c r="H251" i="42"/>
  <c r="I186" i="47"/>
  <c r="H248" i="43"/>
  <c r="L187" i="67"/>
  <c r="O188" i="67"/>
  <c r="O188" i="22"/>
  <c r="O189" i="11"/>
  <c r="M188" i="47"/>
  <c r="J189" i="67"/>
  <c r="J189" i="22"/>
  <c r="J190" i="11"/>
  <c r="H186" i="42"/>
  <c r="I189" i="47"/>
  <c r="H183" i="43"/>
  <c r="O191" i="67"/>
  <c r="O191" i="22"/>
  <c r="O192" i="11"/>
  <c r="M191" i="47"/>
  <c r="J193" i="67"/>
  <c r="J193" i="22"/>
  <c r="J194" i="11"/>
  <c r="H155" i="42"/>
  <c r="I193" i="47"/>
  <c r="H153" i="43"/>
  <c r="J194" i="67"/>
  <c r="J194" i="22"/>
  <c r="J195" i="11"/>
  <c r="H187" i="42"/>
  <c r="I194" i="47"/>
  <c r="H184" i="43"/>
  <c r="H195" i="67"/>
  <c r="H195" i="22"/>
  <c r="H196" i="11"/>
  <c r="Q195" i="47"/>
  <c r="L197" i="67"/>
  <c r="L198" i="67"/>
  <c r="H199" i="67"/>
  <c r="H199" i="22"/>
  <c r="H200" i="11"/>
  <c r="Q199" i="47"/>
  <c r="L201" i="67"/>
  <c r="J202" i="67"/>
  <c r="J202" i="22"/>
  <c r="J203" i="11"/>
  <c r="H157" i="42"/>
  <c r="I202" i="47"/>
  <c r="H155" i="43"/>
  <c r="J206" i="67"/>
  <c r="J206" i="22"/>
  <c r="J207" i="11"/>
  <c r="H122" i="42"/>
  <c r="I206" i="47"/>
  <c r="H121" i="43"/>
  <c r="P207" i="67"/>
  <c r="P207" i="22"/>
  <c r="P208" i="11"/>
  <c r="H208" i="67"/>
  <c r="H208" i="22"/>
  <c r="H209" i="11"/>
  <c r="Q208" i="47"/>
  <c r="H212" i="67"/>
  <c r="H212" i="22"/>
  <c r="H213" i="11"/>
  <c r="Q212" i="47"/>
  <c r="H214" i="67"/>
  <c r="H215" i="22"/>
  <c r="H216" i="11"/>
  <c r="Q215" i="47"/>
  <c r="L216" i="67"/>
  <c r="P217" i="67"/>
  <c r="P218" i="22"/>
  <c r="P219" i="11"/>
  <c r="L219" i="67"/>
  <c r="G221" i="67"/>
  <c r="G222" i="22"/>
  <c r="G223" i="11"/>
  <c r="P222" i="47"/>
  <c r="L228" i="67"/>
  <c r="L230" i="67"/>
  <c r="H38" i="67"/>
  <c r="H38" i="22"/>
  <c r="H39" i="11"/>
  <c r="Q38" i="47"/>
  <c r="AN249" i="1"/>
  <c r="G41" i="67"/>
  <c r="G41" i="22"/>
  <c r="G42" i="11"/>
  <c r="P41" i="47"/>
  <c r="P41" i="67"/>
  <c r="P41" i="22"/>
  <c r="P42" i="11"/>
  <c r="H42" i="67"/>
  <c r="H42" i="22"/>
  <c r="H43" i="11"/>
  <c r="Q42" i="47"/>
  <c r="G44" i="67"/>
  <c r="G44" i="22"/>
  <c r="G45" i="11"/>
  <c r="P44" i="47"/>
  <c r="P44" i="67"/>
  <c r="P44" i="22"/>
  <c r="P45" i="11"/>
  <c r="H45" i="67"/>
  <c r="H45" i="22"/>
  <c r="H46" i="11"/>
  <c r="Q45" i="47"/>
  <c r="H46" i="67"/>
  <c r="H46" i="22"/>
  <c r="H47" i="11"/>
  <c r="Q46" i="47"/>
  <c r="H48" i="67"/>
  <c r="H48" i="22"/>
  <c r="H49" i="11"/>
  <c r="Q48" i="47"/>
  <c r="G53" i="67"/>
  <c r="G53" i="22"/>
  <c r="G54" i="11"/>
  <c r="P53" i="47"/>
  <c r="P53" i="67"/>
  <c r="P53" i="22"/>
  <c r="P54" i="11"/>
  <c r="H54" i="67"/>
  <c r="H54" i="22"/>
  <c r="H55" i="11"/>
  <c r="Q54" i="47"/>
  <c r="G58" i="67"/>
  <c r="G58" i="22"/>
  <c r="G59" i="11"/>
  <c r="P58" i="47"/>
  <c r="P58" i="67"/>
  <c r="P58" i="22"/>
  <c r="P59" i="11"/>
  <c r="J63" i="67"/>
  <c r="J63" i="22"/>
  <c r="J64" i="11"/>
  <c r="H206" i="42"/>
  <c r="I63" i="47"/>
  <c r="H203" i="43"/>
  <c r="J64" i="67"/>
  <c r="J64" i="22"/>
  <c r="J65" i="11"/>
  <c r="H113" i="42"/>
  <c r="I64" i="47"/>
  <c r="H112" i="43"/>
  <c r="G66" i="67"/>
  <c r="G65" i="22"/>
  <c r="G66" i="11"/>
  <c r="P66" i="47"/>
  <c r="P66" i="67"/>
  <c r="P65" i="22"/>
  <c r="P66" i="11"/>
  <c r="H67" i="67"/>
  <c r="H67" i="22"/>
  <c r="H68" i="11"/>
  <c r="Q67" i="47"/>
  <c r="J69" i="67"/>
  <c r="J69" i="22"/>
  <c r="J70" i="11"/>
  <c r="H148" i="42"/>
  <c r="H146" i="43"/>
  <c r="I69" i="47"/>
  <c r="G71" i="67"/>
  <c r="G84" i="22"/>
  <c r="G85" i="11"/>
  <c r="P85" i="47"/>
  <c r="P71" i="67"/>
  <c r="P84" i="22"/>
  <c r="P85" i="11"/>
  <c r="H72" i="67"/>
  <c r="H86" i="22"/>
  <c r="H87" i="11"/>
  <c r="Q86" i="47"/>
  <c r="J75" i="67"/>
  <c r="J92" i="22"/>
  <c r="J93" i="11"/>
  <c r="H82" i="42"/>
  <c r="I92" i="47"/>
  <c r="H82" i="43"/>
  <c r="G79" i="67"/>
  <c r="G98" i="22"/>
  <c r="G99" i="11"/>
  <c r="P98" i="47"/>
  <c r="P79" i="67"/>
  <c r="P99" i="11"/>
  <c r="P98" i="22"/>
  <c r="H80" i="67"/>
  <c r="H71" i="22"/>
  <c r="H72" i="11"/>
  <c r="Q71" i="47"/>
  <c r="G81" i="67"/>
  <c r="G72" i="22"/>
  <c r="G73" i="11"/>
  <c r="P72" i="47"/>
  <c r="P81" i="67"/>
  <c r="P72" i="22"/>
  <c r="P73" i="11"/>
  <c r="G83" i="67"/>
  <c r="G100" i="22"/>
  <c r="G101" i="11"/>
  <c r="P100" i="47"/>
  <c r="P83" i="67"/>
  <c r="P100" i="22"/>
  <c r="P101" i="11"/>
  <c r="H84" i="67"/>
  <c r="H73" i="22"/>
  <c r="H74" i="11"/>
  <c r="Q73" i="47"/>
  <c r="J86" i="67"/>
  <c r="J102" i="22"/>
  <c r="J103" i="11"/>
  <c r="H101" i="42"/>
  <c r="I102" i="47"/>
  <c r="H100" i="43"/>
  <c r="J88" i="67"/>
  <c r="J103" i="22"/>
  <c r="J104" i="11"/>
  <c r="H94" i="42"/>
  <c r="I103" i="47"/>
  <c r="H93" i="43"/>
  <c r="J90" i="67"/>
  <c r="J105" i="22"/>
  <c r="J106" i="11"/>
  <c r="H102" i="42"/>
  <c r="I105" i="47"/>
  <c r="H101" i="43"/>
  <c r="BB102" i="1"/>
  <c r="BC102" i="1" s="1"/>
  <c r="BD102" i="1" s="1"/>
  <c r="BE102" i="1" s="1"/>
  <c r="J94" i="67"/>
  <c r="J83" i="22"/>
  <c r="J84" i="11"/>
  <c r="H104" i="42"/>
  <c r="I83" i="47"/>
  <c r="H103" i="43"/>
  <c r="BB106" i="1"/>
  <c r="BC106" i="1" s="1"/>
  <c r="BD106" i="1" s="1"/>
  <c r="BE106" i="1" s="1"/>
  <c r="G98" i="67"/>
  <c r="G158" i="22"/>
  <c r="G159" i="11"/>
  <c r="P158" i="47"/>
  <c r="P98" i="67"/>
  <c r="P158" i="22"/>
  <c r="P159" i="11"/>
  <c r="H99" i="67"/>
  <c r="H87" i="22"/>
  <c r="H88" i="11"/>
  <c r="Q87" i="47"/>
  <c r="G102" i="67"/>
  <c r="G114" i="22"/>
  <c r="G115" i="11"/>
  <c r="P114" i="47"/>
  <c r="P102" i="67"/>
  <c r="P115" i="11"/>
  <c r="P114" i="22"/>
  <c r="BB114" i="1"/>
  <c r="BC114" i="1" s="1"/>
  <c r="BD114" i="1" s="1"/>
  <c r="BE114" i="1" s="1"/>
  <c r="J106" i="67"/>
  <c r="J118" i="22"/>
  <c r="J119" i="11"/>
  <c r="H165" i="42"/>
  <c r="I118" i="47"/>
  <c r="H162" i="43"/>
  <c r="H107" i="67"/>
  <c r="H120" i="22"/>
  <c r="H121" i="11"/>
  <c r="Q120" i="47"/>
  <c r="G110" i="67"/>
  <c r="G142" i="22"/>
  <c r="G143" i="11"/>
  <c r="P142" i="47"/>
  <c r="P110" i="67"/>
  <c r="P142" i="22"/>
  <c r="P143" i="11"/>
  <c r="H111" i="67"/>
  <c r="H143" i="22"/>
  <c r="H144" i="11"/>
  <c r="Q143" i="47"/>
  <c r="G114" i="67"/>
  <c r="G159" i="22"/>
  <c r="G160" i="11"/>
  <c r="P159" i="47"/>
  <c r="P114" i="67"/>
  <c r="P159" i="22"/>
  <c r="P160" i="11"/>
  <c r="BB126" i="1"/>
  <c r="BC126" i="1" s="1"/>
  <c r="BD126" i="1" s="1"/>
  <c r="BE126" i="1" s="1"/>
  <c r="J118" i="67"/>
  <c r="J133" i="22"/>
  <c r="J134" i="11"/>
  <c r="H197" i="42"/>
  <c r="I133" i="47"/>
  <c r="H194" i="43"/>
  <c r="H119" i="67"/>
  <c r="H135" i="22"/>
  <c r="H136" i="11"/>
  <c r="Q135" i="47"/>
  <c r="J122" i="67"/>
  <c r="J139" i="22"/>
  <c r="J140" i="11"/>
  <c r="H198" i="42"/>
  <c r="I139" i="47"/>
  <c r="H195" i="43"/>
  <c r="BB134" i="1"/>
  <c r="BC134" i="1" s="1"/>
  <c r="BD134" i="1" s="1"/>
  <c r="BE134" i="1" s="1"/>
  <c r="G126" i="67"/>
  <c r="G166" i="22"/>
  <c r="G167" i="11"/>
  <c r="P166" i="47"/>
  <c r="P126" i="67"/>
  <c r="P166" i="22"/>
  <c r="P167" i="11"/>
  <c r="H127" i="67"/>
  <c r="H167" i="22"/>
  <c r="H168" i="11"/>
  <c r="Q167" i="47"/>
  <c r="J130" i="67"/>
  <c r="J146" i="22"/>
  <c r="J147" i="11"/>
  <c r="H228" i="42"/>
  <c r="I146" i="47"/>
  <c r="H225" i="43"/>
  <c r="H131" i="67"/>
  <c r="H147" i="22"/>
  <c r="H148" i="11"/>
  <c r="Q147" i="47"/>
  <c r="BB142" i="1"/>
  <c r="BC142" i="1" s="1"/>
  <c r="BD142" i="1" s="1"/>
  <c r="BE142" i="1" s="1"/>
  <c r="BB143" i="1"/>
  <c r="BC143" i="1" s="1"/>
  <c r="BD143" i="1" s="1"/>
  <c r="BE143" i="1" s="1"/>
  <c r="J135" i="67"/>
  <c r="J123" i="22"/>
  <c r="J124" i="11"/>
  <c r="H253" i="42"/>
  <c r="I123" i="47"/>
  <c r="H250" i="43"/>
  <c r="O125" i="47"/>
  <c r="G138" i="67"/>
  <c r="G127" i="22"/>
  <c r="G128" i="11"/>
  <c r="P127" i="47"/>
  <c r="P138" i="67"/>
  <c r="P127" i="22"/>
  <c r="P128" i="11"/>
  <c r="H139" i="67"/>
  <c r="H128" i="22"/>
  <c r="H129" i="11"/>
  <c r="Q128" i="47"/>
  <c r="H140" i="67"/>
  <c r="H129" i="22"/>
  <c r="H130" i="11"/>
  <c r="Q129" i="47"/>
  <c r="J143" i="67"/>
  <c r="J164" i="22"/>
  <c r="J165" i="11"/>
  <c r="H250" i="42"/>
  <c r="I164" i="47"/>
  <c r="H247" i="43"/>
  <c r="BB155" i="1"/>
  <c r="BC155" i="1" s="1"/>
  <c r="BD155" i="1" s="1"/>
  <c r="BE155" i="1" s="1"/>
  <c r="O96" i="47"/>
  <c r="G147" i="67"/>
  <c r="G112" i="22"/>
  <c r="G113" i="11"/>
  <c r="P112" i="47"/>
  <c r="P147" i="67"/>
  <c r="P112" i="22"/>
  <c r="P113" i="11"/>
  <c r="BB159" i="1"/>
  <c r="BC159" i="1" s="1"/>
  <c r="BD159" i="1" s="1"/>
  <c r="BE159" i="1" s="1"/>
  <c r="O76" i="47"/>
  <c r="G151" i="67"/>
  <c r="G77" i="22"/>
  <c r="G78" i="11"/>
  <c r="P77" i="47"/>
  <c r="P151" i="67"/>
  <c r="P77" i="22"/>
  <c r="P78" i="11"/>
  <c r="H152" i="67"/>
  <c r="H78" i="22"/>
  <c r="H79" i="11"/>
  <c r="Q78" i="47"/>
  <c r="G153" i="67"/>
  <c r="G79" i="22"/>
  <c r="G80" i="11"/>
  <c r="P79" i="47"/>
  <c r="P153" i="67"/>
  <c r="P79" i="22"/>
  <c r="P80" i="11"/>
  <c r="H154" i="67"/>
  <c r="H80" i="22"/>
  <c r="H81" i="11"/>
  <c r="Q80" i="47"/>
  <c r="BB165" i="1"/>
  <c r="O89" i="47"/>
  <c r="G157" i="67"/>
  <c r="G93" i="22"/>
  <c r="G94" i="11"/>
  <c r="P93" i="47"/>
  <c r="P157" i="67"/>
  <c r="P93" i="22"/>
  <c r="P94" i="11"/>
  <c r="J159" i="67"/>
  <c r="J111" i="22"/>
  <c r="J112" i="11"/>
  <c r="H153" i="42"/>
  <c r="I111" i="47"/>
  <c r="H151" i="43"/>
  <c r="H160" i="67"/>
  <c r="H119" i="22"/>
  <c r="H120" i="11"/>
  <c r="Q119" i="47"/>
  <c r="O130" i="47"/>
  <c r="G163" i="67"/>
  <c r="G134" i="22"/>
  <c r="G135" i="11"/>
  <c r="P134" i="47"/>
  <c r="P163" i="67"/>
  <c r="P134" i="22"/>
  <c r="P135" i="11"/>
  <c r="J167" i="67"/>
  <c r="J154" i="22"/>
  <c r="J155" i="11"/>
  <c r="H185" i="42"/>
  <c r="I154" i="47"/>
  <c r="H182" i="43"/>
  <c r="J171" i="67"/>
  <c r="J171" i="22"/>
  <c r="J172" i="11"/>
  <c r="H141" i="42"/>
  <c r="I171" i="47"/>
  <c r="H139" i="43"/>
  <c r="H172" i="67"/>
  <c r="H172" i="22"/>
  <c r="H173" i="11"/>
  <c r="Q172" i="47"/>
  <c r="G173" i="67"/>
  <c r="G173" i="22"/>
  <c r="G174" i="11"/>
  <c r="P173" i="47"/>
  <c r="P173" i="67"/>
  <c r="P173" i="22"/>
  <c r="P174" i="11"/>
  <c r="J175" i="67"/>
  <c r="J175" i="22"/>
  <c r="J176" i="11"/>
  <c r="H121" i="42"/>
  <c r="I175" i="47"/>
  <c r="H120" i="43"/>
  <c r="H177" i="67"/>
  <c r="H177" i="22"/>
  <c r="H178" i="11"/>
  <c r="Q177" i="47"/>
  <c r="BB188" i="1"/>
  <c r="BC188" i="1" s="1"/>
  <c r="BD188" i="1" s="1"/>
  <c r="BE188" i="1" s="1"/>
  <c r="J179" i="67"/>
  <c r="J179" i="22"/>
  <c r="J180" i="11"/>
  <c r="H83" i="42"/>
  <c r="I179" i="47"/>
  <c r="H83" i="43"/>
  <c r="O180" i="47"/>
  <c r="G181" i="67"/>
  <c r="G181" i="22"/>
  <c r="G182" i="11"/>
  <c r="P181" i="47"/>
  <c r="P181" i="67"/>
  <c r="P181" i="22"/>
  <c r="P182" i="11"/>
  <c r="BB192" i="1"/>
  <c r="BC192" i="1" s="1"/>
  <c r="BD192" i="1" s="1"/>
  <c r="BE192" i="1" s="1"/>
  <c r="J187" i="67"/>
  <c r="J187" i="22"/>
  <c r="J188" i="11"/>
  <c r="H203" i="42"/>
  <c r="I187" i="47"/>
  <c r="H200" i="43"/>
  <c r="G188" i="67"/>
  <c r="G188" i="22"/>
  <c r="G189" i="11"/>
  <c r="P188" i="47"/>
  <c r="P188" i="67"/>
  <c r="P188" i="22"/>
  <c r="P189" i="11"/>
  <c r="O190" i="47"/>
  <c r="G191" i="67"/>
  <c r="G191" i="22"/>
  <c r="G192" i="11"/>
  <c r="P191" i="47"/>
  <c r="P191" i="67"/>
  <c r="P191" i="22"/>
  <c r="P192" i="11"/>
  <c r="O196" i="47"/>
  <c r="J197" i="67"/>
  <c r="J197" i="22"/>
  <c r="J198" i="11"/>
  <c r="H158" i="42"/>
  <c r="I197" i="47"/>
  <c r="H156" i="43"/>
  <c r="J198" i="67"/>
  <c r="J198" i="22"/>
  <c r="J199" i="11"/>
  <c r="H239" i="42"/>
  <c r="I198" i="47"/>
  <c r="H236" i="43"/>
  <c r="O200" i="47"/>
  <c r="J201" i="67"/>
  <c r="J201" i="22"/>
  <c r="J202" i="11"/>
  <c r="H74" i="42"/>
  <c r="I201" i="47"/>
  <c r="H74" i="43"/>
  <c r="BB213" i="1"/>
  <c r="BC213" i="1" s="1"/>
  <c r="BD213" i="1" s="1"/>
  <c r="BE213" i="1" s="1"/>
  <c r="BB214" i="1"/>
  <c r="BC214" i="1" s="1"/>
  <c r="BD214" i="1" s="1"/>
  <c r="BE214" i="1" s="1"/>
  <c r="L209" i="67"/>
  <c r="O209" i="47"/>
  <c r="BB220" i="1"/>
  <c r="J216" i="67"/>
  <c r="J217" i="22"/>
  <c r="J218" i="11"/>
  <c r="H242" i="42"/>
  <c r="I217" i="47"/>
  <c r="H239" i="43"/>
  <c r="G217" i="67"/>
  <c r="G218" i="22"/>
  <c r="G219" i="11"/>
  <c r="P218" i="47"/>
  <c r="H218" i="67"/>
  <c r="H219" i="22"/>
  <c r="H220" i="11"/>
  <c r="Q219" i="47"/>
  <c r="J219" i="67"/>
  <c r="J220" i="22"/>
  <c r="J221" i="11"/>
  <c r="H144" i="42"/>
  <c r="I220" i="47"/>
  <c r="H142" i="43"/>
  <c r="L220" i="67"/>
  <c r="O220" i="67"/>
  <c r="O221" i="22"/>
  <c r="O222" i="11"/>
  <c r="M221" i="47"/>
  <c r="O221" i="67"/>
  <c r="O222" i="22"/>
  <c r="O223" i="11"/>
  <c r="M222" i="47"/>
  <c r="O222" i="47"/>
  <c r="O224" i="67"/>
  <c r="O225" i="22"/>
  <c r="O226" i="11"/>
  <c r="M225" i="47"/>
  <c r="O225" i="47"/>
  <c r="H41" i="67"/>
  <c r="H41" i="22"/>
  <c r="H42" i="11"/>
  <c r="Q41" i="47"/>
  <c r="L43" i="67"/>
  <c r="H44" i="67"/>
  <c r="H44" i="22"/>
  <c r="H45" i="11"/>
  <c r="Q44" i="47"/>
  <c r="L47" i="67"/>
  <c r="G52" i="67"/>
  <c r="G52" i="22"/>
  <c r="G53" i="11"/>
  <c r="P52" i="47"/>
  <c r="P52" i="67"/>
  <c r="P52" i="22"/>
  <c r="P53" i="11"/>
  <c r="H53" i="67"/>
  <c r="H53" i="22"/>
  <c r="H54" i="11"/>
  <c r="Q53" i="47"/>
  <c r="L55" i="67"/>
  <c r="H58" i="67"/>
  <c r="H58" i="22"/>
  <c r="H59" i="11"/>
  <c r="Q58" i="47"/>
  <c r="G62" i="67"/>
  <c r="G62" i="22"/>
  <c r="G63" i="11"/>
  <c r="P62" i="47"/>
  <c r="P62" i="67"/>
  <c r="P62" i="22"/>
  <c r="P63" i="11"/>
  <c r="H66" i="67"/>
  <c r="H65" i="22"/>
  <c r="H66" i="11"/>
  <c r="Q66" i="47"/>
  <c r="G68" i="67"/>
  <c r="G68" i="22"/>
  <c r="G69" i="11"/>
  <c r="P68" i="47"/>
  <c r="P68" i="67"/>
  <c r="P68" i="22"/>
  <c r="P69" i="11"/>
  <c r="J70" i="67"/>
  <c r="J70" i="22"/>
  <c r="J71" i="11"/>
  <c r="H139" i="42"/>
  <c r="I70" i="47"/>
  <c r="H137" i="43"/>
  <c r="H71" i="67"/>
  <c r="H84" i="22"/>
  <c r="H85" i="11"/>
  <c r="Q85" i="47"/>
  <c r="L73" i="67"/>
  <c r="J74" i="67"/>
  <c r="J91" i="22"/>
  <c r="J92" i="11"/>
  <c r="H100" i="42"/>
  <c r="I91" i="47"/>
  <c r="H99" i="43"/>
  <c r="G78" i="67"/>
  <c r="G97" i="22"/>
  <c r="G98" i="11"/>
  <c r="P97" i="47"/>
  <c r="P78" i="67"/>
  <c r="P97" i="22"/>
  <c r="P98" i="11"/>
  <c r="H79" i="67"/>
  <c r="H99" i="11"/>
  <c r="H98" i="22"/>
  <c r="Q98" i="47"/>
  <c r="H81" i="67"/>
  <c r="H72" i="22"/>
  <c r="H73" i="11"/>
  <c r="Q72" i="47"/>
  <c r="G82" i="67"/>
  <c r="G99" i="22"/>
  <c r="G100" i="11"/>
  <c r="P99" i="47"/>
  <c r="P82" i="67"/>
  <c r="P99" i="22"/>
  <c r="P100" i="11"/>
  <c r="H83" i="67"/>
  <c r="H100" i="22"/>
  <c r="H101" i="11"/>
  <c r="Q100" i="47"/>
  <c r="G85" i="67"/>
  <c r="G101" i="22"/>
  <c r="G102" i="11"/>
  <c r="P101" i="47"/>
  <c r="P85" i="67"/>
  <c r="P101" i="22"/>
  <c r="P102" i="11"/>
  <c r="G93" i="67"/>
  <c r="G110" i="22"/>
  <c r="G111" i="11"/>
  <c r="P110" i="47"/>
  <c r="P93" i="67"/>
  <c r="P110" i="22"/>
  <c r="P111" i="11"/>
  <c r="G97" i="67"/>
  <c r="G157" i="22"/>
  <c r="G158" i="11"/>
  <c r="P157" i="47"/>
  <c r="P97" i="67"/>
  <c r="P157" i="22"/>
  <c r="P158" i="11"/>
  <c r="H98" i="67"/>
  <c r="H158" i="22"/>
  <c r="H159" i="11"/>
  <c r="Q158" i="47"/>
  <c r="L100" i="67"/>
  <c r="G101" i="67"/>
  <c r="G113" i="22"/>
  <c r="G114" i="11"/>
  <c r="P113" i="47"/>
  <c r="P101" i="67"/>
  <c r="P113" i="22"/>
  <c r="P114" i="11"/>
  <c r="H102" i="67"/>
  <c r="H115" i="11"/>
  <c r="H114" i="22"/>
  <c r="Q114" i="47"/>
  <c r="G105" i="67"/>
  <c r="G117" i="22"/>
  <c r="G118" i="11"/>
  <c r="P117" i="47"/>
  <c r="P105" i="67"/>
  <c r="P117" i="22"/>
  <c r="P118" i="11"/>
  <c r="G109" i="67"/>
  <c r="G122" i="22"/>
  <c r="G123" i="11"/>
  <c r="P122" i="47"/>
  <c r="P109" i="67"/>
  <c r="P123" i="11"/>
  <c r="P122" i="22"/>
  <c r="H110" i="67"/>
  <c r="H142" i="22"/>
  <c r="H143" i="11"/>
  <c r="Q142" i="47"/>
  <c r="J113" i="67"/>
  <c r="J153" i="22"/>
  <c r="J154" i="11"/>
  <c r="H128" i="42"/>
  <c r="I153" i="47"/>
  <c r="H127" i="43"/>
  <c r="H114" i="67"/>
  <c r="H159" i="22"/>
  <c r="H160" i="11"/>
  <c r="Q159" i="47"/>
  <c r="J117" i="67"/>
  <c r="J132" i="22"/>
  <c r="J133" i="11"/>
  <c r="H199" i="42"/>
  <c r="I132" i="47"/>
  <c r="H196" i="43"/>
  <c r="L120" i="67"/>
  <c r="G121" i="67"/>
  <c r="G137" i="22"/>
  <c r="G138" i="11"/>
  <c r="P137" i="47"/>
  <c r="P121" i="67"/>
  <c r="P137" i="22"/>
  <c r="P138" i="11"/>
  <c r="G125" i="67"/>
  <c r="G165" i="22"/>
  <c r="G166" i="11"/>
  <c r="P165" i="47"/>
  <c r="P125" i="67"/>
  <c r="P165" i="22"/>
  <c r="P166" i="11"/>
  <c r="H126" i="67"/>
  <c r="H166" i="22"/>
  <c r="H167" i="11"/>
  <c r="Q166" i="47"/>
  <c r="L128" i="67"/>
  <c r="J129" i="67"/>
  <c r="J145" i="22"/>
  <c r="J146" i="11"/>
  <c r="H222" i="42"/>
  <c r="I145" i="47"/>
  <c r="H219" i="43"/>
  <c r="G134" i="67"/>
  <c r="G152" i="22"/>
  <c r="G153" i="11"/>
  <c r="P152" i="47"/>
  <c r="P134" i="67"/>
  <c r="P152" i="22"/>
  <c r="P153" i="11"/>
  <c r="J137" i="67"/>
  <c r="J125" i="22"/>
  <c r="J126" i="11"/>
  <c r="H249" i="42"/>
  <c r="I125" i="47"/>
  <c r="H246" i="43"/>
  <c r="H138" i="67"/>
  <c r="H127" i="22"/>
  <c r="H128" i="11"/>
  <c r="Q127" i="47"/>
  <c r="L141" i="67"/>
  <c r="G142" i="67"/>
  <c r="G162" i="22"/>
  <c r="G163" i="11"/>
  <c r="P162" i="47"/>
  <c r="P142" i="67"/>
  <c r="P162" i="22"/>
  <c r="P163" i="11"/>
  <c r="J146" i="67"/>
  <c r="J97" i="11"/>
  <c r="J96" i="22"/>
  <c r="H106" i="42"/>
  <c r="I96" i="47"/>
  <c r="H105" i="43"/>
  <c r="H147" i="67"/>
  <c r="H112" i="22"/>
  <c r="H113" i="11"/>
  <c r="Q112" i="47"/>
  <c r="J150" i="67"/>
  <c r="J76" i="22"/>
  <c r="J77" i="11"/>
  <c r="H180" i="42"/>
  <c r="H177" i="43"/>
  <c r="I76" i="47"/>
  <c r="H151" i="67"/>
  <c r="H77" i="22"/>
  <c r="H78" i="11"/>
  <c r="Q77" i="47"/>
  <c r="H153" i="67"/>
  <c r="H79" i="22"/>
  <c r="H80" i="11"/>
  <c r="Q79" i="47"/>
  <c r="J156" i="67"/>
  <c r="J89" i="22"/>
  <c r="J90" i="11"/>
  <c r="H70" i="42"/>
  <c r="I89" i="47"/>
  <c r="H70" i="43"/>
  <c r="H157" i="67"/>
  <c r="H93" i="22"/>
  <c r="H94" i="11"/>
  <c r="Q93" i="47"/>
  <c r="G158" i="67"/>
  <c r="G108" i="22"/>
  <c r="G109" i="11"/>
  <c r="P108" i="47"/>
  <c r="P158" i="67"/>
  <c r="P108" i="22"/>
  <c r="P109" i="11"/>
  <c r="J162" i="67"/>
  <c r="J130" i="22"/>
  <c r="J131" i="11"/>
  <c r="H236" i="42"/>
  <c r="I130" i="47"/>
  <c r="H233" i="43"/>
  <c r="H163" i="67"/>
  <c r="H134" i="22"/>
  <c r="H135" i="11"/>
  <c r="Q134" i="47"/>
  <c r="BB174" i="1"/>
  <c r="BC174" i="1" s="1"/>
  <c r="BD174" i="1" s="1"/>
  <c r="BE174" i="1" s="1"/>
  <c r="G166" i="67"/>
  <c r="G151" i="22"/>
  <c r="G152" i="11"/>
  <c r="P151" i="47"/>
  <c r="P166" i="67"/>
  <c r="P151" i="22"/>
  <c r="P152" i="11"/>
  <c r="BB178" i="1"/>
  <c r="BC178" i="1" s="1"/>
  <c r="BD178" i="1" s="1"/>
  <c r="BE178" i="1" s="1"/>
  <c r="G170" i="67"/>
  <c r="G170" i="22"/>
  <c r="G171" i="11"/>
  <c r="P170" i="47"/>
  <c r="P170" i="67"/>
  <c r="P170" i="22"/>
  <c r="P171" i="11"/>
  <c r="H173" i="67"/>
  <c r="H173" i="22"/>
  <c r="H174" i="11"/>
  <c r="Q173" i="47"/>
  <c r="L176" i="67"/>
  <c r="J180" i="67"/>
  <c r="J180" i="22"/>
  <c r="J181" i="11"/>
  <c r="H88" i="42"/>
  <c r="I180" i="47"/>
  <c r="H87" i="43"/>
  <c r="H181" i="67"/>
  <c r="H181" i="22"/>
  <c r="H182" i="11"/>
  <c r="Q181" i="47"/>
  <c r="L184" i="67"/>
  <c r="G185" i="67"/>
  <c r="G185" i="22"/>
  <c r="G186" i="11"/>
  <c r="P185" i="47"/>
  <c r="P185" i="67"/>
  <c r="P185" i="22"/>
  <c r="P186" i="11"/>
  <c r="H188" i="67"/>
  <c r="H188" i="22"/>
  <c r="H189" i="11"/>
  <c r="Q188" i="47"/>
  <c r="J190" i="67"/>
  <c r="J190" i="22"/>
  <c r="J191" i="11"/>
  <c r="H214" i="42"/>
  <c r="I190" i="47"/>
  <c r="H211" i="43"/>
  <c r="H191" i="67"/>
  <c r="H191" i="22"/>
  <c r="H192" i="11"/>
  <c r="Q191" i="47"/>
  <c r="G192" i="67"/>
  <c r="G192" i="22"/>
  <c r="G193" i="11"/>
  <c r="P192" i="47"/>
  <c r="P192" i="67"/>
  <c r="P192" i="22"/>
  <c r="P193" i="11"/>
  <c r="L195" i="67"/>
  <c r="J196" i="67"/>
  <c r="J196" i="22"/>
  <c r="J197" i="11"/>
  <c r="H73" i="42"/>
  <c r="I196" i="47"/>
  <c r="H73" i="43"/>
  <c r="L199" i="67"/>
  <c r="J200" i="67"/>
  <c r="J200" i="22"/>
  <c r="J201" i="11"/>
  <c r="H240" i="42"/>
  <c r="I200" i="47"/>
  <c r="H237" i="43"/>
  <c r="G205" i="67"/>
  <c r="G205" i="22"/>
  <c r="G206" i="11"/>
  <c r="P205" i="47"/>
  <c r="P205" i="67"/>
  <c r="P205" i="22"/>
  <c r="P206" i="11"/>
  <c r="G207" i="67"/>
  <c r="G207" i="22"/>
  <c r="G208" i="11"/>
  <c r="P207" i="47"/>
  <c r="L208" i="67"/>
  <c r="P210" i="67"/>
  <c r="P210" i="22"/>
  <c r="P211" i="11"/>
  <c r="P211" i="67"/>
  <c r="P211" i="22"/>
  <c r="P212" i="11"/>
  <c r="L212" i="67"/>
  <c r="L214" i="67"/>
  <c r="G215" i="67"/>
  <c r="G216" i="22"/>
  <c r="G217" i="11"/>
  <c r="P216" i="47"/>
  <c r="H217" i="67"/>
  <c r="H218" i="22"/>
  <c r="H219" i="11"/>
  <c r="Q218" i="47"/>
  <c r="L218" i="67"/>
  <c r="J220" i="67"/>
  <c r="J221" i="22"/>
  <c r="J222" i="11"/>
  <c r="H126" i="42"/>
  <c r="I221" i="47"/>
  <c r="H125" i="43"/>
  <c r="L226" i="67"/>
  <c r="L227" i="67"/>
  <c r="A5" i="10"/>
  <c r="A14" i="10"/>
  <c r="A24" i="10" s="1"/>
  <c r="L45" i="67"/>
  <c r="L46" i="67"/>
  <c r="J47" i="67"/>
  <c r="J47" i="22"/>
  <c r="J48" i="11"/>
  <c r="H52" i="42"/>
  <c r="H52" i="43"/>
  <c r="I47" i="47"/>
  <c r="L48" i="67"/>
  <c r="G49" i="67"/>
  <c r="G49" i="22"/>
  <c r="G50" i="11"/>
  <c r="P49" i="47"/>
  <c r="P49" i="67"/>
  <c r="P49" i="22"/>
  <c r="P50" i="11"/>
  <c r="G51" i="67"/>
  <c r="G51" i="22"/>
  <c r="G52" i="11"/>
  <c r="P51" i="47"/>
  <c r="P51" i="67"/>
  <c r="P51" i="22"/>
  <c r="P52" i="11"/>
  <c r="H52" i="67"/>
  <c r="H52" i="22"/>
  <c r="H53" i="11"/>
  <c r="Q52" i="47"/>
  <c r="L54" i="67"/>
  <c r="J55" i="67"/>
  <c r="J55" i="22"/>
  <c r="J56" i="11"/>
  <c r="H60" i="42"/>
  <c r="H60" i="43"/>
  <c r="I55" i="47"/>
  <c r="I56" i="67"/>
  <c r="I56" i="22"/>
  <c r="I57" i="11"/>
  <c r="G56" i="47"/>
  <c r="AJ242" i="1"/>
  <c r="G59" i="67"/>
  <c r="G59" i="22"/>
  <c r="G60" i="11"/>
  <c r="P59" i="47"/>
  <c r="P59" i="67"/>
  <c r="P59" i="22"/>
  <c r="P60" i="11"/>
  <c r="G61" i="67"/>
  <c r="G61" i="22"/>
  <c r="G62" i="11"/>
  <c r="P61" i="47"/>
  <c r="P61" i="67"/>
  <c r="P61" i="22"/>
  <c r="P62" i="11"/>
  <c r="H62" i="67"/>
  <c r="H62" i="22"/>
  <c r="H63" i="11"/>
  <c r="Q62" i="47"/>
  <c r="L67" i="67"/>
  <c r="H68" i="67"/>
  <c r="H68" i="22"/>
  <c r="H69" i="11"/>
  <c r="Q68" i="47"/>
  <c r="L72" i="67"/>
  <c r="J73" i="67"/>
  <c r="J90" i="22"/>
  <c r="J91" i="11"/>
  <c r="H108" i="42"/>
  <c r="I90" i="47"/>
  <c r="H107" i="43"/>
  <c r="G77" i="67"/>
  <c r="G95" i="22"/>
  <c r="G96" i="11"/>
  <c r="P95" i="47"/>
  <c r="P77" i="67"/>
  <c r="P95" i="22"/>
  <c r="P96" i="11"/>
  <c r="H78" i="67"/>
  <c r="H97" i="22"/>
  <c r="H98" i="11"/>
  <c r="Q97" i="47"/>
  <c r="L80" i="67"/>
  <c r="H82" i="67"/>
  <c r="H99" i="22"/>
  <c r="H100" i="11"/>
  <c r="Q99" i="47"/>
  <c r="L84" i="67"/>
  <c r="H85" i="67"/>
  <c r="H101" i="22"/>
  <c r="H102" i="11"/>
  <c r="Q101" i="47"/>
  <c r="G92" i="67"/>
  <c r="G109" i="22"/>
  <c r="G110" i="11"/>
  <c r="P109" i="47"/>
  <c r="P92" i="67"/>
  <c r="P109" i="22"/>
  <c r="P110" i="11"/>
  <c r="H93" i="67"/>
  <c r="H110" i="22"/>
  <c r="H111" i="11"/>
  <c r="Q110" i="47"/>
  <c r="G96" i="67"/>
  <c r="G156" i="22"/>
  <c r="G157" i="11"/>
  <c r="P156" i="47"/>
  <c r="P96" i="67"/>
  <c r="P156" i="22"/>
  <c r="P157" i="11"/>
  <c r="H157" i="22"/>
  <c r="H97" i="67"/>
  <c r="H158" i="11"/>
  <c r="Q157" i="47"/>
  <c r="L99" i="67"/>
  <c r="J100" i="67"/>
  <c r="J89" i="11"/>
  <c r="J88" i="22"/>
  <c r="H118" i="42"/>
  <c r="I88" i="47"/>
  <c r="H117" i="43"/>
  <c r="H101" i="67"/>
  <c r="H113" i="22"/>
  <c r="H114" i="11"/>
  <c r="Q113" i="47"/>
  <c r="G104" i="67"/>
  <c r="G116" i="22"/>
  <c r="G117" i="11"/>
  <c r="P116" i="47"/>
  <c r="P104" i="67"/>
  <c r="P116" i="22"/>
  <c r="P117" i="11"/>
  <c r="H105" i="67"/>
  <c r="H117" i="22"/>
  <c r="H118" i="11"/>
  <c r="Q117" i="47"/>
  <c r="L107" i="67"/>
  <c r="J108" i="67"/>
  <c r="J121" i="22"/>
  <c r="J122" i="11"/>
  <c r="H168" i="42"/>
  <c r="I121" i="47"/>
  <c r="H165" i="43"/>
  <c r="H109" i="67"/>
  <c r="H123" i="11"/>
  <c r="H122" i="22"/>
  <c r="Q122" i="47"/>
  <c r="L111" i="67"/>
  <c r="J112" i="67"/>
  <c r="J149" i="22"/>
  <c r="J150" i="11"/>
  <c r="H131" i="42"/>
  <c r="I149" i="47"/>
  <c r="H130" i="43"/>
  <c r="G116" i="67"/>
  <c r="G169" i="22"/>
  <c r="G170" i="11"/>
  <c r="P169" i="47"/>
  <c r="P116" i="67"/>
  <c r="P169" i="22"/>
  <c r="P170" i="11"/>
  <c r="L119" i="67"/>
  <c r="J120" i="67"/>
  <c r="J137" i="11"/>
  <c r="J136" i="22"/>
  <c r="H201" i="42"/>
  <c r="I136" i="47"/>
  <c r="H198" i="43"/>
  <c r="H121" i="67"/>
  <c r="H137" i="22"/>
  <c r="H138" i="11"/>
  <c r="Q137" i="47"/>
  <c r="G124" i="67"/>
  <c r="G155" i="22"/>
  <c r="G156" i="11"/>
  <c r="P155" i="47"/>
  <c r="P124" i="67"/>
  <c r="P155" i="22"/>
  <c r="P156" i="11"/>
  <c r="H125" i="67"/>
  <c r="H165" i="22"/>
  <c r="H166" i="11"/>
  <c r="Q165" i="47"/>
  <c r="L127" i="67"/>
  <c r="J128" i="67"/>
  <c r="J141" i="22"/>
  <c r="J142" i="11"/>
  <c r="H221" i="42"/>
  <c r="H218" i="43"/>
  <c r="I141" i="47"/>
  <c r="L131" i="67"/>
  <c r="G132" i="67"/>
  <c r="G148" i="22"/>
  <c r="G149" i="11"/>
  <c r="P148" i="47"/>
  <c r="P132" i="67"/>
  <c r="P148" i="22"/>
  <c r="P149" i="11"/>
  <c r="G133" i="67"/>
  <c r="G150" i="22"/>
  <c r="G151" i="11"/>
  <c r="P150" i="47"/>
  <c r="P133" i="67"/>
  <c r="P150" i="22"/>
  <c r="P151" i="11"/>
  <c r="H134" i="67"/>
  <c r="H152" i="22"/>
  <c r="H153" i="11"/>
  <c r="Q152" i="47"/>
  <c r="L139" i="67"/>
  <c r="L140" i="67"/>
  <c r="J141" i="67"/>
  <c r="J131" i="22"/>
  <c r="J132" i="11"/>
  <c r="H248" i="42"/>
  <c r="I131" i="47"/>
  <c r="H245" i="43"/>
  <c r="H142" i="67"/>
  <c r="H162" i="22"/>
  <c r="H163" i="11"/>
  <c r="Q162" i="47"/>
  <c r="G145" i="67"/>
  <c r="G81" i="22"/>
  <c r="G82" i="11"/>
  <c r="P81" i="47"/>
  <c r="P145" i="67"/>
  <c r="P81" i="22"/>
  <c r="P82" i="11"/>
  <c r="G149" i="67"/>
  <c r="G75" i="22"/>
  <c r="G76" i="11"/>
  <c r="P75" i="47"/>
  <c r="P149" i="67"/>
  <c r="P75" i="22"/>
  <c r="P76" i="11"/>
  <c r="L152" i="67"/>
  <c r="L154" i="67"/>
  <c r="G155" i="67"/>
  <c r="G85" i="22"/>
  <c r="G86" i="11"/>
  <c r="P84" i="47"/>
  <c r="P155" i="67"/>
  <c r="P85" i="22"/>
  <c r="P86" i="11"/>
  <c r="H158" i="67"/>
  <c r="H108" i="22"/>
  <c r="H109" i="11"/>
  <c r="Q108" i="47"/>
  <c r="L160" i="67"/>
  <c r="G161" i="67"/>
  <c r="G126" i="22"/>
  <c r="G127" i="11"/>
  <c r="P126" i="47"/>
  <c r="P161" i="67"/>
  <c r="P126" i="22"/>
  <c r="P127" i="11"/>
  <c r="J165" i="67"/>
  <c r="J145" i="11"/>
  <c r="J144" i="22"/>
  <c r="H210" i="42"/>
  <c r="I144" i="47"/>
  <c r="H207" i="43"/>
  <c r="H166" i="67"/>
  <c r="H151" i="22"/>
  <c r="H152" i="11"/>
  <c r="Q151" i="47"/>
  <c r="J169" i="67"/>
  <c r="J168" i="22"/>
  <c r="J169" i="11"/>
  <c r="H211" i="42"/>
  <c r="I168" i="47"/>
  <c r="H208" i="43"/>
  <c r="H170" i="67"/>
  <c r="H170" i="22"/>
  <c r="H171" i="11"/>
  <c r="Q170" i="47"/>
  <c r="L172" i="67"/>
  <c r="J176" i="67"/>
  <c r="J176" i="22"/>
  <c r="J177" i="11"/>
  <c r="H92" i="42"/>
  <c r="I176" i="47"/>
  <c r="H91" i="43"/>
  <c r="L177" i="67"/>
  <c r="G178" i="67"/>
  <c r="G178" i="22"/>
  <c r="G179" i="11"/>
  <c r="P178" i="47"/>
  <c r="P178" i="67"/>
  <c r="P178" i="22"/>
  <c r="P179" i="11"/>
  <c r="G182" i="67"/>
  <c r="G182" i="22"/>
  <c r="G183" i="11"/>
  <c r="P182" i="47"/>
  <c r="P182" i="67"/>
  <c r="P182" i="22"/>
  <c r="P183" i="11"/>
  <c r="J184" i="67"/>
  <c r="J184" i="22"/>
  <c r="J185" i="11"/>
  <c r="H238" i="42"/>
  <c r="I184" i="47"/>
  <c r="H235" i="43"/>
  <c r="H185" i="67"/>
  <c r="H185" i="22"/>
  <c r="H186" i="11"/>
  <c r="Q185" i="47"/>
  <c r="H192" i="67"/>
  <c r="H192" i="22"/>
  <c r="H193" i="11"/>
  <c r="Q192" i="47"/>
  <c r="J195" i="67"/>
  <c r="J195" i="22"/>
  <c r="J196" i="11"/>
  <c r="H123" i="42"/>
  <c r="I195" i="47"/>
  <c r="H122" i="43"/>
  <c r="J199" i="67"/>
  <c r="J199" i="22"/>
  <c r="J200" i="11"/>
  <c r="H189" i="42"/>
  <c r="I199" i="47"/>
  <c r="H186" i="43"/>
  <c r="G203" i="67"/>
  <c r="G203" i="22"/>
  <c r="G204" i="11"/>
  <c r="P203" i="47"/>
  <c r="P203" i="67"/>
  <c r="P203" i="22"/>
  <c r="P204" i="11"/>
  <c r="G204" i="67"/>
  <c r="G204" i="22"/>
  <c r="G205" i="11"/>
  <c r="P204" i="47"/>
  <c r="P204" i="67"/>
  <c r="P204" i="22"/>
  <c r="P205" i="11"/>
  <c r="H205" i="67"/>
  <c r="H205" i="22"/>
  <c r="H206" i="11"/>
  <c r="Q205" i="47"/>
  <c r="H207" i="67"/>
  <c r="H207" i="22"/>
  <c r="H208" i="11"/>
  <c r="Q207" i="47"/>
  <c r="J208" i="67"/>
  <c r="J208" i="22"/>
  <c r="J209" i="11"/>
  <c r="H75" i="42"/>
  <c r="I208" i="47"/>
  <c r="H75" i="43"/>
  <c r="G211" i="67"/>
  <c r="G211" i="22"/>
  <c r="G212" i="11"/>
  <c r="P211" i="47"/>
  <c r="P212" i="67"/>
  <c r="P212" i="22"/>
  <c r="P213" i="11"/>
  <c r="H213" i="67"/>
  <c r="H214" i="22"/>
  <c r="H215" i="11"/>
  <c r="Q214" i="47"/>
  <c r="J214" i="67"/>
  <c r="J215" i="22"/>
  <c r="J216" i="11"/>
  <c r="H76" i="42"/>
  <c r="I215" i="47"/>
  <c r="H76" i="43"/>
  <c r="H215" i="67"/>
  <c r="H216" i="22"/>
  <c r="H217" i="11"/>
  <c r="Q216" i="47"/>
  <c r="O217" i="47"/>
  <c r="BB230" i="1"/>
  <c r="BC230" i="1" s="1"/>
  <c r="BD230" i="1" s="1"/>
  <c r="BE230" i="1" s="1"/>
  <c r="H222" i="67"/>
  <c r="H223" i="22"/>
  <c r="H224" i="11"/>
  <c r="Q223" i="47"/>
  <c r="P60" i="67"/>
  <c r="P60" i="22"/>
  <c r="P61" i="11"/>
  <c r="H61" i="67"/>
  <c r="H61" i="22"/>
  <c r="H62" i="11"/>
  <c r="Q61" i="47"/>
  <c r="O63" i="67"/>
  <c r="O63" i="22"/>
  <c r="O64" i="11"/>
  <c r="M63" i="47"/>
  <c r="O64" i="67"/>
  <c r="O64" i="22"/>
  <c r="O65" i="11"/>
  <c r="M64" i="47"/>
  <c r="L66" i="67"/>
  <c r="J67" i="67"/>
  <c r="J67" i="22"/>
  <c r="J68" i="11"/>
  <c r="H115" i="42"/>
  <c r="I67" i="47"/>
  <c r="H114" i="43"/>
  <c r="O69" i="67"/>
  <c r="O69" i="22"/>
  <c r="O70" i="11"/>
  <c r="M69" i="47"/>
  <c r="L71" i="67"/>
  <c r="J72" i="67"/>
  <c r="J86" i="22"/>
  <c r="J87" i="11"/>
  <c r="H89" i="42"/>
  <c r="I86" i="47"/>
  <c r="H88" i="43"/>
  <c r="O75" i="67"/>
  <c r="O92" i="22"/>
  <c r="O93" i="11"/>
  <c r="M92" i="47"/>
  <c r="G76" i="67"/>
  <c r="G94" i="22"/>
  <c r="G95" i="11"/>
  <c r="P94" i="47"/>
  <c r="P76" i="67"/>
  <c r="P94" i="22"/>
  <c r="P95" i="11"/>
  <c r="H77" i="67"/>
  <c r="H95" i="22"/>
  <c r="H96" i="11"/>
  <c r="Q95" i="47"/>
  <c r="L79" i="67"/>
  <c r="J80" i="67"/>
  <c r="J71" i="22"/>
  <c r="J72" i="11"/>
  <c r="H208" i="42"/>
  <c r="I71" i="47"/>
  <c r="H205" i="43"/>
  <c r="L81" i="67"/>
  <c r="L83" i="67"/>
  <c r="J84" i="67"/>
  <c r="J73" i="22"/>
  <c r="J74" i="11"/>
  <c r="H114" i="42"/>
  <c r="I73" i="47"/>
  <c r="H113" i="43"/>
  <c r="O86" i="67"/>
  <c r="O102" i="22"/>
  <c r="O103" i="11"/>
  <c r="M102" i="47"/>
  <c r="G87" i="67"/>
  <c r="G74" i="22"/>
  <c r="G75" i="11"/>
  <c r="P74" i="47"/>
  <c r="P87" i="67"/>
  <c r="P74" i="22"/>
  <c r="P75" i="11"/>
  <c r="O88" i="67"/>
  <c r="O103" i="22"/>
  <c r="O104" i="11"/>
  <c r="M103" i="47"/>
  <c r="G89" i="67"/>
  <c r="G104" i="22"/>
  <c r="G105" i="11"/>
  <c r="P104" i="47"/>
  <c r="P89" i="67"/>
  <c r="P104" i="22"/>
  <c r="P105" i="11"/>
  <c r="O90" i="67"/>
  <c r="O105" i="22"/>
  <c r="O106" i="11"/>
  <c r="M105" i="47"/>
  <c r="G91" i="67"/>
  <c r="G106" i="22"/>
  <c r="G107" i="11"/>
  <c r="P106" i="47"/>
  <c r="P91" i="67"/>
  <c r="P107" i="11"/>
  <c r="P106" i="22"/>
  <c r="H92" i="67"/>
  <c r="H109" i="22"/>
  <c r="H110" i="11"/>
  <c r="Q109" i="47"/>
  <c r="O94" i="67"/>
  <c r="O84" i="11"/>
  <c r="O83" i="22"/>
  <c r="M83" i="47"/>
  <c r="G95" i="67"/>
  <c r="G108" i="11"/>
  <c r="G107" i="22"/>
  <c r="P107" i="47"/>
  <c r="P95" i="67"/>
  <c r="P107" i="22"/>
  <c r="P108" i="11"/>
  <c r="H96" i="67"/>
  <c r="H156" i="22"/>
  <c r="H157" i="11"/>
  <c r="Q156" i="47"/>
  <c r="L98" i="67"/>
  <c r="J99" i="67"/>
  <c r="J87" i="22"/>
  <c r="J88" i="11"/>
  <c r="H116" i="42"/>
  <c r="I87" i="47"/>
  <c r="H115" i="43"/>
  <c r="L102" i="67"/>
  <c r="G103" i="67"/>
  <c r="G116" i="11"/>
  <c r="G115" i="22"/>
  <c r="P115" i="47"/>
  <c r="P103" i="67"/>
  <c r="P115" i="22"/>
  <c r="P116" i="11"/>
  <c r="H104" i="67"/>
  <c r="H116" i="22"/>
  <c r="H117" i="11"/>
  <c r="Q116" i="47"/>
  <c r="O106" i="67"/>
  <c r="O118" i="22"/>
  <c r="O119" i="11"/>
  <c r="M118" i="47"/>
  <c r="J107" i="67"/>
  <c r="J121" i="11"/>
  <c r="J120" i="22"/>
  <c r="H172" i="42"/>
  <c r="I120" i="47"/>
  <c r="H169" i="43"/>
  <c r="L110" i="67"/>
  <c r="J111" i="67"/>
  <c r="J143" i="22"/>
  <c r="J144" i="11"/>
  <c r="H130" i="42"/>
  <c r="I143" i="47"/>
  <c r="H129" i="43"/>
  <c r="L114" i="67"/>
  <c r="G115" i="67"/>
  <c r="G160" i="22"/>
  <c r="G161" i="11"/>
  <c r="P160" i="47"/>
  <c r="P115" i="67"/>
  <c r="P160" i="22"/>
  <c r="P161" i="11"/>
  <c r="H116" i="67"/>
  <c r="H169" i="22"/>
  <c r="H170" i="11"/>
  <c r="Q169" i="47"/>
  <c r="O118" i="67"/>
  <c r="O133" i="22"/>
  <c r="O134" i="11"/>
  <c r="M133" i="47"/>
  <c r="J119" i="67"/>
  <c r="J135" i="22"/>
  <c r="J136" i="11"/>
  <c r="H193" i="42"/>
  <c r="I135" i="47"/>
  <c r="H190" i="43"/>
  <c r="O122" i="67"/>
  <c r="O140" i="11"/>
  <c r="O139" i="22"/>
  <c r="M139" i="47"/>
  <c r="G123" i="67"/>
  <c r="G140" i="22"/>
  <c r="G141" i="11"/>
  <c r="P140" i="47"/>
  <c r="P123" i="67"/>
  <c r="P140" i="22"/>
  <c r="P141" i="11"/>
  <c r="H124" i="67"/>
  <c r="H155" i="22"/>
  <c r="H156" i="11"/>
  <c r="Q155" i="47"/>
  <c r="L126" i="67"/>
  <c r="J127" i="67"/>
  <c r="J167" i="22"/>
  <c r="J168" i="11"/>
  <c r="H182" i="42"/>
  <c r="I167" i="47"/>
  <c r="H179" i="43"/>
  <c r="O130" i="67"/>
  <c r="O146" i="22"/>
  <c r="O147" i="11"/>
  <c r="M146" i="47"/>
  <c r="J131" i="67"/>
  <c r="J147" i="22"/>
  <c r="J148" i="11"/>
  <c r="H225" i="42"/>
  <c r="I147" i="47"/>
  <c r="H222" i="43"/>
  <c r="H132" i="67"/>
  <c r="H148" i="22"/>
  <c r="H149" i="11"/>
  <c r="Q148" i="47"/>
  <c r="H133" i="67"/>
  <c r="H150" i="22"/>
  <c r="H151" i="11"/>
  <c r="Q150" i="47"/>
  <c r="O135" i="67"/>
  <c r="O124" i="11"/>
  <c r="O123" i="22"/>
  <c r="M123" i="47"/>
  <c r="G136" i="67"/>
  <c r="G124" i="22"/>
  <c r="G125" i="11"/>
  <c r="P124" i="47"/>
  <c r="P136" i="67"/>
  <c r="P124" i="22"/>
  <c r="P125" i="11"/>
  <c r="L138" i="67"/>
  <c r="J139" i="67"/>
  <c r="J129" i="11"/>
  <c r="J128" i="22"/>
  <c r="H252" i="42"/>
  <c r="I128" i="47"/>
  <c r="H249" i="43"/>
  <c r="J140" i="67"/>
  <c r="J129" i="22"/>
  <c r="J130" i="11"/>
  <c r="H254" i="42"/>
  <c r="I129" i="47"/>
  <c r="H251" i="43"/>
  <c r="O143" i="67"/>
  <c r="O164" i="22"/>
  <c r="O165" i="11"/>
  <c r="M164" i="47"/>
  <c r="G144" i="67"/>
  <c r="G82" i="22"/>
  <c r="G83" i="11"/>
  <c r="P82" i="47"/>
  <c r="P144" i="67"/>
  <c r="P82" i="22"/>
  <c r="P83" i="11"/>
  <c r="H145" i="67"/>
  <c r="H81" i="22"/>
  <c r="H82" i="11"/>
  <c r="Q81" i="47"/>
  <c r="L147" i="67"/>
  <c r="G148" i="67"/>
  <c r="G163" i="22"/>
  <c r="G164" i="11"/>
  <c r="P163" i="47"/>
  <c r="P148" i="67"/>
  <c r="P163" i="22"/>
  <c r="P164" i="11"/>
  <c r="H149" i="67"/>
  <c r="H75" i="22"/>
  <c r="H76" i="11"/>
  <c r="Q75" i="47"/>
  <c r="L151" i="67"/>
  <c r="J152" i="67"/>
  <c r="J78" i="22"/>
  <c r="J79" i="11"/>
  <c r="H65" i="42"/>
  <c r="I78" i="47"/>
  <c r="H65" i="43"/>
  <c r="L153" i="67"/>
  <c r="J154" i="67"/>
  <c r="J81" i="11"/>
  <c r="J80" i="22"/>
  <c r="H235" i="42"/>
  <c r="I80" i="47"/>
  <c r="H232" i="43"/>
  <c r="H155" i="67"/>
  <c r="H85" i="22"/>
  <c r="H86" i="11"/>
  <c r="Q84" i="47"/>
  <c r="L157" i="67"/>
  <c r="O159" i="67"/>
  <c r="O111" i="22"/>
  <c r="O112" i="11"/>
  <c r="M111" i="47"/>
  <c r="J160" i="67"/>
  <c r="J119" i="22"/>
  <c r="J120" i="11"/>
  <c r="H154" i="42"/>
  <c r="I119" i="47"/>
  <c r="H152" i="43"/>
  <c r="H161" i="67"/>
  <c r="H126" i="22"/>
  <c r="H127" i="11"/>
  <c r="Q126" i="47"/>
  <c r="L163" i="67"/>
  <c r="G164" i="67"/>
  <c r="G138" i="22"/>
  <c r="G139" i="11"/>
  <c r="P138" i="47"/>
  <c r="P164" i="67"/>
  <c r="P139" i="11"/>
  <c r="P138" i="22"/>
  <c r="O167" i="67"/>
  <c r="O154" i="22"/>
  <c r="O155" i="11"/>
  <c r="M154" i="47"/>
  <c r="G168" i="67"/>
  <c r="G161" i="22"/>
  <c r="G162" i="11"/>
  <c r="P161" i="47"/>
  <c r="P168" i="67"/>
  <c r="P161" i="22"/>
  <c r="P162" i="11"/>
  <c r="O171" i="67"/>
  <c r="O171" i="22"/>
  <c r="O172" i="11"/>
  <c r="M171" i="47"/>
  <c r="J172" i="67"/>
  <c r="J172" i="22"/>
  <c r="J173" i="11"/>
  <c r="H142" i="42"/>
  <c r="I172" i="47"/>
  <c r="H140" i="43"/>
  <c r="L173" i="67"/>
  <c r="G174" i="67"/>
  <c r="G174" i="22"/>
  <c r="G175" i="11"/>
  <c r="P174" i="47"/>
  <c r="P174" i="67"/>
  <c r="P174" i="22"/>
  <c r="P175" i="11"/>
  <c r="O175" i="67"/>
  <c r="O175" i="22"/>
  <c r="O176" i="11"/>
  <c r="M175" i="47"/>
  <c r="J177" i="67"/>
  <c r="J177" i="22"/>
  <c r="J178" i="11"/>
  <c r="H71" i="42"/>
  <c r="I177" i="47"/>
  <c r="H71" i="43"/>
  <c r="H178" i="67"/>
  <c r="H178" i="22"/>
  <c r="H179" i="11"/>
  <c r="Q178" i="47"/>
  <c r="O179" i="67"/>
  <c r="O179" i="22"/>
  <c r="O180" i="11"/>
  <c r="M179" i="47"/>
  <c r="L181" i="67"/>
  <c r="H182" i="67"/>
  <c r="H182" i="22"/>
  <c r="H183" i="11"/>
  <c r="Q182" i="47"/>
  <c r="G183" i="67"/>
  <c r="G183" i="22"/>
  <c r="G184" i="11"/>
  <c r="P183" i="47"/>
  <c r="P183" i="67"/>
  <c r="P183" i="22"/>
  <c r="P184" i="11"/>
  <c r="G186" i="67"/>
  <c r="G186" i="22"/>
  <c r="G187" i="11"/>
  <c r="P186" i="47"/>
  <c r="P186" i="67"/>
  <c r="P186" i="22"/>
  <c r="P187" i="11"/>
  <c r="O187" i="67"/>
  <c r="O187" i="22"/>
  <c r="O188" i="11"/>
  <c r="M187" i="47"/>
  <c r="L188" i="67"/>
  <c r="G189" i="67"/>
  <c r="G189" i="22"/>
  <c r="G190" i="11"/>
  <c r="P189" i="47"/>
  <c r="P189" i="67"/>
  <c r="P189" i="22"/>
  <c r="P190" i="11"/>
  <c r="L191" i="67"/>
  <c r="G193" i="67"/>
  <c r="G193" i="22"/>
  <c r="G194" i="11"/>
  <c r="P193" i="47"/>
  <c r="P193" i="67"/>
  <c r="P193" i="22"/>
  <c r="P194" i="11"/>
  <c r="G194" i="67"/>
  <c r="G194" i="22"/>
  <c r="G195" i="11"/>
  <c r="P194" i="47"/>
  <c r="P194" i="67"/>
  <c r="P194" i="22"/>
  <c r="P195" i="11"/>
  <c r="O197" i="67"/>
  <c r="O197" i="22"/>
  <c r="O198" i="11"/>
  <c r="M197" i="47"/>
  <c r="O198" i="67"/>
  <c r="O198" i="22"/>
  <c r="O199" i="11"/>
  <c r="M198" i="47"/>
  <c r="O201" i="67"/>
  <c r="O201" i="22"/>
  <c r="O202" i="11"/>
  <c r="M201" i="47"/>
  <c r="G202" i="67"/>
  <c r="G202" i="22"/>
  <c r="G203" i="11"/>
  <c r="P202" i="47"/>
  <c r="P202" i="67"/>
  <c r="P202" i="22"/>
  <c r="P203" i="11"/>
  <c r="H203" i="67"/>
  <c r="H203" i="22"/>
  <c r="H204" i="11"/>
  <c r="Q203" i="47"/>
  <c r="H204" i="67"/>
  <c r="H204" i="22"/>
  <c r="H205" i="11"/>
  <c r="Q204" i="47"/>
  <c r="G206" i="67"/>
  <c r="G206" i="22"/>
  <c r="G207" i="11"/>
  <c r="P206" i="47"/>
  <c r="P206" i="67"/>
  <c r="P206" i="22"/>
  <c r="P207" i="11"/>
  <c r="H211" i="67"/>
  <c r="H211" i="22"/>
  <c r="H212" i="11"/>
  <c r="Q211" i="47"/>
  <c r="BB222" i="1"/>
  <c r="BC222" i="1" s="1"/>
  <c r="BD222" i="1" s="1"/>
  <c r="BE222" i="1" s="1"/>
  <c r="L217" i="67"/>
  <c r="J221" i="67"/>
  <c r="J222" i="22"/>
  <c r="J223" i="11"/>
  <c r="H77" i="42"/>
  <c r="I222" i="47"/>
  <c r="H77" i="43"/>
  <c r="L222" i="67"/>
  <c r="G223" i="67"/>
  <c r="G224" i="22"/>
  <c r="G225" i="11"/>
  <c r="P224" i="47"/>
  <c r="G226" i="67"/>
  <c r="G227" i="22"/>
  <c r="G228" i="11"/>
  <c r="P227" i="47"/>
  <c r="P226" i="67"/>
  <c r="P227" i="22"/>
  <c r="P228" i="11"/>
  <c r="H227" i="67"/>
  <c r="H228" i="22"/>
  <c r="H229" i="11"/>
  <c r="Q228" i="47"/>
  <c r="L229" i="67"/>
  <c r="H230" i="67"/>
  <c r="H213" i="22"/>
  <c r="H214" i="11"/>
  <c r="Q213" i="47"/>
  <c r="A13" i="10"/>
  <c r="A23" i="10" s="1"/>
  <c r="N68" i="43"/>
  <c r="O68" i="43" s="1"/>
  <c r="N113" i="43"/>
  <c r="O113" i="43" s="1"/>
  <c r="N149" i="43"/>
  <c r="O149" i="43" s="1"/>
  <c r="N179" i="43"/>
  <c r="O179" i="43" s="1"/>
  <c r="N211" i="43"/>
  <c r="N229" i="43"/>
  <c r="H226" i="67"/>
  <c r="H227" i="22"/>
  <c r="H228" i="11"/>
  <c r="Q227" i="47"/>
  <c r="N63" i="43"/>
  <c r="N116" i="43"/>
  <c r="O116" i="43" s="1"/>
  <c r="N152" i="43"/>
  <c r="O152" i="43" s="1"/>
  <c r="N182" i="43"/>
  <c r="O182" i="43" s="1"/>
  <c r="N206" i="43"/>
  <c r="O206" i="43" s="1"/>
  <c r="N232" i="43"/>
  <c r="O232" i="43" s="1"/>
  <c r="J210" i="67"/>
  <c r="J210" i="22"/>
  <c r="J211" i="11"/>
  <c r="H241" i="42"/>
  <c r="I210" i="47"/>
  <c r="J212" i="67"/>
  <c r="J212" i="22"/>
  <c r="J213" i="11"/>
  <c r="H217" i="42"/>
  <c r="I212" i="47"/>
  <c r="J215" i="67"/>
  <c r="J216" i="22"/>
  <c r="J217" i="11"/>
  <c r="H160" i="42"/>
  <c r="I216" i="47"/>
  <c r="G218" i="67"/>
  <c r="G219" i="22"/>
  <c r="G220" i="11"/>
  <c r="P219" i="47"/>
  <c r="P218" i="67"/>
  <c r="P219" i="22"/>
  <c r="P220" i="11"/>
  <c r="G222" i="67"/>
  <c r="G223" i="22"/>
  <c r="G224" i="11"/>
  <c r="P223" i="47"/>
  <c r="G224" i="67"/>
  <c r="G225" i="22"/>
  <c r="G226" i="11"/>
  <c r="P225" i="47"/>
  <c r="P224" i="67"/>
  <c r="P225" i="22"/>
  <c r="P226" i="11"/>
  <c r="H225" i="67"/>
  <c r="H226" i="22"/>
  <c r="H227" i="11"/>
  <c r="Q226" i="47"/>
  <c r="J228" i="67"/>
  <c r="J229" i="22"/>
  <c r="J230" i="11"/>
  <c r="H220" i="42"/>
  <c r="I229" i="47"/>
  <c r="N66" i="43"/>
  <c r="O66" i="43" s="1"/>
  <c r="N111" i="43"/>
  <c r="N119" i="43"/>
  <c r="O119" i="43" s="1"/>
  <c r="N147" i="43"/>
  <c r="O147" i="43" s="1"/>
  <c r="H158" i="43"/>
  <c r="N209" i="43"/>
  <c r="O209" i="43" s="1"/>
  <c r="N235" i="43"/>
  <c r="O235" i="43" s="1"/>
  <c r="H238" i="43"/>
  <c r="H224" i="67"/>
  <c r="H225" i="22"/>
  <c r="H226" i="11"/>
  <c r="Q225" i="47"/>
  <c r="J227" i="67"/>
  <c r="J228" i="22"/>
  <c r="J229" i="11"/>
  <c r="H243" i="42"/>
  <c r="I228" i="47"/>
  <c r="N69" i="43"/>
  <c r="O69" i="43" s="1"/>
  <c r="N114" i="43"/>
  <c r="O114" i="43" s="1"/>
  <c r="N150" i="43"/>
  <c r="O150" i="43" s="1"/>
  <c r="N177" i="43"/>
  <c r="N180" i="43"/>
  <c r="O180" i="43" s="1"/>
  <c r="N204" i="43"/>
  <c r="N212" i="43"/>
  <c r="N230" i="43"/>
  <c r="O230" i="43" s="1"/>
  <c r="J209" i="67"/>
  <c r="J209" i="22"/>
  <c r="J210" i="11"/>
  <c r="H159" i="42"/>
  <c r="I209" i="47"/>
  <c r="J217" i="67"/>
  <c r="J218" i="22"/>
  <c r="J219" i="11"/>
  <c r="H191" i="42"/>
  <c r="I218" i="47"/>
  <c r="G220" i="67"/>
  <c r="G221" i="22"/>
  <c r="G222" i="11"/>
  <c r="P221" i="47"/>
  <c r="P220" i="67"/>
  <c r="P221" i="22"/>
  <c r="P222" i="11"/>
  <c r="H221" i="67"/>
  <c r="H222" i="22"/>
  <c r="H223" i="11"/>
  <c r="Q222" i="47"/>
  <c r="L225" i="67"/>
  <c r="J226" i="67"/>
  <c r="J227" i="22"/>
  <c r="J228" i="11"/>
  <c r="H127" i="42"/>
  <c r="I227" i="47"/>
  <c r="P229" i="67"/>
  <c r="P230" i="22"/>
  <c r="P231" i="11"/>
  <c r="N64" i="43"/>
  <c r="O64" i="43" s="1"/>
  <c r="N117" i="43"/>
  <c r="O117" i="43" s="1"/>
  <c r="N145" i="43"/>
  <c r="N183" i="43"/>
  <c r="O183" i="43" s="1"/>
  <c r="H188" i="43"/>
  <c r="N207" i="43"/>
  <c r="O207" i="43" s="1"/>
  <c r="N233" i="43"/>
  <c r="O233" i="43" s="1"/>
  <c r="H240" i="43"/>
  <c r="G213" i="67"/>
  <c r="G214" i="22"/>
  <c r="G215" i="11"/>
  <c r="P214" i="47"/>
  <c r="P213" i="67"/>
  <c r="P214" i="22"/>
  <c r="P215" i="11"/>
  <c r="G214" i="67"/>
  <c r="G215" i="22"/>
  <c r="G216" i="11"/>
  <c r="P215" i="47"/>
  <c r="P214" i="67"/>
  <c r="P215" i="22"/>
  <c r="P216" i="11"/>
  <c r="G216" i="67"/>
  <c r="G217" i="22"/>
  <c r="G218" i="11"/>
  <c r="P217" i="47"/>
  <c r="P216" i="67"/>
  <c r="P217" i="22"/>
  <c r="P218" i="11"/>
  <c r="G219" i="67"/>
  <c r="G220" i="22"/>
  <c r="G221" i="11"/>
  <c r="P220" i="47"/>
  <c r="P219" i="67"/>
  <c r="P220" i="22"/>
  <c r="P221" i="11"/>
  <c r="H220" i="67"/>
  <c r="H221" i="22"/>
  <c r="H222" i="11"/>
  <c r="Q221" i="47"/>
  <c r="P225" i="67"/>
  <c r="P226" i="22"/>
  <c r="P227" i="11"/>
  <c r="BB237" i="1"/>
  <c r="BC237" i="1" s="1"/>
  <c r="BD237" i="1" s="1"/>
  <c r="BE237" i="1" s="1"/>
  <c r="G229" i="67"/>
  <c r="G230" i="22"/>
  <c r="G231" i="11"/>
  <c r="P230" i="47"/>
  <c r="N67" i="43"/>
  <c r="O67" i="43" s="1"/>
  <c r="H217" i="43"/>
  <c r="N236" i="43"/>
  <c r="O236" i="43" s="1"/>
  <c r="A4" i="47"/>
  <c r="H216" i="67"/>
  <c r="H217" i="22"/>
  <c r="H218" i="11"/>
  <c r="Q217" i="47"/>
  <c r="J218" i="67"/>
  <c r="J219" i="22"/>
  <c r="J220" i="11"/>
  <c r="H218" i="42"/>
  <c r="I219" i="47"/>
  <c r="H219" i="67"/>
  <c r="H220" i="22"/>
  <c r="H221" i="11"/>
  <c r="Q220" i="47"/>
  <c r="L221" i="67"/>
  <c r="J224" i="67"/>
  <c r="J225" i="22"/>
  <c r="J226" i="11"/>
  <c r="H219" i="42"/>
  <c r="I225" i="47"/>
  <c r="G228" i="67"/>
  <c r="G229" i="22"/>
  <c r="G230" i="11"/>
  <c r="P229" i="47"/>
  <c r="P228" i="67"/>
  <c r="P229" i="22"/>
  <c r="P230" i="11"/>
  <c r="H229" i="67"/>
  <c r="H230" i="22"/>
  <c r="H231" i="11"/>
  <c r="Q230" i="47"/>
  <c r="P230" i="67"/>
  <c r="P213" i="22"/>
  <c r="P214" i="11"/>
  <c r="N115" i="43"/>
  <c r="O115" i="43" s="1"/>
  <c r="N137" i="43"/>
  <c r="O137" i="43" s="1"/>
  <c r="N205" i="43"/>
  <c r="O205" i="43" s="1"/>
  <c r="N213" i="43"/>
  <c r="P223" i="67"/>
  <c r="P224" i="22"/>
  <c r="P225" i="11"/>
  <c r="G227" i="67"/>
  <c r="G228" i="22"/>
  <c r="G229" i="11"/>
  <c r="P228" i="47"/>
  <c r="P227" i="67"/>
  <c r="P228" i="22"/>
  <c r="P229" i="11"/>
  <c r="H228" i="67"/>
  <c r="H229" i="22"/>
  <c r="H230" i="11"/>
  <c r="Q229" i="47"/>
  <c r="G230" i="67"/>
  <c r="G213" i="22"/>
  <c r="G214" i="11"/>
  <c r="P213" i="47"/>
  <c r="H214" i="43"/>
  <c r="N64" i="42"/>
  <c r="O64" i="42" s="1"/>
  <c r="N139" i="42"/>
  <c r="O139" i="42" s="1"/>
  <c r="J159" i="42"/>
  <c r="N181" i="42"/>
  <c r="O181" i="42" s="1"/>
  <c r="J197" i="42"/>
  <c r="J225" i="42"/>
  <c r="J247" i="42"/>
  <c r="N67" i="42"/>
  <c r="O67" i="42" s="1"/>
  <c r="N150" i="42"/>
  <c r="O150" i="42" s="1"/>
  <c r="N153" i="42"/>
  <c r="O153" i="42" s="1"/>
  <c r="N216" i="42"/>
  <c r="N70" i="42"/>
  <c r="O70" i="42" s="1"/>
  <c r="N113" i="42"/>
  <c r="O113" i="42" s="1"/>
  <c r="N141" i="42"/>
  <c r="O141" i="42" s="1"/>
  <c r="N138" i="42"/>
  <c r="N140" i="42"/>
  <c r="O140" i="42" s="1"/>
  <c r="N152" i="42"/>
  <c r="O152" i="42" s="1"/>
  <c r="N233" i="42"/>
  <c r="O233" i="42" s="1"/>
  <c r="N238" i="42"/>
  <c r="O238" i="42" s="1"/>
  <c r="N234" i="42"/>
  <c r="O234" i="42" s="1"/>
  <c r="N65" i="42"/>
  <c r="O65" i="42" s="1"/>
  <c r="J104" i="42"/>
  <c r="J105" i="42"/>
  <c r="N117" i="42"/>
  <c r="O117" i="42" s="1"/>
  <c r="N115" i="42"/>
  <c r="O115" i="42" s="1"/>
  <c r="N116" i="42"/>
  <c r="O116" i="42" s="1"/>
  <c r="J180" i="42"/>
  <c r="J188" i="42"/>
  <c r="N68" i="42"/>
  <c r="O68" i="42" s="1"/>
  <c r="J121" i="42"/>
  <c r="N184" i="42"/>
  <c r="O184" i="42" s="1"/>
  <c r="J215" i="42"/>
  <c r="N63" i="42"/>
  <c r="N71" i="42"/>
  <c r="O71" i="42" s="1"/>
  <c r="J113" i="42"/>
  <c r="J144" i="42"/>
  <c r="J207" i="42"/>
  <c r="J233" i="42"/>
  <c r="J127" i="42"/>
  <c r="M246" i="42"/>
  <c r="N119" i="42"/>
  <c r="O119" i="42" s="1"/>
  <c r="N148" i="42"/>
  <c r="O148" i="42" s="1"/>
  <c r="N211" i="42"/>
  <c r="O211" i="42" s="1"/>
  <c r="N237" i="42"/>
  <c r="O237" i="42" s="1"/>
  <c r="N154" i="42"/>
  <c r="O154" i="42" s="1"/>
  <c r="N185" i="42"/>
  <c r="O185" i="42" s="1"/>
  <c r="N209" i="42"/>
  <c r="O209" i="42" s="1"/>
  <c r="N235" i="42"/>
  <c r="O235" i="42" s="1"/>
  <c r="N149" i="42"/>
  <c r="O149" i="42" s="1"/>
  <c r="N212" i="42"/>
  <c r="O212" i="42" s="1"/>
  <c r="N180" i="42"/>
  <c r="N183" i="42"/>
  <c r="O183" i="42" s="1"/>
  <c r="N207" i="42"/>
  <c r="N215" i="42"/>
  <c r="N118" i="42"/>
  <c r="O118" i="42" s="1"/>
  <c r="N147" i="42"/>
  <c r="N186" i="42"/>
  <c r="O186" i="42" s="1"/>
  <c r="N210" i="42"/>
  <c r="O210" i="42" s="1"/>
  <c r="N236" i="42"/>
  <c r="O236" i="42" s="1"/>
  <c r="A5" i="11"/>
  <c r="A4" i="22"/>
  <c r="A5" i="67"/>
  <c r="M97" i="68"/>
  <c r="O53" i="29"/>
  <c r="P53" i="29" s="1"/>
  <c r="Q53" i="29" s="1"/>
  <c r="N29" i="35"/>
  <c r="O29" i="35" s="1"/>
  <c r="P29" i="35" s="1"/>
  <c r="O55" i="29"/>
  <c r="O12" i="29"/>
  <c r="P12" i="29" s="1"/>
  <c r="O16" i="29"/>
  <c r="P16" i="29" s="1"/>
  <c r="O20" i="29"/>
  <c r="P20" i="29" s="1"/>
  <c r="R28" i="29"/>
  <c r="N58" i="29"/>
  <c r="O58" i="29" s="1"/>
  <c r="M56" i="35"/>
  <c r="N56" i="35" s="1"/>
  <c r="O56" i="35" s="1"/>
  <c r="P25" i="29"/>
  <c r="R25" i="29"/>
  <c r="O13" i="53"/>
  <c r="Q13" i="53" s="1"/>
  <c r="K13" i="53" s="1"/>
  <c r="L13" i="53" s="1"/>
  <c r="Q25" i="29"/>
  <c r="O11" i="35"/>
  <c r="Q11" i="35" s="1"/>
  <c r="K11" i="35" s="1"/>
  <c r="L11" i="35" s="1"/>
  <c r="J34" i="29"/>
  <c r="O23" i="29"/>
  <c r="P29" i="29"/>
  <c r="Q29" i="29" s="1"/>
  <c r="P52" i="29"/>
  <c r="R52" i="29"/>
  <c r="L52" i="29" s="1"/>
  <c r="M52" i="29" s="1"/>
  <c r="R54" i="29"/>
  <c r="L54" i="29" s="1"/>
  <c r="M54" i="29" s="1"/>
  <c r="M25" i="35"/>
  <c r="N25" i="35" s="1"/>
  <c r="N50" i="35"/>
  <c r="M21" i="53"/>
  <c r="N21" i="53" s="1"/>
  <c r="O21" i="53" s="1"/>
  <c r="N11" i="29"/>
  <c r="N15" i="35"/>
  <c r="O13" i="29"/>
  <c r="O17" i="29"/>
  <c r="O21" i="29"/>
  <c r="P21" i="29" s="1"/>
  <c r="Q52" i="29"/>
  <c r="R24" i="29"/>
  <c r="O23" i="35"/>
  <c r="Q23" i="35" s="1"/>
  <c r="K23" i="35" s="1"/>
  <c r="L23" i="35" s="1"/>
  <c r="N22" i="66"/>
  <c r="M24" i="66"/>
  <c r="N24" i="66" s="1"/>
  <c r="O30" i="66"/>
  <c r="Q30" i="66" s="1"/>
  <c r="K30" i="66" s="1"/>
  <c r="L30" i="66" s="1"/>
  <c r="N14" i="29"/>
  <c r="O14" i="29" s="1"/>
  <c r="N18" i="29"/>
  <c r="O18" i="29" s="1"/>
  <c r="N22" i="29"/>
  <c r="O22" i="29" s="1"/>
  <c r="Q24" i="29"/>
  <c r="O27" i="29"/>
  <c r="Q28" i="29"/>
  <c r="O31" i="29"/>
  <c r="P31" i="29" s="1"/>
  <c r="Q31" i="29" s="1"/>
  <c r="Q54" i="29"/>
  <c r="N57" i="29"/>
  <c r="O57" i="29" s="1"/>
  <c r="P57" i="29" s="1"/>
  <c r="M16" i="35"/>
  <c r="M54" i="35"/>
  <c r="N54" i="35"/>
  <c r="Q17" i="53"/>
  <c r="K17" i="53" s="1"/>
  <c r="L17" i="53" s="1"/>
  <c r="O17" i="53"/>
  <c r="P17" i="53" s="1"/>
  <c r="M23" i="53"/>
  <c r="P56" i="29"/>
  <c r="Q56" i="29" s="1"/>
  <c r="O12" i="35"/>
  <c r="Q12" i="35" s="1"/>
  <c r="K12" i="35" s="1"/>
  <c r="L12" i="35" s="1"/>
  <c r="O21" i="35"/>
  <c r="P21" i="35" s="1"/>
  <c r="M25" i="53"/>
  <c r="M27" i="53"/>
  <c r="M29" i="53"/>
  <c r="N29" i="53" s="1"/>
  <c r="O56" i="53"/>
  <c r="Q56" i="53" s="1"/>
  <c r="K56" i="53" s="1"/>
  <c r="L56" i="53" s="1"/>
  <c r="N15" i="29"/>
  <c r="O15" i="29" s="1"/>
  <c r="N19" i="29"/>
  <c r="O19" i="29" s="1"/>
  <c r="P19" i="29" s="1"/>
  <c r="O26" i="29"/>
  <c r="O30" i="29"/>
  <c r="P30" i="29" s="1"/>
  <c r="N51" i="29"/>
  <c r="M13" i="35"/>
  <c r="N13" i="35" s="1"/>
  <c r="O13" i="35" s="1"/>
  <c r="M17" i="35"/>
  <c r="N17" i="35" s="1"/>
  <c r="P22" i="35"/>
  <c r="M32" i="35"/>
  <c r="N32" i="35" s="1"/>
  <c r="O32" i="35" s="1"/>
  <c r="N51" i="35"/>
  <c r="O16" i="53"/>
  <c r="Q16" i="53" s="1"/>
  <c r="K16" i="53" s="1"/>
  <c r="L16" i="53" s="1"/>
  <c r="N23" i="53"/>
  <c r="N19" i="66"/>
  <c r="M25" i="66"/>
  <c r="N25" i="66" s="1"/>
  <c r="P26" i="29"/>
  <c r="M19" i="35"/>
  <c r="M20" i="35"/>
  <c r="N26" i="35"/>
  <c r="O26" i="35" s="1"/>
  <c r="M27" i="35"/>
  <c r="N27" i="35" s="1"/>
  <c r="P28" i="35"/>
  <c r="I30" i="35"/>
  <c r="I33" i="35" s="1"/>
  <c r="M55" i="35"/>
  <c r="N55" i="35" s="1"/>
  <c r="O55" i="35" s="1"/>
  <c r="P16" i="53"/>
  <c r="M20" i="53"/>
  <c r="M22" i="53"/>
  <c r="M34" i="53"/>
  <c r="O57" i="53"/>
  <c r="P57" i="53" s="1"/>
  <c r="M14" i="35"/>
  <c r="N14" i="35" s="1"/>
  <c r="N18" i="35"/>
  <c r="O18" i="35" s="1"/>
  <c r="N31" i="35"/>
  <c r="O31" i="35" s="1"/>
  <c r="P24" i="35"/>
  <c r="Q26" i="35"/>
  <c r="K26" i="35" s="1"/>
  <c r="L26" i="35" s="1"/>
  <c r="M30" i="35"/>
  <c r="N30" i="35" s="1"/>
  <c r="O30" i="35" s="1"/>
  <c r="N57" i="35"/>
  <c r="M24" i="53"/>
  <c r="N24" i="53" s="1"/>
  <c r="M26" i="53"/>
  <c r="N26" i="53" s="1"/>
  <c r="O26" i="53" s="1"/>
  <c r="M28" i="53"/>
  <c r="N28" i="53" s="1"/>
  <c r="O28" i="53" s="1"/>
  <c r="O42" i="66"/>
  <c r="P42" i="66" s="1"/>
  <c r="P68" i="66"/>
  <c r="M36" i="53"/>
  <c r="O36" i="53"/>
  <c r="M63" i="66"/>
  <c r="N33" i="53"/>
  <c r="O33" i="53" s="1"/>
  <c r="Q33" i="53" s="1"/>
  <c r="K33" i="53" s="1"/>
  <c r="L33" i="53" s="1"/>
  <c r="N28" i="66"/>
  <c r="O28" i="66" s="1"/>
  <c r="N34" i="66"/>
  <c r="Q34" i="66" s="1"/>
  <c r="K34" i="66" s="1"/>
  <c r="L34" i="66" s="1"/>
  <c r="N37" i="53"/>
  <c r="M38" i="53"/>
  <c r="M59" i="53"/>
  <c r="N59" i="53" s="1"/>
  <c r="O60" i="53"/>
  <c r="P60" i="53" s="1"/>
  <c r="O61" i="53"/>
  <c r="P61" i="53" s="1"/>
  <c r="N23" i="66"/>
  <c r="N26" i="66"/>
  <c r="O26" i="66" s="1"/>
  <c r="M37" i="66"/>
  <c r="N37" i="66" s="1"/>
  <c r="M62" i="66"/>
  <c r="N62" i="66" s="1"/>
  <c r="O62" i="66" s="1"/>
  <c r="N11" i="53"/>
  <c r="N30" i="53"/>
  <c r="O30" i="53" s="1"/>
  <c r="I33" i="53"/>
  <c r="M35" i="53"/>
  <c r="N36" i="53"/>
  <c r="M12" i="66"/>
  <c r="N12" i="66" s="1"/>
  <c r="O12" i="66" s="1"/>
  <c r="M13" i="66"/>
  <c r="M29" i="66"/>
  <c r="P32" i="66"/>
  <c r="I34" i="66"/>
  <c r="I44" i="66" s="1"/>
  <c r="N35" i="66"/>
  <c r="O35" i="66" s="1"/>
  <c r="Q35" i="66" s="1"/>
  <c r="K35" i="66" s="1"/>
  <c r="L35" i="66" s="1"/>
  <c r="N63" i="66"/>
  <c r="M53" i="35"/>
  <c r="N12" i="53"/>
  <c r="N14" i="53"/>
  <c r="M58" i="53"/>
  <c r="N58" i="53" s="1"/>
  <c r="N63" i="53"/>
  <c r="O63" i="53" s="1"/>
  <c r="M28" i="66"/>
  <c r="N38" i="66"/>
  <c r="M39" i="66"/>
  <c r="M65" i="66"/>
  <c r="N67" i="66"/>
  <c r="O67" i="66" s="1"/>
  <c r="P67" i="66" s="1"/>
  <c r="I59" i="35"/>
  <c r="M31" i="53"/>
  <c r="N31" i="53" s="1"/>
  <c r="O62" i="53"/>
  <c r="P62" i="53" s="1"/>
  <c r="O11" i="66"/>
  <c r="P11" i="66" s="1"/>
  <c r="O14" i="66"/>
  <c r="Q14" i="66" s="1"/>
  <c r="K14" i="66" s="1"/>
  <c r="L14" i="66" s="1"/>
  <c r="M17" i="66"/>
  <c r="N17" i="66" s="1"/>
  <c r="O17" i="66" s="1"/>
  <c r="N20" i="66"/>
  <c r="N21" i="66"/>
  <c r="O27" i="66"/>
  <c r="Q27" i="66" s="1"/>
  <c r="K27" i="66" s="1"/>
  <c r="L27" i="66" s="1"/>
  <c r="O32" i="66"/>
  <c r="Q32" i="66" s="1"/>
  <c r="K32" i="66" s="1"/>
  <c r="L32" i="66" s="1"/>
  <c r="M33" i="66"/>
  <c r="N33" i="66" s="1"/>
  <c r="O34" i="66"/>
  <c r="M36" i="66"/>
  <c r="O38" i="66"/>
  <c r="M40" i="66"/>
  <c r="N40" i="66" s="1"/>
  <c r="O40" i="66" s="1"/>
  <c r="M41" i="66"/>
  <c r="N41" i="66" s="1"/>
  <c r="N43" i="66"/>
  <c r="M66" i="66"/>
  <c r="N66" i="66" s="1"/>
  <c r="M52" i="35"/>
  <c r="O11" i="53"/>
  <c r="M15" i="53"/>
  <c r="N15" i="53" s="1"/>
  <c r="N18" i="53"/>
  <c r="O18" i="53" s="1"/>
  <c r="N19" i="53"/>
  <c r="O19" i="53" s="1"/>
  <c r="N32" i="53"/>
  <c r="I35" i="53"/>
  <c r="N15" i="66"/>
  <c r="M16" i="66"/>
  <c r="N16" i="66" s="1"/>
  <c r="P30" i="66"/>
  <c r="N31" i="66"/>
  <c r="O31" i="66" s="1"/>
  <c r="Q31" i="66" s="1"/>
  <c r="K31" i="66" s="1"/>
  <c r="L31" i="66" s="1"/>
  <c r="N36" i="66"/>
  <c r="O36" i="66" s="1"/>
  <c r="M61" i="66"/>
  <c r="M64" i="66"/>
  <c r="P11" i="35" l="1"/>
  <c r="O27" i="53"/>
  <c r="P12" i="35"/>
  <c r="P14" i="66"/>
  <c r="N27" i="53"/>
  <c r="O54" i="35"/>
  <c r="C27" i="8"/>
  <c r="O59" i="53"/>
  <c r="Q61" i="53"/>
  <c r="K61" i="53" s="1"/>
  <c r="L61" i="53" s="1"/>
  <c r="I45" i="8"/>
  <c r="O18" i="66"/>
  <c r="R53" i="29"/>
  <c r="L53" i="29" s="1"/>
  <c r="M53" i="29" s="1"/>
  <c r="Q19" i="53"/>
  <c r="K19" i="53" s="1"/>
  <c r="L19" i="53" s="1"/>
  <c r="R33" i="29"/>
  <c r="Q57" i="35"/>
  <c r="K57" i="35" s="1"/>
  <c r="L57" i="35" s="1"/>
  <c r="O57" i="35"/>
  <c r="P57" i="35" s="1"/>
  <c r="R56" i="29"/>
  <c r="L56" i="29" s="1"/>
  <c r="M56" i="29" s="1"/>
  <c r="P13" i="53"/>
  <c r="I39" i="53"/>
  <c r="H8" i="8"/>
  <c r="D11" i="8"/>
  <c r="P14" i="8"/>
  <c r="P18" i="8"/>
  <c r="H22" i="8"/>
  <c r="D25" i="8"/>
  <c r="D29" i="8"/>
  <c r="P32" i="8"/>
  <c r="P59" i="8"/>
  <c r="I8" i="8"/>
  <c r="E11" i="8"/>
  <c r="Q14" i="8"/>
  <c r="Q18" i="8"/>
  <c r="I22" i="8"/>
  <c r="E25" i="8"/>
  <c r="E29" i="8"/>
  <c r="Q32" i="8"/>
  <c r="E66" i="8"/>
  <c r="R8" i="8"/>
  <c r="F13" i="8"/>
  <c r="N17" i="8"/>
  <c r="N23" i="8"/>
  <c r="J30" i="8"/>
  <c r="C6" i="8"/>
  <c r="C18" i="8"/>
  <c r="O29" i="8"/>
  <c r="M87" i="8"/>
  <c r="P17" i="8"/>
  <c r="H29" i="8"/>
  <c r="H80" i="8"/>
  <c r="I17" i="8"/>
  <c r="M28" i="8"/>
  <c r="P66" i="8"/>
  <c r="N16" i="8"/>
  <c r="F28" i="8"/>
  <c r="L59" i="8"/>
  <c r="K17" i="8"/>
  <c r="F80" i="8"/>
  <c r="P8" i="8"/>
  <c r="H12" i="8"/>
  <c r="H16" i="8"/>
  <c r="D19" i="8"/>
  <c r="P22" i="8"/>
  <c r="P26" i="8"/>
  <c r="H30" i="8"/>
  <c r="D33" i="8"/>
  <c r="L73" i="8"/>
  <c r="Q8" i="8"/>
  <c r="I12" i="8"/>
  <c r="I16" i="8"/>
  <c r="E19" i="8"/>
  <c r="Q22" i="8"/>
  <c r="Q26" i="8"/>
  <c r="I30" i="8"/>
  <c r="E33" i="8"/>
  <c r="H87" i="8"/>
  <c r="F9" i="8"/>
  <c r="N13" i="8"/>
  <c r="N19" i="8"/>
  <c r="F25" i="8"/>
  <c r="R30" i="8"/>
  <c r="C10" i="8"/>
  <c r="O21" i="8"/>
  <c r="C30" i="8"/>
  <c r="P9" i="8"/>
  <c r="H21" i="8"/>
  <c r="P29" i="8"/>
  <c r="I9" i="8"/>
  <c r="M20" i="8"/>
  <c r="I29" i="8"/>
  <c r="N8" i="8"/>
  <c r="F20" i="8"/>
  <c r="N28" i="8"/>
  <c r="O8" i="8"/>
  <c r="K25" i="8"/>
  <c r="G73" i="8"/>
  <c r="J80" i="8"/>
  <c r="H6" i="8"/>
  <c r="D9" i="8"/>
  <c r="D13" i="8"/>
  <c r="P16" i="8"/>
  <c r="H20" i="8"/>
  <c r="H24" i="8"/>
  <c r="D27" i="8"/>
  <c r="P30" i="8"/>
  <c r="P34" i="8"/>
  <c r="I6" i="8"/>
  <c r="E9" i="8"/>
  <c r="E13" i="8"/>
  <c r="Q16" i="8"/>
  <c r="I20" i="8"/>
  <c r="I24" i="8"/>
  <c r="E27" i="8"/>
  <c r="Q30" i="8"/>
  <c r="Q34" i="8"/>
  <c r="R6" i="8"/>
  <c r="N9" i="8"/>
  <c r="N15" i="8"/>
  <c r="F21" i="8"/>
  <c r="N25" i="8"/>
  <c r="R34" i="8"/>
  <c r="O13" i="8"/>
  <c r="C22" i="8"/>
  <c r="C34" i="8"/>
  <c r="H13" i="8"/>
  <c r="P21" i="8"/>
  <c r="P33" i="8"/>
  <c r="M12" i="8"/>
  <c r="I21" i="8"/>
  <c r="I33" i="8"/>
  <c r="F12" i="8"/>
  <c r="N20" i="8"/>
  <c r="N32" i="8"/>
  <c r="G12" i="8"/>
  <c r="D7" i="8"/>
  <c r="H10" i="8"/>
  <c r="P12" i="8"/>
  <c r="D15" i="8"/>
  <c r="H18" i="8"/>
  <c r="P20" i="8"/>
  <c r="D23" i="8"/>
  <c r="H26" i="8"/>
  <c r="P28" i="8"/>
  <c r="D31" i="8"/>
  <c r="H34" i="8"/>
  <c r="D66" i="8"/>
  <c r="E7" i="8"/>
  <c r="I10" i="8"/>
  <c r="Q12" i="8"/>
  <c r="E15" i="8"/>
  <c r="I18" i="8"/>
  <c r="Q20" i="8"/>
  <c r="E23" i="8"/>
  <c r="I26" i="8"/>
  <c r="Q28" i="8"/>
  <c r="E31" i="8"/>
  <c r="I34" i="8"/>
  <c r="M73" i="8"/>
  <c r="N7" i="8"/>
  <c r="F11" i="8"/>
  <c r="F15" i="8"/>
  <c r="F19" i="8"/>
  <c r="F23" i="8"/>
  <c r="F27" i="8"/>
  <c r="J34" i="8"/>
  <c r="O9" i="8"/>
  <c r="O17" i="8"/>
  <c r="O25" i="8"/>
  <c r="O33" i="8"/>
  <c r="H9" i="8"/>
  <c r="H17" i="8"/>
  <c r="H25" i="8"/>
  <c r="H33" i="8"/>
  <c r="M8" i="8"/>
  <c r="M16" i="8"/>
  <c r="M24" i="8"/>
  <c r="M32" i="8"/>
  <c r="F8" i="8"/>
  <c r="F16" i="8"/>
  <c r="F24" i="8"/>
  <c r="F32" i="8"/>
  <c r="G8" i="8"/>
  <c r="C17" i="8"/>
  <c r="P80" i="8"/>
  <c r="O141" i="43"/>
  <c r="L7" i="8"/>
  <c r="L9" i="8"/>
  <c r="L11" i="8"/>
  <c r="L13" i="8"/>
  <c r="L15" i="8"/>
  <c r="L17" i="8"/>
  <c r="L19" i="8"/>
  <c r="L21" i="8"/>
  <c r="L23" i="8"/>
  <c r="L25" i="8"/>
  <c r="L27" i="8"/>
  <c r="L29" i="8"/>
  <c r="L31" i="8"/>
  <c r="L33" i="8"/>
  <c r="D52" i="8"/>
  <c r="E87" i="8"/>
  <c r="M7" i="8"/>
  <c r="M9" i="8"/>
  <c r="M11" i="8"/>
  <c r="M13" i="8"/>
  <c r="M15" i="8"/>
  <c r="M17" i="8"/>
  <c r="M19" i="8"/>
  <c r="M21" i="8"/>
  <c r="M23" i="8"/>
  <c r="M25" i="8"/>
  <c r="M27" i="8"/>
  <c r="M29" i="8"/>
  <c r="M31" i="8"/>
  <c r="M33" i="8"/>
  <c r="E52" i="8"/>
  <c r="J6" i="8"/>
  <c r="J8" i="8"/>
  <c r="J10" i="8"/>
  <c r="J12" i="8"/>
  <c r="J14" i="8"/>
  <c r="J16" i="8"/>
  <c r="J18" i="8"/>
  <c r="J20" i="8"/>
  <c r="J22" i="8"/>
  <c r="J24" i="8"/>
  <c r="J26" i="8"/>
  <c r="J28" i="8"/>
  <c r="J32" i="8"/>
  <c r="H52" i="8"/>
  <c r="O7" i="8"/>
  <c r="O11" i="8"/>
  <c r="O15" i="8"/>
  <c r="O19" i="8"/>
  <c r="O23" i="8"/>
  <c r="O27" i="8"/>
  <c r="O31" i="8"/>
  <c r="M45" i="8"/>
  <c r="H7" i="8"/>
  <c r="H11" i="8"/>
  <c r="H15" i="8"/>
  <c r="H19" i="8"/>
  <c r="H23" i="8"/>
  <c r="H27" i="8"/>
  <c r="H31" i="8"/>
  <c r="E45" i="8"/>
  <c r="M6" i="8"/>
  <c r="M10" i="8"/>
  <c r="M14" i="8"/>
  <c r="M18" i="8"/>
  <c r="M22" i="8"/>
  <c r="M26" i="8"/>
  <c r="M30" i="8"/>
  <c r="M34" i="8"/>
  <c r="F6" i="8"/>
  <c r="F10" i="8"/>
  <c r="F14" i="8"/>
  <c r="F18" i="8"/>
  <c r="F22" i="8"/>
  <c r="F26" i="8"/>
  <c r="F30" i="8"/>
  <c r="F34" i="8"/>
  <c r="G6" i="8"/>
  <c r="G10" i="8"/>
  <c r="G14" i="8"/>
  <c r="C21" i="8"/>
  <c r="C31" i="8"/>
  <c r="J52" i="8"/>
  <c r="R10" i="8"/>
  <c r="R12" i="8"/>
  <c r="R14" i="8"/>
  <c r="R16" i="8"/>
  <c r="R18" i="8"/>
  <c r="R20" i="8"/>
  <c r="R22" i="8"/>
  <c r="R24" i="8"/>
  <c r="R26" i="8"/>
  <c r="R28" i="8"/>
  <c r="R32" i="8"/>
  <c r="H66" i="8"/>
  <c r="C8" i="8"/>
  <c r="C12" i="8"/>
  <c r="C16" i="8"/>
  <c r="C20" i="8"/>
  <c r="C24" i="8"/>
  <c r="C28" i="8"/>
  <c r="C32" i="8"/>
  <c r="K52" i="8"/>
  <c r="P7" i="8"/>
  <c r="P11" i="8"/>
  <c r="P15" i="8"/>
  <c r="P19" i="8"/>
  <c r="P23" i="8"/>
  <c r="P27" i="8"/>
  <c r="P31" i="8"/>
  <c r="N45" i="8"/>
  <c r="I7" i="8"/>
  <c r="I11" i="8"/>
  <c r="I15" i="8"/>
  <c r="I19" i="8"/>
  <c r="I23" i="8"/>
  <c r="I27" i="8"/>
  <c r="I31" i="8"/>
  <c r="F45" i="8"/>
  <c r="N6" i="8"/>
  <c r="N10" i="8"/>
  <c r="N14" i="8"/>
  <c r="N18" i="8"/>
  <c r="N22" i="8"/>
  <c r="N26" i="8"/>
  <c r="N30" i="8"/>
  <c r="N34" i="8"/>
  <c r="O6" i="8"/>
  <c r="O10" i="8"/>
  <c r="O14" i="8"/>
  <c r="K21" i="8"/>
  <c r="C33" i="8"/>
  <c r="O66" i="8"/>
  <c r="F52" i="8"/>
  <c r="J45" i="8"/>
  <c r="H45" i="8"/>
  <c r="K29" i="8"/>
  <c r="C25" i="8"/>
  <c r="C19" i="8"/>
  <c r="G16" i="8"/>
  <c r="K13" i="8"/>
  <c r="K11" i="8"/>
  <c r="K9" i="8"/>
  <c r="K7" i="8"/>
  <c r="M80" i="8"/>
  <c r="P45" i="8"/>
  <c r="R33" i="8"/>
  <c r="R31" i="8"/>
  <c r="R29" i="8"/>
  <c r="R27" i="8"/>
  <c r="R25" i="8"/>
  <c r="R23" i="8"/>
  <c r="R21" i="8"/>
  <c r="R19" i="8"/>
  <c r="R17" i="8"/>
  <c r="R15" i="8"/>
  <c r="R13" i="8"/>
  <c r="R11" i="8"/>
  <c r="R9" i="8"/>
  <c r="R7" i="8"/>
  <c r="L80" i="8"/>
  <c r="M52" i="8"/>
  <c r="E34" i="8"/>
  <c r="E32" i="8"/>
  <c r="E30" i="8"/>
  <c r="E28" i="8"/>
  <c r="E26" i="8"/>
  <c r="E24" i="8"/>
  <c r="E22" i="8"/>
  <c r="E20" i="8"/>
  <c r="E18" i="8"/>
  <c r="E16" i="8"/>
  <c r="E14" i="8"/>
  <c r="E12" i="8"/>
  <c r="E10" i="8"/>
  <c r="E8" i="8"/>
  <c r="E6" i="8"/>
  <c r="E59" i="8"/>
  <c r="L34" i="8"/>
  <c r="L32" i="8"/>
  <c r="L30" i="8"/>
  <c r="L28" i="8"/>
  <c r="L26" i="8"/>
  <c r="L24" i="8"/>
  <c r="L22" i="8"/>
  <c r="L20" i="8"/>
  <c r="L18" i="8"/>
  <c r="L16" i="8"/>
  <c r="L14" i="8"/>
  <c r="L12" i="8"/>
  <c r="L10" i="8"/>
  <c r="L8" i="8"/>
  <c r="L6" i="8"/>
  <c r="L66" i="8"/>
  <c r="D45" i="8"/>
  <c r="G33" i="8"/>
  <c r="G31" i="8"/>
  <c r="G29" i="8"/>
  <c r="G27" i="8"/>
  <c r="G25" i="8"/>
  <c r="G23" i="8"/>
  <c r="G21" i="8"/>
  <c r="G19" i="8"/>
  <c r="G17" i="8"/>
  <c r="G15" i="8"/>
  <c r="G13" i="8"/>
  <c r="G11" i="8"/>
  <c r="G9" i="8"/>
  <c r="G7" i="8"/>
  <c r="D80" i="8"/>
  <c r="L45" i="8"/>
  <c r="N33" i="8"/>
  <c r="N31" i="8"/>
  <c r="N29" i="8"/>
  <c r="C87" i="8"/>
  <c r="Q66" i="8"/>
  <c r="K33" i="8"/>
  <c r="C29" i="8"/>
  <c r="C23" i="8"/>
  <c r="G18" i="8"/>
  <c r="C15" i="8"/>
  <c r="C13" i="8"/>
  <c r="C11" i="8"/>
  <c r="C9" i="8"/>
  <c r="C7" i="8"/>
  <c r="E73" i="8"/>
  <c r="G45" i="8"/>
  <c r="J33" i="8"/>
  <c r="J31" i="8"/>
  <c r="J29" i="8"/>
  <c r="J27" i="8"/>
  <c r="J25" i="8"/>
  <c r="J23" i="8"/>
  <c r="J21" i="8"/>
  <c r="J19" i="8"/>
  <c r="J17" i="8"/>
  <c r="J15" i="8"/>
  <c r="J13" i="8"/>
  <c r="J11" i="8"/>
  <c r="J9" i="8"/>
  <c r="J7" i="8"/>
  <c r="D73" i="8"/>
  <c r="O45" i="8"/>
  <c r="Q33" i="8"/>
  <c r="Q31" i="8"/>
  <c r="Q29" i="8"/>
  <c r="Q27" i="8"/>
  <c r="Q25" i="8"/>
  <c r="Q23" i="8"/>
  <c r="Q21" i="8"/>
  <c r="Q19" i="8"/>
  <c r="Q17" i="8"/>
  <c r="Q15" i="8"/>
  <c r="Q13" i="8"/>
  <c r="Q11" i="8"/>
  <c r="Q9" i="8"/>
  <c r="Q7" i="8"/>
  <c r="P87" i="8"/>
  <c r="L52" i="8"/>
  <c r="D34" i="8"/>
  <c r="D32" i="8"/>
  <c r="D30" i="8"/>
  <c r="D28" i="8"/>
  <c r="D26" i="8"/>
  <c r="D24" i="8"/>
  <c r="D22" i="8"/>
  <c r="D20" i="8"/>
  <c r="D18" i="8"/>
  <c r="D16" i="8"/>
  <c r="D14" i="8"/>
  <c r="D12" i="8"/>
  <c r="D10" i="8"/>
  <c r="D8" i="8"/>
  <c r="D6" i="8"/>
  <c r="D59" i="8"/>
  <c r="K34" i="8"/>
  <c r="K32" i="8"/>
  <c r="K30" i="8"/>
  <c r="K28" i="8"/>
  <c r="K26" i="8"/>
  <c r="K24" i="8"/>
  <c r="K22" i="8"/>
  <c r="K20" i="8"/>
  <c r="K18" i="8"/>
  <c r="K16" i="8"/>
  <c r="K14" i="8"/>
  <c r="K12" i="8"/>
  <c r="K10" i="8"/>
  <c r="K8" i="8"/>
  <c r="K6" i="8"/>
  <c r="P73" i="8"/>
  <c r="C45" i="8"/>
  <c r="F33" i="8"/>
  <c r="F31" i="8"/>
  <c r="F29" i="8"/>
  <c r="Q4" i="67"/>
  <c r="Q5" i="11"/>
  <c r="B11" i="38"/>
  <c r="Q11" i="66"/>
  <c r="K11" i="66" s="1"/>
  <c r="L11" i="66" s="1"/>
  <c r="O37" i="66"/>
  <c r="O58" i="53"/>
  <c r="P14" i="29"/>
  <c r="O41" i="66"/>
  <c r="N35" i="53"/>
  <c r="O35" i="53" s="1"/>
  <c r="P27" i="66"/>
  <c r="O37" i="53"/>
  <c r="P37" i="53" s="1"/>
  <c r="P31" i="66"/>
  <c r="P34" i="66"/>
  <c r="Q42" i="66"/>
  <c r="K42" i="66" s="1"/>
  <c r="L42" i="66" s="1"/>
  <c r="O51" i="29"/>
  <c r="P51" i="29" s="1"/>
  <c r="P56" i="53"/>
  <c r="O23" i="53"/>
  <c r="P23" i="35"/>
  <c r="O50" i="35"/>
  <c r="Q50" i="35" s="1"/>
  <c r="K50" i="35" s="1"/>
  <c r="L50" i="35" s="1"/>
  <c r="O25" i="35"/>
  <c r="Q4" i="22"/>
  <c r="O20" i="66"/>
  <c r="P20" i="66" s="1"/>
  <c r="O11" i="29"/>
  <c r="P11" i="29" s="1"/>
  <c r="O66" i="66"/>
  <c r="Q66" i="66" s="1"/>
  <c r="K66" i="66" s="1"/>
  <c r="L66" i="66" s="1"/>
  <c r="O63" i="66"/>
  <c r="P19" i="53"/>
  <c r="Q57" i="53"/>
  <c r="K57" i="53" s="1"/>
  <c r="L57" i="53" s="1"/>
  <c r="R31" i="29"/>
  <c r="P22" i="29"/>
  <c r="P17" i="29"/>
  <c r="R17" i="29" s="1"/>
  <c r="L17" i="29" s="1"/>
  <c r="M17" i="29" s="1"/>
  <c r="O15" i="35"/>
  <c r="P15" i="35" s="1"/>
  <c r="Q29" i="35"/>
  <c r="K29" i="35" s="1"/>
  <c r="L29" i="35" s="1"/>
  <c r="Q28" i="35"/>
  <c r="K28" i="35" s="1"/>
  <c r="L28" i="35" s="1"/>
  <c r="N141" i="43"/>
  <c r="BK248" i="1"/>
  <c r="BG250" i="1"/>
  <c r="BG252" i="1"/>
  <c r="B7" i="38"/>
  <c r="B9" i="38"/>
  <c r="O121" i="42"/>
  <c r="G20" i="8"/>
  <c r="G24" i="8"/>
  <c r="G28" i="8"/>
  <c r="G32" i="8"/>
  <c r="M59" i="8"/>
  <c r="Q80" i="8"/>
  <c r="C66" i="8"/>
  <c r="G59" i="8"/>
  <c r="BK251" i="1"/>
  <c r="BK249" i="1"/>
  <c r="O16" i="8"/>
  <c r="O20" i="8"/>
  <c r="O24" i="8"/>
  <c r="O28" i="8"/>
  <c r="O32" i="8"/>
  <c r="H73" i="8"/>
  <c r="I87" i="8"/>
  <c r="C73" i="8"/>
  <c r="G66" i="8"/>
  <c r="B12" i="38"/>
  <c r="G22" i="8"/>
  <c r="G26" i="8"/>
  <c r="G30" i="8"/>
  <c r="G34" i="8"/>
  <c r="I59" i="8"/>
  <c r="J66" i="8"/>
  <c r="F59" i="8"/>
  <c r="B13" i="38"/>
  <c r="O18" i="8"/>
  <c r="O22" i="8"/>
  <c r="O26" i="8"/>
  <c r="O30" i="8"/>
  <c r="O34" i="8"/>
  <c r="I66" i="8"/>
  <c r="J73" i="8"/>
  <c r="F73" i="8"/>
  <c r="BG259" i="1"/>
  <c r="B10" i="38"/>
  <c r="BG254" i="1"/>
  <c r="BK253" i="1"/>
  <c r="K15" i="8"/>
  <c r="K19" i="8"/>
  <c r="K23" i="8"/>
  <c r="K27" i="8"/>
  <c r="K31" i="8"/>
  <c r="Q45" i="8"/>
  <c r="I73" i="8"/>
  <c r="C59" i="8"/>
  <c r="F87" i="8"/>
  <c r="Q227" i="67"/>
  <c r="Q228" i="22"/>
  <c r="Q229" i="11"/>
  <c r="P18" i="53"/>
  <c r="Q18" i="53"/>
  <c r="K18" i="53" s="1"/>
  <c r="L18" i="53" s="1"/>
  <c r="P63" i="53"/>
  <c r="Q63" i="53"/>
  <c r="K63" i="53" s="1"/>
  <c r="L63" i="53" s="1"/>
  <c r="Q215" i="67"/>
  <c r="Q216" i="22"/>
  <c r="Q217" i="11"/>
  <c r="Q31" i="35"/>
  <c r="K31" i="35" s="1"/>
  <c r="L31" i="35" s="1"/>
  <c r="P31" i="35"/>
  <c r="Q33" i="67"/>
  <c r="Q33" i="22"/>
  <c r="Q34" i="11"/>
  <c r="O138" i="42"/>
  <c r="O143" i="42" s="1"/>
  <c r="N143" i="42"/>
  <c r="O186" i="67"/>
  <c r="O186" i="22"/>
  <c r="O187" i="11"/>
  <c r="M186" i="47"/>
  <c r="O186" i="47"/>
  <c r="Q223" i="67"/>
  <c r="Q224" i="22"/>
  <c r="Q225" i="11"/>
  <c r="Q104" i="67"/>
  <c r="Q116" i="22"/>
  <c r="Q117" i="11"/>
  <c r="Q78" i="67"/>
  <c r="Q98" i="11"/>
  <c r="Q97" i="22"/>
  <c r="Q17" i="67"/>
  <c r="Q17" i="22"/>
  <c r="Q18" i="11"/>
  <c r="Q185" i="67"/>
  <c r="Q185" i="22"/>
  <c r="Q186" i="11"/>
  <c r="Q145" i="67"/>
  <c r="Q82" i="11"/>
  <c r="Q81" i="22"/>
  <c r="Q63" i="67"/>
  <c r="Q63" i="22"/>
  <c r="Q64" i="11"/>
  <c r="Q47" i="67"/>
  <c r="Q47" i="22"/>
  <c r="Q48" i="11"/>
  <c r="Q90" i="67"/>
  <c r="Q106" i="11"/>
  <c r="Q105" i="22"/>
  <c r="O60" i="67"/>
  <c r="O60" i="22"/>
  <c r="O61" i="11"/>
  <c r="M60" i="47"/>
  <c r="O60" i="47"/>
  <c r="O30" i="67"/>
  <c r="O30" i="22"/>
  <c r="O31" i="11"/>
  <c r="M30" i="47"/>
  <c r="O30" i="47"/>
  <c r="Q195" i="67"/>
  <c r="Q195" i="22"/>
  <c r="Q196" i="11"/>
  <c r="Q38" i="67"/>
  <c r="Q38" i="22"/>
  <c r="Q39" i="11"/>
  <c r="Q156" i="22"/>
  <c r="Q96" i="67"/>
  <c r="Q157" i="11"/>
  <c r="O34" i="67"/>
  <c r="O34" i="22"/>
  <c r="O35" i="11"/>
  <c r="M34" i="47"/>
  <c r="O34" i="47"/>
  <c r="Q3" i="67"/>
  <c r="Q3" i="22"/>
  <c r="Q4" i="11"/>
  <c r="Q122" i="67"/>
  <c r="Q139" i="22"/>
  <c r="Q140" i="11"/>
  <c r="Q79" i="67"/>
  <c r="Q98" i="22"/>
  <c r="Q99" i="11"/>
  <c r="P14" i="2"/>
  <c r="G16" i="2"/>
  <c r="H14" i="2"/>
  <c r="G12" i="2"/>
  <c r="C16" i="2"/>
  <c r="G15" i="2"/>
  <c r="C14" i="2"/>
  <c r="I13" i="2"/>
  <c r="E12" i="2"/>
  <c r="I16" i="2"/>
  <c r="Q157" i="67"/>
  <c r="Q93" i="22"/>
  <c r="Q94" i="11"/>
  <c r="Q97" i="67"/>
  <c r="Q157" i="22"/>
  <c r="Q158" i="11"/>
  <c r="P66" i="66"/>
  <c r="Q36" i="66"/>
  <c r="K36" i="66" s="1"/>
  <c r="L36" i="66" s="1"/>
  <c r="P36" i="66"/>
  <c r="Q38" i="66"/>
  <c r="K38" i="66" s="1"/>
  <c r="L38" i="66" s="1"/>
  <c r="O31" i="53"/>
  <c r="Q31" i="53" s="1"/>
  <c r="K31" i="53" s="1"/>
  <c r="L31" i="53" s="1"/>
  <c r="N13" i="66"/>
  <c r="O13" i="66" s="1"/>
  <c r="Q62" i="53"/>
  <c r="K62" i="53" s="1"/>
  <c r="L62" i="53" s="1"/>
  <c r="N34" i="53"/>
  <c r="O34" i="53" s="1"/>
  <c r="Q55" i="35"/>
  <c r="K55" i="35" s="1"/>
  <c r="L55" i="35" s="1"/>
  <c r="P55" i="35"/>
  <c r="R26" i="29"/>
  <c r="N20" i="53"/>
  <c r="O20" i="53" s="1"/>
  <c r="P27" i="29"/>
  <c r="Q27" i="29" s="1"/>
  <c r="P54" i="35"/>
  <c r="Q54" i="35"/>
  <c r="K54" i="35" s="1"/>
  <c r="L54" i="35" s="1"/>
  <c r="Q30" i="53"/>
  <c r="K30" i="53" s="1"/>
  <c r="L30" i="53" s="1"/>
  <c r="P55" i="29"/>
  <c r="R55" i="29" s="1"/>
  <c r="L55" i="29" s="1"/>
  <c r="M55" i="29" s="1"/>
  <c r="Q21" i="29"/>
  <c r="O27" i="35"/>
  <c r="Q26" i="29"/>
  <c r="N240" i="42"/>
  <c r="N121" i="42"/>
  <c r="Q229" i="67"/>
  <c r="Q230" i="22"/>
  <c r="Q231" i="11"/>
  <c r="O225" i="67"/>
  <c r="O226" i="22"/>
  <c r="O227" i="11"/>
  <c r="M226" i="47"/>
  <c r="O226" i="47"/>
  <c r="N237" i="43"/>
  <c r="O229" i="43"/>
  <c r="O237" i="43" s="1"/>
  <c r="O148" i="67"/>
  <c r="O163" i="22"/>
  <c r="O164" i="11"/>
  <c r="M163" i="47"/>
  <c r="O163" i="47"/>
  <c r="O136" i="67"/>
  <c r="O124" i="22"/>
  <c r="O125" i="11"/>
  <c r="M124" i="47"/>
  <c r="O124" i="47"/>
  <c r="A6" i="10"/>
  <c r="A15" i="10"/>
  <c r="A25" i="10" s="1"/>
  <c r="Q191" i="67"/>
  <c r="Q191" i="22"/>
  <c r="Q192" i="11"/>
  <c r="Q181" i="67"/>
  <c r="Q181" i="22"/>
  <c r="Q182" i="11"/>
  <c r="Q102" i="67"/>
  <c r="Q114" i="22"/>
  <c r="Q115" i="11"/>
  <c r="O210" i="67"/>
  <c r="O210" i="22"/>
  <c r="O211" i="11"/>
  <c r="M210" i="47"/>
  <c r="O210" i="47"/>
  <c r="Q177" i="67"/>
  <c r="Q177" i="22"/>
  <c r="Q178" i="11"/>
  <c r="Q160" i="67"/>
  <c r="Q119" i="22"/>
  <c r="Q120" i="11"/>
  <c r="Q154" i="67"/>
  <c r="Q80" i="22"/>
  <c r="Q81" i="11"/>
  <c r="O214" i="67"/>
  <c r="O215" i="22"/>
  <c r="O216" i="11"/>
  <c r="M215" i="47"/>
  <c r="O215" i="47"/>
  <c r="Q146" i="67"/>
  <c r="Q96" i="22"/>
  <c r="Q97" i="11"/>
  <c r="Q208" i="67"/>
  <c r="Q208" i="22"/>
  <c r="Q209" i="11"/>
  <c r="Q159" i="67"/>
  <c r="Q111" i="22"/>
  <c r="Q112" i="11"/>
  <c r="Q100" i="67"/>
  <c r="Q88" i="22"/>
  <c r="Q89" i="11"/>
  <c r="Q18" i="67"/>
  <c r="Q18" i="22"/>
  <c r="Q19" i="11"/>
  <c r="BK250" i="1"/>
  <c r="BK252" i="1"/>
  <c r="Q166" i="67"/>
  <c r="Q151" i="22"/>
  <c r="Q152" i="11"/>
  <c r="D87" i="8"/>
  <c r="Q73" i="8"/>
  <c r="R52" i="8"/>
  <c r="R80" i="8"/>
  <c r="K73" i="8"/>
  <c r="N59" i="8"/>
  <c r="N87" i="8"/>
  <c r="O73" i="8"/>
  <c r="Q132" i="67"/>
  <c r="Q148" i="22"/>
  <c r="Q149" i="11"/>
  <c r="Q12" i="67"/>
  <c r="Q12" i="22"/>
  <c r="Q13" i="11"/>
  <c r="Q41" i="67"/>
  <c r="Q41" i="22"/>
  <c r="Q42" i="11"/>
  <c r="Q158" i="67"/>
  <c r="Q108" i="22"/>
  <c r="Q109" i="11"/>
  <c r="O91" i="67"/>
  <c r="O106" i="22"/>
  <c r="O107" i="11"/>
  <c r="M106" i="47"/>
  <c r="O106" i="47"/>
  <c r="Q11" i="67"/>
  <c r="Q11" i="22"/>
  <c r="Q12" i="11"/>
  <c r="Q134" i="67"/>
  <c r="Q152" i="22"/>
  <c r="Q153" i="11"/>
  <c r="Q69" i="67"/>
  <c r="Q69" i="22"/>
  <c r="Q70" i="11"/>
  <c r="Q52" i="67"/>
  <c r="Q52" i="22"/>
  <c r="Q53" i="11"/>
  <c r="Q45" i="67"/>
  <c r="Q45" i="22"/>
  <c r="Q46" i="11"/>
  <c r="K92" i="8"/>
  <c r="C92" i="8"/>
  <c r="O91" i="8"/>
  <c r="G91" i="8"/>
  <c r="K90" i="8"/>
  <c r="C90" i="8"/>
  <c r="O89" i="8"/>
  <c r="G89" i="8"/>
  <c r="K88" i="8"/>
  <c r="C88" i="8"/>
  <c r="K85" i="8"/>
  <c r="C85" i="8"/>
  <c r="O84" i="8"/>
  <c r="G84" i="8"/>
  <c r="K83" i="8"/>
  <c r="C83" i="8"/>
  <c r="O82" i="8"/>
  <c r="G82" i="8"/>
  <c r="K81" i="8"/>
  <c r="C81" i="8"/>
  <c r="K78" i="8"/>
  <c r="C78" i="8"/>
  <c r="O77" i="8"/>
  <c r="G77" i="8"/>
  <c r="K76" i="8"/>
  <c r="C76" i="8"/>
  <c r="O75" i="8"/>
  <c r="G75" i="8"/>
  <c r="K74" i="8"/>
  <c r="C74" i="8"/>
  <c r="K71" i="8"/>
  <c r="C71" i="8"/>
  <c r="O70" i="8"/>
  <c r="G70" i="8"/>
  <c r="K69" i="8"/>
  <c r="C69" i="8"/>
  <c r="O68" i="8"/>
  <c r="G68" i="8"/>
  <c r="K67" i="8"/>
  <c r="C67" i="8"/>
  <c r="K64" i="8"/>
  <c r="C64" i="8"/>
  <c r="O63" i="8"/>
  <c r="G63" i="8"/>
  <c r="K62" i="8"/>
  <c r="C62" i="8"/>
  <c r="O61" i="8"/>
  <c r="G61" i="8"/>
  <c r="K60" i="8"/>
  <c r="C60" i="8"/>
  <c r="K57" i="8"/>
  <c r="C57" i="8"/>
  <c r="O56" i="8"/>
  <c r="G56" i="8"/>
  <c r="K55" i="8"/>
  <c r="C55" i="8"/>
  <c r="O54" i="8"/>
  <c r="G54" i="8"/>
  <c r="K53" i="8"/>
  <c r="C53" i="8"/>
  <c r="K50" i="8"/>
  <c r="C50" i="8"/>
  <c r="O49" i="8"/>
  <c r="G49" i="8"/>
  <c r="K48" i="8"/>
  <c r="C48" i="8"/>
  <c r="O47" i="8"/>
  <c r="R92" i="8"/>
  <c r="J92" i="8"/>
  <c r="N91" i="8"/>
  <c r="F91" i="8"/>
  <c r="R90" i="8"/>
  <c r="J90" i="8"/>
  <c r="N89" i="8"/>
  <c r="F89" i="8"/>
  <c r="R88" i="8"/>
  <c r="J88" i="8"/>
  <c r="R85" i="8"/>
  <c r="J85" i="8"/>
  <c r="N84" i="8"/>
  <c r="F84" i="8"/>
  <c r="R83" i="8"/>
  <c r="J83" i="8"/>
  <c r="N82" i="8"/>
  <c r="F82" i="8"/>
  <c r="R81" i="8"/>
  <c r="J81" i="8"/>
  <c r="R78" i="8"/>
  <c r="J78" i="8"/>
  <c r="N77" i="8"/>
  <c r="F77" i="8"/>
  <c r="R76" i="8"/>
  <c r="J76" i="8"/>
  <c r="N75" i="8"/>
  <c r="F75" i="8"/>
  <c r="R74" i="8"/>
  <c r="J74" i="8"/>
  <c r="R71" i="8"/>
  <c r="J71" i="8"/>
  <c r="N70" i="8"/>
  <c r="F70" i="8"/>
  <c r="R69" i="8"/>
  <c r="J69" i="8"/>
  <c r="N68" i="8"/>
  <c r="F68" i="8"/>
  <c r="R67" i="8"/>
  <c r="J67" i="8"/>
  <c r="R64" i="8"/>
  <c r="J64" i="8"/>
  <c r="N63" i="8"/>
  <c r="F63" i="8"/>
  <c r="R62" i="8"/>
  <c r="J62" i="8"/>
  <c r="N61" i="8"/>
  <c r="F61" i="8"/>
  <c r="R60" i="8"/>
  <c r="J60" i="8"/>
  <c r="R57" i="8"/>
  <c r="J57" i="8"/>
  <c r="N56" i="8"/>
  <c r="F56" i="8"/>
  <c r="R55" i="8"/>
  <c r="J55" i="8"/>
  <c r="N54" i="8"/>
  <c r="F54" i="8"/>
  <c r="R53" i="8"/>
  <c r="J53" i="8"/>
  <c r="R50" i="8"/>
  <c r="J50" i="8"/>
  <c r="N49" i="8"/>
  <c r="F49" i="8"/>
  <c r="R48" i="8"/>
  <c r="J48" i="8"/>
  <c r="N47" i="8"/>
  <c r="F47" i="8"/>
  <c r="R46" i="8"/>
  <c r="O92" i="8"/>
  <c r="G92" i="8"/>
  <c r="K91" i="8"/>
  <c r="C91" i="8"/>
  <c r="O90" i="8"/>
  <c r="G90" i="8"/>
  <c r="K89" i="8"/>
  <c r="C89" i="8"/>
  <c r="O88" i="8"/>
  <c r="G88" i="8"/>
  <c r="O85" i="8"/>
  <c r="G85" i="8"/>
  <c r="K84" i="8"/>
  <c r="C84" i="8"/>
  <c r="O83" i="8"/>
  <c r="G83" i="8"/>
  <c r="K82" i="8"/>
  <c r="C82" i="8"/>
  <c r="O81" i="8"/>
  <c r="G81" i="8"/>
  <c r="O78" i="8"/>
  <c r="G78" i="8"/>
  <c r="K77" i="8"/>
  <c r="C77" i="8"/>
  <c r="O76" i="8"/>
  <c r="G76" i="8"/>
  <c r="K75" i="8"/>
  <c r="C75" i="8"/>
  <c r="O74" i="8"/>
  <c r="G74" i="8"/>
  <c r="O71" i="8"/>
  <c r="G71" i="8"/>
  <c r="K70" i="8"/>
  <c r="C70" i="8"/>
  <c r="O69" i="8"/>
  <c r="G69" i="8"/>
  <c r="K68" i="8"/>
  <c r="C68" i="8"/>
  <c r="O67" i="8"/>
  <c r="G67" i="8"/>
  <c r="O64" i="8"/>
  <c r="G64" i="8"/>
  <c r="K63" i="8"/>
  <c r="C63" i="8"/>
  <c r="O62" i="8"/>
  <c r="G62" i="8"/>
  <c r="K61" i="8"/>
  <c r="C61" i="8"/>
  <c r="O60" i="8"/>
  <c r="G60" i="8"/>
  <c r="N92" i="8"/>
  <c r="F92" i="8"/>
  <c r="R91" i="8"/>
  <c r="J91" i="8"/>
  <c r="N90" i="8"/>
  <c r="F90" i="8"/>
  <c r="R89" i="8"/>
  <c r="J89" i="8"/>
  <c r="N88" i="8"/>
  <c r="F88" i="8"/>
  <c r="N85" i="8"/>
  <c r="F85" i="8"/>
  <c r="R84" i="8"/>
  <c r="J84" i="8"/>
  <c r="N83" i="8"/>
  <c r="F83" i="8"/>
  <c r="R82" i="8"/>
  <c r="J82" i="8"/>
  <c r="N81" i="8"/>
  <c r="F81" i="8"/>
  <c r="N78" i="8"/>
  <c r="F78" i="8"/>
  <c r="R77" i="8"/>
  <c r="J77" i="8"/>
  <c r="N76" i="8"/>
  <c r="F76" i="8"/>
  <c r="R75" i="8"/>
  <c r="J75" i="8"/>
  <c r="N74" i="8"/>
  <c r="F74" i="8"/>
  <c r="N71" i="8"/>
  <c r="F71" i="8"/>
  <c r="R70" i="8"/>
  <c r="J70" i="8"/>
  <c r="N69" i="8"/>
  <c r="F69" i="8"/>
  <c r="R68" i="8"/>
  <c r="J68" i="8"/>
  <c r="N67" i="8"/>
  <c r="F67" i="8"/>
  <c r="N64" i="8"/>
  <c r="F64" i="8"/>
  <c r="R63" i="8"/>
  <c r="J63" i="8"/>
  <c r="N62" i="8"/>
  <c r="F62" i="8"/>
  <c r="R61" i="8"/>
  <c r="J61" i="8"/>
  <c r="N60" i="8"/>
  <c r="F60" i="8"/>
  <c r="N57" i="8"/>
  <c r="F57" i="8"/>
  <c r="R56" i="8"/>
  <c r="J56" i="8"/>
  <c r="N55" i="8"/>
  <c r="F55" i="8"/>
  <c r="R54" i="8"/>
  <c r="J54" i="8"/>
  <c r="N53" i="8"/>
  <c r="F53" i="8"/>
  <c r="N50" i="8"/>
  <c r="F50" i="8"/>
  <c r="R49" i="8"/>
  <c r="J49" i="8"/>
  <c r="N48" i="8"/>
  <c r="F48" i="8"/>
  <c r="R47" i="8"/>
  <c r="J47" i="8"/>
  <c r="N46" i="8"/>
  <c r="F46" i="8"/>
  <c r="M92" i="8"/>
  <c r="E92" i="8"/>
  <c r="Q91" i="8"/>
  <c r="I91" i="8"/>
  <c r="M90" i="8"/>
  <c r="E90" i="8"/>
  <c r="Q89" i="8"/>
  <c r="I89" i="8"/>
  <c r="M88" i="8"/>
  <c r="E88" i="8"/>
  <c r="M85" i="8"/>
  <c r="E85" i="8"/>
  <c r="Q84" i="8"/>
  <c r="I84" i="8"/>
  <c r="M83" i="8"/>
  <c r="E83" i="8"/>
  <c r="Q82" i="8"/>
  <c r="I82" i="8"/>
  <c r="M81" i="8"/>
  <c r="E81" i="8"/>
  <c r="M78" i="8"/>
  <c r="E78" i="8"/>
  <c r="Q77" i="8"/>
  <c r="I77" i="8"/>
  <c r="M76" i="8"/>
  <c r="E76" i="8"/>
  <c r="Q75" i="8"/>
  <c r="I75" i="8"/>
  <c r="M74" i="8"/>
  <c r="E74" i="8"/>
  <c r="M71" i="8"/>
  <c r="E71" i="8"/>
  <c r="Q70" i="8"/>
  <c r="I70" i="8"/>
  <c r="M69" i="8"/>
  <c r="E69" i="8"/>
  <c r="Q68" i="8"/>
  <c r="I68" i="8"/>
  <c r="M67" i="8"/>
  <c r="E67" i="8"/>
  <c r="M64" i="8"/>
  <c r="E64" i="8"/>
  <c r="Q63" i="8"/>
  <c r="I63" i="8"/>
  <c r="M62" i="8"/>
  <c r="E62" i="8"/>
  <c r="Q61" i="8"/>
  <c r="I61" i="8"/>
  <c r="M60" i="8"/>
  <c r="E60" i="8"/>
  <c r="M57" i="8"/>
  <c r="E57" i="8"/>
  <c r="Q56" i="8"/>
  <c r="I56" i="8"/>
  <c r="M55" i="8"/>
  <c r="E55" i="8"/>
  <c r="Q54" i="8"/>
  <c r="I54" i="8"/>
  <c r="M53" i="8"/>
  <c r="E53" i="8"/>
  <c r="M50" i="8"/>
  <c r="E50" i="8"/>
  <c r="Q49" i="8"/>
  <c r="I49" i="8"/>
  <c r="M48" i="8"/>
  <c r="E48" i="8"/>
  <c r="I92" i="8"/>
  <c r="H91" i="8"/>
  <c r="H90" i="8"/>
  <c r="E89" i="8"/>
  <c r="D88" i="8"/>
  <c r="Q81" i="8"/>
  <c r="P78" i="8"/>
  <c r="M77" i="8"/>
  <c r="L76" i="8"/>
  <c r="L75" i="8"/>
  <c r="I74" i="8"/>
  <c r="H71" i="8"/>
  <c r="E70" i="8"/>
  <c r="D69" i="8"/>
  <c r="D68" i="8"/>
  <c r="Q62" i="8"/>
  <c r="P61" i="8"/>
  <c r="P60" i="8"/>
  <c r="O57" i="8"/>
  <c r="C56" i="8"/>
  <c r="G55" i="8"/>
  <c r="K54" i="8"/>
  <c r="O53" i="8"/>
  <c r="G50" i="8"/>
  <c r="K49" i="8"/>
  <c r="O48" i="8"/>
  <c r="G47" i="8"/>
  <c r="P46" i="8"/>
  <c r="G46" i="8"/>
  <c r="H92" i="8"/>
  <c r="E91" i="8"/>
  <c r="D90" i="8"/>
  <c r="D89" i="8"/>
  <c r="Q83" i="8"/>
  <c r="P82" i="8"/>
  <c r="P81" i="8"/>
  <c r="L78" i="8"/>
  <c r="L77" i="8"/>
  <c r="I76" i="8"/>
  <c r="H75" i="8"/>
  <c r="H74" i="8"/>
  <c r="D71" i="8"/>
  <c r="D70" i="8"/>
  <c r="Q64" i="8"/>
  <c r="P63" i="8"/>
  <c r="P62" i="8"/>
  <c r="M61" i="8"/>
  <c r="L60" i="8"/>
  <c r="L57" i="8"/>
  <c r="P56" i="8"/>
  <c r="D55" i="8"/>
  <c r="H54" i="8"/>
  <c r="L53" i="8"/>
  <c r="D50" i="8"/>
  <c r="H49" i="8"/>
  <c r="L48" i="8"/>
  <c r="Q47" i="8"/>
  <c r="E47" i="8"/>
  <c r="O46" i="8"/>
  <c r="E46" i="8"/>
  <c r="D92" i="8"/>
  <c r="D91" i="8"/>
  <c r="Q85" i="8"/>
  <c r="P84" i="8"/>
  <c r="P83" i="8"/>
  <c r="M82" i="8"/>
  <c r="L81" i="8"/>
  <c r="I78" i="8"/>
  <c r="H77" i="8"/>
  <c r="H76" i="8"/>
  <c r="E75" i="8"/>
  <c r="D74" i="8"/>
  <c r="Q67" i="8"/>
  <c r="P64" i="8"/>
  <c r="M63" i="8"/>
  <c r="L62" i="8"/>
  <c r="L61" i="8"/>
  <c r="I60" i="8"/>
  <c r="I57" i="8"/>
  <c r="M56" i="8"/>
  <c r="Q55" i="8"/>
  <c r="E54" i="8"/>
  <c r="I53" i="8"/>
  <c r="Q50" i="8"/>
  <c r="E49" i="8"/>
  <c r="I48" i="8"/>
  <c r="P47" i="8"/>
  <c r="D47" i="8"/>
  <c r="M46" i="8"/>
  <c r="D46" i="8"/>
  <c r="Q88" i="8"/>
  <c r="P85" i="8"/>
  <c r="M84" i="8"/>
  <c r="L83" i="8"/>
  <c r="L82" i="8"/>
  <c r="I81" i="8"/>
  <c r="H78" i="8"/>
  <c r="E77" i="8"/>
  <c r="D76" i="8"/>
  <c r="D75" i="8"/>
  <c r="Q69" i="8"/>
  <c r="P68" i="8"/>
  <c r="P67" i="8"/>
  <c r="L64" i="8"/>
  <c r="L63" i="8"/>
  <c r="I62" i="8"/>
  <c r="H61" i="8"/>
  <c r="H60" i="8"/>
  <c r="H57" i="8"/>
  <c r="L56" i="8"/>
  <c r="P55" i="8"/>
  <c r="D54" i="8"/>
  <c r="H53" i="8"/>
  <c r="P50" i="8"/>
  <c r="D49" i="8"/>
  <c r="H48" i="8"/>
  <c r="M47" i="8"/>
  <c r="C47" i="8"/>
  <c r="L46" i="8"/>
  <c r="C46" i="8"/>
  <c r="Q90" i="8"/>
  <c r="P89" i="8"/>
  <c r="P88" i="8"/>
  <c r="L85" i="8"/>
  <c r="L84" i="8"/>
  <c r="I83" i="8"/>
  <c r="H82" i="8"/>
  <c r="H81" i="8"/>
  <c r="D78" i="8"/>
  <c r="D77" i="8"/>
  <c r="Q71" i="8"/>
  <c r="P70" i="8"/>
  <c r="P69" i="8"/>
  <c r="M68" i="8"/>
  <c r="L67" i="8"/>
  <c r="I64" i="8"/>
  <c r="H63" i="8"/>
  <c r="H62" i="8"/>
  <c r="E61" i="8"/>
  <c r="D60" i="8"/>
  <c r="G57" i="8"/>
  <c r="K56" i="8"/>
  <c r="O55" i="8"/>
  <c r="C54" i="8"/>
  <c r="G53" i="8"/>
  <c r="O50" i="8"/>
  <c r="C49" i="8"/>
  <c r="G48" i="8"/>
  <c r="L47" i="8"/>
  <c r="K46" i="8"/>
  <c r="Q92" i="8"/>
  <c r="P91" i="8"/>
  <c r="P90" i="8"/>
  <c r="M89" i="8"/>
  <c r="L88" i="8"/>
  <c r="I85" i="8"/>
  <c r="H84" i="8"/>
  <c r="H83" i="8"/>
  <c r="E82" i="8"/>
  <c r="D81" i="8"/>
  <c r="Q74" i="8"/>
  <c r="P71" i="8"/>
  <c r="M70" i="8"/>
  <c r="L69" i="8"/>
  <c r="L68" i="8"/>
  <c r="I67" i="8"/>
  <c r="H64" i="8"/>
  <c r="E63" i="8"/>
  <c r="D62" i="8"/>
  <c r="D61" i="8"/>
  <c r="D57" i="8"/>
  <c r="H56" i="8"/>
  <c r="L55" i="8"/>
  <c r="P54" i="8"/>
  <c r="D53" i="8"/>
  <c r="L50" i="8"/>
  <c r="P49" i="8"/>
  <c r="D48" i="8"/>
  <c r="K47" i="8"/>
  <c r="J46" i="8"/>
  <c r="P92" i="8"/>
  <c r="M91" i="8"/>
  <c r="L90" i="8"/>
  <c r="L89" i="8"/>
  <c r="I88" i="8"/>
  <c r="H85" i="8"/>
  <c r="E84" i="8"/>
  <c r="D83" i="8"/>
  <c r="D82" i="8"/>
  <c r="Q76" i="8"/>
  <c r="P75" i="8"/>
  <c r="P74" i="8"/>
  <c r="L71" i="8"/>
  <c r="L70" i="8"/>
  <c r="I69" i="8"/>
  <c r="H68" i="8"/>
  <c r="H67" i="8"/>
  <c r="D64" i="8"/>
  <c r="D63" i="8"/>
  <c r="Q57" i="8"/>
  <c r="E56" i="8"/>
  <c r="I55" i="8"/>
  <c r="M54" i="8"/>
  <c r="Q53" i="8"/>
  <c r="I50" i="8"/>
  <c r="M49" i="8"/>
  <c r="Q48" i="8"/>
  <c r="I47" i="8"/>
  <c r="I46" i="8"/>
  <c r="L92" i="8"/>
  <c r="L91" i="8"/>
  <c r="I90" i="8"/>
  <c r="H89" i="8"/>
  <c r="H88" i="8"/>
  <c r="D85" i="8"/>
  <c r="D84" i="8"/>
  <c r="Q78" i="8"/>
  <c r="P77" i="8"/>
  <c r="P76" i="8"/>
  <c r="M75" i="8"/>
  <c r="L74" i="8"/>
  <c r="I71" i="8"/>
  <c r="H70" i="8"/>
  <c r="H69" i="8"/>
  <c r="E68" i="8"/>
  <c r="D67" i="8"/>
  <c r="Q60" i="8"/>
  <c r="P57" i="8"/>
  <c r="D56" i="8"/>
  <c r="H55" i="8"/>
  <c r="L54" i="8"/>
  <c r="P53" i="8"/>
  <c r="H50" i="8"/>
  <c r="L49" i="8"/>
  <c r="P48" i="8"/>
  <c r="H47" i="8"/>
  <c r="Q46" i="8"/>
  <c r="H46" i="8"/>
  <c r="N12" i="2"/>
  <c r="B12" i="2"/>
  <c r="J15" i="2"/>
  <c r="O12" i="2"/>
  <c r="K16" i="2"/>
  <c r="O15" i="2"/>
  <c r="K14" i="2"/>
  <c r="Q13" i="2"/>
  <c r="M12" i="2"/>
  <c r="Q16" i="2"/>
  <c r="P33" i="53"/>
  <c r="Q224" i="67"/>
  <c r="Q225" i="22"/>
  <c r="Q226" i="11"/>
  <c r="Q147" i="67"/>
  <c r="Q112" i="22"/>
  <c r="Q113" i="11"/>
  <c r="Q152" i="67"/>
  <c r="Q78" i="22"/>
  <c r="Q79" i="11"/>
  <c r="P35" i="66"/>
  <c r="Q17" i="66"/>
  <c r="K17" i="66" s="1"/>
  <c r="L17" i="66" s="1"/>
  <c r="P17" i="66"/>
  <c r="P30" i="53"/>
  <c r="Q58" i="53"/>
  <c r="K58" i="53" s="1"/>
  <c r="L58" i="53" s="1"/>
  <c r="P58" i="53"/>
  <c r="N53" i="35"/>
  <c r="O53" i="35" s="1"/>
  <c r="Q12" i="66"/>
  <c r="K12" i="66" s="1"/>
  <c r="L12" i="66" s="1"/>
  <c r="P12" i="66"/>
  <c r="O43" i="66"/>
  <c r="Q43" i="66" s="1"/>
  <c r="K43" i="66" s="1"/>
  <c r="L43" i="66" s="1"/>
  <c r="Q28" i="53"/>
  <c r="K28" i="53" s="1"/>
  <c r="L28" i="53" s="1"/>
  <c r="P28" i="53"/>
  <c r="O24" i="53"/>
  <c r="Q24" i="53" s="1"/>
  <c r="K24" i="53" s="1"/>
  <c r="L24" i="53" s="1"/>
  <c r="P38" i="66"/>
  <c r="O25" i="66"/>
  <c r="Q25" i="66" s="1"/>
  <c r="K25" i="66" s="1"/>
  <c r="L25" i="66" s="1"/>
  <c r="P13" i="35"/>
  <c r="Q13" i="35"/>
  <c r="K13" i="35" s="1"/>
  <c r="L13" i="35" s="1"/>
  <c r="Q19" i="29"/>
  <c r="R19" i="29"/>
  <c r="L19" i="29" s="1"/>
  <c r="M19" i="29" s="1"/>
  <c r="O29" i="53"/>
  <c r="P29" i="53" s="1"/>
  <c r="Q23" i="53"/>
  <c r="K23" i="53" s="1"/>
  <c r="L23" i="53" s="1"/>
  <c r="P23" i="53"/>
  <c r="P26" i="35"/>
  <c r="R22" i="29"/>
  <c r="L22" i="29" s="1"/>
  <c r="M22" i="29" s="1"/>
  <c r="Q22" i="29"/>
  <c r="O24" i="66"/>
  <c r="Q24" i="66" s="1"/>
  <c r="K24" i="66" s="1"/>
  <c r="L24" i="66" s="1"/>
  <c r="Q30" i="29"/>
  <c r="R21" i="29"/>
  <c r="L21" i="29" s="1"/>
  <c r="M21" i="29" s="1"/>
  <c r="Q21" i="35"/>
  <c r="K21" i="35" s="1"/>
  <c r="L21" i="35" s="1"/>
  <c r="Q21" i="53"/>
  <c r="K21" i="53" s="1"/>
  <c r="L21" i="53" s="1"/>
  <c r="P21" i="53"/>
  <c r="Q25" i="35"/>
  <c r="K25" i="35" s="1"/>
  <c r="L25" i="35" s="1"/>
  <c r="P25" i="35"/>
  <c r="R29" i="29"/>
  <c r="Q26" i="66"/>
  <c r="K26" i="66" s="1"/>
  <c r="L26" i="66" s="1"/>
  <c r="Q20" i="29"/>
  <c r="Q12" i="29"/>
  <c r="O63" i="42"/>
  <c r="O72" i="42" s="1"/>
  <c r="N72" i="42"/>
  <c r="A14" i="47"/>
  <c r="A24" i="47" s="1"/>
  <c r="A5" i="47"/>
  <c r="O177" i="43"/>
  <c r="O184" i="43" s="1"/>
  <c r="N184" i="43"/>
  <c r="N72" i="43"/>
  <c r="O63" i="43"/>
  <c r="O72" i="43" s="1"/>
  <c r="O213" i="67"/>
  <c r="O214" i="22"/>
  <c r="O215" i="11"/>
  <c r="M214" i="47"/>
  <c r="O214" i="47"/>
  <c r="Q138" i="67"/>
  <c r="Q127" i="22"/>
  <c r="Q128" i="11"/>
  <c r="Q114" i="67"/>
  <c r="Q159" i="22"/>
  <c r="Q160" i="11"/>
  <c r="Q158" i="22"/>
  <c r="Q98" i="67"/>
  <c r="Q159" i="11"/>
  <c r="Q67" i="67"/>
  <c r="Q67" i="22"/>
  <c r="Q68" i="11"/>
  <c r="Q196" i="67"/>
  <c r="Q196" i="22"/>
  <c r="Q197" i="11"/>
  <c r="Q137" i="67"/>
  <c r="Q125" i="22"/>
  <c r="Q126" i="11"/>
  <c r="Q113" i="67"/>
  <c r="Q154" i="11"/>
  <c r="Q153" i="22"/>
  <c r="Q74" i="67"/>
  <c r="Q91" i="22"/>
  <c r="Q92" i="11"/>
  <c r="Q70" i="67"/>
  <c r="Q70" i="22"/>
  <c r="Q71" i="11"/>
  <c r="Q37" i="67"/>
  <c r="Q37" i="22"/>
  <c r="Q38" i="11"/>
  <c r="Q221" i="67"/>
  <c r="Q222" i="22"/>
  <c r="Q223" i="11"/>
  <c r="AZ255" i="1"/>
  <c r="AZ256" i="1" s="1"/>
  <c r="BG247" i="1"/>
  <c r="BG253" i="1"/>
  <c r="O123" i="67"/>
  <c r="O140" i="22"/>
  <c r="O141" i="11"/>
  <c r="M140" i="47"/>
  <c r="O140" i="47"/>
  <c r="O87" i="67"/>
  <c r="O74" i="22"/>
  <c r="O75" i="11"/>
  <c r="M74" i="47"/>
  <c r="O74" i="47"/>
  <c r="O49" i="67"/>
  <c r="O49" i="22"/>
  <c r="O50" i="11"/>
  <c r="M49" i="47"/>
  <c r="O49" i="47"/>
  <c r="I52" i="8"/>
  <c r="I80" i="8"/>
  <c r="J59" i="8"/>
  <c r="J87" i="8"/>
  <c r="C80" i="8"/>
  <c r="F66" i="8"/>
  <c r="G52" i="8"/>
  <c r="G80" i="8"/>
  <c r="Q92" i="67"/>
  <c r="Q109" i="22"/>
  <c r="Q110" i="11"/>
  <c r="Q77" i="67"/>
  <c r="Q95" i="22"/>
  <c r="Q96" i="11"/>
  <c r="Q178" i="67"/>
  <c r="Q178" i="22"/>
  <c r="Q179" i="11"/>
  <c r="Q75" i="67"/>
  <c r="Q92" i="22"/>
  <c r="Q93" i="11"/>
  <c r="Q39" i="67"/>
  <c r="Q39" i="22"/>
  <c r="Q40" i="11"/>
  <c r="Q124" i="67"/>
  <c r="Q155" i="22"/>
  <c r="Q156" i="11"/>
  <c r="J12" i="2"/>
  <c r="P13" i="2"/>
  <c r="C13" i="2"/>
  <c r="N16" i="2"/>
  <c r="D13" i="2"/>
  <c r="H12" i="2"/>
  <c r="D16" i="2"/>
  <c r="H15" i="2"/>
  <c r="F14" i="2"/>
  <c r="B13" i="2"/>
  <c r="Q25" i="67"/>
  <c r="Q25" i="22"/>
  <c r="Q26" i="11"/>
  <c r="O240" i="42"/>
  <c r="O204" i="43"/>
  <c r="N214" i="43"/>
  <c r="Q207" i="67"/>
  <c r="Q207" i="22"/>
  <c r="Q208" i="11"/>
  <c r="Q218" i="67"/>
  <c r="Q219" i="22"/>
  <c r="Q220" i="11"/>
  <c r="O16" i="66"/>
  <c r="Q16" i="66" s="1"/>
  <c r="K16" i="66" s="1"/>
  <c r="L16" i="66" s="1"/>
  <c r="P15" i="53"/>
  <c r="O15" i="53"/>
  <c r="Q15" i="53" s="1"/>
  <c r="K15" i="53" s="1"/>
  <c r="L15" i="53" s="1"/>
  <c r="O12" i="53"/>
  <c r="Q12" i="53" s="1"/>
  <c r="K12" i="53" s="1"/>
  <c r="L12" i="53" s="1"/>
  <c r="P37" i="66"/>
  <c r="Q37" i="66"/>
  <c r="K37" i="66" s="1"/>
  <c r="L37" i="66" s="1"/>
  <c r="Q60" i="53"/>
  <c r="K60" i="53" s="1"/>
  <c r="L60" i="53" s="1"/>
  <c r="O21" i="66"/>
  <c r="Q21" i="66" s="1"/>
  <c r="K21" i="66" s="1"/>
  <c r="L21" i="66" s="1"/>
  <c r="O51" i="35"/>
  <c r="Q51" i="35" s="1"/>
  <c r="K51" i="35" s="1"/>
  <c r="L51" i="35" s="1"/>
  <c r="N16" i="35"/>
  <c r="R20" i="29"/>
  <c r="L20" i="29" s="1"/>
  <c r="M20" i="29" s="1"/>
  <c r="R12" i="29"/>
  <c r="L12" i="29" s="1"/>
  <c r="M12" i="29" s="1"/>
  <c r="N155" i="42"/>
  <c r="O147" i="42"/>
  <c r="O155" i="42" s="1"/>
  <c r="N153" i="43"/>
  <c r="O145" i="43"/>
  <c r="O153" i="43" s="1"/>
  <c r="Q226" i="67"/>
  <c r="Q227" i="22"/>
  <c r="Q228" i="11"/>
  <c r="Q212" i="67"/>
  <c r="Q212" i="22"/>
  <c r="Q213" i="11"/>
  <c r="O164" i="67"/>
  <c r="O138" i="22"/>
  <c r="O139" i="11"/>
  <c r="M138" i="47"/>
  <c r="O138" i="47"/>
  <c r="Q151" i="67"/>
  <c r="Q77" i="22"/>
  <c r="Q78" i="11"/>
  <c r="Q217" i="67"/>
  <c r="Q218" i="22"/>
  <c r="Q219" i="11"/>
  <c r="Q54" i="67"/>
  <c r="Q54" i="22"/>
  <c r="Q55" i="11"/>
  <c r="Q222" i="67"/>
  <c r="Q223" i="22"/>
  <c r="Q224" i="11"/>
  <c r="Q200" i="67"/>
  <c r="Q200" i="22"/>
  <c r="Q201" i="11"/>
  <c r="Q190" i="67"/>
  <c r="Q190" i="22"/>
  <c r="Q191" i="11"/>
  <c r="Q150" i="67"/>
  <c r="Q76" i="22"/>
  <c r="Q77" i="11"/>
  <c r="Q46" i="67"/>
  <c r="Q46" i="22"/>
  <c r="Q47" i="11"/>
  <c r="Q216" i="67"/>
  <c r="Q217" i="22"/>
  <c r="Q218" i="11"/>
  <c r="Q171" i="67"/>
  <c r="Q171" i="22"/>
  <c r="Q172" i="11"/>
  <c r="Q143" i="67"/>
  <c r="Q164" i="22"/>
  <c r="Q165" i="11"/>
  <c r="Q130" i="67"/>
  <c r="Q146" i="22"/>
  <c r="Q147" i="11"/>
  <c r="Q165" i="67"/>
  <c r="Q144" i="22"/>
  <c r="Q145" i="11"/>
  <c r="Q161" i="67"/>
  <c r="Q126" i="22"/>
  <c r="Q127" i="11"/>
  <c r="Q101" i="67"/>
  <c r="Q113" i="22"/>
  <c r="Q114" i="11"/>
  <c r="O40" i="67"/>
  <c r="O40" i="22"/>
  <c r="O41" i="11"/>
  <c r="M40" i="47"/>
  <c r="O40" i="47"/>
  <c r="BG251" i="1"/>
  <c r="BG249" i="1"/>
  <c r="Q36" i="67"/>
  <c r="Q36" i="22"/>
  <c r="Q37" i="11"/>
  <c r="O33" i="67"/>
  <c r="O33" i="22"/>
  <c r="O34" i="11"/>
  <c r="M33" i="47"/>
  <c r="O33" i="47"/>
  <c r="R59" i="8"/>
  <c r="R87" i="8"/>
  <c r="K80" i="8"/>
  <c r="N66" i="8"/>
  <c r="O52" i="8"/>
  <c r="O80" i="8"/>
  <c r="BG260" i="1"/>
  <c r="O35" i="67"/>
  <c r="O35" i="22"/>
  <c r="O36" i="11"/>
  <c r="M35" i="47"/>
  <c r="O35" i="47"/>
  <c r="Q93" i="67"/>
  <c r="Q110" i="22"/>
  <c r="Q111" i="11"/>
  <c r="Q44" i="67"/>
  <c r="Q44" i="22"/>
  <c r="Q45" i="11"/>
  <c r="Q120" i="67"/>
  <c r="Q136" i="22"/>
  <c r="Q137" i="11"/>
  <c r="Q86" i="67"/>
  <c r="Q102" i="22"/>
  <c r="Q103" i="11"/>
  <c r="O59" i="67"/>
  <c r="O59" i="22"/>
  <c r="O60" i="11"/>
  <c r="M59" i="47"/>
  <c r="O59" i="47"/>
  <c r="K13" i="2"/>
  <c r="B16" i="2"/>
  <c r="E14" i="2"/>
  <c r="F12" i="2"/>
  <c r="L13" i="2"/>
  <c r="P12" i="2"/>
  <c r="L16" i="2"/>
  <c r="P15" i="2"/>
  <c r="N14" i="2"/>
  <c r="J13" i="2"/>
  <c r="Q116" i="67"/>
  <c r="Q169" i="22"/>
  <c r="Q170" i="11"/>
  <c r="P21" i="66"/>
  <c r="N22" i="53"/>
  <c r="O22" i="53" s="1"/>
  <c r="R14" i="29"/>
  <c r="L14" i="29" s="1"/>
  <c r="M14" i="29" s="1"/>
  <c r="Q14" i="29"/>
  <c r="Q173" i="67"/>
  <c r="Q173" i="22"/>
  <c r="Q174" i="11"/>
  <c r="Q84" i="67"/>
  <c r="Q73" i="22"/>
  <c r="Q74" i="11"/>
  <c r="Q80" i="67"/>
  <c r="Q71" i="22"/>
  <c r="Q72" i="11"/>
  <c r="Q72" i="67"/>
  <c r="Q86" i="22"/>
  <c r="Q87" i="11"/>
  <c r="Q162" i="67"/>
  <c r="Q130" i="22"/>
  <c r="Q131" i="11"/>
  <c r="Q156" i="67"/>
  <c r="Q90" i="11"/>
  <c r="Q89" i="22"/>
  <c r="Q117" i="67"/>
  <c r="Q132" i="22"/>
  <c r="Q133" i="11"/>
  <c r="O223" i="67"/>
  <c r="O224" i="22"/>
  <c r="O225" i="11"/>
  <c r="M224" i="47"/>
  <c r="O224" i="47"/>
  <c r="Q169" i="67"/>
  <c r="Q168" i="22"/>
  <c r="Q169" i="11"/>
  <c r="Q23" i="67"/>
  <c r="Q23" i="22"/>
  <c r="Q24" i="11"/>
  <c r="Q141" i="67"/>
  <c r="Q131" i="22"/>
  <c r="Q132" i="11"/>
  <c r="Q125" i="67"/>
  <c r="Q166" i="11"/>
  <c r="Q165" i="22"/>
  <c r="G87" i="8"/>
  <c r="O115" i="67"/>
  <c r="O160" i="22"/>
  <c r="O161" i="11"/>
  <c r="M160" i="47"/>
  <c r="O160" i="47"/>
  <c r="Q82" i="67"/>
  <c r="Q99" i="22"/>
  <c r="Q100" i="11"/>
  <c r="Q133" i="67"/>
  <c r="Q150" i="22"/>
  <c r="Q151" i="11"/>
  <c r="Q42" i="67"/>
  <c r="Q42" i="22"/>
  <c r="Q43" i="11"/>
  <c r="Q108" i="67"/>
  <c r="Q122" i="11"/>
  <c r="Q121" i="22"/>
  <c r="Q6" i="67"/>
  <c r="Q6" i="22"/>
  <c r="Q7" i="11"/>
  <c r="M14" i="2"/>
  <c r="B15" i="2"/>
  <c r="I15" i="2"/>
  <c r="H13" i="2"/>
  <c r="I14" i="2"/>
  <c r="E13" i="2"/>
  <c r="I12" i="2"/>
  <c r="E16" i="2"/>
  <c r="C15" i="2"/>
  <c r="G14" i="2"/>
  <c r="N64" i="66"/>
  <c r="O64" i="66" s="1"/>
  <c r="O180" i="42"/>
  <c r="O187" i="42" s="1"/>
  <c r="N187" i="42"/>
  <c r="O227" i="67"/>
  <c r="O228" i="22"/>
  <c r="O229" i="11"/>
  <c r="M228" i="47"/>
  <c r="O228" i="47"/>
  <c r="Q163" i="67"/>
  <c r="Q134" i="22"/>
  <c r="Q135" i="11"/>
  <c r="Q131" i="67"/>
  <c r="Q147" i="22"/>
  <c r="Q148" i="11"/>
  <c r="O15" i="66"/>
  <c r="P15" i="66" s="1"/>
  <c r="Q41" i="66"/>
  <c r="K41" i="66" s="1"/>
  <c r="L41" i="66" s="1"/>
  <c r="P41" i="66"/>
  <c r="P28" i="66"/>
  <c r="Q28" i="66"/>
  <c r="K28" i="66" s="1"/>
  <c r="L28" i="66" s="1"/>
  <c r="Q63" i="66"/>
  <c r="K63" i="66" s="1"/>
  <c r="L63" i="66" s="1"/>
  <c r="P63" i="66"/>
  <c r="N20" i="35"/>
  <c r="O20" i="35" s="1"/>
  <c r="R57" i="29"/>
  <c r="L57" i="29" s="1"/>
  <c r="M57" i="29" s="1"/>
  <c r="Q57" i="29"/>
  <c r="Q220" i="67"/>
  <c r="Q221" i="22"/>
  <c r="Q222" i="11"/>
  <c r="N120" i="43"/>
  <c r="O111" i="43"/>
  <c r="O120" i="43" s="1"/>
  <c r="O33" i="66"/>
  <c r="Q33" i="66" s="1"/>
  <c r="K33" i="66" s="1"/>
  <c r="L33" i="66" s="1"/>
  <c r="Q40" i="66"/>
  <c r="K40" i="66" s="1"/>
  <c r="L40" i="66" s="1"/>
  <c r="P40" i="66"/>
  <c r="Q67" i="66"/>
  <c r="K67" i="66" s="1"/>
  <c r="L67" i="66" s="1"/>
  <c r="P26" i="66"/>
  <c r="N61" i="66"/>
  <c r="Q11" i="53"/>
  <c r="K11" i="53" s="1"/>
  <c r="L11" i="53" s="1"/>
  <c r="P11" i="53"/>
  <c r="Q59" i="53"/>
  <c r="K59" i="53" s="1"/>
  <c r="L59" i="53" s="1"/>
  <c r="P59" i="53"/>
  <c r="N29" i="66"/>
  <c r="O29" i="66" s="1"/>
  <c r="Q36" i="53"/>
  <c r="K36" i="53" s="1"/>
  <c r="L36" i="53" s="1"/>
  <c r="P36" i="53"/>
  <c r="O19" i="66"/>
  <c r="Q19" i="66" s="1"/>
  <c r="K19" i="66" s="1"/>
  <c r="L19" i="66" s="1"/>
  <c r="Q32" i="35"/>
  <c r="K32" i="35" s="1"/>
  <c r="L32" i="35" s="1"/>
  <c r="P32" i="35"/>
  <c r="Q27" i="53"/>
  <c r="K27" i="53" s="1"/>
  <c r="L27" i="53" s="1"/>
  <c r="P27" i="53"/>
  <c r="N19" i="35"/>
  <c r="O22" i="66"/>
  <c r="P22" i="66" s="1"/>
  <c r="P12" i="53"/>
  <c r="P15" i="29"/>
  <c r="Q15" i="29" s="1"/>
  <c r="O17" i="35"/>
  <c r="P17" i="35" s="1"/>
  <c r="P23" i="29"/>
  <c r="Q23" i="29" s="1"/>
  <c r="Q56" i="35"/>
  <c r="K56" i="35" s="1"/>
  <c r="L56" i="35" s="1"/>
  <c r="P56" i="35"/>
  <c r="P58" i="29"/>
  <c r="R58" i="29" s="1"/>
  <c r="L58" i="29" s="1"/>
  <c r="M58" i="29" s="1"/>
  <c r="P18" i="29"/>
  <c r="Q18" i="29" s="1"/>
  <c r="A15" i="67"/>
  <c r="A25" i="67" s="1"/>
  <c r="A6" i="67"/>
  <c r="O226" i="67"/>
  <c r="O227" i="22"/>
  <c r="O228" i="11"/>
  <c r="M227" i="47"/>
  <c r="O227" i="47"/>
  <c r="O215" i="67"/>
  <c r="O216" i="22"/>
  <c r="O217" i="11"/>
  <c r="M216" i="47"/>
  <c r="O216" i="47"/>
  <c r="O194" i="67"/>
  <c r="O194" i="22"/>
  <c r="O195" i="11"/>
  <c r="M194" i="47"/>
  <c r="O194" i="47"/>
  <c r="O183" i="67"/>
  <c r="O183" i="22"/>
  <c r="O184" i="11"/>
  <c r="M183" i="47"/>
  <c r="O183" i="47"/>
  <c r="O174" i="67"/>
  <c r="O174" i="22"/>
  <c r="O175" i="11"/>
  <c r="M174" i="47"/>
  <c r="O174" i="47"/>
  <c r="O168" i="67"/>
  <c r="O161" i="22"/>
  <c r="O162" i="11"/>
  <c r="M161" i="47"/>
  <c r="O161" i="47"/>
  <c r="O144" i="67"/>
  <c r="O82" i="22"/>
  <c r="O83" i="11"/>
  <c r="M82" i="47"/>
  <c r="O82" i="47"/>
  <c r="Q62" i="67"/>
  <c r="Q62" i="22"/>
  <c r="Q63" i="11"/>
  <c r="Q153" i="67"/>
  <c r="Q79" i="22"/>
  <c r="Q80" i="11"/>
  <c r="Q126" i="67"/>
  <c r="Q166" i="22"/>
  <c r="Q167" i="11"/>
  <c r="Q139" i="67"/>
  <c r="Q128" i="22"/>
  <c r="Q129" i="11"/>
  <c r="Q127" i="67"/>
  <c r="Q167" i="22"/>
  <c r="Q168" i="11"/>
  <c r="O208" i="67"/>
  <c r="O208" i="22"/>
  <c r="O209" i="11"/>
  <c r="M208" i="47"/>
  <c r="O208" i="47"/>
  <c r="Q55" i="67"/>
  <c r="Q55" i="22"/>
  <c r="Q56" i="11"/>
  <c r="Q209" i="67"/>
  <c r="Q209" i="22"/>
  <c r="Q210" i="11"/>
  <c r="Q180" i="67"/>
  <c r="Q180" i="22"/>
  <c r="Q181" i="11"/>
  <c r="Q219" i="67"/>
  <c r="Q220" i="22"/>
  <c r="Q221" i="11"/>
  <c r="Q197" i="67"/>
  <c r="Q197" i="22"/>
  <c r="Q198" i="11"/>
  <c r="Q175" i="67"/>
  <c r="Q175" i="22"/>
  <c r="Q176" i="11"/>
  <c r="Q135" i="67"/>
  <c r="Q123" i="22"/>
  <c r="Q124" i="11"/>
  <c r="Q109" i="67"/>
  <c r="Q122" i="22"/>
  <c r="Q123" i="11"/>
  <c r="BF255" i="1"/>
  <c r="BK247" i="1"/>
  <c r="BG248" i="1"/>
  <c r="Q128" i="67"/>
  <c r="Q141" i="22"/>
  <c r="Q142" i="11"/>
  <c r="Q61" i="67"/>
  <c r="Q61" i="22"/>
  <c r="Q62" i="11"/>
  <c r="C52" i="8"/>
  <c r="Q59" i="8"/>
  <c r="Q87" i="8"/>
  <c r="R66" i="8"/>
  <c r="K59" i="8"/>
  <c r="K87" i="8"/>
  <c r="N73" i="8"/>
  <c r="O59" i="8"/>
  <c r="O87" i="8"/>
  <c r="Q88" i="67"/>
  <c r="Q103" i="22"/>
  <c r="Q104" i="11"/>
  <c r="BG258" i="1"/>
  <c r="AZ262" i="1"/>
  <c r="Q203" i="67"/>
  <c r="Q203" i="22"/>
  <c r="Q204" i="11"/>
  <c r="Q28" i="67"/>
  <c r="Q28" i="22"/>
  <c r="Q29" i="11"/>
  <c r="Q21" i="67"/>
  <c r="Q21" i="22"/>
  <c r="Q22" i="11"/>
  <c r="Q149" i="67"/>
  <c r="Q75" i="22"/>
  <c r="Q76" i="11"/>
  <c r="O103" i="67"/>
  <c r="O115" i="22"/>
  <c r="O116" i="11"/>
  <c r="M115" i="47"/>
  <c r="O115" i="47"/>
  <c r="O89" i="67"/>
  <c r="O104" i="22"/>
  <c r="O105" i="11"/>
  <c r="M104" i="47"/>
  <c r="O104" i="47"/>
  <c r="Q83" i="67"/>
  <c r="Q100" i="22"/>
  <c r="Q101" i="11"/>
  <c r="O50" i="67"/>
  <c r="O50" i="22"/>
  <c r="O51" i="11"/>
  <c r="M50" i="47"/>
  <c r="O50" i="47"/>
  <c r="Q66" i="67"/>
  <c r="Q65" i="22"/>
  <c r="Q66" i="11"/>
  <c r="Q121" i="67"/>
  <c r="Q138" i="11"/>
  <c r="Q137" i="22"/>
  <c r="Q13" i="67"/>
  <c r="Q13" i="22"/>
  <c r="Q14" i="11"/>
  <c r="Q15" i="2"/>
  <c r="F16" i="2"/>
  <c r="J16" i="2"/>
  <c r="L14" i="2"/>
  <c r="Q14" i="2"/>
  <c r="M13" i="2"/>
  <c r="Q12" i="2"/>
  <c r="M16" i="2"/>
  <c r="K15" i="2"/>
  <c r="O14" i="2"/>
  <c r="Q230" i="67"/>
  <c r="Q213" i="22"/>
  <c r="Q214" i="11"/>
  <c r="Q129" i="67"/>
  <c r="Q146" i="11"/>
  <c r="Q145" i="22"/>
  <c r="Q201" i="67"/>
  <c r="Q201" i="22"/>
  <c r="Q202" i="11"/>
  <c r="Q204" i="67"/>
  <c r="Q204" i="22"/>
  <c r="Q205" i="11"/>
  <c r="Q18" i="35"/>
  <c r="K18" i="35" s="1"/>
  <c r="L18" i="35" s="1"/>
  <c r="Q27" i="35"/>
  <c r="K27" i="35" s="1"/>
  <c r="L27" i="35" s="1"/>
  <c r="P27" i="35"/>
  <c r="Q16" i="29"/>
  <c r="A14" i="22"/>
  <c r="A24" i="22" s="1"/>
  <c r="A5" i="22"/>
  <c r="Q228" i="67"/>
  <c r="Q229" i="22"/>
  <c r="Q230" i="11"/>
  <c r="O193" i="67"/>
  <c r="O193" i="22"/>
  <c r="O194" i="11"/>
  <c r="M193" i="47"/>
  <c r="O193" i="47"/>
  <c r="O189" i="67"/>
  <c r="O189" i="22"/>
  <c r="O190" i="11"/>
  <c r="M189" i="47"/>
  <c r="O189" i="47"/>
  <c r="Q188" i="67"/>
  <c r="Q188" i="22"/>
  <c r="Q189" i="11"/>
  <c r="Q119" i="67"/>
  <c r="Q135" i="22"/>
  <c r="Q136" i="11"/>
  <c r="Q107" i="67"/>
  <c r="Q120" i="22"/>
  <c r="Q121" i="11"/>
  <c r="Q73" i="67"/>
  <c r="Q90" i="22"/>
  <c r="Q91" i="11"/>
  <c r="Q187" i="67"/>
  <c r="Q187" i="22"/>
  <c r="Q188" i="11"/>
  <c r="Q179" i="67"/>
  <c r="Q179" i="22"/>
  <c r="Q180" i="11"/>
  <c r="Q182" i="67"/>
  <c r="Q182" i="22"/>
  <c r="Q183" i="11"/>
  <c r="Q112" i="67"/>
  <c r="Q149" i="22"/>
  <c r="Q150" i="11"/>
  <c r="O95" i="67"/>
  <c r="O108" i="11"/>
  <c r="O107" i="22"/>
  <c r="M107" i="47"/>
  <c r="O107" i="47"/>
  <c r="O24" i="67"/>
  <c r="O24" i="22"/>
  <c r="O25" i="11"/>
  <c r="M24" i="47"/>
  <c r="O24" i="47"/>
  <c r="Q142" i="67"/>
  <c r="Q162" i="22"/>
  <c r="Q163" i="11"/>
  <c r="Q211" i="67"/>
  <c r="Q211" i="22"/>
  <c r="Q212" i="11"/>
  <c r="Q176" i="67"/>
  <c r="Q176" i="22"/>
  <c r="Q177" i="11"/>
  <c r="Q155" i="67"/>
  <c r="Q85" i="22"/>
  <c r="Q86" i="11"/>
  <c r="BF262" i="1"/>
  <c r="Q205" i="67"/>
  <c r="Q205" i="22"/>
  <c r="Q206" i="11"/>
  <c r="Q184" i="67"/>
  <c r="Q184" i="22"/>
  <c r="Q185" i="11"/>
  <c r="Q106" i="67"/>
  <c r="Q118" i="22"/>
  <c r="Q119" i="11"/>
  <c r="Q192" i="67"/>
  <c r="Q192" i="22"/>
  <c r="Q193" i="11"/>
  <c r="Q53" i="67"/>
  <c r="Q53" i="22"/>
  <c r="Q54" i="11"/>
  <c r="Q48" i="67"/>
  <c r="Q48" i="22"/>
  <c r="Q49" i="11"/>
  <c r="Q29" i="67"/>
  <c r="Q29" i="22"/>
  <c r="Q30" i="11"/>
  <c r="Q94" i="67"/>
  <c r="Q83" i="22"/>
  <c r="Q84" i="11"/>
  <c r="Q2" i="67"/>
  <c r="Q2" i="22"/>
  <c r="Q3" i="11"/>
  <c r="Q170" i="67"/>
  <c r="Q170" i="22"/>
  <c r="Q171" i="11"/>
  <c r="Q64" i="67"/>
  <c r="Q64" i="22"/>
  <c r="Q65" i="11"/>
  <c r="Q22" i="67"/>
  <c r="Q22" i="22"/>
  <c r="Q23" i="11"/>
  <c r="Q7" i="67"/>
  <c r="Q7" i="22"/>
  <c r="Q8" i="11"/>
  <c r="Q5" i="67"/>
  <c r="Q5" i="22"/>
  <c r="Q6" i="11"/>
  <c r="K12" i="2"/>
  <c r="D14" i="2"/>
  <c r="C12" i="2"/>
  <c r="M15" i="2"/>
  <c r="F15" i="2"/>
  <c r="B14" i="2"/>
  <c r="F13" i="2"/>
  <c r="D12" i="2"/>
  <c r="H16" i="2"/>
  <c r="D15" i="2"/>
  <c r="O230" i="67"/>
  <c r="O213" i="22"/>
  <c r="O214" i="11"/>
  <c r="M213" i="47"/>
  <c r="O213" i="47"/>
  <c r="Q167" i="67"/>
  <c r="Q154" i="22"/>
  <c r="Q155" i="11"/>
  <c r="N39" i="66"/>
  <c r="O23" i="66"/>
  <c r="Q23" i="66" s="1"/>
  <c r="K23" i="66" s="1"/>
  <c r="L23" i="66" s="1"/>
  <c r="P18" i="35"/>
  <c r="P13" i="29"/>
  <c r="R13" i="29" s="1"/>
  <c r="L13" i="29" s="1"/>
  <c r="M13" i="29" s="1"/>
  <c r="O207" i="42"/>
  <c r="N217" i="42"/>
  <c r="O32" i="53"/>
  <c r="P32" i="53" s="1"/>
  <c r="N52" i="35"/>
  <c r="O52" i="35" s="1"/>
  <c r="N65" i="66"/>
  <c r="O65" i="66" s="1"/>
  <c r="O14" i="53"/>
  <c r="Q14" i="53" s="1"/>
  <c r="K14" i="53" s="1"/>
  <c r="L14" i="53" s="1"/>
  <c r="N38" i="53"/>
  <c r="O38" i="53" s="1"/>
  <c r="P62" i="66"/>
  <c r="Q62" i="66"/>
  <c r="K62" i="66" s="1"/>
  <c r="L62" i="66" s="1"/>
  <c r="Q26" i="53"/>
  <c r="K26" i="53" s="1"/>
  <c r="L26" i="53" s="1"/>
  <c r="P26" i="53"/>
  <c r="P30" i="35"/>
  <c r="Q30" i="35"/>
  <c r="K30" i="35" s="1"/>
  <c r="L30" i="35" s="1"/>
  <c r="O14" i="35"/>
  <c r="Q14" i="35" s="1"/>
  <c r="K14" i="35" s="1"/>
  <c r="L14" i="35" s="1"/>
  <c r="R30" i="29"/>
  <c r="N25" i="53"/>
  <c r="O25" i="53" s="1"/>
  <c r="R16" i="29"/>
  <c r="L16" i="29" s="1"/>
  <c r="M16" i="29" s="1"/>
  <c r="A15" i="11"/>
  <c r="A25" i="11" s="1"/>
  <c r="A6" i="11"/>
  <c r="O206" i="67"/>
  <c r="O206" i="22"/>
  <c r="O207" i="11"/>
  <c r="M206" i="47"/>
  <c r="O206" i="47"/>
  <c r="O202" i="67"/>
  <c r="O202" i="22"/>
  <c r="O203" i="11"/>
  <c r="M202" i="47"/>
  <c r="O202" i="47"/>
  <c r="Q110" i="67"/>
  <c r="Q142" i="22"/>
  <c r="Q143" i="11"/>
  <c r="Q172" i="67"/>
  <c r="Q172" i="22"/>
  <c r="Q173" i="11"/>
  <c r="Q140" i="67"/>
  <c r="Q130" i="11"/>
  <c r="Q129" i="22"/>
  <c r="Q111" i="67"/>
  <c r="Q143" i="22"/>
  <c r="Q144" i="11"/>
  <c r="Q99" i="67"/>
  <c r="Q87" i="22"/>
  <c r="Q88" i="11"/>
  <c r="O212" i="67"/>
  <c r="O212" i="22"/>
  <c r="O213" i="11"/>
  <c r="M212" i="47"/>
  <c r="O212" i="47"/>
  <c r="Q198" i="67"/>
  <c r="Q198" i="22"/>
  <c r="Q199" i="11"/>
  <c r="Q58" i="67"/>
  <c r="Q58" i="22"/>
  <c r="Q59" i="11"/>
  <c r="Q50" i="67"/>
  <c r="Q50" i="22"/>
  <c r="Q51" i="11"/>
  <c r="O27" i="67"/>
  <c r="O27" i="22"/>
  <c r="O28" i="11"/>
  <c r="M27" i="47"/>
  <c r="O27" i="47"/>
  <c r="BK254" i="1"/>
  <c r="Q81" i="67"/>
  <c r="Q72" i="22"/>
  <c r="Q73" i="11"/>
  <c r="Q43" i="67"/>
  <c r="Q43" i="22"/>
  <c r="Q44" i="11"/>
  <c r="R45" i="8"/>
  <c r="R73" i="8"/>
  <c r="K66" i="8"/>
  <c r="N52" i="8"/>
  <c r="N80" i="8"/>
  <c r="Q199" i="67"/>
  <c r="Q199" i="22"/>
  <c r="Q200" i="11"/>
  <c r="O51" i="67"/>
  <c r="O51" i="22"/>
  <c r="O52" i="11"/>
  <c r="M51" i="47"/>
  <c r="O51" i="47"/>
  <c r="Q26" i="67"/>
  <c r="Q26" i="22"/>
  <c r="Q27" i="11"/>
  <c r="Q8" i="67"/>
  <c r="Q8" i="22"/>
  <c r="Q9" i="11"/>
  <c r="BG261" i="1"/>
  <c r="Q118" i="67"/>
  <c r="Q133" i="22"/>
  <c r="Q134" i="11"/>
  <c r="Q105" i="67"/>
  <c r="Q117" i="22"/>
  <c r="Q118" i="11"/>
  <c r="Q71" i="67"/>
  <c r="Q84" i="22"/>
  <c r="Q85" i="11"/>
  <c r="Q85" i="67"/>
  <c r="Q101" i="22"/>
  <c r="Q102" i="11"/>
  <c r="Q68" i="67"/>
  <c r="Q68" i="22"/>
  <c r="Q69" i="11"/>
  <c r="O76" i="67"/>
  <c r="O94" i="22"/>
  <c r="O95" i="11"/>
  <c r="M94" i="47"/>
  <c r="O94" i="47"/>
  <c r="Q14" i="67"/>
  <c r="Q14" i="22"/>
  <c r="Q15" i="11"/>
  <c r="O13" i="2"/>
  <c r="E15" i="2"/>
  <c r="G13" i="2"/>
  <c r="O16" i="2"/>
  <c r="N15" i="2"/>
  <c r="J14" i="2"/>
  <c r="N13" i="2"/>
  <c r="L12" i="2"/>
  <c r="P16" i="2"/>
  <c r="L15" i="2"/>
  <c r="Q17" i="29" l="1"/>
  <c r="P18" i="66"/>
  <c r="Q18" i="66"/>
  <c r="K18" i="66" s="1"/>
  <c r="L18" i="66" s="1"/>
  <c r="Q15" i="35"/>
  <c r="K15" i="35" s="1"/>
  <c r="L15" i="35" s="1"/>
  <c r="Q15" i="66"/>
  <c r="K15" i="66" s="1"/>
  <c r="L15" i="66" s="1"/>
  <c r="Q25" i="53"/>
  <c r="K25" i="53" s="1"/>
  <c r="L25" i="53" s="1"/>
  <c r="S17" i="8"/>
  <c r="U8" i="8"/>
  <c r="S8" i="8"/>
  <c r="S33" i="8"/>
  <c r="V33" i="8" s="1"/>
  <c r="S7" i="8"/>
  <c r="S6" i="8"/>
  <c r="S10" i="8"/>
  <c r="U22" i="8"/>
  <c r="S25" i="8"/>
  <c r="S16" i="8"/>
  <c r="V16" i="8" s="1"/>
  <c r="U29" i="8"/>
  <c r="S12" i="8"/>
  <c r="U20" i="8"/>
  <c r="U28" i="8"/>
  <c r="Q35" i="8"/>
  <c r="U27" i="8"/>
  <c r="S45" i="8"/>
  <c r="U10" i="8"/>
  <c r="U18" i="8"/>
  <c r="U26" i="8"/>
  <c r="U34" i="8"/>
  <c r="E35" i="8"/>
  <c r="S18" i="8"/>
  <c r="S26" i="8"/>
  <c r="R35" i="8"/>
  <c r="U17" i="8"/>
  <c r="U25" i="8"/>
  <c r="U33" i="8"/>
  <c r="S9" i="8"/>
  <c r="S21" i="8"/>
  <c r="V21" i="8" s="1"/>
  <c r="P35" i="8"/>
  <c r="U24" i="8"/>
  <c r="U16" i="8"/>
  <c r="S14" i="8"/>
  <c r="U30" i="8"/>
  <c r="U14" i="8"/>
  <c r="V14" i="8" s="1"/>
  <c r="S30" i="8"/>
  <c r="S31" i="8"/>
  <c r="S15" i="8"/>
  <c r="U32" i="8"/>
  <c r="S29" i="8"/>
  <c r="S13" i="8"/>
  <c r="U21" i="8"/>
  <c r="U13" i="8"/>
  <c r="U80" i="8"/>
  <c r="S22" i="8"/>
  <c r="J35" i="8"/>
  <c r="S66" i="8"/>
  <c r="D35" i="8"/>
  <c r="S11" i="8"/>
  <c r="S23" i="8"/>
  <c r="U45" i="8"/>
  <c r="U9" i="8"/>
  <c r="U52" i="8"/>
  <c r="C35" i="8"/>
  <c r="U12" i="8"/>
  <c r="S27" i="8"/>
  <c r="S20" i="8"/>
  <c r="S28" i="8"/>
  <c r="S24" i="8"/>
  <c r="N35" i="8"/>
  <c r="L35" i="8"/>
  <c r="U6" i="8"/>
  <c r="U19" i="8"/>
  <c r="I35" i="8"/>
  <c r="F35" i="8"/>
  <c r="M35" i="8"/>
  <c r="U15" i="8"/>
  <c r="S34" i="8"/>
  <c r="U31" i="8"/>
  <c r="U11" i="8"/>
  <c r="BG262" i="1"/>
  <c r="H35" i="8"/>
  <c r="U23" i="8"/>
  <c r="U7" i="8"/>
  <c r="Q11" i="29"/>
  <c r="R11" i="29"/>
  <c r="L11" i="29" s="1"/>
  <c r="M11" i="29" s="1"/>
  <c r="R51" i="29"/>
  <c r="L51" i="29" s="1"/>
  <c r="M51" i="29" s="1"/>
  <c r="Q51" i="29"/>
  <c r="Q35" i="53"/>
  <c r="K35" i="53" s="1"/>
  <c r="L35" i="53" s="1"/>
  <c r="P35" i="53"/>
  <c r="Q32" i="53"/>
  <c r="K32" i="53" s="1"/>
  <c r="L32" i="53" s="1"/>
  <c r="Q38" i="53"/>
  <c r="K38" i="53" s="1"/>
  <c r="L38" i="53" s="1"/>
  <c r="P16" i="66"/>
  <c r="Q29" i="53"/>
  <c r="K29" i="53" s="1"/>
  <c r="L29" i="53" s="1"/>
  <c r="P31" i="53"/>
  <c r="Q37" i="53"/>
  <c r="K37" i="53" s="1"/>
  <c r="L37" i="53" s="1"/>
  <c r="P25" i="53"/>
  <c r="P29" i="66"/>
  <c r="R18" i="29"/>
  <c r="L18" i="29" s="1"/>
  <c r="M18" i="29" s="1"/>
  <c r="L65" i="53"/>
  <c r="Q20" i="66"/>
  <c r="K20" i="66" s="1"/>
  <c r="L20" i="66" s="1"/>
  <c r="P38" i="53"/>
  <c r="P50" i="35"/>
  <c r="B6" i="38"/>
  <c r="U73" i="8"/>
  <c r="K35" i="8"/>
  <c r="S32" i="8"/>
  <c r="V17" i="8"/>
  <c r="S19" i="8"/>
  <c r="G35" i="8"/>
  <c r="O35" i="8"/>
  <c r="S52" i="8"/>
  <c r="S73" i="8"/>
  <c r="S87" i="8"/>
  <c r="S59" i="8"/>
  <c r="U59" i="8"/>
  <c r="B8" i="38"/>
  <c r="U66" i="8"/>
  <c r="U60" i="8"/>
  <c r="U61" i="8"/>
  <c r="U78" i="8"/>
  <c r="U82" i="8"/>
  <c r="K17" i="2"/>
  <c r="U64" i="8"/>
  <c r="U62" i="8"/>
  <c r="U81" i="8"/>
  <c r="U85" i="8"/>
  <c r="U63" i="8"/>
  <c r="U56" i="8"/>
  <c r="P20" i="53"/>
  <c r="Q20" i="53"/>
  <c r="K20" i="53" s="1"/>
  <c r="L20" i="53" s="1"/>
  <c r="Q20" i="35"/>
  <c r="K20" i="35" s="1"/>
  <c r="L20" i="35" s="1"/>
  <c r="P20" i="35"/>
  <c r="Q22" i="53"/>
  <c r="K22" i="53" s="1"/>
  <c r="L22" i="53" s="1"/>
  <c r="P22" i="53"/>
  <c r="Q53" i="35"/>
  <c r="K53" i="35" s="1"/>
  <c r="L53" i="35" s="1"/>
  <c r="P53" i="35"/>
  <c r="Q34" i="53"/>
  <c r="K34" i="53" s="1"/>
  <c r="L34" i="53" s="1"/>
  <c r="P34" i="53"/>
  <c r="O214" i="42"/>
  <c r="O215" i="42" s="1"/>
  <c r="Q89" i="67"/>
  <c r="Q104" i="22"/>
  <c r="Q105" i="11"/>
  <c r="BF256" i="1"/>
  <c r="BP255" i="1"/>
  <c r="R16" i="2"/>
  <c r="S13" i="2"/>
  <c r="S47" i="8"/>
  <c r="U91" i="8"/>
  <c r="U50" i="8"/>
  <c r="U69" i="8"/>
  <c r="S61" i="8"/>
  <c r="S77" i="8"/>
  <c r="S89" i="8"/>
  <c r="S55" i="8"/>
  <c r="S67" i="8"/>
  <c r="S71" i="8"/>
  <c r="S83" i="8"/>
  <c r="P24" i="66"/>
  <c r="P13" i="66"/>
  <c r="S16" i="2"/>
  <c r="P14" i="53"/>
  <c r="O16" i="35"/>
  <c r="Q16" i="35" s="1"/>
  <c r="K16" i="35" s="1"/>
  <c r="L16" i="35" s="1"/>
  <c r="U92" i="8"/>
  <c r="U88" i="8"/>
  <c r="Q13" i="66"/>
  <c r="K13" i="66" s="1"/>
  <c r="L13" i="66" s="1"/>
  <c r="G17" i="2"/>
  <c r="Q34" i="67"/>
  <c r="Q34" i="22"/>
  <c r="Q35" i="11"/>
  <c r="P23" i="66"/>
  <c r="M60" i="29"/>
  <c r="Q24" i="67"/>
  <c r="Q24" i="22"/>
  <c r="Q25" i="11"/>
  <c r="A15" i="22"/>
  <c r="A25" i="22" s="1"/>
  <c r="A6" i="22"/>
  <c r="Q168" i="67"/>
  <c r="Q161" i="22"/>
  <c r="Q162" i="11"/>
  <c r="A16" i="67"/>
  <c r="A26" i="67" s="1"/>
  <c r="A7" i="67"/>
  <c r="P64" i="66"/>
  <c r="Q59" i="67"/>
  <c r="Q59" i="22"/>
  <c r="Q60" i="11"/>
  <c r="Q164" i="67"/>
  <c r="Q138" i="22"/>
  <c r="Q139" i="11"/>
  <c r="Q58" i="29"/>
  <c r="P16" i="35"/>
  <c r="Q29" i="66"/>
  <c r="K29" i="66" s="1"/>
  <c r="L29" i="66" s="1"/>
  <c r="J17" i="2"/>
  <c r="P24" i="53"/>
  <c r="U83" i="8"/>
  <c r="U75" i="8"/>
  <c r="S56" i="8"/>
  <c r="S68" i="8"/>
  <c r="S84" i="8"/>
  <c r="S50" i="8"/>
  <c r="S62" i="8"/>
  <c r="S74" i="8"/>
  <c r="S78" i="8"/>
  <c r="S90" i="8"/>
  <c r="A7" i="10"/>
  <c r="A16" i="10"/>
  <c r="A26" i="10" s="1"/>
  <c r="Q148" i="67"/>
  <c r="Q163" i="22"/>
  <c r="Q164" i="11"/>
  <c r="R23" i="29"/>
  <c r="Q55" i="29"/>
  <c r="Q189" i="67"/>
  <c r="Q189" i="22"/>
  <c r="Q190" i="11"/>
  <c r="Q183" i="67"/>
  <c r="Q183" i="22"/>
  <c r="Q184" i="11"/>
  <c r="P14" i="35"/>
  <c r="D17" i="2"/>
  <c r="Q76" i="67"/>
  <c r="Q94" i="22"/>
  <c r="Q95" i="11"/>
  <c r="Q206" i="67"/>
  <c r="Q206" i="22"/>
  <c r="Q207" i="11"/>
  <c r="Q144" i="67"/>
  <c r="Q82" i="22"/>
  <c r="Q83" i="11"/>
  <c r="P33" i="66"/>
  <c r="Q64" i="66"/>
  <c r="K64" i="66" s="1"/>
  <c r="L64" i="66" s="1"/>
  <c r="Q123" i="67"/>
  <c r="Q140" i="22"/>
  <c r="Q141" i="11"/>
  <c r="BG255" i="1"/>
  <c r="U57" i="8"/>
  <c r="S49" i="8"/>
  <c r="U49" i="8"/>
  <c r="U76" i="8"/>
  <c r="U55" i="8"/>
  <c r="U70" i="8"/>
  <c r="U87" i="8"/>
  <c r="Q214" i="67"/>
  <c r="Q215" i="22"/>
  <c r="Q216" i="11"/>
  <c r="Q136" i="67"/>
  <c r="Q124" i="22"/>
  <c r="Q125" i="11"/>
  <c r="Q17" i="35"/>
  <c r="K17" i="35" s="1"/>
  <c r="L17" i="35" s="1"/>
  <c r="Q60" i="67"/>
  <c r="Q60" i="22"/>
  <c r="Q61" i="11"/>
  <c r="Q13" i="29"/>
  <c r="Q95" i="67"/>
  <c r="Q107" i="22"/>
  <c r="Q108" i="11"/>
  <c r="Q202" i="67"/>
  <c r="Q202" i="22"/>
  <c r="Q203" i="11"/>
  <c r="R14" i="2"/>
  <c r="O39" i="66"/>
  <c r="Q39" i="66" s="1"/>
  <c r="K39" i="66" s="1"/>
  <c r="L39" i="66" s="1"/>
  <c r="R15" i="2"/>
  <c r="Q40" i="67"/>
  <c r="Q40" i="22"/>
  <c r="Q41" i="11"/>
  <c r="P17" i="2"/>
  <c r="V8" i="8"/>
  <c r="Q87" i="67"/>
  <c r="Q74" i="22"/>
  <c r="Q75" i="11"/>
  <c r="A15" i="47"/>
  <c r="A25" i="47" s="1"/>
  <c r="A6" i="47"/>
  <c r="O17" i="2"/>
  <c r="U67" i="8"/>
  <c r="U48" i="8"/>
  <c r="U77" i="8"/>
  <c r="U46" i="8"/>
  <c r="U71" i="8"/>
  <c r="S63" i="8"/>
  <c r="S75" i="8"/>
  <c r="S91" i="8"/>
  <c r="S53" i="8"/>
  <c r="S57" i="8"/>
  <c r="S69" i="8"/>
  <c r="S81" i="8"/>
  <c r="S85" i="8"/>
  <c r="Q225" i="67"/>
  <c r="Q226" i="22"/>
  <c r="Q227" i="11"/>
  <c r="E17" i="2"/>
  <c r="Q30" i="67"/>
  <c r="Q30" i="22"/>
  <c r="Q31" i="11"/>
  <c r="R27" i="29"/>
  <c r="P19" i="66"/>
  <c r="Q51" i="67"/>
  <c r="Q51" i="22"/>
  <c r="Q52" i="11"/>
  <c r="S15" i="2"/>
  <c r="Q115" i="67"/>
  <c r="Q161" i="11"/>
  <c r="Q160" i="22"/>
  <c r="R15" i="29"/>
  <c r="L15" i="29" s="1"/>
  <c r="M15" i="29" s="1"/>
  <c r="M34" i="29" s="1"/>
  <c r="H17" i="2"/>
  <c r="Q49" i="67"/>
  <c r="Q49" i="22"/>
  <c r="Q50" i="11"/>
  <c r="U89" i="8"/>
  <c r="Q91" i="67"/>
  <c r="Q106" i="22"/>
  <c r="Q107" i="11"/>
  <c r="P25" i="66"/>
  <c r="P51" i="35"/>
  <c r="P52" i="35"/>
  <c r="R13" i="2"/>
  <c r="A16" i="11"/>
  <c r="A26" i="11" s="1"/>
  <c r="A7" i="11"/>
  <c r="Q52" i="35"/>
  <c r="K52" i="35" s="1"/>
  <c r="L52" i="35" s="1"/>
  <c r="P65" i="66"/>
  <c r="F17" i="2"/>
  <c r="O211" i="43"/>
  <c r="O61" i="66"/>
  <c r="P61" i="66" s="1"/>
  <c r="B17" i="2"/>
  <c r="R12" i="2"/>
  <c r="U84" i="8"/>
  <c r="S54" i="8"/>
  <c r="S46" i="8"/>
  <c r="U54" i="8"/>
  <c r="U47" i="8"/>
  <c r="U74" i="8"/>
  <c r="U90" i="8"/>
  <c r="S70" i="8"/>
  <c r="S82" i="8"/>
  <c r="S48" i="8"/>
  <c r="S60" i="8"/>
  <c r="S64" i="8"/>
  <c r="S76" i="8"/>
  <c r="S88" i="8"/>
  <c r="S92" i="8"/>
  <c r="S14" i="2"/>
  <c r="P39" i="66"/>
  <c r="P43" i="66"/>
  <c r="Q174" i="67"/>
  <c r="Q174" i="22"/>
  <c r="Q175" i="11"/>
  <c r="Q213" i="67"/>
  <c r="Q214" i="22"/>
  <c r="Q215" i="11"/>
  <c r="L17" i="2"/>
  <c r="Q27" i="67"/>
  <c r="Q27" i="22"/>
  <c r="Q28" i="11"/>
  <c r="Q65" i="66"/>
  <c r="K65" i="66" s="1"/>
  <c r="L65" i="66" s="1"/>
  <c r="S12" i="2"/>
  <c r="C17" i="2"/>
  <c r="Q193" i="67"/>
  <c r="Q193" i="22"/>
  <c r="Q194" i="11"/>
  <c r="Q17" i="2"/>
  <c r="Q103" i="67"/>
  <c r="Q115" i="22"/>
  <c r="Q116" i="11"/>
  <c r="BK255" i="1"/>
  <c r="Q194" i="67"/>
  <c r="Q194" i="22"/>
  <c r="Q195" i="11"/>
  <c r="O19" i="35"/>
  <c r="Q19" i="35" s="1"/>
  <c r="K19" i="35" s="1"/>
  <c r="L19" i="35" s="1"/>
  <c r="I17" i="2"/>
  <c r="Q35" i="67"/>
  <c r="Q35" i="22"/>
  <c r="Q36" i="11"/>
  <c r="S80" i="8"/>
  <c r="M17" i="2"/>
  <c r="N17" i="2"/>
  <c r="U53" i="8"/>
  <c r="U68" i="8"/>
  <c r="Q210" i="67"/>
  <c r="Q210" i="22"/>
  <c r="Q211" i="11"/>
  <c r="Q186" i="67"/>
  <c r="Q186" i="22"/>
  <c r="Q187" i="11"/>
  <c r="Q22" i="66"/>
  <c r="K22" i="66" s="1"/>
  <c r="L22" i="66" s="1"/>
  <c r="V26" i="8" l="1"/>
  <c r="L59" i="35"/>
  <c r="V18" i="8"/>
  <c r="V34" i="8"/>
  <c r="L39" i="53"/>
  <c r="B14" i="38"/>
  <c r="V7" i="8"/>
  <c r="V28" i="8"/>
  <c r="V25" i="8"/>
  <c r="V12" i="8"/>
  <c r="V30" i="8"/>
  <c r="V22" i="8"/>
  <c r="V13" i="8"/>
  <c r="V24" i="8"/>
  <c r="V27" i="8"/>
  <c r="V66" i="8"/>
  <c r="V32" i="8"/>
  <c r="V29" i="8"/>
  <c r="V10" i="8"/>
  <c r="V11" i="8"/>
  <c r="V6" i="8"/>
  <c r="V52" i="8"/>
  <c r="V19" i="8"/>
  <c r="V31" i="8"/>
  <c r="V87" i="8"/>
  <c r="V15" i="8"/>
  <c r="V23" i="8"/>
  <c r="V9" i="8"/>
  <c r="V45" i="8"/>
  <c r="V20" i="8"/>
  <c r="V80" i="8"/>
  <c r="S35" i="8"/>
  <c r="V73" i="8"/>
  <c r="BN255" i="1"/>
  <c r="U35" i="8"/>
  <c r="V60" i="8"/>
  <c r="V59" i="8"/>
  <c r="V64" i="8"/>
  <c r="V82" i="8"/>
  <c r="V92" i="8"/>
  <c r="V46" i="8"/>
  <c r="V63" i="8"/>
  <c r="V81" i="8"/>
  <c r="V61" i="8"/>
  <c r="V78" i="8"/>
  <c r="T13" i="2"/>
  <c r="V85" i="8"/>
  <c r="V62" i="8"/>
  <c r="V69" i="8"/>
  <c r="V56" i="8"/>
  <c r="V57" i="8"/>
  <c r="V88" i="8"/>
  <c r="V76" i="8"/>
  <c r="V91" i="8"/>
  <c r="V75" i="8"/>
  <c r="V49" i="8"/>
  <c r="V50" i="8"/>
  <c r="T16" i="2"/>
  <c r="T14" i="2"/>
  <c r="V68" i="8"/>
  <c r="L33" i="35"/>
  <c r="L44" i="66"/>
  <c r="P19" i="35"/>
  <c r="V53" i="8"/>
  <c r="V90" i="8"/>
  <c r="V83" i="8"/>
  <c r="A8" i="10"/>
  <c r="A17" i="10"/>
  <c r="A27" i="10" s="1"/>
  <c r="T15" i="2"/>
  <c r="A17" i="67"/>
  <c r="A27" i="67" s="1"/>
  <c r="A8" i="67"/>
  <c r="V71" i="8"/>
  <c r="Q61" i="66"/>
  <c r="K61" i="66" s="1"/>
  <c r="L61" i="66" s="1"/>
  <c r="L70" i="66" s="1"/>
  <c r="V48" i="8"/>
  <c r="V54" i="8"/>
  <c r="A17" i="11"/>
  <c r="A27" i="11" s="1"/>
  <c r="A8" i="11"/>
  <c r="V74" i="8"/>
  <c r="V67" i="8"/>
  <c r="V47" i="8"/>
  <c r="S17" i="2"/>
  <c r="O212" i="43"/>
  <c r="O213" i="43" s="1"/>
  <c r="A16" i="47"/>
  <c r="A26" i="47" s="1"/>
  <c r="A7" i="47"/>
  <c r="V55" i="8"/>
  <c r="V70" i="8"/>
  <c r="T12" i="2"/>
  <c r="V89" i="8"/>
  <c r="A16" i="22"/>
  <c r="A26" i="22" s="1"/>
  <c r="A7" i="22"/>
  <c r="R17" i="2"/>
  <c r="V84" i="8"/>
  <c r="V77" i="8"/>
  <c r="O216" i="42"/>
  <c r="O217" i="42" s="1"/>
  <c r="V35" i="8" l="1"/>
  <c r="A9" i="10"/>
  <c r="A19" i="10" s="1"/>
  <c r="A29" i="10" s="1"/>
  <c r="A18" i="10"/>
  <c r="A28" i="10" s="1"/>
  <c r="T17" i="2"/>
  <c r="A17" i="47"/>
  <c r="A27" i="47" s="1"/>
  <c r="A8" i="47"/>
  <c r="A18" i="11"/>
  <c r="A28" i="11" s="1"/>
  <c r="A9" i="11"/>
  <c r="A17" i="22"/>
  <c r="A27" i="22" s="1"/>
  <c r="A8" i="22"/>
  <c r="A18" i="67"/>
  <c r="A28" i="67" s="1"/>
  <c r="A9" i="67"/>
  <c r="A19" i="67" s="1"/>
  <c r="A29" i="67" s="1"/>
  <c r="O214" i="43"/>
  <c r="A19" i="11" l="1"/>
  <c r="A29" i="11" s="1"/>
  <c r="A10" i="11"/>
  <c r="A20" i="11" s="1"/>
  <c r="A30" i="11" s="1"/>
  <c r="A18" i="47"/>
  <c r="A28" i="47" s="1"/>
  <c r="A9" i="47"/>
  <c r="A19" i="47" s="1"/>
  <c r="A29" i="47" s="1"/>
  <c r="A18" i="22"/>
  <c r="A28" i="22" s="1"/>
  <c r="A9" i="22"/>
  <c r="A19" i="22" s="1"/>
  <c r="A29" i="2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dilg-car</author>
  </authors>
  <commentList>
    <comment ref="AB48" authorId="0" shapeId="0" xr:uid="{00000000-0006-0000-0000-000001000000}">
      <text>
        <r>
          <rPr>
            <b/>
            <sz val="8"/>
            <rFont val="Tahoma"/>
            <charset val="134"/>
          </rPr>
          <t>dilg-car:</t>
        </r>
        <r>
          <rPr>
            <sz val="8"/>
            <rFont val="Tahoma"/>
            <charset val="134"/>
          </rPr>
          <t xml:space="preserve">
has not assumed as LGOO II of Abra yet
</t>
        </r>
      </text>
    </comment>
    <comment ref="AB215" authorId="0" shapeId="0" xr:uid="{00000000-0006-0000-0000-000002000000}">
      <text>
        <r>
          <rPr>
            <b/>
            <sz val="8"/>
            <rFont val="Tahoma"/>
            <charset val="134"/>
          </rPr>
          <t>dilg-car:look for date of assumption from scholarship</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NORMAN BARNACHEA</author>
    <author>User</author>
  </authors>
  <commentList>
    <comment ref="BK12" authorId="0" shapeId="0" xr:uid="{00000000-0006-0000-0300-000001000000}">
      <text>
        <r>
          <rPr>
            <b/>
            <sz val="9"/>
            <rFont val="Tahoma"/>
            <charset val="134"/>
          </rPr>
          <t>NORMAN BARNACHEA:</t>
        </r>
        <r>
          <rPr>
            <sz val="9"/>
            <rFont val="Tahoma"/>
            <charset val="134"/>
          </rPr>
          <t xml:space="preserve">
CES Rank Adjustment</t>
        </r>
      </text>
    </comment>
    <comment ref="BK13" authorId="0" shapeId="0" xr:uid="{00000000-0006-0000-0300-000002000000}">
      <text>
        <r>
          <rPr>
            <b/>
            <sz val="9"/>
            <rFont val="Tahoma"/>
            <charset val="134"/>
          </rPr>
          <t>NORMAN BARNACHEA:</t>
        </r>
        <r>
          <rPr>
            <sz val="9"/>
            <rFont val="Tahoma"/>
            <charset val="134"/>
          </rPr>
          <t xml:space="preserve">
Promotion date 4/27/17
CES Rank Adjustment 3/25/19</t>
        </r>
      </text>
    </comment>
    <comment ref="BK31" authorId="1" shapeId="0" xr:uid="{00000000-0006-0000-0300-000003000000}">
      <text>
        <r>
          <rPr>
            <b/>
            <sz val="9"/>
            <rFont val="Times New Roman"/>
            <charset val="134"/>
          </rPr>
          <t>User:</t>
        </r>
        <r>
          <rPr>
            <sz val="9"/>
            <rFont val="Times New Roman"/>
            <charset val="134"/>
          </rPr>
          <t xml:space="preserve">
Transfer from CH
Appointment 3/1/2019
Assumed 3/7/2019</t>
        </r>
      </text>
    </comment>
    <comment ref="BK48" authorId="1" shapeId="0" xr:uid="{00000000-0006-0000-0300-000004000000}">
      <text>
        <r>
          <rPr>
            <b/>
            <sz val="9"/>
            <rFont val="Tahoma"/>
            <charset val="134"/>
          </rPr>
          <t>User:</t>
        </r>
        <r>
          <rPr>
            <sz val="9"/>
            <rFont val="Tahoma"/>
            <charset val="134"/>
          </rPr>
          <t xml:space="preserve">
MOVED DUE TO LWOP</t>
        </r>
      </text>
    </comment>
    <comment ref="BK69" authorId="0" shapeId="0" xr:uid="{00000000-0006-0000-0300-000005000000}">
      <text>
        <r>
          <rPr>
            <b/>
            <sz val="9"/>
            <rFont val="Tahoma"/>
            <charset val="134"/>
          </rPr>
          <t>NORMAN BARNACHEA:</t>
        </r>
        <r>
          <rPr>
            <sz val="9"/>
            <rFont val="Tahoma"/>
            <charset val="134"/>
          </rPr>
          <t xml:space="preserve">
May 28 2007 as LGOO 8</t>
        </r>
      </text>
    </comment>
    <comment ref="BK71" authorId="0" shapeId="0" xr:uid="{00000000-0006-0000-0300-000006000000}">
      <text>
        <r>
          <rPr>
            <b/>
            <sz val="9"/>
            <rFont val="Tahoma"/>
            <charset val="134"/>
          </rPr>
          <t>NORMAN BARNACHEA:</t>
        </r>
        <r>
          <rPr>
            <sz val="9"/>
            <rFont val="Tahoma"/>
            <charset val="134"/>
          </rPr>
          <t xml:space="preserve">
Oct 26, 2009 as LGOO 8</t>
        </r>
      </text>
    </comment>
    <comment ref="BK73" authorId="1" shapeId="0" xr:uid="{00000000-0006-0000-0300-000007000000}">
      <text>
        <r>
          <rPr>
            <b/>
            <sz val="9"/>
            <rFont val="Tahoma"/>
            <charset val="134"/>
          </rPr>
          <t>User:</t>
        </r>
        <r>
          <rPr>
            <sz val="9"/>
            <rFont val="Tahoma"/>
            <charset val="134"/>
          </rPr>
          <t xml:space="preserve">
Step 2 CESO V
appointed lgoo8 7/6/15</t>
        </r>
      </text>
    </comment>
    <comment ref="BK76" authorId="1" shapeId="0" xr:uid="{00000000-0006-0000-0300-000008000000}">
      <text>
        <r>
          <rPr>
            <b/>
            <sz val="9"/>
            <rFont val="Times New Roman"/>
            <charset val="134"/>
          </rPr>
          <t>User:</t>
        </r>
        <r>
          <rPr>
            <sz val="9"/>
            <rFont val="Times New Roman"/>
            <charset val="134"/>
          </rPr>
          <t xml:space="preserve">
Appointment Mar 1
Assumption March 7</t>
        </r>
      </text>
    </comment>
    <comment ref="BK78" authorId="1" shapeId="0" xr:uid="{00000000-0006-0000-0300-000009000000}">
      <text>
        <r>
          <rPr>
            <b/>
            <sz val="9"/>
            <rFont val="Times New Roman"/>
            <charset val="134"/>
          </rPr>
          <t>User:</t>
        </r>
        <r>
          <rPr>
            <sz val="9"/>
            <rFont val="Times New Roman"/>
            <charset val="134"/>
          </rPr>
          <t xml:space="preserve">
Appointment Mar 1
Assumption March 7</t>
        </r>
      </text>
    </comment>
    <comment ref="BK80" authorId="1" shapeId="0" xr:uid="{00000000-0006-0000-0300-00000A000000}">
      <text>
        <r>
          <rPr>
            <b/>
            <sz val="9"/>
            <rFont val="Times New Roman"/>
            <charset val="134"/>
          </rPr>
          <t>User:</t>
        </r>
        <r>
          <rPr>
            <sz val="9"/>
            <rFont val="Times New Roman"/>
            <charset val="134"/>
          </rPr>
          <t xml:space="preserve">
Appointment Mar 1
Assumption March 7</t>
        </r>
      </text>
    </comment>
    <comment ref="BK95" authorId="1" shapeId="0" xr:uid="{00000000-0006-0000-0300-00000B000000}">
      <text>
        <r>
          <rPr>
            <b/>
            <sz val="9"/>
            <rFont val="Tahoma"/>
            <charset val="134"/>
          </rPr>
          <t>User:</t>
        </r>
        <r>
          <rPr>
            <sz val="9"/>
            <rFont val="Tahoma"/>
            <charset val="134"/>
          </rPr>
          <t xml:space="preserve">
with LWOP 
SI moved to January 2
Date last promoted 8-27-04
</t>
        </r>
      </text>
    </comment>
    <comment ref="BK110" authorId="1" shapeId="0" xr:uid="{00000000-0006-0000-0300-00000C000000}">
      <text>
        <r>
          <rPr>
            <b/>
            <sz val="9"/>
            <rFont val="Tahoma"/>
            <charset val="134"/>
          </rPr>
          <t>User:</t>
        </r>
        <r>
          <rPr>
            <sz val="9"/>
            <rFont val="Tahoma"/>
            <charset val="134"/>
          </rPr>
          <t xml:space="preserve">
with LWOP 
SI moved to January 2
Date last promoted 8-27-04
</t>
        </r>
      </text>
    </comment>
    <comment ref="BK113" authorId="1" shapeId="0" xr:uid="{00000000-0006-0000-0300-00000D000000}">
      <text>
        <r>
          <rPr>
            <b/>
            <sz val="9"/>
            <rFont val="Tahoma"/>
            <charset val="134"/>
          </rPr>
          <t>User:</t>
        </r>
        <r>
          <rPr>
            <sz val="9"/>
            <rFont val="Tahoma"/>
            <charset val="134"/>
          </rPr>
          <t xml:space="preserve">
with LWOP 
SI moved to January 2
Date last promoted 8-27-04
</t>
        </r>
      </text>
    </comment>
    <comment ref="BK120" authorId="1" shapeId="0" xr:uid="{00000000-0006-0000-0300-00000E000000}">
      <text>
        <r>
          <rPr>
            <b/>
            <sz val="9"/>
            <rFont val="Tahoma"/>
            <charset val="134"/>
          </rPr>
          <t>User:</t>
        </r>
        <r>
          <rPr>
            <sz val="9"/>
            <rFont val="Tahoma"/>
            <charset val="134"/>
          </rPr>
          <t xml:space="preserve">
with LWOP 
SI moved to January 2
Date last promoted 8-27-04
</t>
        </r>
      </text>
    </comment>
    <comment ref="BK128" authorId="1" shapeId="0" xr:uid="{00000000-0006-0000-0300-00000F000000}">
      <text>
        <r>
          <rPr>
            <b/>
            <sz val="9"/>
            <rFont val="Tahoma"/>
            <charset val="134"/>
          </rPr>
          <t>User:</t>
        </r>
        <r>
          <rPr>
            <sz val="9"/>
            <rFont val="Tahoma"/>
            <charset val="134"/>
          </rPr>
          <t xml:space="preserve">
with LWOP 
SI moved to January 2
Date last promoted 8-27-04
</t>
        </r>
      </text>
    </comment>
    <comment ref="BK143" authorId="1" shapeId="0" xr:uid="{00000000-0006-0000-0300-000010000000}">
      <text>
        <r>
          <rPr>
            <b/>
            <sz val="9"/>
            <rFont val="Tahoma"/>
            <charset val="134"/>
          </rPr>
          <t>User:</t>
        </r>
        <r>
          <rPr>
            <sz val="9"/>
            <rFont val="Tahoma"/>
            <charset val="134"/>
          </rPr>
          <t xml:space="preserve">
with LWOP 
SI moved to January 2
Date last promoted 8-27-04
</t>
        </r>
      </text>
    </comment>
    <comment ref="BK218" authorId="1" shapeId="0" xr:uid="{00000000-0006-0000-0300-000011000000}">
      <text>
        <r>
          <rPr>
            <b/>
            <sz val="9"/>
            <rFont val="Times New Roman"/>
            <charset val="134"/>
          </rPr>
          <t>User:</t>
        </r>
        <r>
          <rPr>
            <sz val="9"/>
            <rFont val="Times New Roman"/>
            <charset val="134"/>
          </rPr>
          <t xml:space="preserve">
date of appointment 
11-10-15 
LWOP for 28 days due to travel in UK in 2018 (date of Step increment must correspondingly move)</t>
        </r>
      </text>
    </comment>
  </commentList>
</comments>
</file>

<file path=xl/sharedStrings.xml><?xml version="1.0" encoding="utf-8"?>
<sst xmlns="http://schemas.openxmlformats.org/spreadsheetml/2006/main" count="17514" uniqueCount="3485">
  <si>
    <t>PLANTILLA OF PERSONNEL</t>
  </si>
  <si>
    <t xml:space="preserve">as of August 5, 2010 </t>
  </si>
  <si>
    <t>LIST OF VACANT POSITIONS</t>
  </si>
  <si>
    <t xml:space="preserve"> </t>
  </si>
  <si>
    <r>
      <rPr>
        <b/>
        <sz val="8"/>
        <rFont val="Tahoma"/>
        <charset val="134"/>
      </rPr>
      <t xml:space="preserve">DEPARTMENT:  </t>
    </r>
    <r>
      <rPr>
        <b/>
        <i/>
        <sz val="8"/>
        <rFont val="Tahoma"/>
        <charset val="134"/>
      </rPr>
      <t xml:space="preserve">  Department of the Interior and Local Government, CORDILLERA ADMINISTRATIVE REGION</t>
    </r>
  </si>
  <si>
    <t>ITEM NUMBER</t>
  </si>
  <si>
    <t>Plantilla location (1998)</t>
  </si>
  <si>
    <t xml:space="preserve">POSITION TITLE </t>
  </si>
  <si>
    <t>S G</t>
  </si>
  <si>
    <t>A N N U A L   S A L A R Y</t>
  </si>
  <si>
    <t>STEP</t>
  </si>
  <si>
    <t>A R E A</t>
  </si>
  <si>
    <t>P/P/A/               ATTRI-BUTION</t>
  </si>
  <si>
    <t>I N C U M B E N T</t>
  </si>
  <si>
    <t>GENDER</t>
  </si>
  <si>
    <t>DATE  OF BIRTH</t>
  </si>
  <si>
    <t>Tax Identification Number        (TIN)</t>
  </si>
  <si>
    <t xml:space="preserve">DATE OF ORIGINAL APPT </t>
  </si>
  <si>
    <t>DATE OF LAST PROMO-TION</t>
  </si>
  <si>
    <t>STATUS</t>
  </si>
  <si>
    <t>ELIGIBILITY</t>
  </si>
  <si>
    <t>REMARK</t>
  </si>
  <si>
    <t xml:space="preserve">NEW POSITION TITLE </t>
  </si>
  <si>
    <t>E X I S T I N G</t>
  </si>
  <si>
    <t>DBM ACTION</t>
  </si>
  <si>
    <t>A P P R O V E D</t>
  </si>
  <si>
    <t>OPTION</t>
  </si>
  <si>
    <t>QUALIFICATION STANDARDS</t>
  </si>
  <si>
    <t>PERSONNEL ACTION</t>
  </si>
  <si>
    <t xml:space="preserve">A U T H O -  R I Z E D </t>
  </si>
  <si>
    <t>A C T U A L</t>
  </si>
  <si>
    <t>a c t u a l (dec 31, '07)</t>
  </si>
  <si>
    <t>CODE</t>
  </si>
  <si>
    <t>TYPE</t>
  </si>
  <si>
    <t>LEVEL</t>
  </si>
  <si>
    <t>Present Station of Incumbent</t>
  </si>
  <si>
    <t>Monthly Salary (6/29/10)</t>
  </si>
  <si>
    <t>age</t>
  </si>
  <si>
    <t>date of tranfer to DILG</t>
  </si>
  <si>
    <t>EDUCATION</t>
  </si>
  <si>
    <t>EXPERIENCE</t>
  </si>
  <si>
    <t>TRAINING</t>
  </si>
  <si>
    <t>2ND TRANCHE</t>
  </si>
  <si>
    <t>Office of the Regional Director</t>
  </si>
  <si>
    <t>.</t>
  </si>
  <si>
    <t>authorized</t>
  </si>
  <si>
    <t>previous</t>
  </si>
  <si>
    <t>new</t>
  </si>
  <si>
    <t>as dec 31</t>
  </si>
  <si>
    <t>difference</t>
  </si>
  <si>
    <t>OSEC-DILGB-DIR 4-18-1998</t>
  </si>
  <si>
    <t xml:space="preserve">Regional Office </t>
  </si>
  <si>
    <t>Director IV</t>
  </si>
  <si>
    <t>011</t>
  </si>
  <si>
    <t>R</t>
  </si>
  <si>
    <t>K</t>
  </si>
  <si>
    <t>A.03.a.01.c</t>
  </si>
  <si>
    <t>Regional Office</t>
  </si>
  <si>
    <t>ONUS</t>
  </si>
  <si>
    <t>Patrick</t>
  </si>
  <si>
    <t>D</t>
  </si>
  <si>
    <t>ONUS, Patrick Damoking</t>
  </si>
  <si>
    <t>M</t>
  </si>
  <si>
    <t>127-933-059</t>
  </si>
  <si>
    <t>P</t>
  </si>
  <si>
    <t>CESO IV</t>
  </si>
  <si>
    <t>Retained</t>
  </si>
  <si>
    <t>OSEC-DILGB-DIR 3-4-1998</t>
  </si>
  <si>
    <t>Director III</t>
  </si>
  <si>
    <t>MANGANGEY</t>
  </si>
  <si>
    <t>Robert</t>
  </si>
  <si>
    <t>Sr.</t>
  </si>
  <si>
    <t>L</t>
  </si>
  <si>
    <t>MANGANGEY, Robert Sr. Loyosen</t>
  </si>
  <si>
    <t>127-934-019</t>
  </si>
  <si>
    <t>OSEC-DILGB-ATTY 4-9-1998</t>
  </si>
  <si>
    <t>Attorney IV</t>
  </si>
  <si>
    <t>S</t>
  </si>
  <si>
    <t>KIWANG</t>
  </si>
  <si>
    <t>Tomas</t>
  </si>
  <si>
    <t>Jr.</t>
  </si>
  <si>
    <t>A</t>
  </si>
  <si>
    <t>KIWANG, Tomas Jr. Amindalan</t>
  </si>
  <si>
    <t>166-271-358</t>
  </si>
  <si>
    <t>RA 1080</t>
  </si>
  <si>
    <t>New Position</t>
  </si>
  <si>
    <t>New</t>
  </si>
  <si>
    <t>Planning Officer III</t>
  </si>
  <si>
    <t>(Vacant)</t>
  </si>
  <si>
    <t>Bachelor' Degree Relevant ot the Job</t>
  </si>
  <si>
    <t>2 years of Relevant Experience</t>
  </si>
  <si>
    <t>8 Hours of Relevant Training</t>
  </si>
  <si>
    <t>CSP / Second Level Eligibility</t>
  </si>
  <si>
    <t>FOR ASSESSMENT</t>
  </si>
  <si>
    <t>Information Technology Officer I</t>
  </si>
  <si>
    <t>OSEC-DILGB-ADOF4-69-2005</t>
  </si>
  <si>
    <t>Administrative Officer IV (Information Officer II)</t>
  </si>
  <si>
    <t>RIMANDO</t>
  </si>
  <si>
    <t>Marie Cris</t>
  </si>
  <si>
    <t>RIMANDO, Marie Cris Lim</t>
  </si>
  <si>
    <t>F</t>
  </si>
  <si>
    <t>129-983-169</t>
  </si>
  <si>
    <t>CSP</t>
  </si>
  <si>
    <t>To FAD (1)</t>
  </si>
  <si>
    <t>OSEC-DILGB-COMPRO2-9-1998</t>
  </si>
  <si>
    <t>Computer Programmer II</t>
  </si>
  <si>
    <t>WALANG</t>
  </si>
  <si>
    <t>Marlon</t>
  </si>
  <si>
    <t>WALANG, Marlon Silvada</t>
  </si>
  <si>
    <t>190-830-006</t>
  </si>
  <si>
    <t>To MED/Reclass (2)</t>
  </si>
  <si>
    <t>OSEC-DILGB-ADAS3-64-2005</t>
  </si>
  <si>
    <t>Administrative Assistant III (Secretary II)</t>
  </si>
  <si>
    <t>DAOAS</t>
  </si>
  <si>
    <t>Marian</t>
  </si>
  <si>
    <t>B</t>
  </si>
  <si>
    <t>DAOAS, Marian Bigsang</t>
  </si>
  <si>
    <t>185-738-006</t>
  </si>
  <si>
    <t>OSEC-DILGB-ADA6-92-2005</t>
  </si>
  <si>
    <t>Administrative Aide VI (CEO II)</t>
  </si>
  <si>
    <t>GONZALES</t>
  </si>
  <si>
    <t>Marlene</t>
  </si>
  <si>
    <t>C</t>
  </si>
  <si>
    <t>GONZALES, Marlene Castro</t>
  </si>
  <si>
    <t>127-933-034</t>
  </si>
  <si>
    <t>RES 435</t>
  </si>
  <si>
    <t>Abolished</t>
  </si>
  <si>
    <t>Remain in the Service</t>
  </si>
  <si>
    <t>to ADA6-95 PO</t>
  </si>
  <si>
    <t>OSEC-DILGB-ADA6-93-2005</t>
  </si>
  <si>
    <t>Administrative Aide VI (Steno II)</t>
  </si>
  <si>
    <t>vacant</t>
  </si>
  <si>
    <t>OSEC-DILGB-ADA4-83-2005</t>
  </si>
  <si>
    <t>Administrative Aide IV (Driver II)</t>
  </si>
  <si>
    <t>TICBAEN</t>
  </si>
  <si>
    <t>Mark Anthony</t>
  </si>
  <si>
    <t>TICBAEN, Mark Anthony Duquil</t>
  </si>
  <si>
    <t>914-805-353</t>
  </si>
  <si>
    <t>MC 11</t>
  </si>
  <si>
    <t>OSEC-DILGB-ADA3-61-2005</t>
  </si>
  <si>
    <t>Administrative Aide III (Driver I)</t>
  </si>
  <si>
    <t>TAMONDONG</t>
  </si>
  <si>
    <t>Jonathan</t>
  </si>
  <si>
    <t>TAMONDONG, Jonathan Ambat</t>
  </si>
  <si>
    <t>175-568-367</t>
  </si>
  <si>
    <t xml:space="preserve"> MC 11</t>
  </si>
  <si>
    <t>To FAD / Retained(3)</t>
  </si>
  <si>
    <t>Sub-Total</t>
  </si>
  <si>
    <t>62,000000000               Technical Services Division</t>
  </si>
  <si>
    <t>Capability Development Division</t>
  </si>
  <si>
    <t>OSEC-DILGB-LGOO7-37-1998</t>
  </si>
  <si>
    <t>Local Government Operations Officer VII</t>
  </si>
  <si>
    <t>DUMELOD</t>
  </si>
  <si>
    <t>Rosario</t>
  </si>
  <si>
    <t>DUMELOD, Rosario BUMINAANG</t>
  </si>
  <si>
    <t>127-934-454</t>
  </si>
  <si>
    <t>OSEC-DILGB-LGOO6-12-1998</t>
  </si>
  <si>
    <t>Local Government Operations Officer VI</t>
  </si>
  <si>
    <t>T</t>
  </si>
  <si>
    <t>CLAUDIO</t>
  </si>
  <si>
    <t>Ofelia</t>
  </si>
  <si>
    <t>O</t>
  </si>
  <si>
    <t>CLAUDIO, Ofelia Linggon</t>
  </si>
  <si>
    <t>127-934-210</t>
  </si>
  <si>
    <t>OSEC-DILGB-LGOO5-791-1998</t>
  </si>
  <si>
    <t>Local Government Operations Officer V</t>
  </si>
  <si>
    <t>0540</t>
  </si>
  <si>
    <t>Benguet</t>
  </si>
  <si>
    <t>BALLUG</t>
  </si>
  <si>
    <t>Rene Vincent</t>
  </si>
  <si>
    <t>I</t>
  </si>
  <si>
    <t>BALLUG, Rene Vincent Ilacad</t>
  </si>
  <si>
    <t>185-969-809</t>
  </si>
  <si>
    <t>OSEC-DILGB-LGOO5-802-1998</t>
  </si>
  <si>
    <t>Ifugao</t>
  </si>
  <si>
    <t>CORTEZ</t>
  </si>
  <si>
    <t>Melchor Anthony</t>
  </si>
  <si>
    <t>G</t>
  </si>
  <si>
    <t>CORTEZ, Melchor Anthony Guimbatan</t>
  </si>
  <si>
    <t>173-594-522</t>
  </si>
  <si>
    <t>OSEC-DILGB-LGOO5-813-1998</t>
  </si>
  <si>
    <t>Apayao</t>
  </si>
  <si>
    <t>CENU</t>
  </si>
  <si>
    <t>Merina</t>
  </si>
  <si>
    <t>CENU. Merina Bagasol</t>
  </si>
  <si>
    <t>905-486-436</t>
  </si>
  <si>
    <t>OSEC-DILGB-LGOO4-160-1998</t>
  </si>
  <si>
    <t>Local Government Operations Officer IV</t>
  </si>
  <si>
    <t>0537</t>
  </si>
  <si>
    <t>Baguio City</t>
  </si>
  <si>
    <t>MALIG</t>
  </si>
  <si>
    <t>Julie</t>
  </si>
  <si>
    <t>MALIG, Julie Capiato</t>
  </si>
  <si>
    <t>154-221-422</t>
  </si>
  <si>
    <t xml:space="preserve">P </t>
  </si>
  <si>
    <t>To PO/Reclass</t>
  </si>
  <si>
    <t>OSEC-DILGB-LGOO4-161-1998</t>
  </si>
  <si>
    <t>06</t>
  </si>
  <si>
    <t>CAWIS</t>
  </si>
  <si>
    <t>Odemar</t>
  </si>
  <si>
    <t>CAWIS, Odemar Mendoza</t>
  </si>
  <si>
    <t>144-070234</t>
  </si>
  <si>
    <t>OSEC-DILGB-LGOO4-162-1998</t>
  </si>
  <si>
    <t>Vacant PALENG, Mory D.</t>
  </si>
  <si>
    <t>OSEC-DILGB-LGOO4-164-1998</t>
  </si>
  <si>
    <t>GARCIA</t>
  </si>
  <si>
    <t>Florinda</t>
  </si>
  <si>
    <t>GARCIA, Florinda Manuyag</t>
  </si>
  <si>
    <t>122-174-963</t>
  </si>
  <si>
    <t>OSEC-DILGB-ADAS1-24-2005</t>
  </si>
  <si>
    <t>Administrative Assistant I (CO I)</t>
  </si>
  <si>
    <t>Kalinga</t>
  </si>
  <si>
    <t>MAGO</t>
  </si>
  <si>
    <t>Carmelita</t>
  </si>
  <si>
    <t>127-934-872</t>
  </si>
  <si>
    <t>CSSP</t>
  </si>
  <si>
    <t>Retained Fr FAD 4</t>
  </si>
  <si>
    <t>OSEC-DILGB-ADA6-97-2005</t>
  </si>
  <si>
    <t>Administrative Aide VI (Clerk III)</t>
  </si>
  <si>
    <t>MAGO, Carmelita Cenabre</t>
  </si>
  <si>
    <t>63,000000000               Operations Division</t>
  </si>
  <si>
    <t>Monitoring and Evaluation Division</t>
  </si>
  <si>
    <t>OSEC-DILGB-LGOO7-38-1998</t>
  </si>
  <si>
    <t>08</t>
  </si>
  <si>
    <t>MADARIAGA</t>
  </si>
  <si>
    <t>Benjamin</t>
  </si>
  <si>
    <t>MADARIAGA, Benjamin Acio</t>
  </si>
  <si>
    <t>135-562-718</t>
  </si>
  <si>
    <t>CDO</t>
  </si>
  <si>
    <t>OSEC-DILGB-LGOO6-14-1998</t>
  </si>
  <si>
    <t>ADNOL</t>
  </si>
  <si>
    <t>Bable</t>
  </si>
  <si>
    <t>ADNOL, Bable Ged-ang</t>
  </si>
  <si>
    <t>185-743-190</t>
  </si>
  <si>
    <t>OSEC-DILGB-LGOO5-824-1998</t>
  </si>
  <si>
    <t>ACERET</t>
  </si>
  <si>
    <t>Wilnelia</t>
  </si>
  <si>
    <t>ACERET, Wilnelia Martinez</t>
  </si>
  <si>
    <t>905-491-788</t>
  </si>
  <si>
    <t>OSEC-DILGB-LGOO5-835-1998</t>
  </si>
  <si>
    <t>BALDERAMA</t>
  </si>
  <si>
    <t>Antonio</t>
  </si>
  <si>
    <t>BALDERAMA, Antonio Carbonel</t>
  </si>
  <si>
    <t>127-934-972</t>
  </si>
  <si>
    <t>OSEC-DILGB-LGOO4-165-1998</t>
  </si>
  <si>
    <t>Reclass</t>
  </si>
  <si>
    <t>Bachelor' Degree</t>
  </si>
  <si>
    <t>Completion of  Training Course for LGOOs</t>
  </si>
  <si>
    <t>OSEC-DILGB-LGOO4-166-1998</t>
  </si>
  <si>
    <t>GRIBA</t>
  </si>
  <si>
    <t>Mary Ann</t>
  </si>
  <si>
    <t>J</t>
  </si>
  <si>
    <t>GRIBA, Mary Ann Javier</t>
  </si>
  <si>
    <t>106-630-476</t>
  </si>
  <si>
    <t>OSEC-DILGB-LGOO4-167-1998</t>
  </si>
  <si>
    <t>CARDENAS</t>
  </si>
  <si>
    <t>Cheryl Rose</t>
  </si>
  <si>
    <t>CARDENAS, Cheryl Rose Flores</t>
  </si>
  <si>
    <t>129-990-193</t>
  </si>
  <si>
    <t>OSEC-DILGB-LGOO4-168-1998</t>
  </si>
  <si>
    <t>0666</t>
  </si>
  <si>
    <t>Reclass/Fr. ORD 2</t>
  </si>
  <si>
    <t>Statistician II</t>
  </si>
  <si>
    <t>OSEC-DILGB-STAT1-3-1998</t>
  </si>
  <si>
    <t>Statistician I</t>
  </si>
  <si>
    <t>None Required</t>
  </si>
  <si>
    <t>OSEC-DILGB-ADA4-84-2005</t>
  </si>
  <si>
    <t>Administrative Aide IV (Clerk II)</t>
  </si>
  <si>
    <t>Mt. Province</t>
  </si>
  <si>
    <t>BASCO</t>
  </si>
  <si>
    <t>Raymundo Jacinto</t>
  </si>
  <si>
    <t>BASCO, Raymundo Jacinto Pandoyos</t>
  </si>
  <si>
    <t>917-012-523</t>
  </si>
  <si>
    <t>Administrative Aide VI</t>
  </si>
  <si>
    <t>64,000000000                Administrative Services Division</t>
  </si>
  <si>
    <t>Finance and Administrative Division</t>
  </si>
  <si>
    <t>OSEC-DILGB-CADOF-19-2005</t>
  </si>
  <si>
    <t>Chief Administrative Officer (AO V)</t>
  </si>
  <si>
    <t>24</t>
  </si>
  <si>
    <t>Capulong</t>
  </si>
  <si>
    <t>Masteral Degree</t>
  </si>
  <si>
    <t>4 years in position/s involving management and supervision</t>
  </si>
  <si>
    <t>24 hours of training in management and supervision</t>
  </si>
  <si>
    <t>OSEC-DILGB-SAD0F-34-2005</t>
  </si>
  <si>
    <t>Supervising Administrative Officer (AO IV)</t>
  </si>
  <si>
    <t>22</t>
  </si>
  <si>
    <t>MON</t>
  </si>
  <si>
    <t>Shirley</t>
  </si>
  <si>
    <t>V</t>
  </si>
  <si>
    <t>MON, Shirley Vergara</t>
  </si>
  <si>
    <t>127-933-188</t>
  </si>
  <si>
    <t>OSEC-DILGB-A3-16-1998</t>
  </si>
  <si>
    <t>Accountant III</t>
  </si>
  <si>
    <t>19</t>
  </si>
  <si>
    <t>CHAOKAS</t>
  </si>
  <si>
    <t>Jennifer</t>
  </si>
  <si>
    <t>CHAOKAS, Jeniifer Sokoken</t>
  </si>
  <si>
    <t>919-344-911</t>
  </si>
  <si>
    <t>OSEC-DILGB-ADOF5-52-2005</t>
  </si>
  <si>
    <t>Administrative Officer V (AO III)</t>
  </si>
  <si>
    <t>18</t>
  </si>
  <si>
    <t>BALANG</t>
  </si>
  <si>
    <t>Gerry</t>
  </si>
  <si>
    <t>BALANG, Gerry Cobcobo</t>
  </si>
  <si>
    <t>196-011-963</t>
  </si>
  <si>
    <t>OSEC-DILGB-ADOF5-53-2005</t>
  </si>
  <si>
    <t>Administrative Officer V (BO III)</t>
  </si>
  <si>
    <t>SAINGAN</t>
  </si>
  <si>
    <t>Evelyn</t>
  </si>
  <si>
    <t>SAINGAN, Evelyn Mensi</t>
  </si>
  <si>
    <t>127-933-113</t>
  </si>
  <si>
    <t>OSEC-DILGB-ADOF5-54-2005</t>
  </si>
  <si>
    <t>Administrative Officer V (HRMO III)</t>
  </si>
  <si>
    <t>BARNACHEA</t>
  </si>
  <si>
    <t>Norman</t>
  </si>
  <si>
    <t>BARNACHEA, Norman Idica</t>
  </si>
  <si>
    <t>927-988-540</t>
  </si>
  <si>
    <t>OSEC-DILGB-A2-6-1998</t>
  </si>
  <si>
    <t>Accountant II</t>
  </si>
  <si>
    <t>16</t>
  </si>
  <si>
    <t>BALABAG</t>
  </si>
  <si>
    <t>Iris</t>
  </si>
  <si>
    <t>BALABAG, Iris Lami-ing</t>
  </si>
  <si>
    <t>934-223-875</t>
  </si>
  <si>
    <t>OSEC-DILGB-ADOF4-70-2005</t>
  </si>
  <si>
    <t>Administrative Officer IV (BO II)</t>
  </si>
  <si>
    <t>15</t>
  </si>
  <si>
    <t>BRIONES</t>
  </si>
  <si>
    <t>Rolly</t>
  </si>
  <si>
    <t>BRIONES, Rolly Burcao</t>
  </si>
  <si>
    <t>904-166-999</t>
  </si>
  <si>
    <t>Fr ORD RO IV-B</t>
  </si>
  <si>
    <t>Administrative Officer IV (HRMO II)</t>
  </si>
  <si>
    <t>1 year of Relevant Experience</t>
  </si>
  <si>
    <t>4 Hours of Relevant Training</t>
  </si>
  <si>
    <t>Retained Fr ORD 1</t>
  </si>
  <si>
    <r>
      <rPr>
        <sz val="8"/>
        <rFont val="Tahoma"/>
        <charset val="134"/>
      </rPr>
      <t xml:space="preserve">Administrative Officer IV </t>
    </r>
    <r>
      <rPr>
        <b/>
        <i/>
        <sz val="8"/>
        <rFont val="Tahoma"/>
        <charset val="134"/>
      </rPr>
      <t xml:space="preserve">CTI </t>
    </r>
    <r>
      <rPr>
        <sz val="8"/>
        <rFont val="Tahoma"/>
        <charset val="134"/>
      </rPr>
      <t>(Information Officer II)</t>
    </r>
  </si>
  <si>
    <t>OSEC-DILGB-ADOF3-43-2005</t>
  </si>
  <si>
    <t>Administrative Officer III (Cashier II)</t>
  </si>
  <si>
    <t>14</t>
  </si>
  <si>
    <t>GABOT</t>
  </si>
  <si>
    <t>Luzviminda</t>
  </si>
  <si>
    <t>GABOT, Luzviminda Montano</t>
  </si>
  <si>
    <t>127-933-774</t>
  </si>
  <si>
    <t>OSEC-DILGB-ADOF3-44-2005</t>
  </si>
  <si>
    <t>Administrative Officer III (RO II)</t>
  </si>
  <si>
    <t>GED-ANG</t>
  </si>
  <si>
    <t>Chrysantine</t>
  </si>
  <si>
    <t>GED-ANG, Chrysantine Chan</t>
  </si>
  <si>
    <t>927-997-461</t>
  </si>
  <si>
    <t>OSEC-DILGB-ADAS3-65-2005</t>
  </si>
  <si>
    <t>Administrative Assistant III (Storekeeper III)</t>
  </si>
  <si>
    <t>09</t>
  </si>
  <si>
    <t>CASTRO</t>
  </si>
  <si>
    <t>Angelito</t>
  </si>
  <si>
    <t>CASTRO, Angelito Gaddi</t>
  </si>
  <si>
    <t>191-960-647</t>
  </si>
  <si>
    <t>OSEC-DILGB-ADAS2-61-2005</t>
  </si>
  <si>
    <t>Administrative Assistant II (AC III)</t>
  </si>
  <si>
    <t>TOMAS</t>
  </si>
  <si>
    <t>Precilla</t>
  </si>
  <si>
    <t>TOMAS, Prescilla Kitan</t>
  </si>
  <si>
    <t>915-096-278</t>
  </si>
  <si>
    <t>OSEC-DILGB-ADAS2-62-2005</t>
  </si>
  <si>
    <t>Administrative Assistant II (Artist Illustrator II)</t>
  </si>
  <si>
    <t>OSEC-DILGB-ADAS2-63-2005</t>
  </si>
  <si>
    <t>Administrative Assistant II (Bookkeeper II)</t>
  </si>
  <si>
    <t>EUSTAQUIO</t>
  </si>
  <si>
    <t>Arlene</t>
  </si>
  <si>
    <t>EUSTAQUIO, Arlene Villanueva</t>
  </si>
  <si>
    <t>Administrative Assistant III</t>
  </si>
  <si>
    <t>OSEC-DILGB-ADAS2-64-2005</t>
  </si>
  <si>
    <t>Administrative Assistant II (DO II)</t>
  </si>
  <si>
    <t>LOPEZ</t>
  </si>
  <si>
    <t>Jessica Kim</t>
  </si>
  <si>
    <t>LOPEZ, Jessica Kim Angeles</t>
  </si>
  <si>
    <t>914-805-367</t>
  </si>
  <si>
    <t>OSEC-DILGB-ADAS2-65-2005</t>
  </si>
  <si>
    <t>Administrative Assistant II (HRMA)</t>
  </si>
  <si>
    <t>PAPAT-IW</t>
  </si>
  <si>
    <t>Zaldy</t>
  </si>
  <si>
    <t>PAPAT-IW, Zaldy Bugtong</t>
  </si>
  <si>
    <t xml:space="preserve">916-245-161 </t>
  </si>
  <si>
    <t>To PO 5 / Retained</t>
  </si>
  <si>
    <t>OSEC-DILGB-ADA6-94-2005</t>
  </si>
  <si>
    <t>DEDUQUE</t>
  </si>
  <si>
    <t>Katherine</t>
  </si>
  <si>
    <t>DEDUQUE, Katherine Pablo</t>
  </si>
  <si>
    <t>127-933-782</t>
  </si>
  <si>
    <t>to ADA6-102 PO</t>
  </si>
  <si>
    <t>OSEC-DILGB-ADA6-95-2005</t>
  </si>
  <si>
    <t>Administrative Aide VI (Cash Clerk II)</t>
  </si>
  <si>
    <t xml:space="preserve">Vacant AGLANO, Oscarson B. </t>
  </si>
  <si>
    <t>To PO 6 Retained</t>
  </si>
  <si>
    <t>OSEC-DILGB-ADA6-96-2005</t>
  </si>
  <si>
    <t>Vacant ATING, Lucas A.</t>
  </si>
  <si>
    <r>
      <rPr>
        <sz val="8"/>
        <rFont val="Tahoma"/>
        <charset val="134"/>
      </rPr>
      <t xml:space="preserve">Administrative Aide VI  </t>
    </r>
    <r>
      <rPr>
        <b/>
        <i/>
        <sz val="8"/>
        <rFont val="Tahoma"/>
        <charset val="134"/>
      </rPr>
      <t>CTI</t>
    </r>
  </si>
  <si>
    <r>
      <rPr>
        <i/>
        <sz val="8"/>
        <rFont val="Tahoma"/>
        <charset val="134"/>
      </rPr>
      <t xml:space="preserve">To be </t>
    </r>
    <r>
      <rPr>
        <b/>
        <i/>
        <sz val="8"/>
        <rFont val="Tahoma"/>
        <charset val="134"/>
      </rPr>
      <t>Abolished</t>
    </r>
  </si>
  <si>
    <t>To LGCD 4 Retained</t>
  </si>
  <si>
    <t>OSEC-DILGB-ADA6-98-2005</t>
  </si>
  <si>
    <t>Administrative Aide VI (Storekeeper II)</t>
  </si>
  <si>
    <t>IDOS</t>
  </si>
  <si>
    <t>Dexter</t>
  </si>
  <si>
    <t>IDOS, Dexter Las-o</t>
  </si>
  <si>
    <t>932-867-431</t>
  </si>
  <si>
    <t>DILG pool</t>
  </si>
  <si>
    <t>OSEC-DILGB-ADA4-85-2005</t>
  </si>
  <si>
    <t>04</t>
  </si>
  <si>
    <t>Abra</t>
  </si>
  <si>
    <t>GUINABAN</t>
  </si>
  <si>
    <t>Joanna Ruth</t>
  </si>
  <si>
    <t>DOMASING, Joanna Ruth Guinaban</t>
  </si>
  <si>
    <t>176-734-004</t>
  </si>
  <si>
    <t>OSEC-DILGB-ADA4-86-2005</t>
  </si>
  <si>
    <t>Completion of 2 years studies in college</t>
  </si>
  <si>
    <t>CSSP / 1st Level Eligibility</t>
  </si>
  <si>
    <t>OSEC-DILGB-ADA4-87-2005</t>
  </si>
  <si>
    <t>Administrative Assistant IV (Mechanic I)</t>
  </si>
  <si>
    <t xml:space="preserve">Retained Fr ORD 3 </t>
  </si>
  <si>
    <r>
      <rPr>
        <sz val="8"/>
        <rFont val="Tahoma"/>
        <charset val="134"/>
      </rPr>
      <t xml:space="preserve">Administrative Aide III   </t>
    </r>
    <r>
      <rPr>
        <b/>
        <i/>
        <sz val="8"/>
        <rFont val="Tahoma"/>
        <charset val="134"/>
      </rPr>
      <t>CTI</t>
    </r>
  </si>
  <si>
    <t>03</t>
  </si>
  <si>
    <t>OSEC-DILGB-SECG1-8-1998</t>
  </si>
  <si>
    <t>Security Guard I</t>
  </si>
  <si>
    <t>ROJO</t>
  </si>
  <si>
    <t>Gerardo</t>
  </si>
  <si>
    <t>ROJO, Gerardo Rontos</t>
  </si>
  <si>
    <t>127-933-219</t>
  </si>
  <si>
    <r>
      <rPr>
        <sz val="8"/>
        <rFont val="Tahoma"/>
        <charset val="134"/>
      </rPr>
      <t xml:space="preserve">Security Guard I  </t>
    </r>
    <r>
      <rPr>
        <b/>
        <i/>
        <sz val="8"/>
        <rFont val="Tahoma"/>
        <charset val="134"/>
      </rPr>
      <t>CTI</t>
    </r>
  </si>
  <si>
    <t>OSEC-DILGB-SECG1-9-1998</t>
  </si>
  <si>
    <t>PEREZ</t>
  </si>
  <si>
    <t>Roberto</t>
  </si>
  <si>
    <t>PEREZ, Roberto Aquino</t>
  </si>
  <si>
    <t>176- 643-612</t>
  </si>
  <si>
    <t>OSEC-DILGB-SEC1-10-1998</t>
  </si>
  <si>
    <t>NONOG</t>
  </si>
  <si>
    <t>Edward</t>
  </si>
  <si>
    <t>NONOG, Edward Bolda</t>
  </si>
  <si>
    <t>917-878-826</t>
  </si>
  <si>
    <t>OSEC-DILGB-ADA2-54-2005</t>
  </si>
  <si>
    <t>Administrative Aide II   (Messenger)</t>
  </si>
  <si>
    <t>02</t>
  </si>
  <si>
    <t>PUMARES</t>
  </si>
  <si>
    <t>Orlando</t>
  </si>
  <si>
    <t>PUMARES, Orlando Canco</t>
  </si>
  <si>
    <t>127-933-242</t>
  </si>
  <si>
    <r>
      <rPr>
        <sz val="8"/>
        <rFont val="Tahoma"/>
        <charset val="134"/>
      </rPr>
      <t xml:space="preserve">Administrative Aide II   (Messenger)  </t>
    </r>
    <r>
      <rPr>
        <b/>
        <i/>
        <sz val="8"/>
        <rFont val="Tahoma"/>
        <charset val="134"/>
      </rPr>
      <t>CTI</t>
    </r>
  </si>
  <si>
    <t>Avail Retirement Package</t>
  </si>
  <si>
    <t>*</t>
  </si>
  <si>
    <t>OSEC-DILGB-ADA2-55-2005</t>
  </si>
  <si>
    <t>Administrative Aide II (RMO I)</t>
  </si>
  <si>
    <t>PASCUA</t>
  </si>
  <si>
    <t>Diosdado</t>
  </si>
  <si>
    <t>PASCUA, Diosdado Aquino</t>
  </si>
  <si>
    <t>2/29/1955</t>
  </si>
  <si>
    <t>127-933-235</t>
  </si>
  <si>
    <t>Administrative Aide IV</t>
  </si>
  <si>
    <t>OSEC-DILGB-ADA1-27-2005</t>
  </si>
  <si>
    <t>Administrative Aide I (UTW I)</t>
  </si>
  <si>
    <t>01</t>
  </si>
  <si>
    <r>
      <rPr>
        <sz val="8"/>
        <rFont val="Tahoma"/>
        <charset val="134"/>
      </rPr>
      <t xml:space="preserve">Administrative Aide I   </t>
    </r>
    <r>
      <rPr>
        <b/>
        <i/>
        <sz val="8"/>
        <rFont val="Tahoma"/>
        <charset val="134"/>
      </rPr>
      <t>CTI</t>
    </r>
  </si>
  <si>
    <t>65000000000                Provincial Office</t>
  </si>
  <si>
    <t xml:space="preserve"> Provincial Office</t>
  </si>
  <si>
    <t>OSEC-DILGB-LGOO8-2-1998</t>
  </si>
  <si>
    <t>Local Government Operations Officer VIII</t>
  </si>
  <si>
    <t>26</t>
  </si>
  <si>
    <t>05</t>
  </si>
  <si>
    <t>ABRA</t>
  </si>
  <si>
    <t>CALINA</t>
  </si>
  <si>
    <t>Crescencio</t>
  </si>
  <si>
    <t>CALINA, Crescencio Javier</t>
  </si>
  <si>
    <t>127-933-580</t>
  </si>
  <si>
    <t>CESO</t>
  </si>
  <si>
    <t>OSEC-DILGB-LGOO8-45-1998</t>
  </si>
  <si>
    <t>Anthony</t>
  </si>
  <si>
    <t>BALLUG, Anthony Ilacad</t>
  </si>
  <si>
    <t>185-737-925</t>
  </si>
  <si>
    <t>CSEE</t>
  </si>
  <si>
    <t>OSEC-DILGB-LGOO8-56-1998</t>
  </si>
  <si>
    <t>FEGCAN</t>
  </si>
  <si>
    <t>Rufina</t>
  </si>
  <si>
    <t>FEGCAN, Rufina Talusig</t>
  </si>
  <si>
    <t>127-934-198</t>
  </si>
  <si>
    <t>OSEC-DILGB-LGOO8-67-1998</t>
  </si>
  <si>
    <t>TRINIDAD</t>
  </si>
  <si>
    <t>TRINIDAD, Evelyn Ballug</t>
  </si>
  <si>
    <t>127-934-809</t>
  </si>
  <si>
    <t>OSEC-DILGB-LGOO8-79-1998</t>
  </si>
  <si>
    <t>07</t>
  </si>
  <si>
    <t>MONAYAO</t>
  </si>
  <si>
    <t>Myrna</t>
  </si>
  <si>
    <t>MONAYAO, Myrna Buduhan</t>
  </si>
  <si>
    <t>127-934-277</t>
  </si>
  <si>
    <t>TE/CESO</t>
  </si>
  <si>
    <t>OSEC-DILGB-LGOO8-91-1998</t>
  </si>
  <si>
    <t>79</t>
  </si>
  <si>
    <t>Eleonora</t>
  </si>
  <si>
    <t>MADARIAGA, Eleonora Figueros</t>
  </si>
  <si>
    <t>127-933-904</t>
  </si>
  <si>
    <t>CDO/CSEE</t>
  </si>
  <si>
    <t>OSEC-DILGB-LGOO8-98-1998</t>
  </si>
  <si>
    <t>GAMATERO</t>
  </si>
  <si>
    <t>Francisco</t>
  </si>
  <si>
    <t>GAMATERO, Francisco Rola</t>
  </si>
  <si>
    <t>133-291-473</t>
  </si>
  <si>
    <t>OSEC-DILGB-LGOO7-25-1998</t>
  </si>
  <si>
    <t>BUGTONG</t>
  </si>
  <si>
    <t>Alex</t>
  </si>
  <si>
    <t>BUGTONG, Alex Kitongan</t>
  </si>
  <si>
    <t>127-933-953</t>
  </si>
  <si>
    <t>OSEC-DILGB-LGOO7-39-1998</t>
  </si>
  <si>
    <t>VALERA</t>
  </si>
  <si>
    <t>Rene</t>
  </si>
  <si>
    <t>VALERA, Rene Velasco</t>
  </si>
  <si>
    <t>127-933-695</t>
  </si>
  <si>
    <t>to NEW LGOO VI</t>
  </si>
  <si>
    <t>OSEC-DILGB-LGOO7-40-1998</t>
  </si>
  <si>
    <t>vacant HUMIWAT, Gerardo Dumangeg</t>
  </si>
  <si>
    <t>OSEC-DILGB-LGOO7-41-1998</t>
  </si>
  <si>
    <t>FEGCAN, Rufina T. (vacant 2/9/07)</t>
  </si>
  <si>
    <t>OSEC-DILGB-LGOO7-42-1998</t>
  </si>
  <si>
    <t>BASQUEZ</t>
  </si>
  <si>
    <t>Marvin</t>
  </si>
  <si>
    <t>BASQUEZ, Marvin Amanonce</t>
  </si>
  <si>
    <t>127-934-718</t>
  </si>
  <si>
    <t xml:space="preserve">CSP </t>
  </si>
  <si>
    <t>RECLASS</t>
  </si>
  <si>
    <t>OSEC-DILGB-LGOO7-43-1998</t>
  </si>
  <si>
    <t>079</t>
  </si>
  <si>
    <t>BARCELLANO</t>
  </si>
  <si>
    <t>Julio</t>
  </si>
  <si>
    <t>BARCELLANO, Julio Jacob</t>
  </si>
  <si>
    <t>127-934-726</t>
  </si>
  <si>
    <t>3 years of Relevant Experience</t>
  </si>
  <si>
    <t>from LGOO7-39 FOR ASSESSMENT</t>
  </si>
  <si>
    <t>from LGOO7-43 FOR ASSESSMENT</t>
  </si>
  <si>
    <t>OSEC-DILGB-LGOO5-846-1998</t>
  </si>
  <si>
    <t>20</t>
  </si>
  <si>
    <t>0456</t>
  </si>
  <si>
    <t>PIRA</t>
  </si>
  <si>
    <t>PIRA, Francisco Aznar</t>
  </si>
  <si>
    <t>188-986-314</t>
  </si>
  <si>
    <t>OSEC-DILGB-LGOO5-857-1998</t>
  </si>
  <si>
    <t>0498</t>
  </si>
  <si>
    <t>BALDERAMA, Antonio Badere</t>
  </si>
  <si>
    <t>127-933-603</t>
  </si>
  <si>
    <t>OSEC-DILGB-LGOO5-868-1998</t>
  </si>
  <si>
    <t>0516</t>
  </si>
  <si>
    <t>BOSQUE</t>
  </si>
  <si>
    <t>Evangeline</t>
  </si>
  <si>
    <t>BOSQUE, Evangeline Cruz</t>
  </si>
  <si>
    <t>127-933-363</t>
  </si>
  <si>
    <r>
      <rPr>
        <sz val="8"/>
        <rFont val="Tahoma"/>
        <charset val="134"/>
      </rPr>
      <t>CDO/1</t>
    </r>
    <r>
      <rPr>
        <vertAlign val="superscript"/>
        <sz val="8"/>
        <rFont val="Tahoma"/>
        <charset val="134"/>
      </rPr>
      <t>ST</t>
    </r>
    <r>
      <rPr>
        <sz val="8"/>
        <rFont val="Tahoma"/>
        <charset val="134"/>
      </rPr>
      <t xml:space="preserve"> GR</t>
    </r>
  </si>
  <si>
    <t>OSEC-DILGB-LGOO5-879-1998</t>
  </si>
  <si>
    <t>0480</t>
  </si>
  <si>
    <t>BRAGAS</t>
  </si>
  <si>
    <t>Adelmo</t>
  </si>
  <si>
    <t>BRAGAS, Adelmo Baula</t>
  </si>
  <si>
    <t>127-933-371</t>
  </si>
  <si>
    <t>CDO/CSP</t>
  </si>
  <si>
    <t>OSEC-DILGB-LGOO5-891-1998</t>
  </si>
  <si>
    <t xml:space="preserve"> vacant</t>
  </si>
  <si>
    <t>0474</t>
  </si>
  <si>
    <t>TURQUEZA</t>
  </si>
  <si>
    <t>Emmanuel</t>
  </si>
  <si>
    <t>TURQUEZA, Emmanuel Astudillo</t>
  </si>
  <si>
    <t>188-986-306</t>
  </si>
  <si>
    <t>OSEC-DILGB-LGOO5-895-1998</t>
  </si>
  <si>
    <t>ABULENCIA</t>
  </si>
  <si>
    <t>ABULENCIA, Emmanuel Pinlac</t>
  </si>
  <si>
    <t>127-934-825</t>
  </si>
  <si>
    <t>OSEC-DILGB-LGOO5-896-1998</t>
  </si>
  <si>
    <t>GAYUDAN</t>
  </si>
  <si>
    <t>Franchita</t>
  </si>
  <si>
    <t>GAYUDAN, Franchita Lucob</t>
  </si>
  <si>
    <t>127-934-775</t>
  </si>
  <si>
    <t>OSEC-DILGB-LGOO5-897-1998</t>
  </si>
  <si>
    <t>0597</t>
  </si>
  <si>
    <t>NARCIZA</t>
  </si>
  <si>
    <t>Florita</t>
  </si>
  <si>
    <t>NARCIZA, Florita Garcia</t>
  </si>
  <si>
    <t>127-933-996</t>
  </si>
  <si>
    <t>OSEC-DILGB-LGOO5-899-1998</t>
  </si>
  <si>
    <t>0528</t>
  </si>
  <si>
    <t>TENEZA</t>
  </si>
  <si>
    <t>Valentino</t>
  </si>
  <si>
    <t>TENEZA, Valentino Barbieto</t>
  </si>
  <si>
    <t>127-933-637</t>
  </si>
  <si>
    <t>OSEC-DILGB-LGOO5-900-1998</t>
  </si>
  <si>
    <t>0504</t>
  </si>
  <si>
    <t>BLANDO</t>
  </si>
  <si>
    <t>Cristeta</t>
  </si>
  <si>
    <t>BLANDO, Cristeta Cuesta</t>
  </si>
  <si>
    <t>127-933-402</t>
  </si>
  <si>
    <t>OSEC-DILGB-LGOO5-901-1998</t>
  </si>
  <si>
    <t>0525</t>
  </si>
  <si>
    <t>CARIÑO</t>
  </si>
  <si>
    <t>Millicent</t>
  </si>
  <si>
    <t>CARIÑO, Millicent Bamba</t>
  </si>
  <si>
    <t>163-902-397</t>
  </si>
  <si>
    <t>OSEC-DILGB-LGOO5-902-1998</t>
  </si>
  <si>
    <t>0462</t>
  </si>
  <si>
    <t>DAOATEN</t>
  </si>
  <si>
    <t>Jimmicio</t>
  </si>
  <si>
    <t>DAOATEN, Jimmicio Salvador</t>
  </si>
  <si>
    <t>166-274-804</t>
  </si>
  <si>
    <t>CSP/PBET</t>
  </si>
  <si>
    <t>OSEC-DILGB-LGOO5-903-1998</t>
  </si>
  <si>
    <t>Jocelyn</t>
  </si>
  <si>
    <t>ROJO, Jocelyn Agustin</t>
  </si>
  <si>
    <t>127-933-678</t>
  </si>
  <si>
    <t>OSEC-DILGB-LGOO5-904-1998</t>
  </si>
  <si>
    <t>BERNARDEZ</t>
  </si>
  <si>
    <t>Ascencion Viva</t>
  </si>
  <si>
    <t>Z</t>
  </si>
  <si>
    <t>BERNARDEZ, Ascension Viva Zapata</t>
  </si>
  <si>
    <t>139-029-473</t>
  </si>
  <si>
    <t>OSEC-DILGB-LGOO5-905-1998</t>
  </si>
  <si>
    <t>0483</t>
  </si>
  <si>
    <t>Ephraim</t>
  </si>
  <si>
    <t>TURQUEZA, Ephraim Pascua</t>
  </si>
  <si>
    <t>127-953-652</t>
  </si>
  <si>
    <t>OSEC-DILGB-LGOO5-906-1998</t>
  </si>
  <si>
    <t>0522</t>
  </si>
  <si>
    <t>PALENG</t>
  </si>
  <si>
    <t>Mory</t>
  </si>
  <si>
    <t>PALENG, Mory Delias</t>
  </si>
  <si>
    <t>197-397-434</t>
  </si>
  <si>
    <t>OSEC-DILGB-LGOO5-907-1998</t>
  </si>
  <si>
    <t>0492</t>
  </si>
  <si>
    <t>LINGBAOAN</t>
  </si>
  <si>
    <t>Joel</t>
  </si>
  <si>
    <t>LINGBAOAN, Joel Barbasa</t>
  </si>
  <si>
    <t>905-474-665</t>
  </si>
  <si>
    <t>OSEC-DILGB-LGOO5-909-1998</t>
  </si>
  <si>
    <t>0489</t>
  </si>
  <si>
    <t>CASTILLO</t>
  </si>
  <si>
    <t>Mila</t>
  </si>
  <si>
    <t>CASTILLO, Mila Benedito</t>
  </si>
  <si>
    <t>127-933-121</t>
  </si>
  <si>
    <t>OSEC-DILGB-LGOO5-910-1998</t>
  </si>
  <si>
    <t>0477</t>
  </si>
  <si>
    <t>FERRAREN</t>
  </si>
  <si>
    <t>Erlinda</t>
  </si>
  <si>
    <t>FERRAREN, Erlinda Balungay</t>
  </si>
  <si>
    <t>127-933-485</t>
  </si>
  <si>
    <t>OSEC-DILGB-LGOO5-911-1998</t>
  </si>
  <si>
    <t>Erma</t>
  </si>
  <si>
    <t>H</t>
  </si>
  <si>
    <t>CARIÑO, Erma Hernandez</t>
  </si>
  <si>
    <t>127-933-197</t>
  </si>
  <si>
    <t>OSEC-DILGB-LGOO5-912-1998</t>
  </si>
  <si>
    <t>0495</t>
  </si>
  <si>
    <t>BEGTANG</t>
  </si>
  <si>
    <t>Roderick</t>
  </si>
  <si>
    <t>BEGTANG, Roderick Domingo</t>
  </si>
  <si>
    <t>127-909-058</t>
  </si>
  <si>
    <t>OSEC-DILGB-LGOO5-913-1998</t>
  </si>
  <si>
    <t>0507</t>
  </si>
  <si>
    <t>Bernabe</t>
  </si>
  <si>
    <t>TRINIDAD, Bernabe Bejarin</t>
  </si>
  <si>
    <t>916-067-382</t>
  </si>
  <si>
    <t>OSEC-DILGB-LGOO5-914-1998</t>
  </si>
  <si>
    <t>0486</t>
  </si>
  <si>
    <t>ABANCE</t>
  </si>
  <si>
    <t>Mary Jane</t>
  </si>
  <si>
    <t>ABANCE, Mary Jane Samonte</t>
  </si>
  <si>
    <t>182-869-708</t>
  </si>
  <si>
    <t>OSEC-DILGB-LGOO5-915-1998</t>
  </si>
  <si>
    <t>0534</t>
  </si>
  <si>
    <t>FLORES</t>
  </si>
  <si>
    <t>Zandy</t>
  </si>
  <si>
    <t>FLORES, Zandy Raniaga</t>
  </si>
  <si>
    <t>151-461-879</t>
  </si>
  <si>
    <t>OSEC-DILGB-LGOO5-916-1998</t>
  </si>
  <si>
    <t>0510</t>
  </si>
  <si>
    <t>BARRERAS</t>
  </si>
  <si>
    <t>Carlito</t>
  </si>
  <si>
    <t>BARRERAS, Carlito Tejero</t>
  </si>
  <si>
    <t>127-933- 548</t>
  </si>
  <si>
    <t>OSEC-DILGB-LGOO5-917-1998</t>
  </si>
  <si>
    <t>0531</t>
  </si>
  <si>
    <t>VENUS</t>
  </si>
  <si>
    <t>Nolito</t>
  </si>
  <si>
    <t>VENUS, Nolito Domingo</t>
  </si>
  <si>
    <t>127-933-660</t>
  </si>
  <si>
    <t>OSEC-DILGB-LGOO5-918-1998</t>
  </si>
  <si>
    <t>0465</t>
  </si>
  <si>
    <t>GARCIA, Evelyn Arizabal</t>
  </si>
  <si>
    <t>127-933-644</t>
  </si>
  <si>
    <t>OSEC-DILGB-LGOO5-921-1998</t>
  </si>
  <si>
    <t>BERSAMIN</t>
  </si>
  <si>
    <t>Soledad</t>
  </si>
  <si>
    <t>BERSAMIN, Soledad Mangundayao</t>
  </si>
  <si>
    <t>127-933-611</t>
  </si>
  <si>
    <t>OSEC-DILGB-LGOO5-922-1998</t>
  </si>
  <si>
    <t>0468</t>
  </si>
  <si>
    <t>Normita</t>
  </si>
  <si>
    <t>VENUS, Normita Cruz</t>
  </si>
  <si>
    <t>133-291-184</t>
  </si>
  <si>
    <t>OSEC-DILGB-LGOO5-923-1998</t>
  </si>
  <si>
    <t>0459</t>
  </si>
  <si>
    <t>Rosemary</t>
  </si>
  <si>
    <t>VALERA, Rosemary Zapata</t>
  </si>
  <si>
    <t>132-426-234</t>
  </si>
  <si>
    <t>OSEC-DILGB-LGOO5-924-1998</t>
  </si>
  <si>
    <t>PAYANG</t>
  </si>
  <si>
    <t>Daisy</t>
  </si>
  <si>
    <t>PAYANG, Daisy Amoy</t>
  </si>
  <si>
    <t>164-776-684</t>
  </si>
  <si>
    <t>PD 907</t>
  </si>
  <si>
    <t>OSEC-DILGB-LGOO5-925-1998</t>
  </si>
  <si>
    <t>Rolando</t>
  </si>
  <si>
    <t>GONZALES, Rolando Ronquillo</t>
  </si>
  <si>
    <t xml:space="preserve">138-169-683                                    </t>
  </si>
  <si>
    <t>OSEC-DILGB-LGOO5-926-1998</t>
  </si>
  <si>
    <t>0564</t>
  </si>
  <si>
    <t>MONANG</t>
  </si>
  <si>
    <t>Catherine</t>
  </si>
  <si>
    <t>MONANG, Catherine Gadgad</t>
  </si>
  <si>
    <t>127-933-961</t>
  </si>
  <si>
    <t>OSEC-DILGB-LGOO5-927-1998</t>
  </si>
  <si>
    <t>0558</t>
  </si>
  <si>
    <t>CHAN</t>
  </si>
  <si>
    <t>Virginia</t>
  </si>
  <si>
    <t>CHAN, Virginia Lucas</t>
  </si>
  <si>
    <t>127-934-001</t>
  </si>
  <si>
    <t>OSEC-DILGB-LGOO5-928-1998</t>
  </si>
  <si>
    <t>0567</t>
  </si>
  <si>
    <t>WAGIAN</t>
  </si>
  <si>
    <t>Cecilia</t>
  </si>
  <si>
    <t>WAGIAN, Cecilia Daupan</t>
  </si>
  <si>
    <t>142-759-079</t>
  </si>
  <si>
    <t>OSEC-DILGB-LGOO5-929-1998</t>
  </si>
  <si>
    <t>ATING</t>
  </si>
  <si>
    <t>Janet</t>
  </si>
  <si>
    <t>ATING, Janet Belingon</t>
  </si>
  <si>
    <t>915-096-260</t>
  </si>
  <si>
    <t>OSEC-DILGB-LGOO5-930-1998</t>
  </si>
  <si>
    <t>0570</t>
  </si>
  <si>
    <t>ULEP</t>
  </si>
  <si>
    <t>Brigitte</t>
  </si>
  <si>
    <t>ULEP, Brigitte Adeban</t>
  </si>
  <si>
    <t>129-688-066</t>
  </si>
  <si>
    <t>OSEC-DILGB-LGOO5-932-1998</t>
  </si>
  <si>
    <t>0549</t>
  </si>
  <si>
    <t>RUBIO</t>
  </si>
  <si>
    <t>Mediatrix</t>
  </si>
  <si>
    <t>RUBIO, Mediatrix Dagupon</t>
  </si>
  <si>
    <t>OSEC-DILGB-LGOO5-933-1998</t>
  </si>
  <si>
    <t>0546</t>
  </si>
  <si>
    <t>PALITOG</t>
  </si>
  <si>
    <t>Aida</t>
  </si>
  <si>
    <t>PALITOG, AIDA Tomin</t>
  </si>
  <si>
    <t>185-748-684</t>
  </si>
  <si>
    <t>OSEC-DILGB-LGOO5-934-1998</t>
  </si>
  <si>
    <t>BALANHI</t>
  </si>
  <si>
    <t>Pablo</t>
  </si>
  <si>
    <t>BALANHI, Pablo Jr. Binwag</t>
  </si>
  <si>
    <t>190-303-061</t>
  </si>
  <si>
    <t>OSEC-DILGB-LGOO5-935-1998</t>
  </si>
  <si>
    <t>0582</t>
  </si>
  <si>
    <t>BADDAL</t>
  </si>
  <si>
    <t>Edison</t>
  </si>
  <si>
    <t>EDISON</t>
  </si>
  <si>
    <t xml:space="preserve">EDISON L. BADDAL </t>
  </si>
  <si>
    <t>127-934-055</t>
  </si>
  <si>
    <t>OSEC-DILGB-LGOO5-936-1998</t>
  </si>
  <si>
    <t>0555</t>
  </si>
  <si>
    <t>GAYASO</t>
  </si>
  <si>
    <t>Sergio</t>
  </si>
  <si>
    <t>GAYASO, Sergio Cubangay</t>
  </si>
  <si>
    <t>127-933-945</t>
  </si>
  <si>
    <t>OSEC-DILGB-LGOO5-937-1998</t>
  </si>
  <si>
    <t>0573</t>
  </si>
  <si>
    <t>EBES</t>
  </si>
  <si>
    <t>Linston</t>
  </si>
  <si>
    <t>EBES, Linston Bolislis</t>
  </si>
  <si>
    <t>187-267-187</t>
  </si>
  <si>
    <t>OSEC-DILGB-LGOO5-938-1998</t>
  </si>
  <si>
    <t>0603</t>
  </si>
  <si>
    <t>PEEL</t>
  </si>
  <si>
    <t>Lourdes Claire</t>
  </si>
  <si>
    <t>PEEL, Lourdes Claire Fanusan</t>
  </si>
  <si>
    <t>923-165-386</t>
  </si>
  <si>
    <t>OSEC-DILGB-LGOO5-939-1998</t>
  </si>
  <si>
    <t>0585</t>
  </si>
  <si>
    <t>LARON</t>
  </si>
  <si>
    <t>Anabelle</t>
  </si>
  <si>
    <t>LARON, Anabelle Bogya</t>
  </si>
  <si>
    <t>901-859-184</t>
  </si>
  <si>
    <t>OSEC-DILGB-LGOO5-940-1998</t>
  </si>
  <si>
    <t>0594</t>
  </si>
  <si>
    <t>SIMONGO</t>
  </si>
  <si>
    <t>Nena</t>
  </si>
  <si>
    <t>SIMONGO, Nena Sagandoy</t>
  </si>
  <si>
    <t>127-934-251</t>
  </si>
  <si>
    <t>OSEC-DILGB-LGOO5-941-1998</t>
  </si>
  <si>
    <t>BADDAL, Edison Lonogan</t>
  </si>
  <si>
    <t>OSEC-DILGB-LGOO5-943-1998</t>
  </si>
  <si>
    <t>DOLIGAS</t>
  </si>
  <si>
    <t>Aida Leonora</t>
  </si>
  <si>
    <t>DOLIGAS, Aida Leonora Socnayan</t>
  </si>
  <si>
    <t>127-934-228</t>
  </si>
  <si>
    <t>OSEC-DILGB-LGOO5-944-1998</t>
  </si>
  <si>
    <t>0588</t>
  </si>
  <si>
    <t>BACWADEN</t>
  </si>
  <si>
    <t>Alan</t>
  </si>
  <si>
    <t>BACWADEN, Alan Oakes</t>
  </si>
  <si>
    <t>127-934-163</t>
  </si>
  <si>
    <t>OSEC-DILGB-LGOO5-945-1998</t>
  </si>
  <si>
    <t>0600</t>
  </si>
  <si>
    <t>CHAKAS</t>
  </si>
  <si>
    <t>Eufemia</t>
  </si>
  <si>
    <t>W</t>
  </si>
  <si>
    <t>CHAKAS, Eufemia Waking</t>
  </si>
  <si>
    <t>127-934-171</t>
  </si>
  <si>
    <t>OSEC-DILGB-LGOO5-946-1998</t>
  </si>
  <si>
    <t>0606</t>
  </si>
  <si>
    <t>PILUDEN</t>
  </si>
  <si>
    <t>Judy</t>
  </si>
  <si>
    <t>PILUDEN, Judy Colabot</t>
  </si>
  <si>
    <t>127-934-202</t>
  </si>
  <si>
    <t>OSEC-DILGB-LGOO5-947-1998</t>
  </si>
  <si>
    <t>FIAR-OD</t>
  </si>
  <si>
    <t>Ray</t>
  </si>
  <si>
    <t>FIAR-OD, Ray Bomas-ang</t>
  </si>
  <si>
    <t>173-573-463</t>
  </si>
  <si>
    <t>OSEC-DILGB-LGOO5-948-1998</t>
  </si>
  <si>
    <t>0591</t>
  </si>
  <si>
    <t>Cesar</t>
  </si>
  <si>
    <t>ATING, Cesar Uemura</t>
  </si>
  <si>
    <t>185-741-155</t>
  </si>
  <si>
    <t>OSEC-DILGB-LGOO5-949-1998</t>
  </si>
  <si>
    <t>0630</t>
  </si>
  <si>
    <t>MAMMAG</t>
  </si>
  <si>
    <t>Regina Elizabeth</t>
  </si>
  <si>
    <t>MAMMAG, Regina Elizabeth Lingayon</t>
  </si>
  <si>
    <t>128-757-469</t>
  </si>
  <si>
    <t>OSEC-DILGB-LGOO5-950-1998</t>
  </si>
  <si>
    <t>0627</t>
  </si>
  <si>
    <t>CABANAYAN</t>
  </si>
  <si>
    <t>Carol</t>
  </si>
  <si>
    <t>CABANAYAN, Carol Chulipa</t>
  </si>
  <si>
    <t>127-934-495</t>
  </si>
  <si>
    <t>OSEC-DILGB-LGOO5-951-1998</t>
  </si>
  <si>
    <t>0621</t>
  </si>
  <si>
    <t>LORENZO</t>
  </si>
  <si>
    <t>Elizabeth</t>
  </si>
  <si>
    <t>LORENZO, Elizabeth Baylon</t>
  </si>
  <si>
    <t>127-934-759</t>
  </si>
  <si>
    <t>OSEC-DILGB-LGOO5-952-1998</t>
  </si>
  <si>
    <t>MAUTING</t>
  </si>
  <si>
    <t>Johnny</t>
  </si>
  <si>
    <t>MAUTING, Johnny Laayon</t>
  </si>
  <si>
    <t>185-741-147</t>
  </si>
  <si>
    <t>OSEC-DILGB-LGOO5-954-1998</t>
  </si>
  <si>
    <t>0611</t>
  </si>
  <si>
    <t>BULAYUNGAN</t>
  </si>
  <si>
    <t>Isabel</t>
  </si>
  <si>
    <t>BULAYUNGAN, Isabel Aliaga</t>
  </si>
  <si>
    <t>127-934-478</t>
  </si>
  <si>
    <t>OSEC-DILGB-LGOO5-955-1998</t>
  </si>
  <si>
    <t>0633</t>
  </si>
  <si>
    <t>LACUESTA</t>
  </si>
  <si>
    <t>Helen</t>
  </si>
  <si>
    <t>E</t>
  </si>
  <si>
    <t>LACUESTA, Helen Espita</t>
  </si>
  <si>
    <t>905-469-998</t>
  </si>
  <si>
    <t>OSEC-DILGB-LGOO5-956-1998</t>
  </si>
  <si>
    <t>0618</t>
  </si>
  <si>
    <t>SALVADOR</t>
  </si>
  <si>
    <t>Aileen</t>
  </si>
  <si>
    <t>SALVADOR, Aileen Manghi</t>
  </si>
  <si>
    <t>127-934-411</t>
  </si>
  <si>
    <t>OSEC-DILGB-LGOO5-957-1998</t>
  </si>
  <si>
    <t>DAG-O</t>
  </si>
  <si>
    <t>DAG-O, Johnny Inablan</t>
  </si>
  <si>
    <t>127-933-987</t>
  </si>
  <si>
    <t>OSEC-DILGB-LGOO5-958-1998</t>
  </si>
  <si>
    <t>0624</t>
  </si>
  <si>
    <t>BANGO</t>
  </si>
  <si>
    <t>BANGO, Emmanuel Hiadan</t>
  </si>
  <si>
    <t>127-934-437</t>
  </si>
  <si>
    <t>OSEC-DILGB-LGOO5-959-1998</t>
  </si>
  <si>
    <t>ADAWE</t>
  </si>
  <si>
    <t>Guillaume</t>
  </si>
  <si>
    <t>ADAWE, Guillaume Lebbet</t>
  </si>
  <si>
    <t>127-934-444</t>
  </si>
  <si>
    <t>OSEC-DILGB-LGOO5-960-1998</t>
  </si>
  <si>
    <t>0639</t>
  </si>
  <si>
    <t>ANDE</t>
  </si>
  <si>
    <t>Aristio</t>
  </si>
  <si>
    <t>ANDE, Aristio Balicao</t>
  </si>
  <si>
    <t>127-934-620</t>
  </si>
  <si>
    <t>OSEC-DILGB-LGOO5-961-1998</t>
  </si>
  <si>
    <t>0675</t>
  </si>
  <si>
    <t>SANTIAGO</t>
  </si>
  <si>
    <t>Rosalinda</t>
  </si>
  <si>
    <t>SANTIAGO, Rosalinda Benitez</t>
  </si>
  <si>
    <t>127-937-767</t>
  </si>
  <si>
    <t>OSEC-DILGB-LGOO5-962-1998</t>
  </si>
  <si>
    <t>0645</t>
  </si>
  <si>
    <t>VENUS, Norman Domingo</t>
  </si>
  <si>
    <t>173-568-481</t>
  </si>
  <si>
    <t>OSEC-DILGB-LGOO5-963-1998</t>
  </si>
  <si>
    <t>0648</t>
  </si>
  <si>
    <t>LEAÑO</t>
  </si>
  <si>
    <t>Dante</t>
  </si>
  <si>
    <t>LEAÑO, Dante Mabanag</t>
  </si>
  <si>
    <t>127-934-645</t>
  </si>
  <si>
    <t>OSEC-DILGB-LGOO5-965-1998</t>
  </si>
  <si>
    <t>GUERZON</t>
  </si>
  <si>
    <t>Marleen</t>
  </si>
  <si>
    <t>GUERZON, Marleen Montano</t>
  </si>
  <si>
    <t>127-933-026</t>
  </si>
  <si>
    <t>OSEC-DILGB-LGOO5-966-1998</t>
  </si>
  <si>
    <t>0654</t>
  </si>
  <si>
    <t>ACUAT</t>
  </si>
  <si>
    <t>Alexander</t>
  </si>
  <si>
    <t>ACUAT, Alexander Gacuya</t>
  </si>
  <si>
    <t>127-934-653</t>
  </si>
  <si>
    <t>OSEC-DILGB-LGOO5-967-1998</t>
  </si>
  <si>
    <t>0681</t>
  </si>
  <si>
    <t>PAGADDUT</t>
  </si>
  <si>
    <t>Jimmy</t>
  </si>
  <si>
    <t>PAGADDUT, Jimmy Bantiyan</t>
  </si>
  <si>
    <t>147-937-004</t>
  </si>
  <si>
    <t>OSEC-DILGB-LGOO5-968-1998</t>
  </si>
  <si>
    <t>0669</t>
  </si>
  <si>
    <t>BUSLIG</t>
  </si>
  <si>
    <t>Arthur</t>
  </si>
  <si>
    <t>BUSLIG, Arthur Anga-angan</t>
  </si>
  <si>
    <t xml:space="preserve">127-934-679 </t>
  </si>
  <si>
    <t>OSEC-DILGB-LGOO5-969-1998</t>
  </si>
  <si>
    <t>0663</t>
  </si>
  <si>
    <t>BONGGAWON</t>
  </si>
  <si>
    <t>Rafael</t>
  </si>
  <si>
    <t>BONGGAWON, Rafael Hortellano</t>
  </si>
  <si>
    <t>127-934-687</t>
  </si>
  <si>
    <t>OSEC-DILGB-LGOO5-970-1998</t>
  </si>
  <si>
    <t>0651</t>
  </si>
  <si>
    <t>EUGENIO</t>
  </si>
  <si>
    <t>Cecile</t>
  </si>
  <si>
    <t>EUGENIO, Cecile Cagurangan</t>
  </si>
  <si>
    <t>127-934-696</t>
  </si>
  <si>
    <t>OSEC-DILGB-LGOO5-971-1998</t>
  </si>
  <si>
    <t>0678</t>
  </si>
  <si>
    <t>BAWANTA</t>
  </si>
  <si>
    <t>Gemma</t>
  </si>
  <si>
    <t>BAWANTA, Gemma Oga-oy</t>
  </si>
  <si>
    <t>129-889-899</t>
  </si>
  <si>
    <t>OSEC-DILGB-LGOO5-972-1998</t>
  </si>
  <si>
    <t>ADONG</t>
  </si>
  <si>
    <t>Mayer Max</t>
  </si>
  <si>
    <t>ADONG, Mayer Max de Guzman</t>
  </si>
  <si>
    <t>164-050-105</t>
  </si>
  <si>
    <t>OSEC-DILGB-LGOO5-973-1998</t>
  </si>
  <si>
    <t>GALVEZ</t>
  </si>
  <si>
    <t>Filipinita</t>
  </si>
  <si>
    <t>GALVEZ, Filipinita Marigza</t>
  </si>
  <si>
    <t>127-933-067</t>
  </si>
  <si>
    <t>OSEC-DILGB-LGOO5-974-1998</t>
  </si>
  <si>
    <t>0642</t>
  </si>
  <si>
    <t>HERNANDEZ</t>
  </si>
  <si>
    <t>Jean</t>
  </si>
  <si>
    <t xml:space="preserve">HERNANDEZ, Jean Smith </t>
  </si>
  <si>
    <t>173-542-282</t>
  </si>
  <si>
    <t>OSEC-DILGB-LGOO5-976-1998</t>
  </si>
  <si>
    <t>NEHYEBAN</t>
  </si>
  <si>
    <t>Arellano</t>
  </si>
  <si>
    <t>NEHYEBAN, Arellano Lestino</t>
  </si>
  <si>
    <t>173-592-151</t>
  </si>
  <si>
    <t>OSEC-DILGB-LGOO5-977-1998</t>
  </si>
  <si>
    <t>0612</t>
  </si>
  <si>
    <t>APPOY</t>
  </si>
  <si>
    <t>Samson</t>
  </si>
  <si>
    <t>L.</t>
  </si>
  <si>
    <t>APPOY, Samson Lachaona</t>
  </si>
  <si>
    <t>127-934-508</t>
  </si>
  <si>
    <t>OSEC-DILGB-LGOO5-978-1998</t>
  </si>
  <si>
    <t>REGINA ELIZABETH</t>
  </si>
  <si>
    <t xml:space="preserve">REGINA ELIZABETH L. MAMMAG </t>
  </si>
  <si>
    <t>OSEC-DILGB-LGOO5-979-1998</t>
  </si>
  <si>
    <t>0519</t>
  </si>
  <si>
    <t>WACNANG</t>
  </si>
  <si>
    <t>Dayan</t>
  </si>
  <si>
    <t>WACNANG, Dayan Salimbay</t>
  </si>
  <si>
    <t>916-066-973</t>
  </si>
  <si>
    <t>OSEC-DILGB-LGOO5-980-1998</t>
  </si>
  <si>
    <t>0501</t>
  </si>
  <si>
    <t>MONREAL</t>
  </si>
  <si>
    <t>Prescila</t>
  </si>
  <si>
    <t>MONREAL. Prescila Alzate</t>
  </si>
  <si>
    <t>127-933-284</t>
  </si>
  <si>
    <t>OSEC-DILGB-LGOO5-981-1998</t>
  </si>
  <si>
    <t>0561</t>
  </si>
  <si>
    <t>DONG-E</t>
  </si>
  <si>
    <t>Regina</t>
  </si>
  <si>
    <t>DONG-E, Regina Tayaban</t>
  </si>
  <si>
    <t xml:space="preserve">129-748-975 </t>
  </si>
  <si>
    <t>OSEC-DILGB-LGOO5-982-1998</t>
  </si>
  <si>
    <t>0576</t>
  </si>
  <si>
    <t>PERALTA</t>
  </si>
  <si>
    <t>Elma</t>
  </si>
  <si>
    <t>PERALTA, Elma Magpale</t>
  </si>
  <si>
    <t>919-520-704</t>
  </si>
  <si>
    <t>OSEC-DILGB-LGOO5-983-1998</t>
  </si>
  <si>
    <t>Basiliso</t>
  </si>
  <si>
    <t>III</t>
  </si>
  <si>
    <t>PASCUA, Basiliso III Prado</t>
  </si>
  <si>
    <t>153-748-512</t>
  </si>
  <si>
    <t>OSEC-DILGB-LGOO5-984-1998</t>
  </si>
  <si>
    <t>0579</t>
  </si>
  <si>
    <t>TAMBIAC</t>
  </si>
  <si>
    <t>Estrella</t>
  </si>
  <si>
    <t>TAMBIAC, Estrella Sioangan</t>
  </si>
  <si>
    <t>127-934-236</t>
  </si>
  <si>
    <t>OSEC-DILGB-LGOO5-985-1998</t>
  </si>
  <si>
    <t>PANAY</t>
  </si>
  <si>
    <t>PANAY, Francisco Kalngan</t>
  </si>
  <si>
    <t>127-934-068</t>
  </si>
  <si>
    <t>OSEC-DILGB-LGOO5-987-1998</t>
  </si>
  <si>
    <t>BASILIO</t>
  </si>
  <si>
    <t>Caridad</t>
  </si>
  <si>
    <t>BASILIO, Caridad Ballang</t>
  </si>
  <si>
    <t>173-568-586</t>
  </si>
  <si>
    <t>OSEC-DILGB-LGOO5-988-1998</t>
  </si>
  <si>
    <t>0636</t>
  </si>
  <si>
    <t>UMALCO</t>
  </si>
  <si>
    <t>Wilbert</t>
  </si>
  <si>
    <t>UMALCO, Wilbert Mayam-o</t>
  </si>
  <si>
    <t>166-292-898</t>
  </si>
  <si>
    <t>PBET</t>
  </si>
  <si>
    <t>OSEC-DILGB-LGOO5-989-1998</t>
  </si>
  <si>
    <t>0615</t>
  </si>
  <si>
    <t>LINDAWAN</t>
  </si>
  <si>
    <t>Gilbert</t>
  </si>
  <si>
    <t>N</t>
  </si>
  <si>
    <t>LINDAWAN, Gilbert Nayahangan</t>
  </si>
  <si>
    <t>127-345-160</t>
  </si>
  <si>
    <t>OSEC-DILGB-LGOO5-990-1998</t>
  </si>
  <si>
    <t>MARCAIDA</t>
  </si>
  <si>
    <t>Linda</t>
  </si>
  <si>
    <t>MARCAIDA, Linda Himoldang</t>
  </si>
  <si>
    <t>169-769-211</t>
  </si>
  <si>
    <t>RA 1080 Medtech</t>
  </si>
  <si>
    <t>OSEC-DILGB-LGOO5-991-1998</t>
  </si>
  <si>
    <t>Maritess</t>
  </si>
  <si>
    <t>CARIÑO, Maritess Malinay</t>
  </si>
  <si>
    <t>166-281-803</t>
  </si>
  <si>
    <t>OSEC-DILGB-LGOO5-992-1998</t>
  </si>
  <si>
    <t>0657</t>
  </si>
  <si>
    <t>MINA</t>
  </si>
  <si>
    <t>Bramie</t>
  </si>
  <si>
    <t>MINA, Bramie Madarcos</t>
  </si>
  <si>
    <t>173-545-294</t>
  </si>
  <si>
    <t>OSEC-DILGB-LGOO5-993-1998</t>
  </si>
  <si>
    <t>OLANGCAY</t>
  </si>
  <si>
    <t>OLANGCAY, Elizabeth Saguid</t>
  </si>
  <si>
    <t>127-934-874</t>
  </si>
  <si>
    <t>ROSALINDA</t>
  </si>
  <si>
    <t xml:space="preserve">ROSALINDA B. SANTIAGO </t>
  </si>
  <si>
    <t>Reclass Fr TSD</t>
  </si>
  <si>
    <t>JULIE</t>
  </si>
  <si>
    <t xml:space="preserve">JULIE C. MALIG </t>
  </si>
  <si>
    <t>OSEC-DILGB-LGOO3-129-1998</t>
  </si>
  <si>
    <t>Local Government Operations Officer III</t>
  </si>
  <si>
    <t>OSEC-DILGB-LGOO3-130-1998</t>
  </si>
  <si>
    <t>OSEC-DILGB-LGOO3-131-1998</t>
  </si>
  <si>
    <t>0660</t>
  </si>
  <si>
    <t>Jaime</t>
  </si>
  <si>
    <t>DEDUQUE, Jaime Dalagan</t>
  </si>
  <si>
    <t>127-933-816</t>
  </si>
  <si>
    <t>OSEC-DILGB-LGOO2-6-1998</t>
  </si>
  <si>
    <t>Local Government Operations Officer II</t>
  </si>
  <si>
    <t>13</t>
  </si>
  <si>
    <t>929-791-918</t>
  </si>
  <si>
    <t>LET</t>
  </si>
  <si>
    <t>OSEC-DILGB-LGOO2-7-1998</t>
  </si>
  <si>
    <t>OSEC-DILGB-LGOO2-8-1998</t>
  </si>
  <si>
    <t>OSEC-DILGB-LGOO2-9-1998</t>
  </si>
  <si>
    <t>PEREZ, Ronald Lacaste  (Vacant)</t>
  </si>
  <si>
    <t>OSEC-DILGB-LGOO2-10-1998</t>
  </si>
  <si>
    <t>OSEC-DILGB-LGOO2-11-1998</t>
  </si>
  <si>
    <t>OSEC-DILGB-LGOO2-12-1998</t>
  </si>
  <si>
    <t>OSEC-DILGB-LGOO2-14-1998</t>
  </si>
  <si>
    <t>OSEC-DILGB-LGOO2-15-1998</t>
  </si>
  <si>
    <t>0471</t>
  </si>
  <si>
    <t>NANGLEGAN</t>
  </si>
  <si>
    <t>Roselle</t>
  </si>
  <si>
    <t>NANGLEGAN, Roselle Dinamaan</t>
  </si>
  <si>
    <t>922-574-999</t>
  </si>
  <si>
    <t>OSEC-DILGB-LGOO2-16-1998</t>
  </si>
  <si>
    <t>GANO</t>
  </si>
  <si>
    <t>GANO, Carol Guidangen</t>
  </si>
  <si>
    <t>158-770-401</t>
  </si>
  <si>
    <t>OSEC-DILGB-LGOO2-17-1998</t>
  </si>
  <si>
    <t>benguet</t>
  </si>
  <si>
    <t>OSEC-DILGB-LGOO2-18-1998</t>
  </si>
  <si>
    <t>Ma. Teresa A. Mangangey</t>
  </si>
  <si>
    <t>From LGOO2-39 FOR ASSESSMENT</t>
  </si>
  <si>
    <t>OSEC-DILGB-LGOO2-19-1998</t>
  </si>
  <si>
    <t>GAWE</t>
  </si>
  <si>
    <t>GlenJonah</t>
  </si>
  <si>
    <t>OSEC-DILGB-LGOO2-20-1998</t>
  </si>
  <si>
    <t>0543</t>
  </si>
  <si>
    <t>Lucas</t>
  </si>
  <si>
    <t>ATING, Lucas Alsiyao</t>
  </si>
  <si>
    <t>926-251-215</t>
  </si>
  <si>
    <t>OSEC-DILGB-LGOO2-21-1998</t>
  </si>
  <si>
    <t>OSEC-DILGB-LGOO2-22-1998</t>
  </si>
  <si>
    <t>OSEC-DILGB-LGOO2-23-1998</t>
  </si>
  <si>
    <t>FA-ED</t>
  </si>
  <si>
    <t>Jill</t>
  </si>
  <si>
    <t>FA-ED, Jill Fanged</t>
  </si>
  <si>
    <t>917-010-871</t>
  </si>
  <si>
    <t>Date of assumption</t>
  </si>
  <si>
    <t>OSEC-DILGB-LGOO2-25-1998</t>
  </si>
  <si>
    <t>LAPASTORA</t>
  </si>
  <si>
    <t>Ameurfina</t>
  </si>
  <si>
    <t>LAPASTORA, Ameurfina Castillo</t>
  </si>
  <si>
    <t>178-115-409</t>
  </si>
  <si>
    <t>OSEC-DILGB-LGOO2-26-1998</t>
  </si>
  <si>
    <t>0552</t>
  </si>
  <si>
    <t>OSEC-DILGB-LGOO2-27-1998</t>
  </si>
  <si>
    <t>MICU</t>
  </si>
  <si>
    <t>Mary Beth</t>
  </si>
  <si>
    <t>MICU, Mary Beth Agustin</t>
  </si>
  <si>
    <t>928-176-128</t>
  </si>
  <si>
    <t>OSEC-DILGB-LGOO2-28-1998</t>
  </si>
  <si>
    <t>OSEC-DILGB-LGOO2-29-1998</t>
  </si>
  <si>
    <t>OSEC-DILGB-LGOO2-30-1998</t>
  </si>
  <si>
    <t>MABIASAN</t>
  </si>
  <si>
    <t>Domingo</t>
  </si>
  <si>
    <t>MABIASAN, Domingo Gaw-i</t>
  </si>
  <si>
    <t>173-567-221</t>
  </si>
  <si>
    <t>OSEC-DILGB-LGOO2-31-1998</t>
  </si>
  <si>
    <t>OSEC-DILGB-LGOO2-32-1998</t>
  </si>
  <si>
    <t>RULLAN</t>
  </si>
  <si>
    <t>Dan Joel</t>
  </si>
  <si>
    <t>RULLAN, Dan Joel Suaya</t>
  </si>
  <si>
    <t>175-562-160</t>
  </si>
  <si>
    <t>OSEC-DILGB-LGOO2-33-1998</t>
  </si>
  <si>
    <t>GUMANGAN</t>
  </si>
  <si>
    <t>Juliet</t>
  </si>
  <si>
    <t>GUMANGAN, Juliet Bugagon</t>
  </si>
  <si>
    <t>927-999-499</t>
  </si>
  <si>
    <t>OSEC-DILGB-LGOO2-34-1998</t>
  </si>
  <si>
    <t>OSEC-DILGB-LGOO2-36-1998</t>
  </si>
  <si>
    <t>OSEC-DILGB-LGOO2-37-1998</t>
  </si>
  <si>
    <t>0672</t>
  </si>
  <si>
    <t>EVANGELISTA</t>
  </si>
  <si>
    <t>Denis</t>
  </si>
  <si>
    <t>EVANGELISTA, Denis Ibuan</t>
  </si>
  <si>
    <t>909-508-035</t>
  </si>
  <si>
    <t>OSEC-DILGB-LGOO2-38-1998</t>
  </si>
  <si>
    <t>MANACNIS</t>
  </si>
  <si>
    <t>Euchols</t>
  </si>
  <si>
    <t>MANACNIS, Euchols Plazo</t>
  </si>
  <si>
    <t>927-998-703</t>
  </si>
  <si>
    <t>OSEC-DILGB-LGOO2-39-1998</t>
  </si>
  <si>
    <t>Ma. Teresa</t>
  </si>
  <si>
    <t>MANGANGEY, Ma. Teresa Ancheta</t>
  </si>
  <si>
    <t>160-614-965</t>
  </si>
  <si>
    <t>to LGOO2-18</t>
  </si>
  <si>
    <t>OSEC-DILGB-LGOO2-40-1998</t>
  </si>
  <si>
    <t>DE LUNA</t>
  </si>
  <si>
    <t>DE LUNA, Francisco de Leon</t>
  </si>
  <si>
    <t>197-399-638</t>
  </si>
  <si>
    <t>Retained Fr AD 5</t>
  </si>
  <si>
    <t>Administrative Assistant II</t>
  </si>
  <si>
    <t>OSEC-DILGB-ADAS2-66-2005</t>
  </si>
  <si>
    <t>NEDIC</t>
  </si>
  <si>
    <t>Ramon</t>
  </si>
  <si>
    <t>NEDIC, Ramon Boco</t>
  </si>
  <si>
    <t>OSEC-DILGB-ADAS2-67-2005</t>
  </si>
  <si>
    <t>GAL</t>
  </si>
  <si>
    <t>Ronald</t>
  </si>
  <si>
    <t>GAL, Ronald Tao-ing</t>
  </si>
  <si>
    <t>914-805-375</t>
  </si>
  <si>
    <t>OSEC-DILGB-ADAS2-68-2005</t>
  </si>
  <si>
    <t>FAGUINGAS</t>
  </si>
  <si>
    <t>Fidela</t>
  </si>
  <si>
    <t>FAGUINGAS, Fidela Tarapen</t>
  </si>
  <si>
    <t>127-934-084</t>
  </si>
  <si>
    <t>OSEC-DILGB-ADAS2-69-2005</t>
  </si>
  <si>
    <t>ALCAYNA</t>
  </si>
  <si>
    <t>Dennis</t>
  </si>
  <si>
    <t>ALCAYNA, Dennis Bantiyan</t>
  </si>
  <si>
    <t>127-934-331</t>
  </si>
  <si>
    <t>to ADAS2-70</t>
  </si>
  <si>
    <t>OSEC-DILGB-ADAS2-70-2005</t>
  </si>
  <si>
    <t>Dennis B. Alcayna</t>
  </si>
  <si>
    <t>from ADAS2-69 FOR ASSESSMENT</t>
  </si>
  <si>
    <t>OSEC-DILGB-ADAS2-71-2005</t>
  </si>
  <si>
    <t>TAMI-ING</t>
  </si>
  <si>
    <t>Marilyn</t>
  </si>
  <si>
    <t>TAMI-ING, Marilyn Kilayon</t>
  </si>
  <si>
    <t>127-856-811</t>
  </si>
  <si>
    <t>OSEC-DILGB-ADAS2-72-2005</t>
  </si>
  <si>
    <t>AGUSTIN</t>
  </si>
  <si>
    <t>OSEC-DILGB-ADAS2-73-2005</t>
  </si>
  <si>
    <t>PACAMO</t>
  </si>
  <si>
    <t>Ruby</t>
  </si>
  <si>
    <t>Q</t>
  </si>
  <si>
    <t>PACAMO, Ruby Quemerista</t>
  </si>
  <si>
    <t>127-933-709</t>
  </si>
  <si>
    <t>Shifting</t>
  </si>
  <si>
    <t>OSEC-DILGB-ADAS2-74-2005</t>
  </si>
  <si>
    <t>VICENTE</t>
  </si>
  <si>
    <t>Dominga</t>
  </si>
  <si>
    <t>VICENTE, Dominga Aglano</t>
  </si>
  <si>
    <t>127-933-791</t>
  </si>
  <si>
    <t>OSEC-DILGB-ADAS2-75-2005</t>
  </si>
  <si>
    <t>DUMALSIN</t>
  </si>
  <si>
    <t>Elisa</t>
  </si>
  <si>
    <t>DUMALSIN, Elisa Soriano</t>
  </si>
  <si>
    <t>166-281-796</t>
  </si>
  <si>
    <t>OSEC-DILGB-ADAS2-76-2005</t>
  </si>
  <si>
    <t>BINTUDAN</t>
  </si>
  <si>
    <t>Rosemarie</t>
  </si>
  <si>
    <t>BINTUDAN, Rosemarie Bumidang</t>
  </si>
  <si>
    <t>127-934-348</t>
  </si>
  <si>
    <t>OSEC-DILGB-ADAS2-77-2005</t>
  </si>
  <si>
    <t>GUIAWAN</t>
  </si>
  <si>
    <t>Maria</t>
  </si>
  <si>
    <t>GUIAWAN, Maria Addalay</t>
  </si>
  <si>
    <t>916-363-931</t>
  </si>
  <si>
    <t>OSEC-DILGB-ADAS2-78-2005</t>
  </si>
  <si>
    <t>SALIBAD</t>
  </si>
  <si>
    <t>Ma. Consolacion</t>
  </si>
  <si>
    <t>927-999-502</t>
  </si>
  <si>
    <t>Judith B. Tamot</t>
  </si>
  <si>
    <t>from ADAS2-79 FOR ASSESSMENT</t>
  </si>
  <si>
    <t>OSEC-DILGB-ADAS2-79-2005</t>
  </si>
  <si>
    <t>TAMOT</t>
  </si>
  <si>
    <t>Judith</t>
  </si>
  <si>
    <t>TAMOT, Judith Bermejo</t>
  </si>
  <si>
    <t>905-491-797</t>
  </si>
  <si>
    <t>to ADAS2-78</t>
  </si>
  <si>
    <t>OSEC-DILGB-ADAS1-25-2005</t>
  </si>
  <si>
    <t>ALCANTARA</t>
  </si>
  <si>
    <t>Joey Paul</t>
  </si>
  <si>
    <t>ALCANTARA, Joey Paul Bistayan</t>
  </si>
  <si>
    <t>919-521-481</t>
  </si>
  <si>
    <r>
      <rPr>
        <sz val="8"/>
        <rFont val="Tahoma"/>
        <charset val="134"/>
      </rPr>
      <t xml:space="preserve">Administrative Assistant VI </t>
    </r>
    <r>
      <rPr>
        <b/>
        <i/>
        <sz val="8"/>
        <rFont val="Tahoma"/>
        <charset val="134"/>
      </rPr>
      <t>CTI</t>
    </r>
  </si>
  <si>
    <t xml:space="preserve">Retained Fr FAD 6/ </t>
  </si>
  <si>
    <t xml:space="preserve">Marlene C. Gonzales      </t>
  </si>
  <si>
    <t>Completion of 2 years studies in college or High School Graduate with relevant vocational/trade course</t>
  </si>
  <si>
    <t>Appropriate License (MC 11, s. 96 - Cat. II)</t>
  </si>
  <si>
    <t>From ADA6-92 RO FOR ASSESSMENT</t>
  </si>
  <si>
    <t>OSEC-DILGB-ADA6-99-2005</t>
  </si>
  <si>
    <t>ASTUDILLO</t>
  </si>
  <si>
    <t>Romeo</t>
  </si>
  <si>
    <t>ASTUDILLO, Romeo Jaramillo</t>
  </si>
  <si>
    <t>127-933-306</t>
  </si>
  <si>
    <t>OSEC-DILGB-ADA6-100-2005</t>
  </si>
  <si>
    <t>LUCIO</t>
  </si>
  <si>
    <t>LUCIO, Arthur Ambros</t>
  </si>
  <si>
    <t>173-560-186</t>
  </si>
  <si>
    <t>OSEC-DILGB-ADA6-101-2005</t>
  </si>
  <si>
    <t>ALOCOD</t>
  </si>
  <si>
    <t>James</t>
  </si>
  <si>
    <t>Y</t>
  </si>
  <si>
    <t>ALOCOD, James Yangos</t>
  </si>
  <si>
    <t>127-934-076</t>
  </si>
  <si>
    <t>OSEC-DILGB-ADA6-102-2005</t>
  </si>
  <si>
    <t>NABALLIN, Gilbert Naboye (vacant 3-1-07)</t>
  </si>
  <si>
    <t xml:space="preserve">Katherine P. Deduque     </t>
  </si>
  <si>
    <t>From ADA6-94 RO FOR ASSESSMENT</t>
  </si>
  <si>
    <t>OSEC-DILGB-ADA6-103-2005</t>
  </si>
  <si>
    <t>BACDAYAN</t>
  </si>
  <si>
    <t>Wilfred</t>
  </si>
  <si>
    <t>BACDAYAN, Wilfredo R</t>
  </si>
  <si>
    <t>172-556-031</t>
  </si>
  <si>
    <t>OSEC-DILGB-ADA4-88-2005</t>
  </si>
  <si>
    <t>LOBUSTA, Nenette Flores (Vacant)</t>
  </si>
  <si>
    <t>OSEC-DILGB-ADA4-89-2005</t>
  </si>
  <si>
    <t>OSEC-DILGB-ADA4-90-2005</t>
  </si>
  <si>
    <t>BALASO</t>
  </si>
  <si>
    <t>Gina</t>
  </si>
  <si>
    <t>BALASO, Gina Garcia</t>
  </si>
  <si>
    <t>187-267-196</t>
  </si>
  <si>
    <t>OSEC-DILGB-ADA4-91-2005</t>
  </si>
  <si>
    <t>OSEC-DILGB-ADA4-92-2005</t>
  </si>
  <si>
    <t>OSEC-DILGB-ADA4-93-2005</t>
  </si>
  <si>
    <t>LUMA-ANG</t>
  </si>
  <si>
    <t>Randy</t>
  </si>
  <si>
    <t>LUMA-ANG, Randy Thomas</t>
  </si>
  <si>
    <t>923-770-224</t>
  </si>
  <si>
    <t>OSEC-DILGB-ADA4-94-2005</t>
  </si>
  <si>
    <t>OSEC-DILGB-ADA3-62-2005</t>
  </si>
  <si>
    <t>Benelito</t>
  </si>
  <si>
    <t>MICU, Benelito de Jesus</t>
  </si>
  <si>
    <t>926-259-584</t>
  </si>
  <si>
    <t>MC 10</t>
  </si>
  <si>
    <r>
      <rPr>
        <sz val="8"/>
        <rFont val="Tahoma"/>
        <charset val="134"/>
      </rPr>
      <t xml:space="preserve">Administrative Aide III </t>
    </r>
    <r>
      <rPr>
        <b/>
        <i/>
        <sz val="8"/>
        <rFont val="Tahoma"/>
        <charset val="134"/>
      </rPr>
      <t>CTI</t>
    </r>
  </si>
  <si>
    <t>OSEC-DILGB-ADA3-63-2005</t>
  </si>
  <si>
    <t>BRIONES, Rolando Atmosfera</t>
  </si>
  <si>
    <t>127-933-322</t>
  </si>
  <si>
    <t>OSEC-DILGB-ADA3-64-2005</t>
  </si>
  <si>
    <t>BALTING</t>
  </si>
  <si>
    <t>Jason</t>
  </si>
  <si>
    <t>BALTING, Jason Saingan</t>
  </si>
  <si>
    <t>917-898-818</t>
  </si>
  <si>
    <t>OSEC-DILGB-ADA3-65-2005</t>
  </si>
  <si>
    <t>SANCHEZ</t>
  </si>
  <si>
    <t>Roland</t>
  </si>
  <si>
    <t>SANCHEZ, Roland Waking</t>
  </si>
  <si>
    <t>127-934-093</t>
  </si>
  <si>
    <t>OSEC-DILGB-ADA3-66-2005</t>
  </si>
  <si>
    <t>INHUMANG</t>
  </si>
  <si>
    <t>Julius</t>
  </si>
  <si>
    <t>INHUMANG, Julius Chacha-an</t>
  </si>
  <si>
    <t>148-087-035</t>
  </si>
  <si>
    <t>OSEC-DILGB-ADA3-67-2005</t>
  </si>
  <si>
    <t>micu</t>
  </si>
  <si>
    <t>OSEC-DILGB-ADA3-68-2005</t>
  </si>
  <si>
    <t>BARGAS</t>
  </si>
  <si>
    <t>Carlos</t>
  </si>
  <si>
    <t>BARGAS, Carlos Pe Benito</t>
  </si>
  <si>
    <t>127-934-891</t>
  </si>
  <si>
    <t>OSEC-DILGB-ADA2-56-2005</t>
  </si>
  <si>
    <t>TALUPA</t>
  </si>
  <si>
    <t>TALUPA, Johnny Widchong</t>
  </si>
  <si>
    <t>127-934-356</t>
  </si>
  <si>
    <t>CAT 111</t>
  </si>
  <si>
    <t>OSEC-DILGB-ADA2-57-2005</t>
  </si>
  <si>
    <t>FERNANDO</t>
  </si>
  <si>
    <t>FERNANDO, Marvin Flores</t>
  </si>
  <si>
    <t>127-934-604</t>
  </si>
  <si>
    <t>CAT III</t>
  </si>
  <si>
    <t xml:space="preserve">Administrative Aide II   </t>
  </si>
  <si>
    <t>OSEC-DILGB-ADA2-58-2005</t>
  </si>
  <si>
    <t>ADAME</t>
  </si>
  <si>
    <t>Melchor</t>
  </si>
  <si>
    <t>ADAME, Melchor Trinidad</t>
  </si>
  <si>
    <t>127-933-330</t>
  </si>
  <si>
    <t>OSEC-DILGB-ADA2-59-2005</t>
  </si>
  <si>
    <t>CUYUGAN</t>
  </si>
  <si>
    <t>Joselita</t>
  </si>
  <si>
    <t>CUYUGAN, Joselita Rescopin</t>
  </si>
  <si>
    <t>905-491-768</t>
  </si>
  <si>
    <t>OSEC-DILGB-ADA2-60-2005</t>
  </si>
  <si>
    <t>VENTURINA</t>
  </si>
  <si>
    <t>VENTURINA, Randy Martin</t>
  </si>
  <si>
    <t>176-642-276</t>
  </si>
  <si>
    <t>OSEC-DILGB-ADA2-61-2005</t>
  </si>
  <si>
    <t>BANDONILL</t>
  </si>
  <si>
    <t>Jayvee</t>
  </si>
  <si>
    <t>BANDONILL, Jayvee Miranda</t>
  </si>
  <si>
    <t>127-934-106</t>
  </si>
  <si>
    <t>To CSC Pool</t>
  </si>
  <si>
    <t>OSEC-DILGB-ADA1-28-2005</t>
  </si>
  <si>
    <t>y lang</t>
  </si>
  <si>
    <t>Crisanto</t>
  </si>
  <si>
    <t>SAINGAN, Crisanto Ingosan</t>
  </si>
  <si>
    <r>
      <rPr>
        <sz val="8"/>
        <rFont val="Tahoma"/>
        <charset val="134"/>
      </rPr>
      <t xml:space="preserve">Administrative Aide I </t>
    </r>
    <r>
      <rPr>
        <b/>
        <i/>
        <sz val="8"/>
        <rFont val="Tahoma"/>
        <charset val="134"/>
      </rPr>
      <t>CTI</t>
    </r>
  </si>
  <si>
    <t>OSEC-DILGB-ADA1-29-2005</t>
  </si>
  <si>
    <t>DANGEL</t>
  </si>
  <si>
    <t>Merlyn</t>
  </si>
  <si>
    <t>DANGEL, Merlyn Majuray</t>
  </si>
  <si>
    <t>905-491-770</t>
  </si>
  <si>
    <t>OSEC-DILGB-ADA1-30-2005</t>
  </si>
  <si>
    <t>LOMAS-E</t>
  </si>
  <si>
    <t>Wilmon</t>
  </si>
  <si>
    <t>LOMAS-E, Wilmon Finotton</t>
  </si>
  <si>
    <t>168-060-756</t>
  </si>
  <si>
    <t>OSEC-DILGB-ADA1-31-2005</t>
  </si>
  <si>
    <t>BUYUCCAN</t>
  </si>
  <si>
    <t>Joseph</t>
  </si>
  <si>
    <t>127-932-364</t>
  </si>
  <si>
    <t>OSEC-DILGB-ADA1-32-2005</t>
  </si>
  <si>
    <t>KIBAYEN</t>
  </si>
  <si>
    <t>Nelson</t>
  </si>
  <si>
    <t>KIBAYEN, Nelson Malnawan</t>
  </si>
  <si>
    <t>172-556-048</t>
  </si>
  <si>
    <t>OSEC-DILGB-ADA1-33-2005</t>
  </si>
  <si>
    <t>Suzette</t>
  </si>
  <si>
    <t>BRAGAS, Suzette Dela Cruz</t>
  </si>
  <si>
    <t>Total</t>
  </si>
  <si>
    <t>PREPARED BY:</t>
  </si>
  <si>
    <t xml:space="preserve">                                                                 </t>
  </si>
  <si>
    <t>NORMAN I. BARNACHEA</t>
  </si>
  <si>
    <t>Administrative Officer V (HRMO)</t>
  </si>
  <si>
    <t>`</t>
  </si>
  <si>
    <t>POSITION</t>
  </si>
  <si>
    <t>SG</t>
  </si>
  <si>
    <t>LGOO V</t>
  </si>
  <si>
    <t>OSEC-DILGB-LGOO6-71-2017</t>
  </si>
  <si>
    <t>LGOO VI</t>
  </si>
  <si>
    <t>Promotion</t>
  </si>
  <si>
    <t>OSEC-DILGB-LGOO6-72-2017</t>
  </si>
  <si>
    <t>CENU, Merina Bagasol</t>
  </si>
  <si>
    <t>BENGUET</t>
  </si>
  <si>
    <t>OSEC-DILGB-LGOO6-73-2017</t>
  </si>
  <si>
    <t>OSEC-DILGB-LGOO6-74-2017</t>
  </si>
  <si>
    <t>OSEC-DILGB-LGOO6-70-2017</t>
  </si>
  <si>
    <t>BARRERAS, Janice Cristine Dela Cruz</t>
  </si>
  <si>
    <t>OSEC-DILGB-LGOO6-20-2017</t>
  </si>
  <si>
    <t>VILLAMOR, Juvenal Hufano</t>
  </si>
  <si>
    <t>OSEC-DILGB-LGOO6-1-2017</t>
  </si>
  <si>
    <t>OSEC-DILGB-LGOO6-2-2017</t>
  </si>
  <si>
    <t>OSEC-DILGB-LGOO6-3-2017</t>
  </si>
  <si>
    <t>ABADEZA, Charisma Salimbay</t>
  </si>
  <si>
    <t>OSEC-DILGB-LGOO6-4-2017</t>
  </si>
  <si>
    <t>OSEC-DILGB-LGOO6-5-2017</t>
  </si>
  <si>
    <t>BERNARDEZ, Viva Ascension Zapata</t>
  </si>
  <si>
    <t>OSEC-DILGB-LGOO6-6-2017</t>
  </si>
  <si>
    <t>OSEC-DILGB-LGOO6-7-2017</t>
  </si>
  <si>
    <t>OSEC-DILGB-LGOO6-8-2017</t>
  </si>
  <si>
    <t>OSEC-DILGB-LGOO6-9-2017</t>
  </si>
  <si>
    <t>CALINA, Crescencio II Benauro</t>
  </si>
  <si>
    <t>OSEC-DILGB-LGOO6-10-2017</t>
  </si>
  <si>
    <t>OSEC-DILGB-LGOO6-11-2017</t>
  </si>
  <si>
    <t>OSEC-DILGB-LGOO6-12-2017</t>
  </si>
  <si>
    <t>OSEC-DILGB-LGOO6-13-2017</t>
  </si>
  <si>
    <t>OSEC-DILGB-LGOO6-14-2017</t>
  </si>
  <si>
    <t>OSEC-DILGB-LGOO6-15-2017</t>
  </si>
  <si>
    <t>OSEC-DILGB-LGOO6-16-2017</t>
  </si>
  <si>
    <t>OSEC-DILGB-LGOO6-17-2017</t>
  </si>
  <si>
    <t>OSEC-DILGB-LGOO6-21-2017</t>
  </si>
  <si>
    <t>OSEC-DILGB-LGOO6-18-2017</t>
  </si>
  <si>
    <t>MAYMAYA, Johnny Jr. Mukay</t>
  </si>
  <si>
    <t>OSEC-DILGB-LGOO6-19-2017</t>
  </si>
  <si>
    <t>OSEC-DILGB-LGOO6-22-2017</t>
  </si>
  <si>
    <t>OSEC-DILGB-LGOO6-23-2017</t>
  </si>
  <si>
    <t>MONREAL, Prescila Alzate</t>
  </si>
  <si>
    <t>OSEC-DILGB-LGOO6-24-2017</t>
  </si>
  <si>
    <t>APAYAO</t>
  </si>
  <si>
    <t>OSEC-DILGB-LGOO6-25-2017</t>
  </si>
  <si>
    <t>OSEC-DILGB-LGOO6-26-2017</t>
  </si>
  <si>
    <t>OSEC-DILGB-LGOO6-36-2017</t>
  </si>
  <si>
    <t>VISITACION, Rhiener Cardenas</t>
  </si>
  <si>
    <t>OSEC-DILGB-LGOO6-37-2017</t>
  </si>
  <si>
    <t>OSEC-DILGB-LGOO6-38-2017</t>
  </si>
  <si>
    <t>OSEC-DILGB-LGOO6-39-2017</t>
  </si>
  <si>
    <t>OSEC-DILGB-LGOO6-42-2017</t>
  </si>
  <si>
    <t>OSEC-DILGB-LGOO6-27-2017</t>
  </si>
  <si>
    <t>SAHOY, Jonilou Fukai</t>
  </si>
  <si>
    <t>OSEC-DILGB-LGOO6-28-2017</t>
  </si>
  <si>
    <t>OSEC-DILGB-LGOO6-29-2017</t>
  </si>
  <si>
    <t>OSEC-DILGB-LGOO6-30-2017</t>
  </si>
  <si>
    <t>OSEC-DILGB-LGOO6-31-2017</t>
  </si>
  <si>
    <t>OSEC-DILGB-LGOO6-32-2017</t>
  </si>
  <si>
    <t>OSEC-DILGB-LGOO6-33-2017</t>
  </si>
  <si>
    <t>MONAYAO, Jeda Paulha</t>
  </si>
  <si>
    <t>OSEC-DILGB-LGOO6-34-2017</t>
  </si>
  <si>
    <t>OSEC-DILGB-LGOO6-35-2017</t>
  </si>
  <si>
    <t>OSEC-DILGB-LGOO6-40-2017</t>
  </si>
  <si>
    <t>OSEC-DILGB-LGOO6-41-2017</t>
  </si>
  <si>
    <t>IFUGAO</t>
  </si>
  <si>
    <t>OSEC-DILGB-LGOO6-43-2017</t>
  </si>
  <si>
    <t>LORENZO, Elizabeth Perpetua Baylon</t>
  </si>
  <si>
    <t>OSEC-DILGB-LGOO6-44-2017</t>
  </si>
  <si>
    <t>BULAYUNGAN, Isabel Allaga</t>
  </si>
  <si>
    <t>OSEC-DILGB-LGOO6-45-2017</t>
  </si>
  <si>
    <t>OSEC-DILGB-LGOO6-46-2017</t>
  </si>
  <si>
    <t>OSEC-DILGB-LGOO6-47-2017</t>
  </si>
  <si>
    <t>OSEC-DILGB-LGOO6-48-2017</t>
  </si>
  <si>
    <t>OSEC-DILGB-LGOO6-49-2017</t>
  </si>
  <si>
    <t>APLOSEN, Roselle Nanglegan</t>
  </si>
  <si>
    <t>OSEC-DILGB-LGOO6-50-2017</t>
  </si>
  <si>
    <t>OSEC-DILGB-LGOO6-51-2017</t>
  </si>
  <si>
    <t>OSEC-DILGB-LGOO6-52-2017</t>
  </si>
  <si>
    <t>OSEC-DILGB-LGOO6-53-2017</t>
  </si>
  <si>
    <t>KALINGA</t>
  </si>
  <si>
    <t>LUCAS, Chris Berana</t>
  </si>
  <si>
    <t>OSEC-DILGB-LGOO6-54-2017</t>
  </si>
  <si>
    <t>OSEC-DILGB-LGOO6-55-2017</t>
  </si>
  <si>
    <t>OSEC-DILGB-LGOO6-56-2017</t>
  </si>
  <si>
    <t>OSEC-DILGB-LGOO6-57-2017</t>
  </si>
  <si>
    <t>OSEC-DILGB-LGOO6-58-2017</t>
  </si>
  <si>
    <t>OSEC-DILGB-LGOO6-59-2017</t>
  </si>
  <si>
    <t>OSEC-DILGB-LGOO6-60-2017</t>
  </si>
  <si>
    <t>OSEC-DILGB-LGOO6-61-2017</t>
  </si>
  <si>
    <t>FEGCAN, Erwin Gerald Talusig</t>
  </si>
  <si>
    <t>OSEC-DILGB-LGOO6-62-2017</t>
  </si>
  <si>
    <t>OSEC-DILGB-LGOO6-63-2017</t>
  </si>
  <si>
    <t>OSEC-DILGB-LGOO6-64-2017</t>
  </si>
  <si>
    <t>OSEC-DILGB-LGOO6-65-2017</t>
  </si>
  <si>
    <t>OSEC-DILGB-LGOO6-66-2017</t>
  </si>
  <si>
    <t>OSEC-DILGB-LGOO6-67-2017</t>
  </si>
  <si>
    <t>OSEC-DILGB-LGOO6-68-2017</t>
  </si>
  <si>
    <t>OSEC-DILGB-LGOO6-69-2017</t>
  </si>
  <si>
    <t>OSEC-DILGB-LGOO5-99-2010</t>
  </si>
  <si>
    <t>ESTELON, Juvy Jane Dumapay</t>
  </si>
  <si>
    <t>ALVAREZ, Kristoffer Dave Rigonan</t>
  </si>
  <si>
    <t>OSEC-DILGB-LGOO5-100-2010</t>
  </si>
  <si>
    <t>OSEC-DILGB-LGOO5-101-2010</t>
  </si>
  <si>
    <t>VALERA, Sharima Tomas</t>
  </si>
  <si>
    <t>OSEC-DILGB-LGOO5-877-1998</t>
  </si>
  <si>
    <t>MANGANGEY, Robert Jr. Palog</t>
  </si>
  <si>
    <t>CHUNANON, Kliene Pasaraba</t>
  </si>
  <si>
    <t>LIST OF JOB ORDER/CONTRACT OF SERVICE/MOA PERSONNEL</t>
  </si>
  <si>
    <t>DEPARTMENT OF THE INTERIOR AND LOCAL GOVERNMENT</t>
  </si>
  <si>
    <t>Cordillera Administrative Region</t>
  </si>
  <si>
    <t>NO.</t>
  </si>
  <si>
    <t>SURNAME</t>
  </si>
  <si>
    <t>FIRSTNAME</t>
  </si>
  <si>
    <t>MIDDLE INITIAL</t>
  </si>
  <si>
    <t>Date of Birth</t>
  </si>
  <si>
    <t>Age</t>
  </si>
  <si>
    <t>Sex</t>
  </si>
  <si>
    <t>Level of CS Eligibility</t>
  </si>
  <si>
    <t>Work Status</t>
  </si>
  <si>
    <t>Level</t>
  </si>
  <si>
    <t xml:space="preserve"> Start date</t>
  </si>
  <si>
    <t xml:space="preserve"> End date</t>
  </si>
  <si>
    <t>2018 1st Sem renewal</t>
  </si>
  <si>
    <t>No. of Years as JO/COS/ MOA</t>
  </si>
  <si>
    <t>Station</t>
  </si>
  <si>
    <t>Nature of Work</t>
  </si>
  <si>
    <t>Position Title</t>
  </si>
  <si>
    <t>Fund Source</t>
  </si>
  <si>
    <t>monthlu salary</t>
  </si>
  <si>
    <t>ID NUMBER</t>
  </si>
  <si>
    <t>Select</t>
  </si>
  <si>
    <t>Specify</t>
  </si>
  <si>
    <t>Allig</t>
  </si>
  <si>
    <t>Mike Collins</t>
  </si>
  <si>
    <t>None</t>
  </si>
  <si>
    <t>Contract of Service</t>
  </si>
  <si>
    <t>y</t>
  </si>
  <si>
    <t>Admin. Support Services</t>
  </si>
  <si>
    <t>Driver</t>
  </si>
  <si>
    <t>Regular Funds</t>
  </si>
  <si>
    <t>JO028</t>
  </si>
  <si>
    <t>Badcao</t>
  </si>
  <si>
    <t>Jacinto</t>
  </si>
  <si>
    <t>RA 1080 Civil Engineer</t>
  </si>
  <si>
    <t>Region</t>
  </si>
  <si>
    <t>Technical Services</t>
  </si>
  <si>
    <t>Engineer III</t>
  </si>
  <si>
    <t>LFP</t>
  </si>
  <si>
    <t>JO044</t>
  </si>
  <si>
    <t>Balatbat</t>
  </si>
  <si>
    <t>Jaime Jr.</t>
  </si>
  <si>
    <t>JO030</t>
  </si>
  <si>
    <t>Ballug</t>
  </si>
  <si>
    <t>Jan Michael</t>
  </si>
  <si>
    <t>DG</t>
  </si>
  <si>
    <t>Baguio</t>
  </si>
  <si>
    <t>JO037</t>
  </si>
  <si>
    <t>Blosan</t>
  </si>
  <si>
    <t>Engineer II</t>
  </si>
  <si>
    <t>JO048</t>
  </si>
  <si>
    <t>Bolhayon</t>
  </si>
  <si>
    <t>Jake</t>
  </si>
  <si>
    <t>Janitorial Services</t>
  </si>
  <si>
    <t>Utility/Janitor</t>
  </si>
  <si>
    <t>JO026</t>
  </si>
  <si>
    <t>=sumif(DATEDIF(O9,TODAY(),"Y")&gt;.99,concatenate((DATEDIF(O9,TODAY(),"Y")," yr")),(sumif(DATEDIF(O9,TODAY(),"Y")&lt;.99,concatenate((DATEDIF(O9,TODAY(),"M")," mo")),((sumif(DATEDIF(O9,TODAY(),"M")&lt;.99,concatenate((DATEDIF(O9,TODAY(),"D")," days")),((("no date")))</t>
  </si>
  <si>
    <t>Bumatay</t>
  </si>
  <si>
    <t>Michelle</t>
  </si>
  <si>
    <t>RA 1080 Sanitary Engineer</t>
  </si>
  <si>
    <t>JO019</t>
  </si>
  <si>
    <t>Bumosao</t>
  </si>
  <si>
    <t>Charles</t>
  </si>
  <si>
    <t>JO017</t>
  </si>
  <si>
    <t>Castro</t>
  </si>
  <si>
    <t>Angeline</t>
  </si>
  <si>
    <t>LET CSP CSSP</t>
  </si>
  <si>
    <t>Development Management Officer V</t>
  </si>
  <si>
    <t>CMGP/Kalsada</t>
  </si>
  <si>
    <t>JO051</t>
  </si>
  <si>
    <t>Colintas</t>
  </si>
  <si>
    <t>Aris</t>
  </si>
  <si>
    <t>IT Services</t>
  </si>
  <si>
    <t>ISA I</t>
  </si>
  <si>
    <t>JO018</t>
  </si>
  <si>
    <t>Culti</t>
  </si>
  <si>
    <t>Avery</t>
  </si>
  <si>
    <t>JO020</t>
  </si>
  <si>
    <t>Dalay-on</t>
  </si>
  <si>
    <t>Ivan Ley</t>
  </si>
  <si>
    <t>JO039</t>
  </si>
  <si>
    <t>Dangeo</t>
  </si>
  <si>
    <t>Delfin</t>
  </si>
  <si>
    <t>JO032</t>
  </si>
  <si>
    <t>Embargo</t>
  </si>
  <si>
    <t>Kennedy</t>
  </si>
  <si>
    <t>Security Services</t>
  </si>
  <si>
    <t>Watchman</t>
  </si>
  <si>
    <t>JO014</t>
  </si>
  <si>
    <t>Francia</t>
  </si>
  <si>
    <t>Cottage Caretaker</t>
  </si>
  <si>
    <t>JO010</t>
  </si>
  <si>
    <t>Garnace</t>
  </si>
  <si>
    <t>Baldo</t>
  </si>
  <si>
    <t>ADM Technical Support</t>
  </si>
  <si>
    <t>RPMT PDO</t>
  </si>
  <si>
    <t>BUB/ADM</t>
  </si>
  <si>
    <t>JO050</t>
  </si>
  <si>
    <t>Gatawa</t>
  </si>
  <si>
    <t>Jovany</t>
  </si>
  <si>
    <t>JO041</t>
  </si>
  <si>
    <t>Gernale</t>
  </si>
  <si>
    <t>Joe Pablo</t>
  </si>
  <si>
    <t>Professional</t>
  </si>
  <si>
    <t>Clerical Services</t>
  </si>
  <si>
    <t>Clerk</t>
  </si>
  <si>
    <t>JO023</t>
  </si>
  <si>
    <t>Haboc</t>
  </si>
  <si>
    <t>Felimon</t>
  </si>
  <si>
    <t>JO027</t>
  </si>
  <si>
    <t>Khayad</t>
  </si>
  <si>
    <t>Ivy Rose</t>
  </si>
  <si>
    <t>JO015</t>
  </si>
  <si>
    <t>Kibod</t>
  </si>
  <si>
    <t>Diego</t>
  </si>
  <si>
    <t>JO022</t>
  </si>
  <si>
    <t>Lagazo</t>
  </si>
  <si>
    <t>Annabelle</t>
  </si>
  <si>
    <t>JO040</t>
  </si>
  <si>
    <t>Lawagan</t>
  </si>
  <si>
    <t>Wilner</t>
  </si>
  <si>
    <t>JO029</t>
  </si>
  <si>
    <t>Macli-ing</t>
  </si>
  <si>
    <t>Giezzel</t>
  </si>
  <si>
    <t>JO031</t>
  </si>
  <si>
    <t>Miclat</t>
  </si>
  <si>
    <t>Reymarson</t>
  </si>
  <si>
    <t>Assistance to Municipalities</t>
  </si>
  <si>
    <t>CDO II</t>
  </si>
  <si>
    <t>JO045</t>
  </si>
  <si>
    <t>Moyaen</t>
  </si>
  <si>
    <t>Ariel</t>
  </si>
  <si>
    <t>JO011</t>
  </si>
  <si>
    <t>Carmen</t>
  </si>
  <si>
    <t xml:space="preserve">Social Worker </t>
  </si>
  <si>
    <t>RPMT Team Leader</t>
  </si>
  <si>
    <t>JO049</t>
  </si>
  <si>
    <t>Octaviano</t>
  </si>
  <si>
    <t>Julie Rose</t>
  </si>
  <si>
    <t>RA 1080 CPA</t>
  </si>
  <si>
    <t>Financial Analyst</t>
  </si>
  <si>
    <t>JO034</t>
  </si>
  <si>
    <t>Aljon Paulus</t>
  </si>
  <si>
    <t>Operations Support Services</t>
  </si>
  <si>
    <t>DB Administrator</t>
  </si>
  <si>
    <t>ISTMS</t>
  </si>
  <si>
    <t>JO043</t>
  </si>
  <si>
    <t>Siador</t>
  </si>
  <si>
    <t>Arlyn</t>
  </si>
  <si>
    <t>Sub-Professional</t>
  </si>
  <si>
    <t>JO024</t>
  </si>
  <si>
    <t>Taclawan</t>
  </si>
  <si>
    <t>Clifford</t>
  </si>
  <si>
    <t>JO016</t>
  </si>
  <si>
    <t>Talusig</t>
  </si>
  <si>
    <t>Trinidad</t>
  </si>
  <si>
    <t>JO012</t>
  </si>
  <si>
    <t>Tekwaban</t>
  </si>
  <si>
    <t>JO021</t>
  </si>
  <si>
    <t>Villaflor</t>
  </si>
  <si>
    <t>Nino Boyet</t>
  </si>
  <si>
    <t>JO036</t>
  </si>
  <si>
    <t>BIANGALEN</t>
  </si>
  <si>
    <t>Junnel</t>
  </si>
  <si>
    <t>JO077</t>
  </si>
  <si>
    <t>ALAGAO</t>
  </si>
  <si>
    <t>Jesus Fernan</t>
  </si>
  <si>
    <t>A.</t>
  </si>
  <si>
    <t>Community Devt Officer III</t>
  </si>
  <si>
    <t>JO078</t>
  </si>
  <si>
    <t>ANGWANI</t>
  </si>
  <si>
    <t>JO079</t>
  </si>
  <si>
    <t>KITONG</t>
  </si>
  <si>
    <t>ANGELIE</t>
  </si>
  <si>
    <t>Community Devt Officer II</t>
  </si>
  <si>
    <t>JO080</t>
  </si>
  <si>
    <t>AREOLA</t>
  </si>
  <si>
    <t xml:space="preserve">Mayjoy </t>
  </si>
  <si>
    <t>RA1080 Nursing</t>
  </si>
  <si>
    <t>JO081</t>
  </si>
  <si>
    <t>ENGELBERT JACK</t>
  </si>
  <si>
    <t>JO082</t>
  </si>
  <si>
    <t>ALLOPOG</t>
  </si>
  <si>
    <t>Cheryl</t>
  </si>
  <si>
    <t>JO083</t>
  </si>
  <si>
    <t>ALANGUI</t>
  </si>
  <si>
    <t>Karl Mico</t>
  </si>
  <si>
    <t>JO084</t>
  </si>
  <si>
    <t>CABBIGAT</t>
  </si>
  <si>
    <t xml:space="preserve">Ramses </t>
  </si>
  <si>
    <t>JO085</t>
  </si>
  <si>
    <t>LIM-ANG</t>
  </si>
  <si>
    <t>Lynette Rochelle</t>
  </si>
  <si>
    <t>JO086</t>
  </si>
  <si>
    <t>LEAL</t>
  </si>
  <si>
    <t>Lily</t>
  </si>
  <si>
    <t>JO087</t>
  </si>
  <si>
    <t>NASUNGAN</t>
  </si>
  <si>
    <t>Giovanni</t>
  </si>
  <si>
    <t>JO088</t>
  </si>
  <si>
    <t>JO089</t>
  </si>
  <si>
    <t>JO090</t>
  </si>
  <si>
    <t>LABADCHAN</t>
  </si>
  <si>
    <t>AISHA</t>
  </si>
  <si>
    <t>ADA IV</t>
  </si>
  <si>
    <t>JO091</t>
  </si>
  <si>
    <t>DULLIN</t>
  </si>
  <si>
    <t>IRENE</t>
  </si>
  <si>
    <t>JO094</t>
  </si>
  <si>
    <t>CARLITO</t>
  </si>
  <si>
    <t>JO095</t>
  </si>
  <si>
    <t>abra</t>
  </si>
  <si>
    <t>JO096</t>
  </si>
  <si>
    <t>DONG-LA</t>
  </si>
  <si>
    <t>JOECLE</t>
  </si>
  <si>
    <t>Legal Services</t>
  </si>
  <si>
    <t>ATTY IV</t>
  </si>
  <si>
    <t>58++</t>
  </si>
  <si>
    <t>JO097</t>
  </si>
  <si>
    <t>BOGNADON</t>
  </si>
  <si>
    <t>Kylee Russel</t>
  </si>
  <si>
    <t>JO098</t>
  </si>
  <si>
    <t>Mandras</t>
  </si>
  <si>
    <t>Luisito</t>
  </si>
  <si>
    <t>JO042</t>
  </si>
  <si>
    <t>for recontracting once the nene pimentel hall is ready</t>
  </si>
  <si>
    <t>Ambuyat</t>
  </si>
  <si>
    <t>COS</t>
  </si>
  <si>
    <t>Utility Worker</t>
  </si>
  <si>
    <t>JO092</t>
  </si>
  <si>
    <t>Bulligan</t>
  </si>
  <si>
    <t>Luis Jr.</t>
  </si>
  <si>
    <t>JO100</t>
  </si>
  <si>
    <t>Dongla</t>
  </si>
  <si>
    <t>Joecle</t>
  </si>
  <si>
    <t>BAR Exam</t>
  </si>
  <si>
    <t>Atty. IV</t>
  </si>
  <si>
    <t>Parrocha</t>
  </si>
  <si>
    <t>Reynold</t>
  </si>
  <si>
    <t>JO101</t>
  </si>
  <si>
    <t>Tayaban</t>
  </si>
  <si>
    <t>Irene</t>
  </si>
  <si>
    <t>JO102</t>
  </si>
  <si>
    <t>Prepared by</t>
  </si>
  <si>
    <t>overall</t>
  </si>
  <si>
    <t>a</t>
  </si>
  <si>
    <t>2nd level</t>
  </si>
  <si>
    <t>Admiistrative Officer V</t>
  </si>
  <si>
    <t>1st level</t>
  </si>
  <si>
    <t>Id number</t>
  </si>
  <si>
    <t>Dolaoen</t>
  </si>
  <si>
    <t>Osborne</t>
  </si>
  <si>
    <t>2y 2m 37d</t>
  </si>
  <si>
    <t>resigned</t>
  </si>
  <si>
    <t>Inocente</t>
  </si>
  <si>
    <t>Jay</t>
  </si>
  <si>
    <t>0y 6m 3d</t>
  </si>
  <si>
    <t>Mordido</t>
  </si>
  <si>
    <t>Lorenzo</t>
  </si>
  <si>
    <t>0y 10m 18d</t>
  </si>
  <si>
    <t>Utility/Gardener</t>
  </si>
  <si>
    <t>not renewed</t>
  </si>
  <si>
    <t>Pultz</t>
  </si>
  <si>
    <t>Chandolph</t>
  </si>
  <si>
    <t>3y 3m 31d</t>
  </si>
  <si>
    <t>Madalang</t>
  </si>
  <si>
    <t>Renz Audrey</t>
  </si>
  <si>
    <t>Piluden</t>
  </si>
  <si>
    <t>Kareen</t>
  </si>
  <si>
    <t>Resigned</t>
  </si>
  <si>
    <t>Pongas</t>
  </si>
  <si>
    <t>Mike Burton</t>
  </si>
  <si>
    <t>RA 1080  Bar</t>
  </si>
  <si>
    <t>new 2017</t>
  </si>
  <si>
    <t>N/A</t>
  </si>
  <si>
    <t>Support to Operations</t>
  </si>
  <si>
    <t>Atty II</t>
  </si>
  <si>
    <t>JO035</t>
  </si>
  <si>
    <t>El-wood Duane</t>
  </si>
  <si>
    <t>JO013</t>
  </si>
  <si>
    <t>Absorbed as CTO</t>
  </si>
  <si>
    <t>Dupilpil</t>
  </si>
  <si>
    <t>Cherry</t>
  </si>
  <si>
    <t>JO033</t>
  </si>
  <si>
    <t>OK</t>
  </si>
  <si>
    <t>Sison</t>
  </si>
  <si>
    <t>JO025</t>
  </si>
  <si>
    <t>Bannawe</t>
  </si>
  <si>
    <t>Aubrey Keren Jill</t>
  </si>
  <si>
    <t>RA 1080 Architect</t>
  </si>
  <si>
    <t>Architect III</t>
  </si>
  <si>
    <t>JO038</t>
  </si>
  <si>
    <t>Rimando</t>
  </si>
  <si>
    <t>JO046</t>
  </si>
  <si>
    <t>ALITA</t>
  </si>
  <si>
    <t>Jaysan</t>
  </si>
  <si>
    <t>MasaMasid Tech Support</t>
  </si>
  <si>
    <t>Community Facilitator</t>
  </si>
  <si>
    <t>Masa-Masid</t>
  </si>
  <si>
    <t>JO054</t>
  </si>
  <si>
    <t>BAGAYAO</t>
  </si>
  <si>
    <t>Clever</t>
  </si>
  <si>
    <t>JO055</t>
  </si>
  <si>
    <t>BAGUIDUDOL</t>
  </si>
  <si>
    <t>Noeliza</t>
  </si>
  <si>
    <t>RA6506 Criminology</t>
  </si>
  <si>
    <t>JO056</t>
  </si>
  <si>
    <t>CS Professional</t>
  </si>
  <si>
    <t>JO074</t>
  </si>
  <si>
    <t>BAÑEZ</t>
  </si>
  <si>
    <t>Jenniefer</t>
  </si>
  <si>
    <t>JO057</t>
  </si>
  <si>
    <t>BARREYRO</t>
  </si>
  <si>
    <t>Eunice</t>
  </si>
  <si>
    <t>JO058</t>
  </si>
  <si>
    <t>BLAZA</t>
  </si>
  <si>
    <t>Gwen Noralie</t>
  </si>
  <si>
    <t>JO059</t>
  </si>
  <si>
    <t>Jenna Marie</t>
  </si>
  <si>
    <t>RA1080 Teacher</t>
  </si>
  <si>
    <t>JO060</t>
  </si>
  <si>
    <t>CHOEGSAN</t>
  </si>
  <si>
    <t>Glenn</t>
  </si>
  <si>
    <t>JO061</t>
  </si>
  <si>
    <t>DAMIAN</t>
  </si>
  <si>
    <t>Kristine Valerie</t>
  </si>
  <si>
    <t>JO062</t>
  </si>
  <si>
    <t>DELSON</t>
  </si>
  <si>
    <t>Joselle Avery</t>
  </si>
  <si>
    <t>JO063</t>
  </si>
  <si>
    <t>DURAN</t>
  </si>
  <si>
    <t>Norberto</t>
  </si>
  <si>
    <t>JO064</t>
  </si>
  <si>
    <t>ESTANISLAO</t>
  </si>
  <si>
    <t>Maria Iza Brigitte</t>
  </si>
  <si>
    <t>JO065</t>
  </si>
  <si>
    <t>FASONGIT</t>
  </si>
  <si>
    <t>Lourdes</t>
  </si>
  <si>
    <t>JO066</t>
  </si>
  <si>
    <t>GULLOD</t>
  </si>
  <si>
    <t>Ametyst</t>
  </si>
  <si>
    <t>JO067</t>
  </si>
  <si>
    <t>HILARIO</t>
  </si>
  <si>
    <t xml:space="preserve">Charlene Ann </t>
  </si>
  <si>
    <t>JO068</t>
  </si>
  <si>
    <t>HUMIWAT</t>
  </si>
  <si>
    <t>Michael</t>
  </si>
  <si>
    <t>JO069</t>
  </si>
  <si>
    <t>MANGWAG</t>
  </si>
  <si>
    <t>Melvin-Lee</t>
  </si>
  <si>
    <t>JO070</t>
  </si>
  <si>
    <t>PADILLA</t>
  </si>
  <si>
    <t>Jomar</t>
  </si>
  <si>
    <t>JO071</t>
  </si>
  <si>
    <t>SOLINEN</t>
  </si>
  <si>
    <t xml:space="preserve">Sharmaigne </t>
  </si>
  <si>
    <t>JO072</t>
  </si>
  <si>
    <t>TOSAY</t>
  </si>
  <si>
    <t>Clarise</t>
  </si>
  <si>
    <t>JO073</t>
  </si>
  <si>
    <t>GOMUAD</t>
  </si>
  <si>
    <t>Diamond</t>
  </si>
  <si>
    <t>Project Evaluation Officer</t>
  </si>
  <si>
    <t>JO075</t>
  </si>
  <si>
    <t>TEMPORAL</t>
  </si>
  <si>
    <t>Dave Alfred</t>
  </si>
  <si>
    <t>JO076</t>
  </si>
  <si>
    <t>Aron</t>
  </si>
  <si>
    <t>Robelyn</t>
  </si>
  <si>
    <t>KIA/WIA Beneficiary</t>
  </si>
  <si>
    <t>JO047</t>
  </si>
  <si>
    <t>Damasen</t>
  </si>
  <si>
    <t>Jovena</t>
  </si>
  <si>
    <t>Regional Facilitator</t>
  </si>
  <si>
    <t>JO052</t>
  </si>
  <si>
    <t>Dullin</t>
  </si>
  <si>
    <t>TEJADA</t>
  </si>
  <si>
    <t>DIANNE</t>
  </si>
  <si>
    <t>JO093</t>
  </si>
  <si>
    <t>Monthly Salary</t>
  </si>
  <si>
    <t>End</t>
  </si>
  <si>
    <t>RF</t>
  </si>
  <si>
    <t>none</t>
  </si>
  <si>
    <t>Clerk II</t>
  </si>
  <si>
    <t>ADAS II</t>
  </si>
  <si>
    <t>LAST NAME</t>
  </si>
  <si>
    <t>FIRST NAME</t>
  </si>
  <si>
    <t>MIDDLE NAME</t>
  </si>
  <si>
    <t>IRINGAN</t>
  </si>
  <si>
    <t>Marlo</t>
  </si>
  <si>
    <t>Lingan</t>
  </si>
  <si>
    <t>Arizabal</t>
  </si>
  <si>
    <t>Zapata</t>
  </si>
  <si>
    <t>Lebbet</t>
  </si>
  <si>
    <t>Hiadan</t>
  </si>
  <si>
    <t>Tejero</t>
  </si>
  <si>
    <t>Amanonce</t>
  </si>
  <si>
    <t>Cagurangan</t>
  </si>
  <si>
    <t>Alzate</t>
  </si>
  <si>
    <t>Pinlac</t>
  </si>
  <si>
    <t>Badere</t>
  </si>
  <si>
    <t>Allaga</t>
  </si>
  <si>
    <t>Chulipa</t>
  </si>
  <si>
    <t>Linggon</t>
  </si>
  <si>
    <t>Colabot</t>
  </si>
  <si>
    <t>Lucob</t>
  </si>
  <si>
    <t>Elizabeth Perpetua</t>
  </si>
  <si>
    <t>Baylon</t>
  </si>
  <si>
    <t>Garcia</t>
  </si>
  <si>
    <t>Barbieto</t>
  </si>
  <si>
    <t>Pascua</t>
  </si>
  <si>
    <t>Montano</t>
  </si>
  <si>
    <t>Bantiyan</t>
  </si>
  <si>
    <t>Shirley Evangeline</t>
  </si>
  <si>
    <t>Vergara</t>
  </si>
  <si>
    <t>Bumidang</t>
  </si>
  <si>
    <t>Atmosfera</t>
  </si>
  <si>
    <t>Marigza</t>
  </si>
  <si>
    <t>Mensi</t>
  </si>
  <si>
    <t>Rontos</t>
  </si>
  <si>
    <t>Aquino</t>
  </si>
  <si>
    <t>Quemerista</t>
  </si>
  <si>
    <t>Cruz</t>
  </si>
  <si>
    <t>Hernandez</t>
  </si>
  <si>
    <t>Aglano</t>
  </si>
  <si>
    <t>Daupan</t>
  </si>
  <si>
    <t>Amoy</t>
  </si>
  <si>
    <t>Nayahangan</t>
  </si>
  <si>
    <t>Benlangan</t>
  </si>
  <si>
    <t>ALIÑO</t>
  </si>
  <si>
    <t>Rubio</t>
  </si>
  <si>
    <t>Flores</t>
  </si>
  <si>
    <t>Gacuya</t>
  </si>
  <si>
    <t>Saguid</t>
  </si>
  <si>
    <t>Malnawan</t>
  </si>
  <si>
    <t>Ramirez</t>
  </si>
  <si>
    <t>Adeban</t>
  </si>
  <si>
    <t>Bamba</t>
  </si>
  <si>
    <t>Ged-ang</t>
  </si>
  <si>
    <t>Malinay</t>
  </si>
  <si>
    <t>Anthony Manolo</t>
  </si>
  <si>
    <t>Ilacad</t>
  </si>
  <si>
    <t>Mayam-o</t>
  </si>
  <si>
    <t>Bolislis</t>
  </si>
  <si>
    <t>Ambat</t>
  </si>
  <si>
    <t>Laayon</t>
  </si>
  <si>
    <t>Capiato</t>
  </si>
  <si>
    <t>Uemura</t>
  </si>
  <si>
    <t>Lestino</t>
  </si>
  <si>
    <t>Barbasa</t>
  </si>
  <si>
    <t>Ronquillo</t>
  </si>
  <si>
    <t>Astudillo</t>
  </si>
  <si>
    <t>Madarcos</t>
  </si>
  <si>
    <t>Bigsang</t>
  </si>
  <si>
    <t>Samonte</t>
  </si>
  <si>
    <t>Kilayon</t>
  </si>
  <si>
    <t>Oga-oy</t>
  </si>
  <si>
    <t>Majuray</t>
  </si>
  <si>
    <t>Bermejo</t>
  </si>
  <si>
    <t>SAN JOSE</t>
  </si>
  <si>
    <t>Araceli</t>
  </si>
  <si>
    <t>Arruejo</t>
  </si>
  <si>
    <t>Delias</t>
  </si>
  <si>
    <t>Ballang</t>
  </si>
  <si>
    <t>Bomas-ang</t>
  </si>
  <si>
    <t>Gaddi</t>
  </si>
  <si>
    <t>Belingon</t>
  </si>
  <si>
    <t>Lingayo</t>
  </si>
  <si>
    <t>Javier</t>
  </si>
  <si>
    <t>Manuyag</t>
  </si>
  <si>
    <t>CAMACHO</t>
  </si>
  <si>
    <t>Laron</t>
  </si>
  <si>
    <t>Angeles</t>
  </si>
  <si>
    <t>Martinez</t>
  </si>
  <si>
    <t>Espita</t>
  </si>
  <si>
    <t>Prescilla</t>
  </si>
  <si>
    <t>Kitan</t>
  </si>
  <si>
    <t>Ancheta</t>
  </si>
  <si>
    <t>Castillo</t>
  </si>
  <si>
    <t>Bagasol</t>
  </si>
  <si>
    <t>Ambros</t>
  </si>
  <si>
    <t>Smith</t>
  </si>
  <si>
    <t>Himoldang</t>
  </si>
  <si>
    <t>Finotton</t>
  </si>
  <si>
    <t>Bejarin</t>
  </si>
  <si>
    <t>Lim</t>
  </si>
  <si>
    <t>Silvada</t>
  </si>
  <si>
    <t>Guidangen</t>
  </si>
  <si>
    <t>Addalay</t>
  </si>
  <si>
    <t>Mendoza</t>
  </si>
  <si>
    <t>Cobcobo</t>
  </si>
  <si>
    <t>Salimbay</t>
  </si>
  <si>
    <t>Bolda</t>
  </si>
  <si>
    <t>Alsiyao</t>
  </si>
  <si>
    <t>Gaw-i</t>
  </si>
  <si>
    <t>Bistayan</t>
  </si>
  <si>
    <t>Fanusan</t>
  </si>
  <si>
    <t>Bugagon</t>
  </si>
  <si>
    <t>BUENA</t>
  </si>
  <si>
    <t>Maria Consolacion</t>
  </si>
  <si>
    <t>Salibad</t>
  </si>
  <si>
    <t>Plazo</t>
  </si>
  <si>
    <t>Chan</t>
  </si>
  <si>
    <t>Bugtong</t>
  </si>
  <si>
    <t>Agustin</t>
  </si>
  <si>
    <t>Fanged</t>
  </si>
  <si>
    <t>Idica</t>
  </si>
  <si>
    <t>WONG</t>
  </si>
  <si>
    <t>Eustaquio</t>
  </si>
  <si>
    <t>Suaya</t>
  </si>
  <si>
    <t>Thomas</t>
  </si>
  <si>
    <t>Las-o</t>
  </si>
  <si>
    <t>Pandoyos</t>
  </si>
  <si>
    <t>APLOSEN</t>
  </si>
  <si>
    <t>Nanglegan</t>
  </si>
  <si>
    <t>Sokoken</t>
  </si>
  <si>
    <t>ESDEN</t>
  </si>
  <si>
    <t>Balabag</t>
  </si>
  <si>
    <t>ANGAWA</t>
  </si>
  <si>
    <t>Lilet</t>
  </si>
  <si>
    <t>Ahuday</t>
  </si>
  <si>
    <t>Daoas</t>
  </si>
  <si>
    <t>TON</t>
  </si>
  <si>
    <t>Janice Cristine</t>
  </si>
  <si>
    <t>Barreras</t>
  </si>
  <si>
    <t>LICYAYO</t>
  </si>
  <si>
    <t>Lablabong</t>
  </si>
  <si>
    <t>RAMIREZ</t>
  </si>
  <si>
    <t>Ronnel</t>
  </si>
  <si>
    <t>Fronda</t>
  </si>
  <si>
    <t>UCOL</t>
  </si>
  <si>
    <t>Edward Errol</t>
  </si>
  <si>
    <t>Bumanglag</t>
  </si>
  <si>
    <t>ABADEZA</t>
  </si>
  <si>
    <t>Charisma</t>
  </si>
  <si>
    <t>ALVAREZ</t>
  </si>
  <si>
    <t>Kristoffer Dave</t>
  </si>
  <si>
    <t>Rigonan</t>
  </si>
  <si>
    <t>DAEP</t>
  </si>
  <si>
    <t>Sherwin Ray</t>
  </si>
  <si>
    <t>Ochoco</t>
  </si>
  <si>
    <t>MAYMAYA</t>
  </si>
  <si>
    <t>Mukay</t>
  </si>
  <si>
    <t>VILLAMOR</t>
  </si>
  <si>
    <t>Juvenal</t>
  </si>
  <si>
    <t>Hufano</t>
  </si>
  <si>
    <t>CHUNANON</t>
  </si>
  <si>
    <t>Kliene</t>
  </si>
  <si>
    <t>Pasaraba</t>
  </si>
  <si>
    <t>NAMINGIT</t>
  </si>
  <si>
    <t>Gyda</t>
  </si>
  <si>
    <t>Hoggang</t>
  </si>
  <si>
    <t>ANGGADNA</t>
  </si>
  <si>
    <t>Mario Jr.</t>
  </si>
  <si>
    <t>Crescencio II</t>
  </si>
  <si>
    <t>Benauro</t>
  </si>
  <si>
    <t>ELVEÑA</t>
  </si>
  <si>
    <t>Hanna Lynel</t>
  </si>
  <si>
    <t>Gullayan</t>
  </si>
  <si>
    <t>ESTELON</t>
  </si>
  <si>
    <t>Juvy Jane</t>
  </si>
  <si>
    <t>Dumapay</t>
  </si>
  <si>
    <t>Erwin Gerald</t>
  </si>
  <si>
    <t>Jeda</t>
  </si>
  <si>
    <t>Paulha</t>
  </si>
  <si>
    <t>VISITACION</t>
  </si>
  <si>
    <t>Rhiener</t>
  </si>
  <si>
    <t>Cardenas</t>
  </si>
  <si>
    <t>MATIB</t>
  </si>
  <si>
    <t>Louven</t>
  </si>
  <si>
    <t>Longbuan</t>
  </si>
  <si>
    <t>LUCAS</t>
  </si>
  <si>
    <t>Chris</t>
  </si>
  <si>
    <t>SAHOY</t>
  </si>
  <si>
    <t>Jonilou</t>
  </si>
  <si>
    <t>Fukai</t>
  </si>
  <si>
    <t>Santos</t>
  </si>
  <si>
    <t>Beñas</t>
  </si>
  <si>
    <t>Jereille</t>
  </si>
  <si>
    <t>Decoran</t>
  </si>
  <si>
    <t>DOGUI-IS</t>
  </si>
  <si>
    <t>Thyrza Shoey</t>
  </si>
  <si>
    <t>Leusen</t>
  </si>
  <si>
    <t>BINAY-AN</t>
  </si>
  <si>
    <t>Fe</t>
  </si>
  <si>
    <t>Suerte</t>
  </si>
  <si>
    <t>ESNARA</t>
  </si>
  <si>
    <t>Myra</t>
  </si>
  <si>
    <t>Golingab</t>
  </si>
  <si>
    <t>TINDUNGAN</t>
  </si>
  <si>
    <t>Kenneth</t>
  </si>
  <si>
    <t>Cuyapi</t>
  </si>
  <si>
    <t>Joan-Ana</t>
  </si>
  <si>
    <t>ESCAD</t>
  </si>
  <si>
    <t>Laura</t>
  </si>
  <si>
    <t>Valencia</t>
  </si>
  <si>
    <t>BANGANAN</t>
  </si>
  <si>
    <t>Imelda</t>
  </si>
  <si>
    <t>Farnigan</t>
  </si>
  <si>
    <t>PARTIDO</t>
  </si>
  <si>
    <t>Alfrainer</t>
  </si>
  <si>
    <t>Ferras</t>
  </si>
  <si>
    <t>SAGUIYOD</t>
  </si>
  <si>
    <t>Rose-Ann</t>
  </si>
  <si>
    <t>Ballangan</t>
  </si>
  <si>
    <t>LAYUGAN</t>
  </si>
  <si>
    <t>Barros</t>
  </si>
  <si>
    <t>FABAG</t>
  </si>
  <si>
    <t>Sheren</t>
  </si>
  <si>
    <t>Sagsago</t>
  </si>
  <si>
    <t>TENEBRO</t>
  </si>
  <si>
    <t>JR</t>
  </si>
  <si>
    <t>Adame</t>
  </si>
  <si>
    <t>BRETT</t>
  </si>
  <si>
    <t>Ralph Kevin</t>
  </si>
  <si>
    <t>Bacagan</t>
  </si>
  <si>
    <t>DOGUP</t>
  </si>
  <si>
    <t>Trisha Marie</t>
  </si>
  <si>
    <t>Alangsab</t>
  </si>
  <si>
    <t>Sesvir</t>
  </si>
  <si>
    <t>Castañeda</t>
  </si>
  <si>
    <t>Veronica</t>
  </si>
  <si>
    <t>Gadgad</t>
  </si>
  <si>
    <t>CANULLAS</t>
  </si>
  <si>
    <t>Esperanzate</t>
  </si>
  <si>
    <t>ANUA</t>
  </si>
  <si>
    <t>Rochelle</t>
  </si>
  <si>
    <t>Foronda</t>
  </si>
  <si>
    <t>ATUAN</t>
  </si>
  <si>
    <t>Valentine</t>
  </si>
  <si>
    <t>Lugawe</t>
  </si>
  <si>
    <t>MAGCIANO</t>
  </si>
  <si>
    <t>Juden Beth</t>
  </si>
  <si>
    <t>Uybaan</t>
  </si>
  <si>
    <t>ANAPEN</t>
  </si>
  <si>
    <t>Humphrey</t>
  </si>
  <si>
    <t>Dumayas</t>
  </si>
  <si>
    <t>GALLEMA</t>
  </si>
  <si>
    <t>Ignacio</t>
  </si>
  <si>
    <t>LADYONG</t>
  </si>
  <si>
    <t>Faith</t>
  </si>
  <si>
    <t>Urbino</t>
  </si>
  <si>
    <t>LIGLIGON</t>
  </si>
  <si>
    <t>Randolph</t>
  </si>
  <si>
    <t>Lacamang</t>
  </si>
  <si>
    <t>PATAUEG</t>
  </si>
  <si>
    <t>Pungod</t>
  </si>
  <si>
    <t>TAN</t>
  </si>
  <si>
    <t>Corinne Marie Pauline</t>
  </si>
  <si>
    <t>Elveña</t>
  </si>
  <si>
    <t>ANDANAN</t>
  </si>
  <si>
    <t>Jaleemar</t>
  </si>
  <si>
    <t>Bosque</t>
  </si>
  <si>
    <t>PAZ</t>
  </si>
  <si>
    <t>Daryll Jane</t>
  </si>
  <si>
    <t>BALANAY</t>
  </si>
  <si>
    <t>Gumabay</t>
  </si>
  <si>
    <t>MACASIEB</t>
  </si>
  <si>
    <t>Marlyn</t>
  </si>
  <si>
    <t>Pilot</t>
  </si>
  <si>
    <t>AZARCON</t>
  </si>
  <si>
    <t>Danilo Jr</t>
  </si>
  <si>
    <t>PULTZ</t>
  </si>
  <si>
    <t>Lingbawan</t>
  </si>
  <si>
    <t>CAMPO</t>
  </si>
  <si>
    <t>Palsic</t>
  </si>
  <si>
    <t>Manarop</t>
  </si>
  <si>
    <t>GERNALE</t>
  </si>
  <si>
    <t>Maculada</t>
  </si>
  <si>
    <t>Rebollido</t>
  </si>
  <si>
    <t>SHONTOGAN</t>
  </si>
  <si>
    <t>Miguel</t>
  </si>
  <si>
    <t>GARNACE</t>
  </si>
  <si>
    <t>Baldo Jr</t>
  </si>
  <si>
    <t>Nolasco</t>
  </si>
  <si>
    <t>MACLI-ING</t>
  </si>
  <si>
    <t>Danglipen</t>
  </si>
  <si>
    <t>KILLIA-EN</t>
  </si>
  <si>
    <t>Lipawen</t>
  </si>
  <si>
    <t>DEPALOG</t>
  </si>
  <si>
    <t>Kharla Lhyn</t>
  </si>
  <si>
    <t>Bagwan</t>
  </si>
  <si>
    <t>Velasco</t>
  </si>
  <si>
    <t>Dela Cruz</t>
  </si>
  <si>
    <t>SOLIMEN</t>
  </si>
  <si>
    <t>Bilas</t>
  </si>
  <si>
    <t>DOMASING</t>
  </si>
  <si>
    <t>Guinaban</t>
  </si>
  <si>
    <t>Lonogan</t>
  </si>
  <si>
    <t>Mangundayao</t>
  </si>
  <si>
    <t>Cenabre</t>
  </si>
  <si>
    <t>Benitez</t>
  </si>
  <si>
    <t>TOTAL</t>
  </si>
  <si>
    <t>Chief Administrative Officer</t>
  </si>
  <si>
    <t>Supervising Administrative Officer</t>
  </si>
  <si>
    <t xml:space="preserve">Administrative Officer V </t>
  </si>
  <si>
    <t xml:space="preserve">Administrative Officer IV </t>
  </si>
  <si>
    <t xml:space="preserve">Administrative Officer III </t>
  </si>
  <si>
    <t>Administrative Aide III</t>
  </si>
  <si>
    <t>Administrative Aide II</t>
  </si>
  <si>
    <t>Administrative Aide I</t>
  </si>
  <si>
    <t>Total Province</t>
  </si>
  <si>
    <t>Grand Total</t>
  </si>
  <si>
    <t>PERSONAL SERVICES ITEMIZATION AND PLANTILLA OF PERSONNEL</t>
  </si>
  <si>
    <t xml:space="preserve">
POSITION TITLE </t>
  </si>
  <si>
    <t xml:space="preserve">
I N C U M B E N T</t>
  </si>
  <si>
    <t>SEX</t>
  </si>
  <si>
    <t>Tax Identification Number
 (TIN)</t>
  </si>
  <si>
    <t xml:space="preserve">ITEM NUMBER </t>
  </si>
  <si>
    <t>QUALIFICATION STANDARD</t>
  </si>
  <si>
    <t>Shrt Position Title</t>
  </si>
  <si>
    <t>PTStation</t>
  </si>
  <si>
    <t>PosStSex</t>
  </si>
  <si>
    <t>Gender
Station</t>
  </si>
  <si>
    <t>AUTHORIZED</t>
  </si>
  <si>
    <t>ACTUAL</t>
  </si>
  <si>
    <t>Station Allocation</t>
  </si>
  <si>
    <t>Specific Allocation</t>
  </si>
  <si>
    <t>1998 &amp; 2010 RP plantila location per code</t>
  </si>
  <si>
    <t>MI</t>
  </si>
  <si>
    <t>STATION</t>
  </si>
  <si>
    <t>age group</t>
  </si>
  <si>
    <t>Age group station</t>
  </si>
  <si>
    <t>genderagegroupstation</t>
  </si>
  <si>
    <t>PTSexCat</t>
  </si>
  <si>
    <t>age in service</t>
  </si>
  <si>
    <t>YRS  IN DILG</t>
  </si>
  <si>
    <t>YRS IN THE POSI</t>
  </si>
  <si>
    <t>Highest Educ attainment</t>
  </si>
  <si>
    <t>Status grade</t>
  </si>
  <si>
    <t>(1)</t>
  </si>
  <si>
    <t>(2)</t>
  </si>
  <si>
    <t>Educ</t>
  </si>
  <si>
    <t>Exp</t>
  </si>
  <si>
    <t>Trng</t>
  </si>
  <si>
    <t>Eligibility</t>
  </si>
  <si>
    <t>Duties and Responsibilities</t>
  </si>
  <si>
    <t>(3)</t>
  </si>
  <si>
    <t>(4)</t>
  </si>
  <si>
    <t>(5)</t>
  </si>
  <si>
    <t>(6)</t>
  </si>
  <si>
    <t>(7)</t>
  </si>
  <si>
    <t>(8)</t>
  </si>
  <si>
    <t>(9)</t>
  </si>
  <si>
    <r>
      <rPr>
        <b/>
        <sz val="8"/>
        <rFont val="Tahoma"/>
        <charset val="134"/>
      </rPr>
      <t xml:space="preserve">61,000          </t>
    </r>
    <r>
      <rPr>
        <b/>
        <i/>
        <sz val="8"/>
        <rFont val="Tahoma"/>
        <charset val="134"/>
      </rPr>
      <t>Office of the Regional Director</t>
    </r>
  </si>
  <si>
    <t>OSEC-DILGB-DIR4-18-1998</t>
  </si>
  <si>
    <t xml:space="preserve">Bachelors Degree </t>
  </si>
  <si>
    <t>3 years of supervisory experience</t>
  </si>
  <si>
    <t>none required</t>
  </si>
  <si>
    <t>Civil Service Executive Eligibility (CSEE)/
Career Executive Service (CES)</t>
  </si>
  <si>
    <t>DIR4</t>
  </si>
  <si>
    <t>ORD</t>
  </si>
  <si>
    <t>133-289-742</t>
  </si>
  <si>
    <t>CESO III</t>
  </si>
  <si>
    <t xml:space="preserve">MPA - 35u </t>
  </si>
  <si>
    <t>OSEC-DILGB-DIR3-4-1998</t>
  </si>
  <si>
    <t>DIR3</t>
  </si>
  <si>
    <t xml:space="preserve">187-269-180 </t>
  </si>
  <si>
    <t>MPA</t>
  </si>
  <si>
    <t>OSEC-DILGB-ATTY4-9-1998</t>
  </si>
  <si>
    <t xml:space="preserve">Bachelor of Laws </t>
  </si>
  <si>
    <t>2 years of relevant experience</t>
  </si>
  <si>
    <t>8 hours of relevant training</t>
  </si>
  <si>
    <t>1. Under  the general supervision of the Regional Diretor, prepares letters/correspondence and takes appropriate actions on legal matters brought to the office by local government officials, DILG Central Office, other national agencies, and other persons/entities;
2. Renders written legal opinions or comments on queries endorsed to the regional office by the Central Office, field offices, including local governement units, and other entities;
3. Acts as a Resource Person and renders on-site technical assistance/advice to DILG field personnel, LGU officials and functionaries and to the geberal public on legal and operational matters, upon the directive of the Regional Director;
4. Acts as the Legal Adviser of the Regional Director and assists the Regional Director in implementing the decisions/reso;utions of the Ombudsman, Courts, and other quasi-juducial bodies;
5. Conducts confidential/discreet fact-finding inquiries and investigations as directed by the Office of the President, DILG Central Office, the Regional Director, Civil Service Commission, and the Ombudsman;
6. Conducts fact-finding inquiry/investigations relating to cases of DILG Regional Office personnel and recommends actions on cases filed against DILG personnel;
7. Conducts continuing researches and studies on laws, rules and regulations affecting local government units and Office operations;
8. Reviews drafts of proposed circulars, guidelines and/or issuances pertaining to DILG and local government operations, as well as review of drafts of contracts/MOA/MOU between DILG and its contracting parties; and
9. Prepare reports, communications and all other issunaces required by management.</t>
  </si>
  <si>
    <t>ATTY4</t>
  </si>
  <si>
    <t>Genevieve</t>
  </si>
  <si>
    <t>414-630-652</t>
  </si>
  <si>
    <t>LLb</t>
  </si>
  <si>
    <t>OSEC-DILGB-ITO1-2-2010</t>
  </si>
  <si>
    <t>Bachelors Degree relevant to the job</t>
  </si>
  <si>
    <t>Career Service (Professional)
Second Level Eligibility</t>
  </si>
  <si>
    <t>• Designs, Develops and Maintains the regional website;
• Attends technical committee meetings and sessions and provides inputs, as appropriate; 
• Recommends internal standards, policies, procedures/work flows on technology, information systems, data management and security; 
• Establishes and maintains a general file of policies and documents on IT solutions and systems;
• Reviews internal policies and recommends enhancements/developments as necessary; 
• Consults with different units and consolidates proposals/inputs on IT requirements to form part of regional ICT Plan; 
• Monitors and/or maintains operations and maintenance of IT systems following plans and policies
• Manages the overall data communications network including network performance;  
• Installs, configures and maintains LAN/WAN servers and workstations and hardware and software platform interface;  
• Investigates and resolves communications network and connectivity problems, including user access and component configuration to recommend future enhancements;  
• Responds to inquiries and requests for assistance on IT systems and networks; 
• Documents problems and resolutions as future reference for further courses of action such as acquisition or use of new products or services;
• Coordinates with organizational units for the development and implementation of IT plans and policies, including requests for assistance and requests for hardware or software programs;  
• Drafts communications and correspondences in response to queries and requests for information of other operating units in support of the functions of the division;  
• Assists in the preparation of various reports/presentation as instructed and retrieval and packaging of documents and reports;   
• Assists in coordinating with organizational units for the development and implementation of IT plans and policies, including requests for assistance and requests for hardware or software programs; 
Performs other duties that may be assigned or delegated.</t>
  </si>
  <si>
    <t>ITO1</t>
  </si>
  <si>
    <t xml:space="preserve">MSIT - 6u </t>
  </si>
  <si>
    <t>OSEC-DILGB-PLO3-93-2010</t>
  </si>
  <si>
    <t>PLO3</t>
  </si>
  <si>
    <t>921-559-466</t>
  </si>
  <si>
    <t>MBA</t>
  </si>
  <si>
    <t>BUENA, Maria Consolacion Salibad</t>
  </si>
  <si>
    <t>927-999-540</t>
  </si>
  <si>
    <t>Completion of two years studies in college</t>
  </si>
  <si>
    <t>1 year of relevant experience</t>
  </si>
  <si>
    <t>4 hours of relevant training</t>
  </si>
  <si>
    <t>Career Service (Subprofessional)
First Eligibility</t>
  </si>
  <si>
    <t>Drafts letters; correspondences;
Maintain RD's agenda and assist in planning appointments, meetings, conferences etc.
Calendars events and appointments of the RD.
Receive and screen phone calls and redirect them when appropriate
Handle and prioritize all outgoing or incoming correspondence (e-mail, letters, packages etc.)
Handle and entertain RD's visitors;
Make travel arrangements for the RD and other executives
Records/Files custodian of the RD;
Maintain electronic and paper records ensuring information is organized and easily accessible
Handle confidential documents ensuring they remain secure
Prepare Disbursement Vouchers
Monitor and manage office supplies
Perform other related functions as may be deemed necessay</t>
  </si>
  <si>
    <t>ADAS3</t>
  </si>
  <si>
    <t>Marian Pait</t>
  </si>
  <si>
    <t>BS Secretarial Admin</t>
  </si>
  <si>
    <t>Elementary School Graduate</t>
  </si>
  <si>
    <t>None Required
(MC 11, s. 96 - Cat. III)</t>
  </si>
  <si>
    <t>ADA4</t>
  </si>
  <si>
    <t xml:space="preserve">El-wood Duane </t>
  </si>
  <si>
    <t>452-273-461</t>
  </si>
  <si>
    <t>CTO</t>
  </si>
  <si>
    <t>Automotive, Mechanic, Driving</t>
  </si>
  <si>
    <r>
      <rPr>
        <b/>
        <sz val="10"/>
        <rFont val="Arial"/>
        <charset val="134"/>
      </rPr>
      <t xml:space="preserve">62,000    </t>
    </r>
    <r>
      <rPr>
        <b/>
        <i/>
        <sz val="10"/>
        <rFont val="Arial"/>
        <charset val="134"/>
      </rPr>
      <t xml:space="preserve">      Capability Development Division</t>
    </r>
  </si>
  <si>
    <t>Mater's Degree or Certificate in Leadership and Management from the CSC</t>
  </si>
  <si>
    <t>Four (4) years of supervisory/management experience</t>
  </si>
  <si>
    <t>Forty (40) hours of supervisory/management learning and development intervention undertaken within the last five (5) years</t>
  </si>
  <si>
    <t>CS Professional/ 2nd Level Eligibility</t>
  </si>
  <si>
    <t>LGOO7</t>
  </si>
  <si>
    <t>CDD</t>
  </si>
  <si>
    <t>Benguet - Region</t>
  </si>
  <si>
    <t>PhD</t>
  </si>
  <si>
    <t>LGOO6</t>
  </si>
  <si>
    <t>PhD - 6u</t>
  </si>
  <si>
    <t>LGOO5</t>
  </si>
  <si>
    <t>Atok - Regional Office</t>
  </si>
  <si>
    <t>185-969-355</t>
  </si>
  <si>
    <t>Vacant GRIBA</t>
  </si>
  <si>
    <t>LGOO4</t>
  </si>
  <si>
    <t>MED</t>
  </si>
  <si>
    <t>178-120-158</t>
  </si>
  <si>
    <t>BS Mktng</t>
  </si>
  <si>
    <t>178-119-913</t>
  </si>
  <si>
    <t>941-815-183</t>
  </si>
  <si>
    <t>BS Fin Mgmt</t>
  </si>
  <si>
    <t>TINDUNGAN, Kenneth Cuyapi</t>
  </si>
  <si>
    <t>927-934-009</t>
  </si>
  <si>
    <r>
      <rPr>
        <sz val="8"/>
        <color rgb="FF000000"/>
        <rFont val="Wingdings 2"/>
        <charset val="134"/>
      </rPr>
      <t></t>
    </r>
    <r>
      <rPr>
        <sz val="8"/>
        <color rgb="FF000000"/>
        <rFont val="Tahoma"/>
        <charset val="134"/>
      </rPr>
      <t xml:space="preserve"> Prepares simple correspondences 
</t>
    </r>
    <r>
      <rPr>
        <sz val="8"/>
        <color rgb="FF000000"/>
        <rFont val="Wingdings 2"/>
        <charset val="134"/>
      </rPr>
      <t></t>
    </r>
    <r>
      <rPr>
        <sz val="8"/>
        <color rgb="FF000000"/>
        <rFont val="Tahoma"/>
        <charset val="134"/>
      </rPr>
      <t xml:space="preserve"> Receives and records incoming and outgoing communications, correspondences 
</t>
    </r>
    <r>
      <rPr>
        <sz val="8"/>
        <color rgb="FF000000"/>
        <rFont val="Wingdings 2"/>
        <charset val="134"/>
      </rPr>
      <t></t>
    </r>
    <r>
      <rPr>
        <sz val="8"/>
        <color rgb="FF000000"/>
        <rFont val="Tahoma"/>
        <charset val="134"/>
      </rPr>
      <t xml:space="preserve"> Performs highly skilled and responsible clerical work 
</t>
    </r>
    <r>
      <rPr>
        <sz val="8"/>
        <color rgb="FF000000"/>
        <rFont val="Wingdings 2"/>
        <charset val="134"/>
      </rPr>
      <t></t>
    </r>
    <r>
      <rPr>
        <sz val="8"/>
        <color rgb="FF000000"/>
        <rFont val="Tahoma"/>
        <charset val="134"/>
      </rPr>
      <t xml:space="preserve"> Makes and receives calls 
</t>
    </r>
    <r>
      <rPr>
        <sz val="8"/>
        <color rgb="FF000000"/>
        <rFont val="Wingdings 2"/>
        <charset val="134"/>
      </rPr>
      <t></t>
    </r>
    <r>
      <rPr>
        <sz val="8"/>
        <color rgb="FF000000"/>
        <rFont val="Tahoma"/>
        <charset val="134"/>
      </rPr>
      <t xml:space="preserve"> Maintains log books 
</t>
    </r>
    <r>
      <rPr>
        <sz val="8"/>
        <color rgb="FF000000"/>
        <rFont val="Wingdings 2"/>
        <charset val="134"/>
      </rPr>
      <t></t>
    </r>
    <r>
      <rPr>
        <sz val="8"/>
        <color rgb="FF000000"/>
        <rFont val="Tahoma"/>
        <charset val="134"/>
      </rPr>
      <t xml:space="preserve"> Provides administrative support to trainings 
</t>
    </r>
    <r>
      <rPr>
        <sz val="8"/>
        <color rgb="FF000000"/>
        <rFont val="Wingdings 2"/>
        <charset val="134"/>
      </rPr>
      <t></t>
    </r>
    <r>
      <rPr>
        <sz val="8"/>
        <color rgb="FF000000"/>
        <rFont val="Tahoma"/>
        <charset val="134"/>
      </rPr>
      <t xml:space="preserve"> Sorts and maintains documents/records (Memos, Circulars, Orders) 
</t>
    </r>
    <r>
      <rPr>
        <sz val="8"/>
        <color rgb="FF000000"/>
        <rFont val="Wingdings 2"/>
        <charset val="134"/>
      </rPr>
      <t></t>
    </r>
    <r>
      <rPr>
        <sz val="8"/>
        <color rgb="FF000000"/>
        <rFont val="Tahoma"/>
        <charset val="134"/>
      </rPr>
      <t xml:space="preserve"> Prepares and maintains registry of records 
</t>
    </r>
    <r>
      <rPr>
        <sz val="8"/>
        <color rgb="FF000000"/>
        <rFont val="Wingdings 2"/>
        <charset val="134"/>
      </rPr>
      <t></t>
    </r>
    <r>
      <rPr>
        <sz val="8"/>
        <color rgb="FF000000"/>
        <rFont val="Tahoma"/>
        <charset val="134"/>
      </rPr>
      <t xml:space="preserve"> Provides messengerial services 
</t>
    </r>
    <r>
      <rPr>
        <sz val="8"/>
        <color rgb="FF000000"/>
        <rFont val="Wingdings 2"/>
        <charset val="134"/>
      </rPr>
      <t></t>
    </r>
    <r>
      <rPr>
        <sz val="8"/>
        <color rgb="FF000000"/>
        <rFont val="Tahoma"/>
        <charset val="134"/>
      </rPr>
      <t xml:space="preserve"> Performs other related duties that may be assigned or delegated.</t>
    </r>
  </si>
  <si>
    <t>ADA6</t>
  </si>
  <si>
    <t>Vacant MAGO</t>
  </si>
  <si>
    <r>
      <rPr>
        <b/>
        <sz val="8"/>
        <rFont val="Tahoma"/>
        <charset val="134"/>
      </rPr>
      <t xml:space="preserve">63,000   </t>
    </r>
    <r>
      <rPr>
        <b/>
        <i/>
        <sz val="8"/>
        <rFont val="Tahoma"/>
        <charset val="134"/>
      </rPr>
      <t xml:space="preserve">       Monitoring and Evaluation Division</t>
    </r>
  </si>
  <si>
    <t>transfer from PO - CH Benguet feb 2019</t>
  </si>
  <si>
    <t xml:space="preserve">Rene </t>
  </si>
  <si>
    <t>425-829-835</t>
  </si>
  <si>
    <t xml:space="preserve">MAEM </t>
  </si>
  <si>
    <t xml:space="preserve">Mary Jheama Rachine </t>
  </si>
  <si>
    <t>252-831-893</t>
  </si>
  <si>
    <t>BSEd</t>
  </si>
  <si>
    <t>BSC-Banking &amp; Fin</t>
  </si>
  <si>
    <t>06/08/16 transfer frm PLO</t>
  </si>
  <si>
    <t>OSEC-DILGB-STAT2-101-2010</t>
  </si>
  <si>
    <t>STAT2</t>
  </si>
  <si>
    <t>410-034-788</t>
  </si>
  <si>
    <t>MBA 36u</t>
  </si>
  <si>
    <t>MATIB, Louven Longbuan</t>
  </si>
  <si>
    <t>269-730-103</t>
  </si>
  <si>
    <t>STAT1</t>
  </si>
  <si>
    <t>285-723-492</t>
  </si>
  <si>
    <t>MBA - 30u</t>
  </si>
  <si>
    <t>GAYASO, Jereille Decoran</t>
  </si>
  <si>
    <t>267-470-187</t>
  </si>
  <si>
    <t>OSEC-DILGB-ADA6-88-2010</t>
  </si>
  <si>
    <t>462-398-464</t>
  </si>
  <si>
    <t>BS MA</t>
  </si>
  <si>
    <t>NAMINGIT, Gyda Hoggang</t>
  </si>
  <si>
    <t>219-021-306</t>
  </si>
  <si>
    <t>DAEP, Sherwin Ray Ochoco</t>
  </si>
  <si>
    <r>
      <rPr>
        <b/>
        <sz val="8"/>
        <rFont val="Tahoma"/>
        <charset val="134"/>
      </rPr>
      <t xml:space="preserve">64,000     </t>
    </r>
    <r>
      <rPr>
        <b/>
        <i/>
        <sz val="8"/>
        <rFont val="Tahoma"/>
        <charset val="134"/>
      </rPr>
      <t xml:space="preserve">     Finance and Administrative Division</t>
    </r>
  </si>
  <si>
    <t xml:space="preserve">• Directly takes charge of all financial, administrative matters including personnel concerns;
• Plans, directs, reviews and supervise a group of finance and administrative personnel;
• Supervises the personnel in the division and assigns additional functions when necessary;
• Advises the Section Chiefs on matters affecting enforcement of financial and administrative policies and procedures;
• Reviews training/activity designs, disbursement vouchers, procurement documents and other related financial documents;
• Formulates and recommends financial and administrative policies consonant  with existing (COA, DBM, CSC and other authorized institutions) policies, rules and regulations; 
• Recommends and/or Formulates policies affecting administrative, financial including personnel related concerns 
• Acts as member to the different committees pertaining to HR mechanisms and procurement; 
• Provides technical assistance on matters relating to financial and administrative concerns;
• Reviews Regional Orders, Memoranda and other office communication/issuances originating from the division;
• Conducts coaching/mentoring sessions or related developmental interventions to staff within the division to ensure performance targets are met within the prescribed timeline;
• Monitors the day-to-day operations of the division and provides alternative courses of action to address performance gaps;
• Represents the Assistant Regional Director or Regional activities in meetings, conferences and similar fora when directed;
• Acts/Signs  on regular/day-to-day communications for or on behalf of the Regional Director when designated as Officer-In-Charge of the Regional Office; 
• Represents the Assistant Regional Director or Regional activities in meetings, conferences and similar fora when directed;
• Acts/Signs  on regular/day-to-day communications for or on behalf of the Regional Director when designated as Officer-In-Charge of the Regional Office; </t>
  </si>
  <si>
    <t>CADOF</t>
  </si>
  <si>
    <t>FAD</t>
  </si>
  <si>
    <t>SADOF</t>
  </si>
  <si>
    <t>Bachelors Degree in Commerce/Business Administration major in Accounting</t>
  </si>
  <si>
    <t>2 year of relevant experience</t>
  </si>
  <si>
    <t>A3</t>
  </si>
  <si>
    <t>Supervises and participates in budget operations;
Reviews and consolidates the budget estimates of the different field offices including the regional office and prepares OPB in coordination with the Planning Officer;
Prepares justification communication and other correspondence regarding budget request of funds from Central / DBM;
Prepares schedule of expenditures for the Region in accordance with the approved PPAs;
Prepares and submits budgetary reports;
Allocates funds on the projected programs, projects and activities in accordance with the approved OPB of the region;
Supervises the work of personnel engaged in budget allocation, preparation and reporting;
Recommends policies and extends technical services on budgetary matters.</t>
  </si>
  <si>
    <t>ADOF5</t>
  </si>
  <si>
    <t>Acts as custodian of supplies, materials or equipment and makes periodic inventory;
Maintains records of all accountable properties;
Develops and formulates stock controlling and property accounting strategies;
Takes charge of activities involved in the procurement, distribution, storage, proper accounting and disposition of supplies and equipment;
Prepares and submits reports related to supply management;
Prepares previous communications and/or acts on correspondence / all other documents related to procurement and management of supply and equipment;
Formulates and recommends standards and procedures for effective implementation of the supply management policies and programs;
Conducts annual physical inventory of office equipments;
     Issues clearances to employees separated from the service;
     Renders technical services on supply management;
     Act as member of the BAC Secretariat;
     Oversees the work of  personnel under the General Services Unit;
     Acts as chief of the Supply Section, Finance Administration Division.</t>
  </si>
  <si>
    <t>• Exercises supervision over the human resource and records section personnel;
• Evaluates HR documents vs. set standards and requirements;
• Assists in the division chief in the review and formulation of policies/guidelines/procedures on training evaluation and its effective implementation;
• Coordinates personnel activities designed to attain the greatest degree of personnel effectiveness possible;
• Directs and supervises the preparation of appointments of personnel, preparation of salary adjustments, leaves, transfers, resignations, reinstatements, insurance, retirement claims and fringe benefits of personnel;
• Organizes and monitors HR work programs based on standard set;
• Reviews endorsement, regional orders pertaining personnel movements/assignments;
• Informs/updates the supervisors on new laws affecting personnel;
• Evaluates/designs/implements training course and other HRD/HRM programs of the department;
• Represents the HR Section in all committees on HR mechanisms(PSB, PDC, PRAISE, Grievance, PMT etc);
• Supervises the preparation of HR related reports;
• Does related work.</t>
  </si>
  <si>
    <t>A2</t>
  </si>
  <si>
    <t>281-412-147</t>
  </si>
  <si>
    <t>BINAY-AN, Fe Suerte</t>
  </si>
  <si>
    <t>3 years in position/s involving management and supervision</t>
  </si>
  <si>
    <t>16 hours of training in management and supervision</t>
  </si>
  <si>
    <t>Assists the Budget Officer III on extremely complex budget operations;
Gathers, compiles and maintains budget data in current status;
Keeps records of allotments and status funds;
Assists, in checking / reviewing and in preparation of budget estimates of income and expenses;
Prepares reports pertaining to budgetary matters;
Prepares statement of Status Funds and allocates MOOE to field offices;
Provides technical services on budgetary matters;
Posting of day to day obligation / releases of funds;
     Monitors / updates COA / DBM Circular / Memos for implementation.</t>
  </si>
  <si>
    <t>ADOF4</t>
  </si>
  <si>
    <t>932-665-878</t>
  </si>
  <si>
    <t>OSEC-DILGB-ADOF4-79-2005</t>
  </si>
  <si>
    <t>Administrative Officer IV</t>
  </si>
  <si>
    <t>Prepares action  on appointments, plantilla of personnel, salary adjustments, position classifications, transfer, reassignment, separation, reinstatement, performance rating, other personnel benefits;
Prepares  research and training program design to upgrade Human Resource Development;
Prepares  all pertinent financial documents relative to the conduct of trainings;
Assists in the formulation of policies/guidelines and information dissemination relative to the conduct of trainings;
Prepares reports/communication, administrative orders, memorandums and other related documents;
Assists in the conduct of personnel testing and evaluation;
Assists AO V in the supervision of personnel;
Provides technical services on personnel matters;</t>
  </si>
  <si>
    <t>2 years in position/s involving management and supervision</t>
  </si>
  <si>
    <t>8 hours of training in management and supervision</t>
  </si>
  <si>
    <t>Prepares Advice to Debit Accounts (ADA) for payments of salaries (JOs and COS suppliers and PHIC and GSIS remittances, cash advances and reimbursement of traveling expenses;
Prepares 3 set of collection report (LGA, trust fund and training center);
Receives and issues official receipt on collection and deposit;
Prepares report of accountability for accountable forms (official receipts and others);
Preparation and issuance of check; 
Oversee the preparations of checks and signs them;
     Preparation and submission of financial report; 
     Prepares report of check issued and report of ADA issued;
     Prepares check and advice to debit account disbursement record (CKADADRCC);
     Maintenance of Petty Cash;
     Reviews the control and maintain the Notice of Cash Allocation (NCA) and Notice of transfer allocation (NTA);
     Maintenance of Data Bank of check issued;
     Segregates and submit paid vouchers to COA.</t>
  </si>
  <si>
    <t>ADOF3</t>
  </si>
  <si>
    <t>938-593-397</t>
  </si>
  <si>
    <t>Assumes responsibility for the custody and storekeeping of official records and documents;
Establishes and maintains an active continuing program for the management, preservation and disposition of records;
Supervises personnel in the effective system for receiving, releasing, mailing, filing, servicing and disposition of records and other documents;
Authenticates copies of documents;
Prepares annual directory of issuances;
Renders technical services on records management;
     Handles functional phase on records management program including writing correspondence;
     Represent the department in court in answer to subpoena duces tecum.;
Recommends supplementary policies/systems/actions in accordance with established department and other national policies and prepares reports related to records management;</t>
  </si>
  <si>
    <t>264-101-966</t>
  </si>
  <si>
    <t>TRINIDAD, Santos Beñas</t>
  </si>
  <si>
    <t>925-502-885</t>
  </si>
  <si>
    <t xml:space="preserve">Administrative Assistant III </t>
  </si>
  <si>
    <t>Assists in the preparation of APCPI, PPMP, APP;
Coordinates with suppliers and other service providers;
Maintains supply, property and equipment records;
Prepares Purchase Requests: Canvass; Purchase Orders; Inspection Reports and disbursement vouchers for the payment of property, equipment, supplies, materials and services;
Assists in the preparation of Report of  Supplies and Materials Purchased and Issued;
Assists in the preparation of Inventory report of Property and Equipment.</t>
  </si>
  <si>
    <t>191-160-647</t>
  </si>
  <si>
    <t>OSEC-DILGB-ADAS3-109-2010</t>
  </si>
  <si>
    <t>Ensures completeness of documents prior to the approval of the disbursement vouchers;
Keeps financial records/ reports and ensures their availability upon request of the end-users;
Coordinates with the General Services Officer pertaining to property and equipment procured;
Prepares Disbursement and liquidation reports;
Assists in the preparation of Inventory Report of Property and Equipment;
Prepares the Bank Reconciliation Statement.</t>
  </si>
  <si>
    <t>• Determines availability of funds and controls expenditures 
• Records financial transactions in the proper control books
• Prepares payroll for PERA, salary and other benefits;
• Prepares BIR Forms
• Ensures completeness of documents prior to the approval of the disbursement vouchers;
• Prepares simple endorsements and correspondence;
• Keeps financial records/ reports and ensures their availability upon request of the end-users;
• Prepares the Bank Reconciliation Statement.
• Does other tasks as may be assigned by supervisors from time to time</t>
  </si>
  <si>
    <t>ADAS2</t>
  </si>
  <si>
    <t>332-310-018</t>
  </si>
  <si>
    <t>change of item 1-25-18</t>
  </si>
  <si>
    <t>● Reviews and signs checks
● Prepares and submits Advice of Checks Issue and Cancelled (ACIC)/LDDAP
● Responsible in the payment of salaries, RATA, PERA and other monetary claims of personnel
● Prepares pay envelope/ADA for salaries
● Receives and issues official receipts on all cash advances and deposit the same
● Reconciles cash advances and prepares the necessary liquidation reports
● Prepares Report of Disbursement 
● Controls and maintains the Notice of Cash Allocation (NCA)
● Responsible in the Bond Application of bonded officials within the region and their renewal every year
● Enters disbursements in cash book;
● Prepares statement of cash accountability;
● Prepares advice on checks for release/pick-up;
● Pays salaries and other monetary claims of officials and employees; and
● Does related work.</t>
  </si>
  <si>
    <t>VacantMyra</t>
  </si>
  <si>
    <t>§ Receives and records incoming communications 
§  Receives and records outgoing communications, correspondences 
§  Encodes drafts of letters and reports 
§  Maintains log books/ ledgers 
§  Provides administrative support to trainings 
§  Performs other related duties that may be assigned or delegated.</t>
  </si>
  <si>
    <t>486-469-325</t>
  </si>
  <si>
    <t>Vacant ESCAD</t>
  </si>
  <si>
    <t>267-568-470</t>
  </si>
  <si>
    <t>287-052-552</t>
  </si>
  <si>
    <t>RAMIREZ, Ronnel Fronda</t>
  </si>
  <si>
    <t>OSEC-DILGB-ADA4-91-2010</t>
  </si>
  <si>
    <t>Driver License 
(MC 11, s. 96 - Cat. II)</t>
  </si>
  <si>
    <t>ADA3</t>
  </si>
  <si>
    <t>CTI</t>
  </si>
  <si>
    <t>SECG1</t>
  </si>
  <si>
    <t>917-898-826</t>
  </si>
  <si>
    <r>
      <rPr>
        <b/>
        <sz val="8"/>
        <rFont val="Tahoma"/>
        <charset val="134"/>
      </rPr>
      <t xml:space="preserve">65,000          </t>
    </r>
    <r>
      <rPr>
        <b/>
        <i/>
        <sz val="8"/>
        <rFont val="Tahoma"/>
        <charset val="134"/>
      </rPr>
      <t>Provincial / City Offices</t>
    </r>
  </si>
  <si>
    <t>LGOO8</t>
  </si>
  <si>
    <t>City Office</t>
  </si>
  <si>
    <t>Abra - Baguio</t>
  </si>
  <si>
    <t>Province</t>
  </si>
  <si>
    <t>185-737-924</t>
  </si>
  <si>
    <t>CESO V</t>
  </si>
  <si>
    <t>Step 2</t>
  </si>
  <si>
    <t>260-370-000</t>
  </si>
  <si>
    <t>CESE</t>
  </si>
  <si>
    <t>CESO step 2</t>
  </si>
  <si>
    <t>de Guzman</t>
  </si>
  <si>
    <t>164-050-165</t>
  </si>
  <si>
    <t>OSEC-DILGB-LGOO7-1443-2017</t>
  </si>
  <si>
    <t>• Plans, organizes, directs, implements and monitors the Department's PPAs for municiapl field operations; 
• Supervises and manages all personnel assigned in the Cluster; 
• Provides consultancy and technical assistance services related to functions of city/municipal field officers; 
• Recommends policies, coordinates with national agencies and NGOs in the implementation of department PPAs related to the cluster's functions; 
• Formulates guidelines and standards on matters related to the functions of the cluster work force; 
• Formulates the division's work plan and budget; 
• Maintains discipline and morale among the cluster workforce; 
• Evaluates the performance of the staff in the cluster and recommends measures to improve the efficiency and effectivity of field personnel; 
• Prepares and implements Cluster Operations Plan 
• Provide administrative guidance to LCEs and other local officials within his/her jurisdicition relative to capability development servises and other policies of the department; and 
• Performs other related duties as may be delegated by higher authorities</t>
  </si>
  <si>
    <t>OSEC-DILGB-LGOO7-1444-2017</t>
  </si>
  <si>
    <t>OSEC-DILGB-LGOO7-1445-2017</t>
  </si>
  <si>
    <t xml:space="preserve">Maritess </t>
  </si>
  <si>
    <t>OSEC-DILGB-LGOO7-1446-2017</t>
  </si>
  <si>
    <t>165-312-304</t>
  </si>
  <si>
    <t>OSEC-DILGB-LGOO7-1447-2017</t>
  </si>
  <si>
    <t>Vacant Guerzon</t>
  </si>
  <si>
    <t>OSEC-DILGB-LGOO7-1448-2017</t>
  </si>
  <si>
    <t>Municipality</t>
  </si>
  <si>
    <t>Lagangilang</t>
  </si>
  <si>
    <t>925-508-857</t>
  </si>
  <si>
    <t>Dolores</t>
  </si>
  <si>
    <t>Tineg</t>
  </si>
  <si>
    <t>Pennarubia</t>
  </si>
  <si>
    <t>939-767-116</t>
  </si>
  <si>
    <t>Bucay</t>
  </si>
  <si>
    <t>Viva Ascension</t>
  </si>
  <si>
    <t>Lagayan</t>
  </si>
  <si>
    <t>127-933-652</t>
  </si>
  <si>
    <t>Licuan-Baay</t>
  </si>
  <si>
    <t>La Paz</t>
  </si>
  <si>
    <t>Benedito</t>
  </si>
  <si>
    <t>OSEC-DILGB-LGOO6-9-2013</t>
  </si>
  <si>
    <t>000</t>
  </si>
  <si>
    <t>Tabuk City</t>
  </si>
  <si>
    <t>Vacant ALIÑO</t>
  </si>
  <si>
    <t>OSEC-DILGB-LGOO6-10-2010</t>
  </si>
  <si>
    <t>Regional Office - Apayao</t>
  </si>
  <si>
    <t>Vacant ABULENCIA</t>
  </si>
  <si>
    <t>Lacub</t>
  </si>
  <si>
    <t>425-809-065</t>
  </si>
  <si>
    <t>OSEC-DILGB-LGOO6-11-2010</t>
  </si>
  <si>
    <t>Regional Office - Ifugao</t>
  </si>
  <si>
    <t xml:space="preserve">Anabelle </t>
  </si>
  <si>
    <t>Luba</t>
  </si>
  <si>
    <t xml:space="preserve">Jean </t>
  </si>
  <si>
    <t>Pidigan</t>
  </si>
  <si>
    <t>OSEC-DILGB-LGOO6-13-2010</t>
  </si>
  <si>
    <t>Vacant APPOY</t>
  </si>
  <si>
    <t>Langiden</t>
  </si>
  <si>
    <t>Villiavisciosa</t>
  </si>
  <si>
    <t>Pilar</t>
  </si>
  <si>
    <t>Tubo</t>
  </si>
  <si>
    <t>Bucloc</t>
  </si>
  <si>
    <t>Boliney</t>
  </si>
  <si>
    <t>294-709-434</t>
  </si>
  <si>
    <t>San Isidro</t>
  </si>
  <si>
    <t>939-210-252</t>
  </si>
  <si>
    <t>0513</t>
  </si>
  <si>
    <t>Sallapadan</t>
  </si>
  <si>
    <t>San Juan</t>
  </si>
  <si>
    <t>Manabo</t>
  </si>
  <si>
    <t>Apayao - Kalinga</t>
  </si>
  <si>
    <t>Kapangan</t>
  </si>
  <si>
    <t>Mankayan</t>
  </si>
  <si>
    <t>RA 1080 Nurse</t>
  </si>
  <si>
    <t>Sablan</t>
  </si>
  <si>
    <t xml:space="preserve">Brigitte </t>
  </si>
  <si>
    <t>Buguias</t>
  </si>
  <si>
    <t>Bokod</t>
  </si>
  <si>
    <t>La Trinidad</t>
  </si>
  <si>
    <t>Kabayan</t>
  </si>
  <si>
    <t>129-993-193</t>
  </si>
  <si>
    <t>425-793-167</t>
  </si>
  <si>
    <t>Tuba</t>
  </si>
  <si>
    <t>Conner</t>
  </si>
  <si>
    <t>Flora</t>
  </si>
  <si>
    <t>425-964-715</t>
  </si>
  <si>
    <t>Kabugao</t>
  </si>
  <si>
    <t>Calanasan</t>
  </si>
  <si>
    <t>Kibungan</t>
  </si>
  <si>
    <t xml:space="preserve"> RA 1080</t>
  </si>
  <si>
    <t>Tublay</t>
  </si>
  <si>
    <t>Luna</t>
  </si>
  <si>
    <t>Local Government Operations OFFICER VI</t>
  </si>
  <si>
    <t>Mayoyao</t>
  </si>
  <si>
    <t>Lagawe</t>
  </si>
  <si>
    <t>147-934-904</t>
  </si>
  <si>
    <t>129-934-759</t>
  </si>
  <si>
    <t>Asipulo</t>
  </si>
  <si>
    <t>Hingyon</t>
  </si>
  <si>
    <t>905-489-998</t>
  </si>
  <si>
    <t>Kiangan</t>
  </si>
  <si>
    <t>Lamut</t>
  </si>
  <si>
    <t>Alfonso Lista</t>
  </si>
  <si>
    <t>Banawe</t>
  </si>
  <si>
    <t>Tinoc</t>
  </si>
  <si>
    <t>Hungduan</t>
  </si>
  <si>
    <t>Balbalan</t>
  </si>
  <si>
    <t>Berana</t>
  </si>
  <si>
    <t>296-542-694</t>
  </si>
  <si>
    <t>Lubuagan</t>
  </si>
  <si>
    <t>Tinglayan</t>
  </si>
  <si>
    <t>Rizal</t>
  </si>
  <si>
    <t>Pinukpuk</t>
  </si>
  <si>
    <t>926-251-125</t>
  </si>
  <si>
    <t>Tanudan</t>
  </si>
  <si>
    <t>Sagada</t>
  </si>
  <si>
    <t>Besao</t>
  </si>
  <si>
    <t>941-760-614</t>
  </si>
  <si>
    <t xml:space="preserve">Robert Jr. </t>
  </si>
  <si>
    <t>Palog</t>
  </si>
  <si>
    <t>Bontoc</t>
  </si>
  <si>
    <t xml:space="preserve">Jill </t>
  </si>
  <si>
    <t>Sadanga</t>
  </si>
  <si>
    <t>Tadian</t>
  </si>
  <si>
    <t>Natonin</t>
  </si>
  <si>
    <t xml:space="preserve">Johnny Jr. </t>
  </si>
  <si>
    <t>Barlig</t>
  </si>
  <si>
    <t>Sabangan</t>
  </si>
  <si>
    <t xml:space="preserve">Caridad </t>
  </si>
  <si>
    <t>Malibcong</t>
  </si>
  <si>
    <t>Transfer from PM 1/3/18</t>
  </si>
  <si>
    <t>OSEC-DILGB-LGOO6-236-2010</t>
  </si>
  <si>
    <t>OSEC-DILGB-LGOO6-237-2010</t>
  </si>
  <si>
    <t>Benguet Transfer to MLGOO 1/3/18</t>
  </si>
  <si>
    <t>OSEC-DILGB-LGOO6-238-2010</t>
  </si>
  <si>
    <t>OSEC-DILGB-LGOO6-240-2010</t>
  </si>
  <si>
    <t>296-191-527</t>
  </si>
  <si>
    <t>OSEC-DILGB-LGOO6-1268-2017</t>
  </si>
  <si>
    <t>154-221-426</t>
  </si>
  <si>
    <t>100</t>
  </si>
  <si>
    <t>2nd Dist Benguet - Baguio</t>
  </si>
  <si>
    <t>Vacant gano</t>
  </si>
  <si>
    <t xml:space="preserve">Sharima </t>
  </si>
  <si>
    <t>260-576-148</t>
  </si>
  <si>
    <t>127-993-996</t>
  </si>
  <si>
    <t>460-459-657</t>
  </si>
  <si>
    <t>Regional Office - Benguet</t>
  </si>
  <si>
    <t xml:space="preserve">RENE VINCENT I. BALLUG </t>
  </si>
  <si>
    <t xml:space="preserve">Perry </t>
  </si>
  <si>
    <t>417-536-484</t>
  </si>
  <si>
    <t>265-681-902</t>
  </si>
  <si>
    <t>MP Prov</t>
  </si>
  <si>
    <t>425-730-939</t>
  </si>
  <si>
    <t>425-923-645</t>
  </si>
  <si>
    <t>Kalinga - Apayao</t>
  </si>
  <si>
    <t>Vacant CHUNANON</t>
  </si>
  <si>
    <t>298-136-695</t>
  </si>
  <si>
    <t>Bachelor’s degree relevant to the position</t>
  </si>
  <si>
    <t>Two  (2) years relevant experience</t>
  </si>
  <si>
    <t>Completion of LGOO training</t>
  </si>
  <si>
    <t>•  Plans and directs, reviews and supervises the work of the section composed of professionals, technical and administrative staff in the implementation of P/P/As and helps in the formulation of policies, standards, guidelines and procedures for effective local governments implementation;
• Supervises/coordinates task/s of assigned PPAs;
• Recommends policies, guidelines and standards;
• Conducts monitoring and evaluation of assigned PPAs;
• Assists the Program Manager in carrying out the functions and activities of the Provincial Office;
• Formulates guidelines and procedures on P/P/As implementation, monitoring and evaluation; also in the consolidation of reports/status reports/accomplishments, submit findings and recommend policies/guidelines/standards in the improvement of local government performance and capability;
• Extends consultancy services and technical assistance on matters pertaining to the functions of the Section;
• Coordinates and monitors the implementation of assigned PPAs;
• Provides coordinative linkages with other organizational units within the Department and other agencies/institutions;
• Attends inter-agency collaboration meetings;
• Prepares/consolidates reports; 
• Conduct evaluation of planned PPAs; and
• Performs other duties as may be assigned from time to time.</t>
  </si>
  <si>
    <t>Regional Office - Baguio</t>
  </si>
  <si>
    <t>931-488-443</t>
  </si>
  <si>
    <t>CANULLAS, Mary Jheama Rachine Esperanzate</t>
  </si>
  <si>
    <t>ANGGADNA, Mario Jr. Domingo</t>
  </si>
  <si>
    <t>MARIO D. ANGGADNA Jr.</t>
  </si>
  <si>
    <t>Pasil</t>
  </si>
  <si>
    <t>BURAGA</t>
  </si>
  <si>
    <t>Shaquile</t>
  </si>
  <si>
    <t>Laniog</t>
  </si>
  <si>
    <t>328-628-729</t>
  </si>
  <si>
    <t>OSEC-DILGB-LGOO3-241-2010</t>
  </si>
  <si>
    <t>Regional Office - Tabuk</t>
  </si>
  <si>
    <t>429-979-719</t>
  </si>
  <si>
    <t>ELVEÑA, Hanna Lynel Gullayan</t>
  </si>
  <si>
    <t xml:space="preserve">HANNA LYNEL G. ELVEÑA </t>
  </si>
  <si>
    <t xml:space="preserve">•  Assists in planning, organizing, directing, implementing and monitoring the Department's programs, projects and activities (PPAs) lodged with the section;
•  Assists in the dissemination and monitoring compliance with the implementation of laws, rules and regulations, policies and standards and issuances affecting local governments;
• Coordinates task/s of assigned PPAs;
• Recommends policies, guidelines and standards;
• Conducts monitoring and evaluation of assigned PPAs;
• Assists the Section Chief in carrying out the functions and activities of the Provincial Office;
• Formulates guidelines and procedures on P/P/As implementation, monitoring and evaluation; also in the consolidation of reports/status reports/accomplishments, submit findings and recommend policies/guidelines/standards in the improvement of local government performance and capability;
• Extends consultancy services and technical assistance on matters pertaining to the functions of the Section;
• Assists in the coordination and monitoring of the implementation of assigned PPAs;
• Provides coordinative linkages with other organizational units within the Department and other agencies/institutions;
• Attends inter-agency collaboration meetings;
• Prepares/consolidates reports; 
• Assists in the conduct evaluation of planned PPAs; and
• Performs other duties as may be assigned from time to time.
</t>
  </si>
  <si>
    <t>LGOO2</t>
  </si>
  <si>
    <t>Regional Office - Abra</t>
  </si>
  <si>
    <t>296-910-598</t>
  </si>
  <si>
    <t>290-161-340</t>
  </si>
  <si>
    <t>LET RA 1080</t>
  </si>
  <si>
    <t xml:space="preserve">SANTOS B. TRINIDAD </t>
  </si>
  <si>
    <t>410-856-255</t>
  </si>
  <si>
    <t>Bangued</t>
  </si>
  <si>
    <t>289-334-842</t>
  </si>
  <si>
    <t>Vacant SAGUIYOD</t>
  </si>
  <si>
    <t>Danglas</t>
  </si>
  <si>
    <t>470-762-488</t>
  </si>
  <si>
    <t>DUMALSIN, Joan-Ana Jacinto</t>
  </si>
  <si>
    <t>Regional Office - Kalinga</t>
  </si>
  <si>
    <t>459-254-061</t>
  </si>
  <si>
    <t>Bakun</t>
  </si>
  <si>
    <t>438-344-268</t>
  </si>
  <si>
    <t>DOGUI-IS, Thyrza Shoey Leusen</t>
  </si>
  <si>
    <t>482-874-928</t>
  </si>
  <si>
    <t>Bauko</t>
  </si>
  <si>
    <t>vacant GAYASO</t>
  </si>
  <si>
    <t>402-804-686</t>
  </si>
  <si>
    <t>Gelliane Christine
(Princess)</t>
  </si>
  <si>
    <t>311-417-673</t>
  </si>
  <si>
    <t>407-104-160</t>
  </si>
  <si>
    <t xml:space="preserve">Abra </t>
  </si>
  <si>
    <t>449-497-003</t>
  </si>
  <si>
    <t>LICYAYO, Jennifer Lablabong</t>
  </si>
  <si>
    <t xml:space="preserve">JENNIFER L. LICYAYO </t>
  </si>
  <si>
    <t>Santa Marcela</t>
  </si>
  <si>
    <t>277-879-179</t>
  </si>
  <si>
    <t>Benguet - Apayao</t>
  </si>
  <si>
    <t>440-540-788</t>
  </si>
  <si>
    <t>475-727-853</t>
  </si>
  <si>
    <t>492-164-272</t>
  </si>
  <si>
    <t>ANAPEN, Humphrey Dumayas</t>
  </si>
  <si>
    <t>Vacant DOMASING</t>
  </si>
  <si>
    <t>458-350-991</t>
  </si>
  <si>
    <t>BACWADEN, Perry Daoas</t>
  </si>
  <si>
    <t>Benguet - Mt. Province</t>
  </si>
  <si>
    <t>127-566-811</t>
  </si>
  <si>
    <t>Unice</t>
  </si>
  <si>
    <t>487-897-283</t>
  </si>
  <si>
    <t>RA 1080 (CPA)</t>
  </si>
  <si>
    <t xml:space="preserve">Michelle </t>
  </si>
  <si>
    <t>473-695-941</t>
  </si>
  <si>
    <t>166-286-163</t>
  </si>
  <si>
    <t xml:space="preserve">Katherine </t>
  </si>
  <si>
    <t>311-961-811</t>
  </si>
  <si>
    <t>PARTIDO, Alfrainer Ferras</t>
  </si>
  <si>
    <t>vacant FABAG</t>
  </si>
  <si>
    <t>Vacant ANUA</t>
  </si>
  <si>
    <t>CSSP (Data  Encoder)</t>
  </si>
  <si>
    <t>Rose Mere</t>
  </si>
  <si>
    <t>331-267-027</t>
  </si>
  <si>
    <t>Med Tech</t>
  </si>
  <si>
    <t>BANGANAN, Imelda Farnigan</t>
  </si>
  <si>
    <t>459-549-527</t>
  </si>
  <si>
    <t>Nurse</t>
  </si>
  <si>
    <t>Nilo</t>
  </si>
  <si>
    <t>474-597-042</t>
  </si>
  <si>
    <t>apayao</t>
  </si>
  <si>
    <t>LIGLIGON, Randolph Lacamang</t>
  </si>
  <si>
    <t>Benguet - Baguio</t>
  </si>
  <si>
    <t>417-617-790</t>
  </si>
  <si>
    <t>de Jesus</t>
  </si>
  <si>
    <r>
      <rPr>
        <sz val="8"/>
        <rFont val="Tahoma"/>
        <charset val="134"/>
      </rPr>
      <t xml:space="preserve">Vacant BALTING, Jason Saingan
</t>
    </r>
    <r>
      <rPr>
        <b/>
        <sz val="12"/>
        <rFont val="Tahoma"/>
        <charset val="134"/>
      </rPr>
      <t>CTI-FOR SCRAPPING</t>
    </r>
  </si>
  <si>
    <r>
      <rPr>
        <sz val="8"/>
        <rFont val="Tahoma"/>
        <charset val="134"/>
      </rPr>
      <t xml:space="preserve">Vacant SANCHEZ, Roland Waking
</t>
    </r>
    <r>
      <rPr>
        <b/>
        <sz val="12"/>
        <rFont val="Tahoma"/>
        <charset val="134"/>
      </rPr>
      <t>CTI-FOR SCRAPPING</t>
    </r>
  </si>
  <si>
    <t>ADA2</t>
  </si>
  <si>
    <t>127-534-604</t>
  </si>
  <si>
    <t>Must be able to read and write</t>
  </si>
  <si>
    <t>ADA1</t>
  </si>
  <si>
    <r>
      <rPr>
        <sz val="8"/>
        <rFont val="Tahoma"/>
        <charset val="134"/>
      </rPr>
      <t xml:space="preserve">Vacant SAINGAN, Crisanto Ingosan
</t>
    </r>
    <r>
      <rPr>
        <b/>
        <sz val="12"/>
        <rFont val="Tahoma"/>
        <charset val="134"/>
      </rPr>
      <t>CTI-FOR SCRAPPING</t>
    </r>
  </si>
  <si>
    <t>168-060-758</t>
  </si>
  <si>
    <r>
      <rPr>
        <sz val="8"/>
        <rFont val="Tahoma"/>
        <charset val="134"/>
      </rPr>
      <t xml:space="preserve">Vacant BRAGAS, Suzette Dela Cruz
</t>
    </r>
    <r>
      <rPr>
        <b/>
        <sz val="12"/>
        <rFont val="Tahoma"/>
        <charset val="134"/>
      </rPr>
      <t>CTI-FOR SCRAPPING</t>
    </r>
  </si>
  <si>
    <t>OSEC-DILGB-ADA4-___-20__</t>
  </si>
  <si>
    <r>
      <rPr>
        <sz val="8"/>
        <rFont val="Tahoma"/>
        <charset val="134"/>
      </rPr>
      <t xml:space="preserve">vacant Still no NOSCA
</t>
    </r>
    <r>
      <rPr>
        <sz val="11"/>
        <rFont val="Tahoma"/>
        <charset val="134"/>
      </rPr>
      <t>WITH PENDING REQUEST</t>
    </r>
  </si>
  <si>
    <t xml:space="preserve">Male </t>
  </si>
  <si>
    <t>Female</t>
  </si>
  <si>
    <t>M2F ratio</t>
  </si>
  <si>
    <t>F2M Ratio</t>
  </si>
  <si>
    <t>FILLED</t>
  </si>
  <si>
    <t>UNFILLED</t>
  </si>
  <si>
    <t xml:space="preserve">AbM </t>
  </si>
  <si>
    <t xml:space="preserve">AbF </t>
  </si>
  <si>
    <t>ApM</t>
  </si>
  <si>
    <t>ApF</t>
  </si>
  <si>
    <t>BCM</t>
  </si>
  <si>
    <t>BCF</t>
  </si>
  <si>
    <t>BM</t>
  </si>
  <si>
    <t>BF</t>
  </si>
  <si>
    <t>IM</t>
  </si>
  <si>
    <t>IF</t>
  </si>
  <si>
    <t>KM</t>
  </si>
  <si>
    <t>KF</t>
  </si>
  <si>
    <t>MPM</t>
  </si>
  <si>
    <t>MPF</t>
  </si>
  <si>
    <t>RM</t>
  </si>
  <si>
    <t>Permanent</t>
  </si>
  <si>
    <t>total</t>
  </si>
  <si>
    <t>3RD LEVEL</t>
  </si>
  <si>
    <t>2ND LEVEL</t>
  </si>
  <si>
    <t>1ST LEVEL</t>
  </si>
  <si>
    <t>Grand totals</t>
  </si>
  <si>
    <t>Regional Office Breakdown</t>
  </si>
  <si>
    <t>Remarks</t>
  </si>
  <si>
    <t>ANDANAN, Jaleemar Bosque</t>
  </si>
  <si>
    <t>BALANAY, Mark Anthony Gumabay</t>
  </si>
  <si>
    <t>LAYUGAN, Elizabeth Barros</t>
  </si>
  <si>
    <t>SAGUIYOD, Rose-Ann Ballangan</t>
  </si>
  <si>
    <t>TENEBRO, JR Adame</t>
  </si>
  <si>
    <t>TON, Janice Cristine Barreras</t>
  </si>
  <si>
    <t>ANUA, Rochelle Foronda</t>
  </si>
  <si>
    <t>CAMPO, Nilo Palsic</t>
  </si>
  <si>
    <t>UCOL, Edward Errol Bumanglag</t>
  </si>
  <si>
    <t>ANGAWA, Lilet Ahuday</t>
  </si>
  <si>
    <t>ESCAD, Laura Valencia</t>
  </si>
  <si>
    <t>APPOY, Samson Benlangan</t>
  </si>
  <si>
    <t>ATUAN, Valentine Lugawe</t>
  </si>
  <si>
    <t>MAGCIANO, Juden Beth Uybaan</t>
  </si>
  <si>
    <t>MAMMAG, Regina Elizabeth Lingayo</t>
  </si>
  <si>
    <t>PATAUEG, Clifford Pungod</t>
  </si>
  <si>
    <t>BACDAYAN, Wilfred Ramirez</t>
  </si>
  <si>
    <t>LADYONG, Faith Urbino</t>
  </si>
  <si>
    <t>BALLUG, Anthony Manolo Ilacad</t>
  </si>
  <si>
    <t>DOGUP, Trisha Marie Alangsab</t>
  </si>
  <si>
    <t>FABAG, Sheren Sagsago</t>
  </si>
  <si>
    <t>LOMAS-E, Rose Mere Manarop</t>
  </si>
  <si>
    <t>AZARCON, Danilo Jr Estrella</t>
  </si>
  <si>
    <t>BOGNADON, Kylee Russel Rebollido</t>
  </si>
  <si>
    <t>BRETT, Ralph Kevin Bacagan</t>
  </si>
  <si>
    <t>CHAOKAS, Jennifer Sokoken</t>
  </si>
  <si>
    <t>DAOAS, Marian Pait Bigsang</t>
  </si>
  <si>
    <t>ESDEN, Iris Balabag</t>
  </si>
  <si>
    <t>ESNARA, Myra Golingab</t>
  </si>
  <si>
    <t>GERNALE, Joe Pablo Maculada</t>
  </si>
  <si>
    <t>IRINGAN, Marlo Lingan</t>
  </si>
  <si>
    <t>LOPEZ, Sesvir Castañeda</t>
  </si>
  <si>
    <t>MACASIEB, Marlyn Pilot</t>
  </si>
  <si>
    <t>MON, Shirley Evangeline Vergara</t>
  </si>
  <si>
    <t>MONANG, Veronica Gadgad</t>
  </si>
  <si>
    <t>SAN JOSE, Araceli Arruejo</t>
  </si>
  <si>
    <t>WONG, Arlene Eustaquio</t>
  </si>
  <si>
    <t>MASTERLIST OF PERSONNEL</t>
  </si>
  <si>
    <t>OFFICE / PROVINCE</t>
  </si>
  <si>
    <t>AGE</t>
  </si>
  <si>
    <t>MDM</t>
  </si>
  <si>
    <t>BSAC</t>
  </si>
  <si>
    <t>MAED</t>
  </si>
  <si>
    <t>-</t>
  </si>
  <si>
    <t>BSC Accounting</t>
  </si>
  <si>
    <t>BSBA</t>
  </si>
  <si>
    <t>BA PolSci</t>
  </si>
  <si>
    <t>BS Idus. Engr.</t>
  </si>
  <si>
    <t>BS CompEduc</t>
  </si>
  <si>
    <t>BSED English</t>
  </si>
  <si>
    <t>BSC</t>
  </si>
  <si>
    <t>Itogon</t>
  </si>
  <si>
    <t>BS Commerce</t>
  </si>
  <si>
    <t>Mountain Province</t>
  </si>
  <si>
    <t>BS Secondary Educ.</t>
  </si>
  <si>
    <t>BS PA</t>
  </si>
  <si>
    <t>BS Agri</t>
  </si>
  <si>
    <t>MPA (ongoing)</t>
  </si>
  <si>
    <t>BSAC-Third Year</t>
  </si>
  <si>
    <t>Tayum</t>
  </si>
  <si>
    <t>BSA</t>
  </si>
  <si>
    <t>Secretarial</t>
  </si>
  <si>
    <t>BA Social Sciences</t>
  </si>
  <si>
    <t>MA MMPM</t>
  </si>
  <si>
    <t>BSBA MA</t>
  </si>
  <si>
    <t>MSUM</t>
  </si>
  <si>
    <t>MSBA</t>
  </si>
  <si>
    <t>BSMA</t>
  </si>
  <si>
    <t>BA</t>
  </si>
  <si>
    <t>MBM</t>
  </si>
  <si>
    <t>Gem.Radio Tel. Operator</t>
  </si>
  <si>
    <t>BSIE</t>
  </si>
  <si>
    <t>AB History</t>
  </si>
  <si>
    <t>BSCS</t>
  </si>
  <si>
    <t>Daguioman</t>
  </si>
  <si>
    <t>Aguinaldo</t>
  </si>
  <si>
    <t>BS AE</t>
  </si>
  <si>
    <t>BSCE</t>
  </si>
  <si>
    <t>BS Sec. Admin.</t>
  </si>
  <si>
    <t>Atok</t>
  </si>
  <si>
    <t>MSRD</t>
  </si>
  <si>
    <t xml:space="preserve">ABRA </t>
  </si>
  <si>
    <t>LGOO II</t>
  </si>
  <si>
    <t>BSA / BSBA - FINANCIAL MANAGEMENT</t>
  </si>
  <si>
    <t>ADA VI</t>
  </si>
  <si>
    <t>Year</t>
  </si>
  <si>
    <t>Inventory of Positions Per Operating Unit</t>
  </si>
  <si>
    <t>Position</t>
  </si>
  <si>
    <t>Salary Grade</t>
  </si>
  <si>
    <t>Item Number</t>
  </si>
  <si>
    <t>Item Location</t>
  </si>
  <si>
    <t>Current Station</t>
  </si>
  <si>
    <t>Name of incumbent</t>
  </si>
  <si>
    <t>DBM Area Code</t>
  </si>
  <si>
    <t>Region/ Province</t>
  </si>
  <si>
    <t>61,000          Office of the Regional Director</t>
  </si>
  <si>
    <t>62,000          Capability Development Division</t>
  </si>
  <si>
    <t>Area Code is for Benguet</t>
  </si>
  <si>
    <t>Area Code is for Atok Benguet</t>
  </si>
  <si>
    <t>63,000          Monitoring and Evaluation Division</t>
  </si>
  <si>
    <t>64,000          Finance and Administrative Division</t>
  </si>
  <si>
    <t>PROVINCIAL OFFICES - ABRA</t>
  </si>
  <si>
    <t>2010 Ratplan Allocation</t>
  </si>
  <si>
    <t>Double allocation Sabangan</t>
  </si>
  <si>
    <t>MP Code</t>
  </si>
  <si>
    <t>Daguioman Municipality</t>
  </si>
  <si>
    <t>No specific allocation</t>
  </si>
  <si>
    <r>
      <rPr>
        <sz val="11"/>
        <color rgb="FF9C6500"/>
        <rFont val="Calibri"/>
        <charset val="134"/>
        <scheme val="minor"/>
      </rPr>
      <t xml:space="preserve">No </t>
    </r>
    <r>
      <rPr>
        <b/>
        <sz val="11"/>
        <color rgb="FF9C6500"/>
        <rFont val="Calibri"/>
        <charset val="134"/>
        <scheme val="minor"/>
      </rPr>
      <t>LGOO V</t>
    </r>
    <r>
      <rPr>
        <sz val="11"/>
        <color rgb="FF9C6500"/>
        <rFont val="Calibri"/>
        <charset val="134"/>
        <scheme val="minor"/>
      </rPr>
      <t xml:space="preserve"> allocation</t>
    </r>
  </si>
  <si>
    <t>Tayum Municipality</t>
  </si>
  <si>
    <t>PROVINCIAL OFFICES - APAYAO</t>
  </si>
  <si>
    <t>Area Code is for Region</t>
  </si>
  <si>
    <t>Pudtol Municipality</t>
  </si>
  <si>
    <t>PROVINCIAL OFFICES - Baguio City</t>
  </si>
  <si>
    <t>Area Code is for Baguio</t>
  </si>
  <si>
    <t>Area Code is for Kalinga</t>
  </si>
  <si>
    <t>PROVINCIAL OFFICES - Benguet</t>
  </si>
  <si>
    <t>Allocation was in the RO (CDD)</t>
  </si>
  <si>
    <t>Double allocation</t>
  </si>
  <si>
    <t>PROVINCIAL OFFICES - Ifugao</t>
  </si>
  <si>
    <t>Area Code is for Apayao</t>
  </si>
  <si>
    <t>PROVINCIAL OFFICES - Kalinga</t>
  </si>
  <si>
    <t>Area Code is for Mt. Province</t>
  </si>
  <si>
    <t>LGOO III Allocation is in Baguio City</t>
  </si>
  <si>
    <t>PROVINCIAL OFFICES - Mt. Province</t>
  </si>
  <si>
    <t>Double allocation-Sabangan</t>
  </si>
  <si>
    <t>Fullname</t>
  </si>
  <si>
    <t>Lname</t>
  </si>
  <si>
    <t>New Tranche</t>
  </si>
  <si>
    <t>Old Tranche</t>
  </si>
  <si>
    <t>Diference</t>
  </si>
  <si>
    <t>AUTHORIZED Salary</t>
  </si>
  <si>
    <t>ACTUAL Salary</t>
  </si>
  <si>
    <t>New Salary</t>
  </si>
  <si>
    <t>Old Salary</t>
  </si>
  <si>
    <t>Date effective</t>
  </si>
  <si>
    <t xml:space="preserve">MARLO L. IRINGAN </t>
  </si>
  <si>
    <t xml:space="preserve">ZALDY B. PAPAT-IW </t>
  </si>
  <si>
    <t xml:space="preserve">FE S. BINAY-AN </t>
  </si>
  <si>
    <t xml:space="preserve">MARIAN B. DAOAS </t>
  </si>
  <si>
    <t>PULTZ, El-wood Duane Lingbawan</t>
  </si>
  <si>
    <t xml:space="preserve">EL-WOOD DUANE L. PULTZ </t>
  </si>
  <si>
    <t xml:space="preserve">DAISY A. PAYANG </t>
  </si>
  <si>
    <t xml:space="preserve">OFELIA L. CLAUDIO </t>
  </si>
  <si>
    <t xml:space="preserve">ROLANDO R. GONZALES </t>
  </si>
  <si>
    <t xml:space="preserve">JOHNNY L. MAUTING </t>
  </si>
  <si>
    <t xml:space="preserve">MARY ANN J. GRIBA </t>
  </si>
  <si>
    <t xml:space="preserve">KENNETH C. TINDUNGAN </t>
  </si>
  <si>
    <t xml:space="preserve">CARMELITA C. MAGO </t>
  </si>
  <si>
    <t xml:space="preserve">RENE V. VALERA </t>
  </si>
  <si>
    <t xml:space="preserve">BABLE G. ADNOL </t>
  </si>
  <si>
    <t xml:space="preserve">MARIE CRIS L. RIMANDO </t>
  </si>
  <si>
    <t xml:space="preserve">FLORINDA M. GARCIA </t>
  </si>
  <si>
    <t xml:space="preserve">MA. TERESA A. MANGANGEY </t>
  </si>
  <si>
    <t xml:space="preserve">MARIA CONSOLACION S. BUENA </t>
  </si>
  <si>
    <t>DANILO L. AZARCON Jr.</t>
  </si>
  <si>
    <t xml:space="preserve">SESVIR C. LOPEZ </t>
  </si>
  <si>
    <t xml:space="preserve">JUDEN BETH U. MAGCIANO </t>
  </si>
  <si>
    <t xml:space="preserve">SHIRLEY EVANGELINE V. MON </t>
  </si>
  <si>
    <t xml:space="preserve">GERRY C. BALANG </t>
  </si>
  <si>
    <t xml:space="preserve">JENNIFER S. CHAOKAS </t>
  </si>
  <si>
    <t xml:space="preserve">IRIS B. ESDEN </t>
  </si>
  <si>
    <t xml:space="preserve">LOUVEN L. MATIB </t>
  </si>
  <si>
    <t xml:space="preserve">NORMAN I. BARNACHEA </t>
  </si>
  <si>
    <t xml:space="preserve">MARLYN P. MACASIEB </t>
  </si>
  <si>
    <t xml:space="preserve">ARLENE E. WONG </t>
  </si>
  <si>
    <t xml:space="preserve">CHRYSANTINE C. GED-ANG </t>
  </si>
  <si>
    <t xml:space="preserve">LUZVIMINDA M. GABOT </t>
  </si>
  <si>
    <t xml:space="preserve">RONNEL F. RAMIREZ </t>
  </si>
  <si>
    <t xml:space="preserve">ANGELITO G. CASTRO </t>
  </si>
  <si>
    <t xml:space="preserve">JESSICA KIM A. LOPEZ </t>
  </si>
  <si>
    <t xml:space="preserve">PRESCILLA K. TOMAS </t>
  </si>
  <si>
    <t xml:space="preserve">MYRA G. ESNARA </t>
  </si>
  <si>
    <t>PAZ, Darryl Jane Trinidad</t>
  </si>
  <si>
    <t xml:space="preserve">DARRYL JANE T. PAZ </t>
  </si>
  <si>
    <t>MONANG, Veronica M.</t>
  </si>
  <si>
    <t xml:space="preserve">VERONICA G. MONANG </t>
  </si>
  <si>
    <t xml:space="preserve">DIOSDADO A. PASCUA </t>
  </si>
  <si>
    <t xml:space="preserve">JONATHAN A. TAMONDONG </t>
  </si>
  <si>
    <t xml:space="preserve">GERARDO R. ROJO </t>
  </si>
  <si>
    <t xml:space="preserve">ROBERTO A. PEREZ </t>
  </si>
  <si>
    <t xml:space="preserve">EDWARD B. NONOG </t>
  </si>
  <si>
    <t xml:space="preserve">MILLICENT B. CARIÑO </t>
  </si>
  <si>
    <t xml:space="preserve">ANTHONY MANOLO I. BALLUG </t>
  </si>
  <si>
    <t xml:space="preserve">RUFINA T. FEGCAN </t>
  </si>
  <si>
    <t xml:space="preserve">EVELYN B. TRINIDAD </t>
  </si>
  <si>
    <t xml:space="preserve">MARVIN A. BASQUEZ </t>
  </si>
  <si>
    <t>Dangal ng Bayan</t>
  </si>
  <si>
    <t>OSEC-DILGB-LGOO6-9-2010</t>
  </si>
  <si>
    <t xml:space="preserve">JIMMICIO S. DAOATEN </t>
  </si>
  <si>
    <t>ALIṄO, Mediatrix Rubio</t>
  </si>
  <si>
    <t xml:space="preserve">MEDIATRIX R. ALIṄO </t>
  </si>
  <si>
    <t>ALIṄO</t>
  </si>
  <si>
    <t xml:space="preserve">EMMANUEL P. ABULENCIA </t>
  </si>
  <si>
    <t>CAMACHO, Anabelle Laron</t>
  </si>
  <si>
    <t xml:space="preserve">ANABELLE L. CAMACHO </t>
  </si>
  <si>
    <t>OSEC-DILGB-LGOO6-12-2010</t>
  </si>
  <si>
    <t xml:space="preserve">MARLEEN M. GUERZON </t>
  </si>
  <si>
    <t xml:space="preserve">SAMSON L. APPOY </t>
  </si>
  <si>
    <t>OSEC-DILGB-LGOO6-14-2010</t>
  </si>
  <si>
    <t xml:space="preserve">MAYER MAX G. ADONG </t>
  </si>
  <si>
    <t>OSEC-DILGB-LGOO6-15-2010</t>
  </si>
  <si>
    <t xml:space="preserve">MARITESS M. CARIÑO </t>
  </si>
  <si>
    <t xml:space="preserve">WILNELIA M. ACERET </t>
  </si>
  <si>
    <t>OSEC-DILGB-LGOO6-239-2010</t>
  </si>
  <si>
    <t>OSEC-DILGB-LGOO6-273-2010</t>
  </si>
  <si>
    <t xml:space="preserve">MORY D. PALENG </t>
  </si>
  <si>
    <t xml:space="preserve">DOMINGO G. MABIASAN </t>
  </si>
  <si>
    <t xml:space="preserve">SOLEDAD M. BERSAMIN </t>
  </si>
  <si>
    <t xml:space="preserve">ANTONIO B. BALDERAMA </t>
  </si>
  <si>
    <t xml:space="preserve">JANICE CRISTINE DC. BARRERAS </t>
  </si>
  <si>
    <t xml:space="preserve">CAROL G. GANO </t>
  </si>
  <si>
    <t xml:space="preserve">JUVENAL H. VILLAMOR </t>
  </si>
  <si>
    <t xml:space="preserve">EMMANUEL A. TURQUEZA </t>
  </si>
  <si>
    <t xml:space="preserve">MARY BETH A. MICU </t>
  </si>
  <si>
    <t xml:space="preserve">FILIPINITA M. GALVEZ </t>
  </si>
  <si>
    <t xml:space="preserve">SHARIMA T. VALERA </t>
  </si>
  <si>
    <t xml:space="preserve">VALENTINO B. TENEZA </t>
  </si>
  <si>
    <t xml:space="preserve">CHARISMA  S. ABADEZA </t>
  </si>
  <si>
    <t xml:space="preserve">AMEURFINA C. LAPASTORA </t>
  </si>
  <si>
    <t xml:space="preserve">JOCELYN A. ROJO </t>
  </si>
  <si>
    <t xml:space="preserve">ASCENCION VIVA Z. BERNARDEZ </t>
  </si>
  <si>
    <t xml:space="preserve">EPHRAIM P. TURQUEZA </t>
  </si>
  <si>
    <t xml:space="preserve">BRAMIE M. MINA </t>
  </si>
  <si>
    <t xml:space="preserve">JOEL B. LINGBAOAN </t>
  </si>
  <si>
    <t xml:space="preserve">MILA B. CASTILLO </t>
  </si>
  <si>
    <t>CRESCENCIO B. CALINA II</t>
  </si>
  <si>
    <t xml:space="preserve">ERMA H. CARIÑO </t>
  </si>
  <si>
    <t xml:space="preserve">JEAN S. HERNANDEZ </t>
  </si>
  <si>
    <t xml:space="preserve">BERNABE B. TRINIDAD </t>
  </si>
  <si>
    <t xml:space="preserve">MARY JANE S. ABANCE </t>
  </si>
  <si>
    <t xml:space="preserve">MARLON S. WALANG </t>
  </si>
  <si>
    <t xml:space="preserve">CARLITO T. BARRERAS </t>
  </si>
  <si>
    <t xml:space="preserve">NOLITO D. VENUS </t>
  </si>
  <si>
    <t xml:space="preserve">EVELYN A. GARCIA </t>
  </si>
  <si>
    <t xml:space="preserve">NORMITA C. VENUS </t>
  </si>
  <si>
    <t xml:space="preserve">DEXTER L. IDOS </t>
  </si>
  <si>
    <t xml:space="preserve">CECILIA D. WAGIAN </t>
  </si>
  <si>
    <t xml:space="preserve">VIRGINIA L. CHAN </t>
  </si>
  <si>
    <t xml:space="preserve">JONILOU F. SAHOY </t>
  </si>
  <si>
    <t xml:space="preserve">JANET B. ATING </t>
  </si>
  <si>
    <t xml:space="preserve">BRIGITTE A. ULEP </t>
  </si>
  <si>
    <t xml:space="preserve">CESAR U. ATING </t>
  </si>
  <si>
    <t xml:space="preserve">RANDY T. LUMA-ANG </t>
  </si>
  <si>
    <t xml:space="preserve">ELIZABETH S. OLANGCAY </t>
  </si>
  <si>
    <t xml:space="preserve">ODEMAR M. CAWIS </t>
  </si>
  <si>
    <t xml:space="preserve">CHERYL ROSE F. CARDENAS </t>
  </si>
  <si>
    <t xml:space="preserve">LINSTON B. EBES </t>
  </si>
  <si>
    <t xml:space="preserve">LOURDES CLAIRE F. PEEL </t>
  </si>
  <si>
    <t xml:space="preserve">ERWIN GERALD T. FEGCAN </t>
  </si>
  <si>
    <t xml:space="preserve">NENA S. SIMONGO </t>
  </si>
  <si>
    <t>ROBERT P. MANGANGEY Jr.</t>
  </si>
  <si>
    <t xml:space="preserve">JILL F. FA-ED </t>
  </si>
  <si>
    <t xml:space="preserve">RAYMUNDO JACINTO P. BASCO </t>
  </si>
  <si>
    <t xml:space="preserve">JUDY C. PILUDEN </t>
  </si>
  <si>
    <t>JOHNNY M. MAYMAYA Jr.</t>
  </si>
  <si>
    <t xml:space="preserve">CAROL C. CABANAYAN </t>
  </si>
  <si>
    <t xml:space="preserve">JIMMY B. PAGADDUT </t>
  </si>
  <si>
    <t xml:space="preserve">ISABEL A. BULAYUNGAN </t>
  </si>
  <si>
    <t xml:space="preserve">JEDA P. MONAYAO </t>
  </si>
  <si>
    <t xml:space="preserve">REGINA T. DONG-E </t>
  </si>
  <si>
    <t xml:space="preserve">FLORITA G. NARCIZA </t>
  </si>
  <si>
    <t xml:space="preserve">EMMANUEL H. BANGO </t>
  </si>
  <si>
    <t xml:space="preserve">GUILLAUME L. ADAWE </t>
  </si>
  <si>
    <t xml:space="preserve">CHRIS B. LUCAS </t>
  </si>
  <si>
    <t xml:space="preserve">NORMAN D. VENUS </t>
  </si>
  <si>
    <t xml:space="preserve">RHIENER C. VISITACION </t>
  </si>
  <si>
    <t xml:space="preserve">ALEXANDER G. ACUAT </t>
  </si>
  <si>
    <t xml:space="preserve">ELIZABETH PERPETUA B. LORENZO </t>
  </si>
  <si>
    <t xml:space="preserve">HELEN E. LACUESTA </t>
  </si>
  <si>
    <t xml:space="preserve">LUCAS A. ATING </t>
  </si>
  <si>
    <t xml:space="preserve">CECILE C. EUGENIO </t>
  </si>
  <si>
    <t xml:space="preserve">GEMMA O. BAWANTA </t>
  </si>
  <si>
    <t xml:space="preserve">JUVY JANE D. ESTELON </t>
  </si>
  <si>
    <t xml:space="preserve">FRANCHITA L. GAYUDAN </t>
  </si>
  <si>
    <t xml:space="preserve">RODERICK D. BEGTANG </t>
  </si>
  <si>
    <t xml:space="preserve">ARELLANO L. NEHYEBAN </t>
  </si>
  <si>
    <t xml:space="preserve">ROSELLE N. APLOSEN </t>
  </si>
  <si>
    <t xml:space="preserve">DAN JOEL S. RULLAN </t>
  </si>
  <si>
    <t xml:space="preserve">DAYAN S. WACNANG </t>
  </si>
  <si>
    <t xml:space="preserve">PRESCILA A. MONREAL </t>
  </si>
  <si>
    <t xml:space="preserve">EUCHOLS P. MANACNIS </t>
  </si>
  <si>
    <t xml:space="preserve">EVELYN M. SAINGAN </t>
  </si>
  <si>
    <t xml:space="preserve">JULIET B. GUMANGAN </t>
  </si>
  <si>
    <t xml:space="preserve">MARIA A. GUIAWAN </t>
  </si>
  <si>
    <t xml:space="preserve">RAY B. FIAR-OD </t>
  </si>
  <si>
    <t xml:space="preserve">CARIDAD B. BASILIO </t>
  </si>
  <si>
    <t xml:space="preserve">WILBERT M. UMALCO </t>
  </si>
  <si>
    <t xml:space="preserve">GILBERT N. LINDAWAN </t>
  </si>
  <si>
    <t xml:space="preserve">LINDA H. MARCAIDA </t>
  </si>
  <si>
    <t xml:space="preserve">KLIENE P. CHUNANON </t>
  </si>
  <si>
    <t xml:space="preserve">MERINA B. CENU </t>
  </si>
  <si>
    <t xml:space="preserve">KRISTOFFER DAVE R. ALVAREZ </t>
  </si>
  <si>
    <t xml:space="preserve"> MARY JHEAMA RACHINE E. CANULLAS </t>
  </si>
  <si>
    <t xml:space="preserve">SHERWIN RAY O. DAEP </t>
  </si>
  <si>
    <t xml:space="preserve">ELIZABETH B. LAYUGAN </t>
  </si>
  <si>
    <t xml:space="preserve">JR A. TENEBRO </t>
  </si>
  <si>
    <t xml:space="preserve">ALFRAINER F. PARTIDO </t>
  </si>
  <si>
    <t>BALLANGAN, Rose-Ann Adalan</t>
  </si>
  <si>
    <t xml:space="preserve">ROSE-ANN A. BALLANGAN </t>
  </si>
  <si>
    <t>BALLANGAN</t>
  </si>
  <si>
    <t xml:space="preserve">JOAN-ANA J. DUMALSIN </t>
  </si>
  <si>
    <t xml:space="preserve">TRISHA MARIE A. DOGUP </t>
  </si>
  <si>
    <t xml:space="preserve">RALPH KEVIN  B. BRETT </t>
  </si>
  <si>
    <t xml:space="preserve">THYRZA SHOEY L. DOGUI-IS </t>
  </si>
  <si>
    <t xml:space="preserve">JALEEMAR B. ANDANAN </t>
  </si>
  <si>
    <t xml:space="preserve">JOEY PAUL B. ALCANTARA </t>
  </si>
  <si>
    <t xml:space="preserve">JEREILLE D. GAYASO </t>
  </si>
  <si>
    <t>SOLIMEN Gelliane Christine (Princess) Bilas</t>
  </si>
  <si>
    <t xml:space="preserve">GELLIANE CHRISTINE B. SOLIMEN  </t>
  </si>
  <si>
    <t xml:space="preserve">SOLIMEN </t>
  </si>
  <si>
    <t xml:space="preserve">IMELDA F. BANGANAN </t>
  </si>
  <si>
    <t xml:space="preserve">GYDA H. NAMINGIT </t>
  </si>
  <si>
    <t xml:space="preserve">MARK ANTHONY G. BALANAY </t>
  </si>
  <si>
    <t xml:space="preserve">EDWARD ERROL B. UCOL </t>
  </si>
  <si>
    <t xml:space="preserve">PERRY D. BACWADEN </t>
  </si>
  <si>
    <t xml:space="preserve">RANDOLPH L. LIGLIGON </t>
  </si>
  <si>
    <t xml:space="preserve">HUMPHREY D. ANAPEN </t>
  </si>
  <si>
    <t xml:space="preserve">JOANNA RUTH G. DOMASING </t>
  </si>
  <si>
    <t xml:space="preserve">VALENTINE L. ATUAN </t>
  </si>
  <si>
    <t xml:space="preserve">DENNIS B. ALCAYNA </t>
  </si>
  <si>
    <t xml:space="preserve">MARILYN K. TAMI-ING </t>
  </si>
  <si>
    <t xml:space="preserve">RUBY Q. PACAMO </t>
  </si>
  <si>
    <t xml:space="preserve">DOMINGA A. VICENTE </t>
  </si>
  <si>
    <t xml:space="preserve">FAITH U. LADYONG </t>
  </si>
  <si>
    <t xml:space="preserve">ROSEMARIE B. BINTUDAN </t>
  </si>
  <si>
    <t>GALLEMA, Michelle Ignacio</t>
  </si>
  <si>
    <t xml:space="preserve">MICHELLE I. GALLEMA </t>
  </si>
  <si>
    <t xml:space="preserve">JUDITH B. TAMOT </t>
  </si>
  <si>
    <t xml:space="preserve">KATHERINE P. DEDUQUE </t>
  </si>
  <si>
    <t>TAN, Corrine Marie Pauline Elveña</t>
  </si>
  <si>
    <t xml:space="preserve">CORRINE MARIE PAULINE E. TAN </t>
  </si>
  <si>
    <t xml:space="preserve">ARTHUR A. LUCIO </t>
  </si>
  <si>
    <t xml:space="preserve">SHEREN S. FABAG </t>
  </si>
  <si>
    <t xml:space="preserve">MARLENE C. GONZALES </t>
  </si>
  <si>
    <t xml:space="preserve">WILFRED R. BACDAYAN </t>
  </si>
  <si>
    <t xml:space="preserve">ROCHELLE F. ANUA </t>
  </si>
  <si>
    <t>VALENCIA, Laura Teodoro</t>
  </si>
  <si>
    <t xml:space="preserve">LAURA T. VALENCIA </t>
  </si>
  <si>
    <t>VALENCIA</t>
  </si>
  <si>
    <t xml:space="preserve">GINA G. BALASO </t>
  </si>
  <si>
    <t xml:space="preserve">CLIFFORD P. PATAUEG </t>
  </si>
  <si>
    <t xml:space="preserve">LILET A. ANGAWA </t>
  </si>
  <si>
    <t xml:space="preserve">BENELITO J. MICU </t>
  </si>
  <si>
    <t xml:space="preserve">ROLANDO A. BRIONES </t>
  </si>
  <si>
    <t xml:space="preserve">MARVIN F. FERNANDO </t>
  </si>
  <si>
    <t xml:space="preserve">MERLYN M. DANGEL </t>
  </si>
  <si>
    <t xml:space="preserve">WILMON F. LOMAS-E </t>
  </si>
  <si>
    <t xml:space="preserve">NELSON M. KIBAYEN </t>
  </si>
  <si>
    <t>Republic of the Philippines</t>
  </si>
  <si>
    <t>PERSONNEL COMPLEMENT</t>
  </si>
  <si>
    <t>PULTZ, El-wood Duane  Lingbawan</t>
  </si>
  <si>
    <t>ADA I</t>
  </si>
  <si>
    <t>Pudtol</t>
  </si>
  <si>
    <t>Sta Marcela</t>
  </si>
  <si>
    <t>ADA II</t>
  </si>
  <si>
    <t>MOUNTAIN PROVINCE</t>
  </si>
  <si>
    <t>AB</t>
  </si>
  <si>
    <t>A+</t>
  </si>
  <si>
    <t>B+</t>
  </si>
  <si>
    <t>CM-2037960</t>
  </si>
  <si>
    <t>CM-2631686</t>
  </si>
  <si>
    <t>Blood Type</t>
  </si>
  <si>
    <t>Height in cm</t>
  </si>
  <si>
    <t>Weight in kg</t>
  </si>
  <si>
    <t>GSIS BP Number</t>
  </si>
  <si>
    <t>BARREAS</t>
  </si>
  <si>
    <t>Er</t>
  </si>
  <si>
    <t>162.5 cm</t>
  </si>
  <si>
    <t>170 cm.</t>
  </si>
  <si>
    <t>Darryl Jane</t>
  </si>
  <si>
    <t>Corrine Marie Pauline</t>
  </si>
  <si>
    <t xml:space="preserve"> TRINIDAD</t>
  </si>
  <si>
    <t>LGOO VIII</t>
  </si>
  <si>
    <t>CAO</t>
  </si>
  <si>
    <t>As of April 5, 2016</t>
  </si>
  <si>
    <t xml:space="preserve">ALCAYNA </t>
  </si>
  <si>
    <t>ANGGANDA</t>
  </si>
  <si>
    <t xml:space="preserve">ESNARA </t>
  </si>
  <si>
    <t xml:space="preserve">GALLEMA </t>
  </si>
  <si>
    <t>Aruejo</t>
  </si>
  <si>
    <t>SAN JOSE, Araceli Aruejo</t>
  </si>
  <si>
    <t>Vacant KIWANG, Tomas Jr. Amindalan</t>
  </si>
  <si>
    <t xml:space="preserve">Local Government Capacity Development Division </t>
  </si>
  <si>
    <t>Local Government Monitoring and Evaluation Division</t>
  </si>
  <si>
    <t xml:space="preserve">Finance and Administrative Division </t>
  </si>
  <si>
    <t>PROVINCIAL OFFICES</t>
  </si>
  <si>
    <t>BAGUIO CITY</t>
  </si>
  <si>
    <t>Vacant DUMELOD, Rosario BUMINAANG</t>
  </si>
  <si>
    <t>vacant CANULLAS, Mary Jheama Rachine Esperanzate</t>
  </si>
  <si>
    <t>vacant ANGGADNA, Mario Jr. Domingo</t>
  </si>
  <si>
    <t>vacant DAEP, Sherwin Ray Ochoco</t>
  </si>
  <si>
    <t>vacant ELVEÑA, Hanna Lynel Gullayan</t>
  </si>
  <si>
    <t>vacant TRINIDAD, Santos Beñas</t>
  </si>
  <si>
    <t>vacant LICYAYO, Jennifer Lablabong</t>
  </si>
  <si>
    <t>Benguet PO</t>
  </si>
  <si>
    <t>Ifugao PO</t>
  </si>
  <si>
    <t>Apayao PO</t>
  </si>
  <si>
    <t>Kalinga PO</t>
  </si>
  <si>
    <t>Change Area Code</t>
  </si>
  <si>
    <t>Mt Province</t>
  </si>
  <si>
    <t>Danglas Municipality</t>
  </si>
  <si>
    <t>Apayo</t>
  </si>
  <si>
    <t>PO OK</t>
  </si>
  <si>
    <t>Abra Begtang item</t>
  </si>
  <si>
    <t>Shift Item</t>
  </si>
  <si>
    <t>Santa Marcela Municipality</t>
  </si>
  <si>
    <t>Abra PO</t>
  </si>
  <si>
    <t>Bakun Municipality</t>
  </si>
  <si>
    <t>Mountain PO</t>
  </si>
  <si>
    <t>2019 3rd</t>
  </si>
  <si>
    <t>2018 3rd</t>
  </si>
  <si>
    <t>2017 2nd</t>
  </si>
  <si>
    <t>2016 1ST</t>
  </si>
  <si>
    <t>HR Profile per Position</t>
  </si>
  <si>
    <r>
      <rPr>
        <b/>
        <sz val="11"/>
        <color theme="1"/>
        <rFont val="Calibri"/>
        <charset val="134"/>
      </rPr>
      <t xml:space="preserve">F </t>
    </r>
    <r>
      <rPr>
        <sz val="11"/>
        <color theme="1"/>
        <rFont val="Calibri"/>
        <charset val="134"/>
      </rPr>
      <t xml:space="preserve">- Filled            </t>
    </r>
    <r>
      <rPr>
        <b/>
        <sz val="11"/>
        <color theme="1"/>
        <rFont val="Calibri"/>
        <charset val="134"/>
      </rPr>
      <t xml:space="preserve"> R </t>
    </r>
    <r>
      <rPr>
        <sz val="11"/>
        <color theme="1"/>
        <rFont val="Calibri"/>
        <charset val="134"/>
      </rPr>
      <t xml:space="preserve">- Required             </t>
    </r>
    <r>
      <rPr>
        <b/>
        <sz val="11"/>
        <color theme="1"/>
        <rFont val="Calibri"/>
        <charset val="134"/>
      </rPr>
      <t>T</t>
    </r>
    <r>
      <rPr>
        <sz val="11"/>
        <color theme="1"/>
        <rFont val="Calibri"/>
        <charset val="134"/>
      </rPr>
      <t xml:space="preserve"> - Total</t>
    </r>
  </si>
  <si>
    <t>21 – 29 y/o</t>
  </si>
  <si>
    <t>30 – 39</t>
  </si>
  <si>
    <t xml:space="preserve">40 – 49 </t>
  </si>
  <si>
    <t xml:space="preserve">50 – 59 </t>
  </si>
  <si>
    <t>60 – 65</t>
  </si>
  <si>
    <t xml:space="preserve">HR PROFILE </t>
  </si>
  <si>
    <t xml:space="preserve">Sex and Age Disaggregation  </t>
  </si>
  <si>
    <t>Cordilleara Administrative Region</t>
  </si>
  <si>
    <t>Mt. Prov.</t>
  </si>
  <si>
    <t>RANGE</t>
  </si>
  <si>
    <t>30 – 39 y/o</t>
  </si>
  <si>
    <t>40 – 49 y/o</t>
  </si>
  <si>
    <t>50 – 59 y/o</t>
  </si>
  <si>
    <t>60 – 65 y/o</t>
  </si>
  <si>
    <t>Administrative Officer V</t>
  </si>
  <si>
    <t>Sex-disaggregated AGE Profile per Office</t>
  </si>
  <si>
    <t>Density</t>
  </si>
  <si>
    <t>Viscosity</t>
  </si>
  <si>
    <t>Temperature</t>
  </si>
  <si>
    <t>Data</t>
  </si>
  <si>
    <t>1st</t>
  </si>
  <si>
    <t>Nails</t>
  </si>
  <si>
    <t>2nd</t>
  </si>
  <si>
    <t>Screws</t>
  </si>
  <si>
    <t>3rd</t>
  </si>
  <si>
    <t>Nuts</t>
  </si>
  <si>
    <t>Finished</t>
  </si>
  <si>
    <t>Bolts</t>
  </si>
  <si>
    <t>{=INDEX(C3:C13,MATCH(1,(B3:B13=C16)*(D3:D13=C18)*(E3:E13=C18),0))}</t>
  </si>
  <si>
    <t>Formula on number to words using macro</t>
  </si>
  <si>
    <t>Option Explicit</t>
  </si>
  <si>
    <t>Public Numbers As Variant, Tens As Variant</t>
  </si>
  <si>
    <r>
      <rPr>
        <sz val="11"/>
        <color rgb="FF0000FF"/>
        <rFont val="Calibri"/>
        <charset val="134"/>
      </rPr>
      <t>Sub</t>
    </r>
    <r>
      <rPr>
        <sz val="11"/>
        <color theme="1"/>
        <rFont val="Calibri"/>
        <charset val="134"/>
      </rPr>
      <t xml:space="preserve"> SetNums()</t>
    </r>
  </si>
  <si>
    <t>Numbers = Array("", "One", "Two", "Three", "Four", "Five", "Six", "Seven", "Eight", "Nine", "Ten", "Eleven", "Twelve", "Thirteen", "Fourteen", "Fifteen", "Sixteen", "Seventeen", "Eighteen", "Nineteen")</t>
  </si>
  <si>
    <t>Tens = Array("", "", "Twenty", "Thirty", "Forty", "Fifty", "Sixty", "Seventy", "Eighty", "Ninety")</t>
  </si>
  <si>
    <t>End Sub</t>
  </si>
  <si>
    <r>
      <rPr>
        <sz val="11"/>
        <color rgb="FF0000FF"/>
        <rFont val="Calibri"/>
        <charset val="134"/>
      </rPr>
      <t>Function</t>
    </r>
    <r>
      <rPr>
        <sz val="11"/>
        <color theme="1"/>
        <rFont val="Calibri"/>
        <charset val="134"/>
      </rPr>
      <t xml:space="preserve"> WordNum(MyNumber As Double) As String</t>
    </r>
  </si>
  <si>
    <t>Dim DecimalPosition As Integer, ValNo As Variant, StrNo As String</t>
  </si>
  <si>
    <t>Dim NumStr As String, n As Integer, Temp1 As String, Temp2 As String</t>
  </si>
  <si>
    <t>' This macro was written by Chris Mead - www.MeadInKent.co.uk</t>
  </si>
  <si>
    <t>If Abs(MyNumber) &gt; 999999999 Then</t>
  </si>
  <si>
    <t> WordNum = "Value too large"</t>
  </si>
  <si>
    <t> Exit Function</t>
  </si>
  <si>
    <t>End If</t>
  </si>
  <si>
    <t>SetNums</t>
  </si>
  <si>
    <t>' String representation of amount (excl decimals)</t>
  </si>
  <si>
    <t>NumStr = Right("000000000" &amp; Trim(Str(Int(Abs(MyNumber)))), 9)</t>
  </si>
  <si>
    <t>ValNo = Array(0, Val(Mid(NumStr, 1, 3)), Val(Mid(NumStr, 4, 3)), Val(Mid(NumStr, 7, 3)))</t>
  </si>
  <si>
    <r>
      <rPr>
        <sz val="11"/>
        <color theme="1"/>
        <rFont val="Calibri"/>
        <charset val="134"/>
      </rPr>
      <t xml:space="preserve">For n = 3 To 1 Step -1 </t>
    </r>
    <r>
      <rPr>
        <sz val="11"/>
        <color rgb="FF008000"/>
        <rFont val="Calibri"/>
        <charset val="134"/>
      </rPr>
      <t>'analyse the absolute number as 3 sets of 3 digits</t>
    </r>
  </si>
  <si>
    <t>StrNo = Format(ValNo(n), "000")</t>
  </si>
  <si>
    <t>If ValNo(n) &gt; 0 Then</t>
  </si>
  <si>
    <t>Temp1 = GetTens(Val(Right(StrNo, 2)))</t>
  </si>
  <si>
    <t>If Left(StrNo, 1) &lt;&gt; "0" Then</t>
  </si>
  <si>
    <t> Temp2 = Numbers(Val(Left(StrNo, 1))) &amp; " hundred"</t>
  </si>
  <si>
    <t> If Temp1 &lt;&gt; "" Then Temp2 = Temp2 &amp; " and "</t>
  </si>
  <si>
    <t>Else</t>
  </si>
  <si>
    <t> Temp2 = ""</t>
  </si>
  <si>
    <t>If n = 3 Then</t>
  </si>
  <si>
    <t> If Temp2 = "" And ValNo(1) + ValNo(2) &gt; 0 Then Temp2 = "and " </t>
  </si>
  <si>
    <t> WordNum = Trim(Temp2 &amp; Temp1)</t>
  </si>
  <si>
    <t>If n = 2 Then WordNum = Trim(Temp2 &amp; Temp1 &amp; " thousand " &amp; WordNum)</t>
  </si>
  <si>
    <t>If n = 1 Then WordNum = Trim(Temp2 &amp; Temp1 &amp; " million " &amp; WordNum)</t>
  </si>
  <si>
    <t>Next n</t>
  </si>
  <si>
    <t>NumStr = Trim(Str(Abs(MyNumber)))</t>
  </si>
  <si>
    <t>' Values after the decimal place</t>
  </si>
  <si>
    <t>DecimalPosition = InStr(NumStr, ".")</t>
  </si>
  <si>
    <t>Numbers(0) = "Zero"</t>
  </si>
  <si>
    <t>If DecimalPosition &gt; 0 And DecimalPosition &lt; Len(NumStr) Then</t>
  </si>
  <si>
    <t> Temp1 = " point"</t>
  </si>
  <si>
    <t> For n = DecimalPosition + 1 To Len(NumStr)</t>
  </si>
  <si>
    <t>  Temp1 = Temp1 &amp; " " &amp; Numbers(Val(Mid(NumStr, n, 1)))</t>
  </si>
  <si>
    <t> Next n</t>
  </si>
  <si>
    <t> WordNum = WordNum &amp; Temp1</t>
  </si>
  <si>
    <t>If Len(WordNum) = 0 Or Left(WordNum, 2) = " p" Then</t>
  </si>
  <si>
    <t> WordNum = "Zero" &amp; WordNum</t>
  </si>
  <si>
    <t>End Function</t>
  </si>
  <si>
    <r>
      <rPr>
        <sz val="11"/>
        <color rgb="FF0000FF"/>
        <rFont val="Calibri"/>
        <charset val="134"/>
      </rPr>
      <t>Function</t>
    </r>
    <r>
      <rPr>
        <sz val="11"/>
        <color theme="1"/>
        <rFont val="Calibri"/>
        <charset val="134"/>
      </rPr>
      <t xml:space="preserve"> GetTens(TensNum As Integer) As String</t>
    </r>
  </si>
  <si>
    <t>' Converts a number from 0 to 99 into text.</t>
  </si>
  <si>
    <t>If TensNum &lt;= 19 Then</t>
  </si>
  <si>
    <t> GetTens = Numbers(TensNum)</t>
  </si>
  <si>
    <t> Dim MyNo As String</t>
  </si>
  <si>
    <t> MyNo = Format(TensNum, "00")</t>
  </si>
  <si>
    <t> GetTens = Tens(Val(Left(MyNo, 1))) &amp; " " &amp; Numbers(Val(Right(MyNo, 1)))</t>
  </si>
  <si>
    <t>@Julie, this can be done only through VBA code and it is mentioned below.</t>
  </si>
  <si>
    <t>Important notes:</t>
  </si>
  <si>
    <t>1. Code assumes that every last name has a ” ” (empty space) before it</t>
  </si>
  <si>
    <t>eg: Mr &amp; Mrs Douglas Winston &gt;&gt; code will return &gt;&gt; Winston</t>
  </si>
  <si>
    <t>2. If the value in a cell does not have any spaces, code assumes that it is the last name and returns the entire content</t>
  </si>
  <si>
    <t>eg: Mr.NoName &gt;&gt; code will return &gt;&gt; Mr.NoName (i.e. original value)</t>
  </si>
  <si>
    <t>3. Code assumes that last name of a person is at the end of the string</t>
  </si>
  <si>
    <t>eg: Mr. and Mrs. John Doe &gt;&gt; code assumes &gt;&gt; Doe is the last name &gt;&gt; and returns &gt;&gt; Doe</t>
  </si>
  <si>
    <t>Steps to make this work in your Excel sheet:</t>
  </si>
  <si>
    <t>————————————————-</t>
  </si>
  <si>
    <t>1. Copy the below code and paste it in a module within “Visual Basic” editor of your Excel workbook</t>
  </si>
  <si>
    <t>2. Insert a blank column after the column which has the names listed</t>
  </si>
  <si>
    <t>3. In the first cell, copy-paste “=Find_Last_Occur(” “,A1)”</t>
  </si>
  <si>
    <t>Note1: without the quotes</t>
  </si>
  <si>
    <t>Note2: A1 is with the assumption that your names are listed in column A. Feel free to change it to reflect your own column and code will work fine</t>
  </si>
  <si>
    <t>Note3: Find_Last_Occur is a user defined function i.e. the code written for resolving this</t>
  </si>
  <si>
    <t>4. Drag the formula across the length of the names list so that, it can work for all the names</t>
  </si>
  <si>
    <t>5. If you are using Excel 2007 / 2010 &gt;&gt; and want to save the VBA code, you need to save the workbook with .xlsm extension. Else, you need to repeat steps 1 to 3 each time</t>
  </si>
  <si>
    <t>Code to be saved in the VB Editor is mentioned below:</t>
  </si>
  <si>
    <t>———————————————————–</t>
  </si>
  <si>
    <t>Function Find_Last_Occur(sFind As String, _</t>
  </si>
  <si>
    <t>sInput As String) As String</t>
  </si>
  <si>
    <t>Dim Jr As Integer, Mid_Val As Integer, Find_Last As Integer</t>
  </si>
  <si>
    <t>Dim len100 As Long</t>
  </si>
  <si>
    <t>Application.Volatile</t>
  </si>
  <si>
    <t>Find_Last = 0</t>
  </si>
  <si>
    <t>Mid_Val = 0</t>
  </si>
  <si>
    <t>For Jr = 1 To 1000</t>
  </si>
  <si>
    <t>Mid_Val = InStr(Mid_Val + 1, sInput, sFind)</t>
  </si>
  <si>
    <t>If Mid_Val = 0 Then Exit For</t>
  </si>
  <si>
    <t>len100 = Len(sInput)</t>
  </si>
  <si>
    <t>sInput = Right(sInput, len100 – Mid_Val)</t>
  </si>
  <si>
    <t>If Mid_Val 0 Then Find_Last_Occur = Find_Last + 1</t>
  </si>
  <si>
    <t>Next Jr</t>
  </si>
  <si>
    <t>Find_Last_Occur = sInput</t>
  </si>
  <si>
    <t>If Find_Last = 0 Then Exit Function</t>
  </si>
  <si>
    <t>Old Trnache</t>
  </si>
  <si>
    <t>TOMAS A. KIWANG Jr.</t>
  </si>
  <si>
    <t>Vacan</t>
  </si>
  <si>
    <t xml:space="preserve">ROSARIO B. Vacan </t>
  </si>
  <si>
    <t xml:space="preserve">MELCHOR ANTHONY G. CORTEZ </t>
  </si>
  <si>
    <t>ALINIO, Mediatrix Rubio</t>
  </si>
  <si>
    <t>ALINIO</t>
  </si>
  <si>
    <t xml:space="preserve">MEDIATRIX D. ALINIO </t>
  </si>
  <si>
    <t xml:space="preserve">FRANCISCO A. PIRA </t>
  </si>
  <si>
    <t xml:space="preserve">ELIZABETH B. LORENZO </t>
  </si>
  <si>
    <t xml:space="preserve">FRANCISCO K. PANAY </t>
  </si>
  <si>
    <t xml:space="preserve">LAURA . VALENCIA </t>
  </si>
  <si>
    <t xml:space="preserve">CRISANTO I. SAINGAN </t>
  </si>
  <si>
    <t>ARACELI A. SAN JOSE</t>
  </si>
  <si>
    <t>EL-WOOD DUANE  L. PULTZ</t>
  </si>
  <si>
    <t>OFELIA L. CLAUDIO</t>
  </si>
  <si>
    <t>ROLANDO R. GONZALES</t>
  </si>
  <si>
    <t>JOHNNY L. MAUTING</t>
  </si>
  <si>
    <t>DANILO JR E. AZARCON</t>
  </si>
  <si>
    <t>SESVIR C. LOPEZ</t>
  </si>
  <si>
    <t>MARLYN P. MACASIEB</t>
  </si>
  <si>
    <t>CHRYSANTINE C. GED-ANG</t>
  </si>
  <si>
    <t>RONNEL F. RAMIREZ</t>
  </si>
  <si>
    <t>VERONICA G. MONANG</t>
  </si>
  <si>
    <t>DIOSDADO A. PASCUA</t>
  </si>
  <si>
    <t>EVELYN B. TRINIDAD</t>
  </si>
  <si>
    <t>JUVENAL H. VILLAMOR</t>
  </si>
  <si>
    <t>EMMANUEL A. TURQUEZA</t>
  </si>
  <si>
    <t>VALENTINO B. TENEZA</t>
  </si>
  <si>
    <t>CHARISMA S. ABADEZA</t>
  </si>
  <si>
    <t>AMEURFINA C. LAPASTORA</t>
  </si>
  <si>
    <t>VIVA ASCENSION Z. BERNARDEZ</t>
  </si>
  <si>
    <t>EPHRAIM P. TURQUEZA</t>
  </si>
  <si>
    <t>JOEL B. LINGBAOAN</t>
  </si>
  <si>
    <t>MILA B. CASTILLO</t>
  </si>
  <si>
    <t>CRESCENCIO II B. CALINA</t>
  </si>
  <si>
    <t>ERMA H. CARIÑO</t>
  </si>
  <si>
    <t>CAMACHO, Anabelle  Laron</t>
  </si>
  <si>
    <t>ANABELLE  L. CAMACHO</t>
  </si>
  <si>
    <t>HERNANDEZ, Jean  Smith</t>
  </si>
  <si>
    <t>JEAN  S. HERNANDEZ</t>
  </si>
  <si>
    <t>BERNABE B. TRINIDAD</t>
  </si>
  <si>
    <t>MARY JANE S. ABANCE</t>
  </si>
  <si>
    <t>MARLON S. WALANG</t>
  </si>
  <si>
    <t>CARLITO T. BARRERAS</t>
  </si>
  <si>
    <t>NOLITO D. VENUS</t>
  </si>
  <si>
    <t>NORMITA C. VENUS</t>
  </si>
  <si>
    <t>DEXTER L. IDOS</t>
  </si>
  <si>
    <t>JANICE CRISTINE B. TON</t>
  </si>
  <si>
    <t>EVELYN A. GARCIA</t>
  </si>
  <si>
    <t>DAN JOEL S. RULLAN</t>
  </si>
  <si>
    <t>DAYAN S. WACNANG</t>
  </si>
  <si>
    <t>PRESCILA A. MONREAL</t>
  </si>
  <si>
    <t>MARY BETH A. MICU</t>
  </si>
  <si>
    <t>FILIPINITA M. GALVEZ</t>
  </si>
  <si>
    <t>VIRGINIA L. CHAN</t>
  </si>
  <si>
    <t>JONILOU F. SAHOY</t>
  </si>
  <si>
    <t>JANET B. ATING</t>
  </si>
  <si>
    <t>ULEP, Brigitte  Adeban</t>
  </si>
  <si>
    <t>BRIGITTE  A. ULEP</t>
  </si>
  <si>
    <t>CESAR U. ATING</t>
  </si>
  <si>
    <t>RANDY T. LUMA-ANG</t>
  </si>
  <si>
    <t>ODEMAR M. CAWIS</t>
  </si>
  <si>
    <t>CHERYL ROSE F. CARDENAS</t>
  </si>
  <si>
    <t>LINSTON B. EBES</t>
  </si>
  <si>
    <t>NORMAN D. VENUS</t>
  </si>
  <si>
    <t>RHIENER C. VISITACION</t>
  </si>
  <si>
    <t>CECILE C. EUGENIO</t>
  </si>
  <si>
    <t>RODERICK D. BEGTANG</t>
  </si>
  <si>
    <t>EUCHOLS P. MANACNIS</t>
  </si>
  <si>
    <t>EVELYN M. SAINGAN</t>
  </si>
  <si>
    <t>CAROL C. CABANAYAN</t>
  </si>
  <si>
    <t>JIMMY B. PAGADDUT</t>
  </si>
  <si>
    <t>ISABEL A. BULAYUNGAN</t>
  </si>
  <si>
    <t>JEDA P. MONAYAO</t>
  </si>
  <si>
    <t>REGINA T. DONG-E</t>
  </si>
  <si>
    <t>EMMANUEL H. BANGO</t>
  </si>
  <si>
    <t>GUILLAUME L. ADAWE</t>
  </si>
  <si>
    <t>ROSELLE N. APLOSEN</t>
  </si>
  <si>
    <t>WILBERT M. UMALCO</t>
  </si>
  <si>
    <t>GILBERT N. LINDAWAN</t>
  </si>
  <si>
    <t>LINDA H. MARCAIDA</t>
  </si>
  <si>
    <t>CHRIS B. LUCAS</t>
  </si>
  <si>
    <t>ALEXANDER G. ACUAT</t>
  </si>
  <si>
    <t>ELIZABETH PERPETUA B. LORENZO</t>
  </si>
  <si>
    <t>HELEN E. LACUESTA</t>
  </si>
  <si>
    <t>LUCAS A. ATING</t>
  </si>
  <si>
    <t>GEMMA O. BAWANTA</t>
  </si>
  <si>
    <t>FRANCHITA L. GAYUDAN</t>
  </si>
  <si>
    <t>LOURDES CLAIRE F. PEEL</t>
  </si>
  <si>
    <t>ERWIN GERALD T. FEGCAN</t>
  </si>
  <si>
    <t>FA-ED, Jill  Fanged</t>
  </si>
  <si>
    <t>JILL  F. FA-ED</t>
  </si>
  <si>
    <t>RAYMUNDO JACINTO P. BASCO</t>
  </si>
  <si>
    <t>JUDY C. PILUDEN</t>
  </si>
  <si>
    <t>MAYMAYA, Johnny Jr.  Mukay</t>
  </si>
  <si>
    <t>JOHNNY JR.  M. MAYMAYA</t>
  </si>
  <si>
    <t>MARIA A. GUIAWAN</t>
  </si>
  <si>
    <t>BASILIO, Caridad  Ballang</t>
  </si>
  <si>
    <t>CARIDAD  B. BASILIO</t>
  </si>
  <si>
    <t>ANTONIO B. BALDERAMA</t>
  </si>
  <si>
    <t>BRAMIE M. MINA</t>
  </si>
  <si>
    <t>DOMINGO G. MABIASAN</t>
  </si>
  <si>
    <t>ELIZABETH S. OLANGCAY</t>
  </si>
  <si>
    <t>KRISTOFFER DAVE R. ALVAREZ</t>
  </si>
  <si>
    <t>ELIZABETH B. LAYUGAN</t>
  </si>
  <si>
    <t>TRISHA MARIE A. DOGUP</t>
  </si>
  <si>
    <t>JOEY PAUL B. ALCANTARA</t>
  </si>
  <si>
    <t>IMELDA F. BANGANAN</t>
  </si>
  <si>
    <t>GYDA H. NAMINGIT</t>
  </si>
  <si>
    <t>EDWARD ERROL B. UCOL</t>
  </si>
  <si>
    <t>RANDOLPH L. LIGLIGON</t>
  </si>
  <si>
    <t>BENELITO DJ. MICU</t>
  </si>
  <si>
    <t>WILMON F. LOMAS-E</t>
  </si>
  <si>
    <t>Name</t>
  </si>
  <si>
    <t>Differential</t>
  </si>
  <si>
    <t>BP 205</t>
  </si>
  <si>
    <t>FOR FY 2019</t>
  </si>
  <si>
    <t>DEPARTMENT:  Department of the Interior &amp; Local Government</t>
  </si>
  <si>
    <t>AGENCY:      Cordillera Administrative Region</t>
  </si>
  <si>
    <t>Mandatory</t>
  </si>
  <si>
    <t>OPTIONAL</t>
  </si>
  <si>
    <t>NAMES OF RETIREES</t>
  </si>
  <si>
    <t>Position at Retirement Date</t>
  </si>
  <si>
    <t>Date (Mo/Day/Year)</t>
  </si>
  <si>
    <t>Highest Monthly Salary (per NOSA)</t>
  </si>
  <si>
    <t>TERMINAL LEAVE</t>
  </si>
  <si>
    <t>RETIREMENT GRATUITY</t>
  </si>
  <si>
    <t>Birth</t>
  </si>
  <si>
    <t>Orig'l Appt.</t>
  </si>
  <si>
    <t>Ret.</t>
  </si>
  <si>
    <t>No. of Leave Credits Earned</t>
  </si>
  <si>
    <t>Amount</t>
  </si>
  <si>
    <t>Total Creditable Service</t>
  </si>
  <si>
    <t>No. of Gratuity Months</t>
  </si>
  <si>
    <t>Vacation</t>
  </si>
  <si>
    <t>Sick</t>
  </si>
  <si>
    <t>AO III  (Cahier II)</t>
  </si>
  <si>
    <t>Admin Aide I</t>
  </si>
  <si>
    <t>APPROVED BY:</t>
  </si>
  <si>
    <t>DATE:</t>
  </si>
  <si>
    <t>ENGR MARLO L. IRINGAN, CESO III</t>
  </si>
  <si>
    <t>AO V (HRMO)</t>
  </si>
  <si>
    <t>Regional Director</t>
  </si>
  <si>
    <t>MANDATORY</t>
  </si>
  <si>
    <t>Optional</t>
  </si>
  <si>
    <t>SG III</t>
  </si>
  <si>
    <t>MARLO L. IRINGAN</t>
  </si>
  <si>
    <t>FOR FY 2021</t>
  </si>
  <si>
    <t>FOR FY 2022</t>
  </si>
  <si>
    <t>FOR FY 2023</t>
  </si>
  <si>
    <t>INVENTORY OF CONTRACT OF SERVICE (COS) PERSONNEL</t>
  </si>
  <si>
    <t>PMO/Project Name</t>
  </si>
  <si>
    <t>Approved Position</t>
  </si>
  <si>
    <t>No. of Positions</t>
  </si>
  <si>
    <t>Annual Funding Requirement</t>
  </si>
  <si>
    <t>OPDS-Locally Funded Projects</t>
  </si>
  <si>
    <t>Information Systems Analyst</t>
  </si>
  <si>
    <t>ADM-RPMT (BUB)</t>
  </si>
  <si>
    <t>Team Leader</t>
  </si>
  <si>
    <t>MIS Staff</t>
  </si>
  <si>
    <t>Project Development Officer</t>
  </si>
  <si>
    <t>ISTMS-RICU</t>
  </si>
  <si>
    <t>Network Administrator</t>
  </si>
  <si>
    <t>Awaiting go Signal</t>
  </si>
  <si>
    <t>MASA-MASID</t>
  </si>
  <si>
    <t>Awaiting further Advisory</t>
  </si>
  <si>
    <t>Positions are on Hold some have already assumed office</t>
  </si>
  <si>
    <t>Upgrading of Nene Pimentel Hall</t>
  </si>
  <si>
    <t>Administrative/Financial Support</t>
  </si>
  <si>
    <t>Clerk II (e-NGAS)</t>
  </si>
  <si>
    <t>Carpenter/Plumber/Janitor</t>
  </si>
  <si>
    <t xml:space="preserve">   </t>
  </si>
  <si>
    <t xml:space="preserve">       </t>
  </si>
  <si>
    <t xml:space="preserve">         Station</t>
  </si>
  <si>
    <t>Regular/ Permanent</t>
  </si>
  <si>
    <t>Job Order</t>
  </si>
  <si>
    <t>BSACC</t>
  </si>
  <si>
    <t>MPA 18u</t>
  </si>
  <si>
    <t>BS ACC - 3RD YR</t>
  </si>
  <si>
    <t>MBA - 24u</t>
  </si>
  <si>
    <t>MSHRD - 12u</t>
  </si>
  <si>
    <t>High School</t>
  </si>
  <si>
    <t>GRCO</t>
  </si>
  <si>
    <t>Assoc in Marine Trans</t>
  </si>
  <si>
    <t>PhD ongoing</t>
  </si>
  <si>
    <t>PhD 6u</t>
  </si>
  <si>
    <t>PhD 50u</t>
  </si>
  <si>
    <t>ABLA</t>
  </si>
  <si>
    <t>MPM 9u</t>
  </si>
  <si>
    <t>MSC-Mgmt</t>
  </si>
  <si>
    <t>BS Soc Sci</t>
  </si>
  <si>
    <t>BS Psyche</t>
  </si>
  <si>
    <t>LlB</t>
  </si>
  <si>
    <t>BS BIO</t>
  </si>
  <si>
    <t>LlB 3rd YR</t>
  </si>
  <si>
    <t>PhD units</t>
  </si>
  <si>
    <t>BSBA MGMT</t>
  </si>
  <si>
    <t>BSC MGMT</t>
  </si>
  <si>
    <t>BS Educ</t>
  </si>
  <si>
    <t>BS Sec Educ</t>
  </si>
  <si>
    <t>BADC</t>
  </si>
  <si>
    <t>MAM MGMT</t>
  </si>
  <si>
    <t>BS ENTREP</t>
  </si>
  <si>
    <t>BSCoE</t>
  </si>
  <si>
    <t>BAPolSci</t>
  </si>
  <si>
    <t>BSC4</t>
  </si>
  <si>
    <t>BSMT</t>
  </si>
  <si>
    <t>BSN</t>
  </si>
  <si>
    <t>Competencies Required</t>
  </si>
  <si>
    <t>Core</t>
  </si>
  <si>
    <t>functional (LGOOs)</t>
  </si>
  <si>
    <t>Non-LGOOs</t>
  </si>
  <si>
    <t>Leadership</t>
  </si>
  <si>
    <t>CESGG</t>
  </si>
  <si>
    <t>CF</t>
  </si>
  <si>
    <t>EER</t>
  </si>
  <si>
    <t>OS</t>
  </si>
  <si>
    <t>EC</t>
  </si>
  <si>
    <t>MKI</t>
  </si>
  <si>
    <t>PRA</t>
  </si>
  <si>
    <t>PDM</t>
  </si>
  <si>
    <t>RB</t>
  </si>
  <si>
    <t>TP</t>
  </si>
  <si>
    <t>C/WO</t>
  </si>
  <si>
    <t>C/AT</t>
  </si>
  <si>
    <t>PO</t>
  </si>
  <si>
    <t>I/D/RM</t>
  </si>
  <si>
    <t>AS</t>
  </si>
  <si>
    <t>DIO</t>
  </si>
  <si>
    <t>PWMT</t>
  </si>
  <si>
    <t>PSDM</t>
  </si>
  <si>
    <t>OA</t>
  </si>
  <si>
    <t>Education</t>
  </si>
  <si>
    <t xml:space="preserve">Experience </t>
  </si>
  <si>
    <t>Training</t>
  </si>
  <si>
    <t>Qualification Standards</t>
  </si>
  <si>
    <t xml:space="preserve">Administrative Aide IV (Clerk II) </t>
  </si>
  <si>
    <t>Completion of 2 years of studies in college (prior to 2018 OR Completion of Grade 12/Senior High School (starting 2016)</t>
  </si>
  <si>
    <t xml:space="preserve">Administrative Aide IV (Driver II) </t>
  </si>
  <si>
    <t xml:space="preserve">Administrative Aide VI (Clerk III) </t>
  </si>
  <si>
    <t>Administrative Assistant II (Accounting Clerk III)</t>
  </si>
  <si>
    <t>Four (4) hours of relevant training</t>
  </si>
  <si>
    <t>One (1) year of relevant experience</t>
  </si>
  <si>
    <t>Administrative Assistant II (Disbursing Officer II)</t>
  </si>
  <si>
    <t>Administrative Assistant III (Bookkeeper II)</t>
  </si>
  <si>
    <t>Administrative Officer III (Records Officer III)</t>
  </si>
  <si>
    <t>Administrative Officer IV (Budget Officer II)</t>
  </si>
  <si>
    <t>Administrative Officer V (Budget Officer III)</t>
  </si>
  <si>
    <t>Administrative Officer V (Administrative Officer III)</t>
  </si>
  <si>
    <t>Bachelor's Degree</t>
  </si>
  <si>
    <t>Eight (8) hours of relevant training</t>
  </si>
  <si>
    <t>Two (2) years of relevant experience</t>
  </si>
  <si>
    <t>Supervising Administrative Officer (Administrative Officer IV)</t>
  </si>
  <si>
    <t xml:space="preserve">Chief Administrative Officer (Administrative Officer V) </t>
  </si>
  <si>
    <t>Sixteen (16) hours of relevant training</t>
  </si>
  <si>
    <t>Three (3) years of relevant experience</t>
  </si>
  <si>
    <t>Twenty-four (24) hours of training in management and supervision</t>
  </si>
  <si>
    <t>Four (4) years in position/s involving management and supervision</t>
  </si>
  <si>
    <t>Elementary Graduate</t>
  </si>
  <si>
    <t>Driver's License (MC 11, s. 96 - Cat II)</t>
  </si>
  <si>
    <t>Attorney III</t>
  </si>
  <si>
    <t>Information Systems Analyst I</t>
  </si>
  <si>
    <t>Bachelor of Laws</t>
  </si>
  <si>
    <t>Bachelor's Degree relevant to the job</t>
  </si>
  <si>
    <t>Completion of training course for LGOOs</t>
  </si>
  <si>
    <t>Eighty (80) hours of training in local governance operations and planning, strategic thinking, and community development</t>
  </si>
  <si>
    <t>Administrative Assistant III (Storekeeper III B)</t>
  </si>
  <si>
    <t>CS Subprofessional/First Level Eligibility</t>
  </si>
  <si>
    <t>CS Professional/Second Level Eligibility</t>
  </si>
  <si>
    <t>Competency/Area of Specialization/Residency Requirement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</si>
</sst>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0.00_);_(* \(#,##0.00\);_(* &quot;-&quot;??_);_(@_)"/>
    <numFmt numFmtId="165" formatCode="_(* #,##0.000_);_(* \(#,##0.000\);_(* &quot;-&quot;??_);_(@_)"/>
    <numFmt numFmtId="166" formatCode="0.000_ "/>
    <numFmt numFmtId="167" formatCode="mm/dd/yyyy;@"/>
    <numFmt numFmtId="168" formatCode="mmddyyyy"/>
    <numFmt numFmtId="169" formatCode="mmmm\ dd\,\ yyyy"/>
    <numFmt numFmtId="170" formatCode="[$-2409]mmmm\ dd\,\ yyyy;@"/>
    <numFmt numFmtId="171" formatCode="0.000"/>
    <numFmt numFmtId="172" formatCode="_(\ #,##0.00_);_(\ \(#,##0.00\);_(\ &quot;-&quot;??_);_(@_)"/>
    <numFmt numFmtId="173" formatCode="0_);[Red]\(0\)"/>
    <numFmt numFmtId="174" formatCode="0.00000"/>
    <numFmt numFmtId="175" formatCode="mm/dd/yy;@"/>
    <numFmt numFmtId="176" formatCode="yy"/>
  </numFmts>
  <fonts count="111">
    <font>
      <sz val="11"/>
      <color theme="1"/>
      <name val="Calibri"/>
      <charset val="134"/>
    </font>
    <font>
      <b/>
      <sz val="36"/>
      <color rgb="FFFF0000"/>
      <name val="Cambria"/>
      <charset val="134"/>
    </font>
    <font>
      <b/>
      <sz val="21"/>
      <color theme="1"/>
      <name val="Cambria"/>
      <charset val="134"/>
    </font>
    <font>
      <b/>
      <sz val="22"/>
      <color rgb="FFFFFFFF"/>
      <name val="Cambria"/>
      <charset val="134"/>
    </font>
    <font>
      <b/>
      <sz val="21"/>
      <color rgb="FFFFFFFF"/>
      <name val="Cambria"/>
      <charset val="134"/>
    </font>
    <font>
      <b/>
      <i/>
      <sz val="22"/>
      <color rgb="FF000000"/>
      <name val="Cambria"/>
      <charset val="134"/>
    </font>
    <font>
      <b/>
      <sz val="22"/>
      <color rgb="FF000000"/>
      <name val="Cambria"/>
      <charset val="134"/>
    </font>
    <font>
      <b/>
      <sz val="26"/>
      <color rgb="FF000000"/>
      <name val="Cambria"/>
      <charset val="134"/>
    </font>
    <font>
      <b/>
      <sz val="25"/>
      <color rgb="FF000000"/>
      <name val="Cambria"/>
      <charset val="134"/>
    </font>
    <font>
      <b/>
      <sz val="11"/>
      <color theme="1"/>
      <name val="Calibri"/>
      <charset val="134"/>
    </font>
    <font>
      <b/>
      <i/>
      <sz val="11"/>
      <color theme="1"/>
      <name val="Calibri"/>
      <charset val="134"/>
    </font>
    <font>
      <sz val="18"/>
      <color theme="1"/>
      <name val="Cambria"/>
      <charset val="134"/>
    </font>
    <font>
      <sz val="14"/>
      <color theme="1"/>
      <name val="Cambria"/>
      <charset val="134"/>
    </font>
    <font>
      <b/>
      <sz val="11"/>
      <color theme="1"/>
      <name val="Cambria"/>
      <charset val="134"/>
    </font>
    <font>
      <sz val="11"/>
      <color theme="1"/>
      <name val="Cambria"/>
      <charset val="134"/>
    </font>
    <font>
      <b/>
      <sz val="20"/>
      <color theme="1"/>
      <name val="Cambria"/>
      <charset val="134"/>
    </font>
    <font>
      <b/>
      <sz val="18"/>
      <color theme="1"/>
      <name val="Cambria"/>
      <charset val="134"/>
    </font>
    <font>
      <sz val="12"/>
      <color theme="1"/>
      <name val="Cambria"/>
      <charset val="134"/>
    </font>
    <font>
      <sz val="11"/>
      <color rgb="FFFF0000"/>
      <name val="Cambria"/>
      <charset val="134"/>
    </font>
    <font>
      <sz val="10"/>
      <name val="Calibri"/>
      <charset val="134"/>
    </font>
    <font>
      <b/>
      <sz val="18"/>
      <name val="Calibri"/>
      <charset val="134"/>
    </font>
    <font>
      <b/>
      <sz val="10"/>
      <name val="Calibri"/>
      <charset val="134"/>
    </font>
    <font>
      <b/>
      <sz val="11"/>
      <name val="Calibri"/>
      <charset val="134"/>
    </font>
    <font>
      <sz val="8"/>
      <name val="Calibri"/>
      <charset val="134"/>
    </font>
    <font>
      <b/>
      <sz val="12"/>
      <name val="Calibri"/>
      <charset val="134"/>
    </font>
    <font>
      <sz val="8"/>
      <color theme="1"/>
      <name val="Tahoma"/>
      <charset val="134"/>
    </font>
    <font>
      <sz val="10"/>
      <color theme="0"/>
      <name val="Calibri"/>
      <charset val="134"/>
    </font>
    <font>
      <b/>
      <sz val="10"/>
      <color theme="0"/>
      <name val="Calibri"/>
      <charset val="134"/>
    </font>
    <font>
      <sz val="8"/>
      <name val="Tahoma"/>
      <charset val="134"/>
    </font>
    <font>
      <b/>
      <sz val="7"/>
      <name val="Tahoma"/>
      <charset val="134"/>
    </font>
    <font>
      <b/>
      <sz val="7"/>
      <color theme="1"/>
      <name val="Tahoma"/>
      <charset val="134"/>
    </font>
    <font>
      <sz val="7"/>
      <name val="Tahoma"/>
      <charset val="134"/>
    </font>
    <font>
      <sz val="10"/>
      <name val="Arial"/>
      <charset val="134"/>
    </font>
    <font>
      <b/>
      <sz val="11"/>
      <color rgb="FFFFFFFF"/>
      <name val="Calibri"/>
      <charset val="134"/>
    </font>
    <font>
      <sz val="11"/>
      <color rgb="FF0000FF"/>
      <name val="Calibri"/>
      <charset val="134"/>
    </font>
    <font>
      <sz val="11"/>
      <color rgb="FF008000"/>
      <name val="Calibri"/>
      <charset val="134"/>
    </font>
    <font>
      <b/>
      <sz val="14"/>
      <color theme="1"/>
      <name val="Calibri"/>
      <charset val="134"/>
    </font>
    <font>
      <b/>
      <sz val="20"/>
      <color theme="1"/>
      <name val="Calibri"/>
      <charset val="134"/>
    </font>
    <font>
      <b/>
      <sz val="12"/>
      <color theme="1"/>
      <name val="Calibri"/>
      <charset val="134"/>
    </font>
    <font>
      <sz val="12"/>
      <color theme="1"/>
      <name val="Calibri"/>
      <charset val="134"/>
    </font>
    <font>
      <sz val="16"/>
      <color theme="1"/>
      <name val="Calibri"/>
      <charset val="134"/>
    </font>
    <font>
      <b/>
      <sz val="16"/>
      <color theme="1"/>
      <name val="Garamond"/>
      <charset val="134"/>
    </font>
    <font>
      <b/>
      <sz val="12"/>
      <color theme="1"/>
      <name val="Garamond"/>
      <charset val="134"/>
    </font>
    <font>
      <sz val="11"/>
      <name val="Maiandra GD"/>
      <charset val="134"/>
    </font>
    <font>
      <sz val="11"/>
      <color rgb="FF9C0006"/>
      <name val="Calibri"/>
      <charset val="134"/>
      <scheme val="minor"/>
    </font>
    <font>
      <sz val="11"/>
      <color rgb="FF006100"/>
      <name val="Calibri"/>
      <charset val="134"/>
      <scheme val="minor"/>
    </font>
    <font>
      <sz val="11"/>
      <color rgb="FF9C6500"/>
      <name val="Calibri"/>
      <charset val="134"/>
      <scheme val="minor"/>
    </font>
    <font>
      <b/>
      <sz val="10"/>
      <name val="Tahoma"/>
      <charset val="134"/>
    </font>
    <font>
      <sz val="9"/>
      <name val="Tahoma"/>
      <charset val="134"/>
    </font>
    <font>
      <sz val="6"/>
      <name val="Tahoma"/>
      <charset val="134"/>
    </font>
    <font>
      <b/>
      <sz val="8"/>
      <name val="Tahoma"/>
      <charset val="134"/>
    </font>
    <font>
      <b/>
      <sz val="10"/>
      <name val="Arial"/>
      <charset val="134"/>
    </font>
    <font>
      <sz val="11"/>
      <color theme="1"/>
      <name val="Calibri"/>
      <charset val="134"/>
      <scheme val="minor"/>
    </font>
    <font>
      <sz val="12"/>
      <color theme="1"/>
      <name val="Sylfaen"/>
      <charset val="134"/>
    </font>
    <font>
      <b/>
      <sz val="12"/>
      <color theme="1"/>
      <name val="Sylfaen"/>
      <charset val="134"/>
    </font>
    <font>
      <sz val="12"/>
      <color rgb="FF000000"/>
      <name val="Sylfaen"/>
      <charset val="134"/>
    </font>
    <font>
      <sz val="8"/>
      <name val="Arial"/>
      <charset val="134"/>
    </font>
    <font>
      <sz val="12"/>
      <name val="Arial"/>
      <charset val="134"/>
    </font>
    <font>
      <sz val="7"/>
      <name val="Arial"/>
      <charset val="134"/>
    </font>
    <font>
      <sz val="10"/>
      <color theme="1"/>
      <name val="Arial"/>
      <charset val="134"/>
    </font>
    <font>
      <b/>
      <sz val="22"/>
      <name val="Rockwell"/>
      <charset val="134"/>
    </font>
    <font>
      <b/>
      <sz val="7"/>
      <name val="Rockwell"/>
      <charset val="134"/>
    </font>
    <font>
      <sz val="7"/>
      <color theme="1"/>
      <name val="Calibri"/>
      <charset val="134"/>
    </font>
    <font>
      <b/>
      <i/>
      <sz val="10"/>
      <name val="Arial"/>
      <charset val="134"/>
    </font>
    <font>
      <i/>
      <sz val="8"/>
      <name val="Tahoma"/>
      <charset val="134"/>
    </font>
    <font>
      <b/>
      <sz val="9"/>
      <name val="Arial"/>
      <charset val="134"/>
    </font>
    <font>
      <b/>
      <sz val="9"/>
      <name val="Tahoma"/>
      <charset val="134"/>
    </font>
    <font>
      <sz val="8"/>
      <color rgb="FF000000"/>
      <name val="Wingdings 2"/>
      <charset val="134"/>
    </font>
    <font>
      <b/>
      <i/>
      <sz val="8"/>
      <name val="Tahoma"/>
      <charset val="134"/>
    </font>
    <font>
      <sz val="8"/>
      <color rgb="FF000000"/>
      <name val="Tahoma"/>
      <charset val="134"/>
    </font>
    <font>
      <b/>
      <sz val="18"/>
      <color theme="1"/>
      <name val="Calibri"/>
      <charset val="134"/>
    </font>
    <font>
      <b/>
      <sz val="10"/>
      <color theme="1"/>
      <name val="Tahoma"/>
      <charset val="134"/>
    </font>
    <font>
      <sz val="7"/>
      <color theme="1"/>
      <name val="Tahoma"/>
      <charset val="134"/>
    </font>
    <font>
      <sz val="9"/>
      <color theme="1"/>
      <name val="Tahoma"/>
      <charset val="134"/>
    </font>
    <font>
      <sz val="11"/>
      <name val="Calibri"/>
      <charset val="134"/>
    </font>
    <font>
      <sz val="10"/>
      <name val="Tahoma"/>
      <charset val="134"/>
    </font>
    <font>
      <b/>
      <sz val="7"/>
      <name val="Arial"/>
      <charset val="134"/>
    </font>
    <font>
      <sz val="10"/>
      <name val="Cambria"/>
      <charset val="134"/>
    </font>
    <font>
      <sz val="11"/>
      <name val="Century Gothic"/>
      <charset val="134"/>
    </font>
    <font>
      <b/>
      <sz val="6"/>
      <name val="Tahoma"/>
      <charset val="134"/>
    </font>
    <font>
      <b/>
      <sz val="7"/>
      <color theme="0"/>
      <name val="Tahoma"/>
      <charset val="134"/>
    </font>
    <font>
      <sz val="8"/>
      <color rgb="FFFF0000"/>
      <name val="Tahoma"/>
      <charset val="134"/>
    </font>
    <font>
      <sz val="12"/>
      <color theme="1"/>
      <name val="Arial Narrow"/>
      <charset val="134"/>
    </font>
    <font>
      <sz val="7"/>
      <color theme="1"/>
      <name val="Arial Narrow"/>
      <charset val="134"/>
    </font>
    <font>
      <sz val="11"/>
      <name val="Cambria"/>
      <charset val="134"/>
    </font>
    <font>
      <sz val="11"/>
      <color rgb="FF006100"/>
      <name val="Cambria"/>
      <charset val="134"/>
    </font>
    <font>
      <sz val="11"/>
      <color rgb="FF9C0006"/>
      <name val="Cambria"/>
      <charset val="134"/>
    </font>
    <font>
      <b/>
      <sz val="16"/>
      <name val="Tahoma"/>
      <charset val="134"/>
    </font>
    <font>
      <b/>
      <sz val="10"/>
      <color rgb="FF660066"/>
      <name val="Tahoma"/>
      <charset val="134"/>
    </font>
    <font>
      <sz val="10"/>
      <color rgb="FF660066"/>
      <name val="Tahoma"/>
      <charset val="134"/>
    </font>
    <font>
      <i/>
      <sz val="10"/>
      <name val="Tahoma"/>
      <charset val="134"/>
    </font>
    <font>
      <b/>
      <sz val="12"/>
      <name val="Tahoma"/>
      <charset val="134"/>
    </font>
    <font>
      <sz val="9"/>
      <name val="Arial"/>
      <charset val="134"/>
    </font>
    <font>
      <sz val="8"/>
      <color indexed="18"/>
      <name val="Arial"/>
      <charset val="134"/>
    </font>
    <font>
      <sz val="8"/>
      <color theme="0"/>
      <name val="Tahoma"/>
      <charset val="134"/>
    </font>
    <font>
      <b/>
      <sz val="9"/>
      <color theme="2"/>
      <name val="Tahoma"/>
      <charset val="134"/>
    </font>
    <font>
      <sz val="8"/>
      <color theme="0" tint="-0.14975432599871821"/>
      <name val="Tahoma"/>
      <charset val="134"/>
    </font>
    <font>
      <sz val="11"/>
      <name val="Tahoma"/>
      <charset val="134"/>
    </font>
    <font>
      <sz val="6"/>
      <name val="Century Gothic"/>
      <charset val="134"/>
    </font>
    <font>
      <sz val="10"/>
      <color indexed="18"/>
      <name val="Arial"/>
      <charset val="134"/>
    </font>
    <font>
      <u/>
      <sz val="11"/>
      <color theme="10"/>
      <name val="Calibri"/>
      <charset val="134"/>
      <scheme val="minor"/>
    </font>
    <font>
      <b/>
      <sz val="11"/>
      <color rgb="FF9C6500"/>
      <name val="Calibri"/>
      <charset val="134"/>
      <scheme val="minor"/>
    </font>
    <font>
      <vertAlign val="superscript"/>
      <sz val="8"/>
      <name val="Tahoma"/>
      <charset val="134"/>
    </font>
    <font>
      <sz val="9"/>
      <name val="Times New Roman"/>
      <charset val="134"/>
    </font>
    <font>
      <b/>
      <sz val="9"/>
      <name val="Times New Roman"/>
      <charset val="134"/>
    </font>
    <font>
      <sz val="11"/>
      <color theme="1"/>
      <name val="Calibri"/>
      <charset val="134"/>
    </font>
    <font>
      <b/>
      <sz val="9"/>
      <color theme="1"/>
      <name val="Cambria"/>
      <family val="1"/>
      <scheme val="major"/>
    </font>
    <font>
      <sz val="14"/>
      <color theme="1"/>
      <name val="Cambria"/>
      <family val="1"/>
    </font>
    <font>
      <b/>
      <sz val="14"/>
      <color theme="1"/>
      <name val="Cambria"/>
      <family val="1"/>
    </font>
    <font>
      <b/>
      <sz val="14"/>
      <color rgb="FF002060"/>
      <name val="Cambria"/>
      <family val="1"/>
    </font>
    <font>
      <sz val="14"/>
      <name val="Cambria"/>
      <family val="1"/>
    </font>
  </fonts>
  <fills count="32">
    <fill>
      <patternFill patternType="none"/>
    </fill>
    <fill>
      <patternFill patternType="gray125"/>
    </fill>
    <fill>
      <patternFill patternType="solid">
        <fgColor rgb="FF4F81BD"/>
        <bgColor indexed="64"/>
      </patternFill>
    </fill>
    <fill>
      <patternFill patternType="solid">
        <fgColor rgb="FFADEDC7"/>
        <bgColor indexed="64"/>
      </patternFill>
    </fill>
    <fill>
      <patternFill patternType="solid">
        <fgColor rgb="FFD3DFEE"/>
        <bgColor indexed="64"/>
      </patternFill>
    </fill>
    <fill>
      <patternFill patternType="solid">
        <fgColor rgb="FFFFFF00"/>
        <bgColor indexed="64"/>
      </patternFill>
    </fill>
    <fill>
      <patternFill patternType="solid">
        <fgColor rgb="FF6B82B2"/>
        <bgColor indexed="64"/>
      </patternFill>
    </fill>
    <fill>
      <patternFill patternType="solid">
        <fgColor rgb="FFF2F2F2"/>
        <bgColor indexed="64"/>
      </patternFill>
    </fill>
    <fill>
      <patternFill patternType="solid">
        <fgColor theme="0" tint="-4.9989318521683403E-2"/>
        <bgColor indexed="64"/>
      </patternFill>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theme="0"/>
        <bgColor indexed="64"/>
      </patternFill>
    </fill>
    <fill>
      <patternFill patternType="solid">
        <fgColor rgb="FF92D050"/>
        <bgColor indexed="64"/>
      </patternFill>
    </fill>
    <fill>
      <patternFill patternType="solid">
        <fgColor rgb="FF00B0F0"/>
        <bgColor indexed="64"/>
      </patternFill>
    </fill>
    <fill>
      <patternFill patternType="solid">
        <fgColor theme="3" tint="0.79973754081850645"/>
        <bgColor indexed="64"/>
      </patternFill>
    </fill>
    <fill>
      <patternFill patternType="solid">
        <fgColor rgb="FFFF9900"/>
        <bgColor indexed="64"/>
      </patternFill>
    </fill>
    <fill>
      <patternFill patternType="solid">
        <fgColor theme="2"/>
        <bgColor indexed="64"/>
      </patternFill>
    </fill>
    <fill>
      <patternFill patternType="solid">
        <fgColor theme="4" tint="0.59999389629810485"/>
        <bgColor indexed="64"/>
      </patternFill>
    </fill>
    <fill>
      <patternFill patternType="solid">
        <fgColor indexed="13"/>
        <bgColor indexed="64"/>
      </patternFill>
    </fill>
    <fill>
      <patternFill patternType="solid">
        <fgColor rgb="FF00B050"/>
        <bgColor indexed="64"/>
      </patternFill>
    </fill>
    <fill>
      <patternFill patternType="solid">
        <fgColor rgb="FFFF5050"/>
        <bgColor indexed="64"/>
      </patternFill>
    </fill>
    <fill>
      <patternFill patternType="solid">
        <fgColor rgb="FFFFFF99"/>
        <bgColor indexed="64"/>
      </patternFill>
    </fill>
    <fill>
      <patternFill patternType="solid">
        <fgColor rgb="FFFFC000"/>
        <bgColor indexed="64"/>
      </patternFill>
    </fill>
    <fill>
      <patternFill patternType="solid">
        <fgColor rgb="FFFF0000"/>
        <bgColor indexed="64"/>
      </patternFill>
    </fill>
    <fill>
      <patternFill patternType="solid">
        <fgColor rgb="FFFFFF66"/>
        <bgColor indexed="64"/>
      </patternFill>
    </fill>
    <fill>
      <patternFill patternType="solid">
        <fgColor theme="6" tint="-0.249977111117893"/>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9" tint="0.79998168889431442"/>
        <bgColor indexed="64"/>
      </patternFill>
    </fill>
  </fills>
  <borders count="103">
    <border>
      <left/>
      <right/>
      <top/>
      <bottom/>
      <diagonal/>
    </border>
    <border>
      <left style="medium">
        <color rgb="FF7BA0CD"/>
      </left>
      <right/>
      <top style="medium">
        <color rgb="FF7BA0CD"/>
      </top>
      <bottom style="medium">
        <color rgb="FF7BA0CD"/>
      </bottom>
      <diagonal/>
    </border>
    <border>
      <left/>
      <right/>
      <top style="medium">
        <color rgb="FF7BA0CD"/>
      </top>
      <bottom style="medium">
        <color rgb="FF7BA0CD"/>
      </bottom>
      <diagonal/>
    </border>
    <border>
      <left/>
      <right style="medium">
        <color rgb="FF7BA0CD"/>
      </right>
      <top style="medium">
        <color rgb="FF7BA0CD"/>
      </top>
      <bottom style="medium">
        <color rgb="FF7BA0CD"/>
      </bottom>
      <diagonal/>
    </border>
    <border>
      <left style="medium">
        <color rgb="FF7BA0CD"/>
      </left>
      <right/>
      <top/>
      <bottom style="medium">
        <color rgb="FF7BA0CD"/>
      </bottom>
      <diagonal/>
    </border>
    <border>
      <left/>
      <right/>
      <top/>
      <bottom style="medium">
        <color rgb="FF7BA0CD"/>
      </bottom>
      <diagonal/>
    </border>
    <border>
      <left/>
      <right style="medium">
        <color rgb="FF7BA0CD"/>
      </right>
      <top/>
      <bottom style="medium">
        <color rgb="FF7BA0CD"/>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medium">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medium">
        <color auto="1"/>
      </top>
      <bottom/>
      <diagonal/>
    </border>
    <border>
      <left style="medium">
        <color auto="1"/>
      </left>
      <right/>
      <top/>
      <bottom/>
      <diagonal/>
    </border>
    <border>
      <left style="thin">
        <color auto="1"/>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right style="thin">
        <color auto="1"/>
      </right>
      <top style="medium">
        <color auto="1"/>
      </top>
      <bottom/>
      <diagonal/>
    </border>
    <border>
      <left/>
      <right style="thin">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medium">
        <color auto="1"/>
      </left>
      <right/>
      <top/>
      <bottom style="medium">
        <color auto="1"/>
      </bottom>
      <diagonal/>
    </border>
    <border>
      <left style="thin">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style="medium">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bottom/>
      <diagonal/>
    </border>
    <border>
      <left style="thin">
        <color auto="1"/>
      </left>
      <right style="medium">
        <color auto="1"/>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hair">
        <color auto="1"/>
      </bottom>
      <diagonal/>
    </border>
    <border>
      <left style="medium">
        <color auto="1"/>
      </left>
      <right style="dotted">
        <color auto="1"/>
      </right>
      <top style="medium">
        <color auto="1"/>
      </top>
      <bottom style="hair">
        <color auto="1"/>
      </bottom>
      <diagonal/>
    </border>
    <border>
      <left style="medium">
        <color auto="1"/>
      </left>
      <right style="medium">
        <color auto="1"/>
      </right>
      <top style="hair">
        <color auto="1"/>
      </top>
      <bottom style="hair">
        <color auto="1"/>
      </bottom>
      <diagonal/>
    </border>
    <border>
      <left style="medium">
        <color auto="1"/>
      </left>
      <right style="dotted">
        <color auto="1"/>
      </right>
      <top style="hair">
        <color auto="1"/>
      </top>
      <bottom style="hair">
        <color auto="1"/>
      </bottom>
      <diagonal/>
    </border>
    <border>
      <left style="medium">
        <color auto="1"/>
      </left>
      <right style="medium">
        <color auto="1"/>
      </right>
      <top style="hair">
        <color auto="1"/>
      </top>
      <bottom style="medium">
        <color auto="1"/>
      </bottom>
      <diagonal/>
    </border>
    <border>
      <left style="medium">
        <color auto="1"/>
      </left>
      <right style="dotted">
        <color auto="1"/>
      </right>
      <top style="hair">
        <color auto="1"/>
      </top>
      <bottom style="medium">
        <color auto="1"/>
      </bottom>
      <diagonal/>
    </border>
    <border>
      <left style="medium">
        <color auto="1"/>
      </left>
      <right style="dotted">
        <color auto="1"/>
      </right>
      <top style="medium">
        <color auto="1"/>
      </top>
      <bottom style="medium">
        <color auto="1"/>
      </bottom>
      <diagonal/>
    </border>
    <border>
      <left style="dotted">
        <color auto="1"/>
      </left>
      <right style="medium">
        <color auto="1"/>
      </right>
      <top style="medium">
        <color auto="1"/>
      </top>
      <bottom style="medium">
        <color auto="1"/>
      </bottom>
      <diagonal/>
    </border>
    <border>
      <left style="medium">
        <color auto="1"/>
      </left>
      <right/>
      <top style="medium">
        <color auto="1"/>
      </top>
      <bottom style="hair">
        <color auto="1"/>
      </bottom>
      <diagonal/>
    </border>
    <border>
      <left style="medium">
        <color auto="1"/>
      </left>
      <right style="medium">
        <color auto="1"/>
      </right>
      <top style="medium">
        <color auto="1"/>
      </top>
      <bottom style="hair">
        <color auto="1"/>
      </bottom>
      <diagonal/>
    </border>
    <border>
      <left/>
      <right style="medium">
        <color auto="1"/>
      </right>
      <top style="medium">
        <color auto="1"/>
      </top>
      <bottom style="hair">
        <color auto="1"/>
      </bottom>
      <diagonal/>
    </border>
    <border>
      <left style="medium">
        <color auto="1"/>
      </left>
      <right/>
      <top style="hair">
        <color auto="1"/>
      </top>
      <bottom style="hair">
        <color auto="1"/>
      </bottom>
      <diagonal/>
    </border>
    <border>
      <left/>
      <right style="medium">
        <color auto="1"/>
      </right>
      <top style="hair">
        <color auto="1"/>
      </top>
      <bottom style="hair">
        <color auto="1"/>
      </bottom>
      <diagonal/>
    </border>
    <border>
      <left style="medium">
        <color auto="1"/>
      </left>
      <right/>
      <top style="hair">
        <color auto="1"/>
      </top>
      <bottom style="medium">
        <color auto="1"/>
      </bottom>
      <diagonal/>
    </border>
    <border>
      <left/>
      <right style="medium">
        <color auto="1"/>
      </right>
      <top style="hair">
        <color auto="1"/>
      </top>
      <bottom style="medium">
        <color auto="1"/>
      </bottom>
      <diagonal/>
    </border>
    <border>
      <left style="medium">
        <color auto="1"/>
      </left>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medium">
        <color auto="1"/>
      </right>
      <top/>
      <bottom style="thin">
        <color auto="1"/>
      </bottom>
      <diagonal/>
    </border>
    <border>
      <left style="medium">
        <color auto="1"/>
      </left>
      <right style="medium">
        <color auto="1"/>
      </right>
      <top/>
      <bottom style="medium">
        <color auto="1"/>
      </bottom>
      <diagonal/>
    </border>
    <border>
      <left/>
      <right style="thin">
        <color auto="1"/>
      </right>
      <top style="thin">
        <color auto="1"/>
      </top>
      <bottom style="thin">
        <color auto="1"/>
      </bottom>
      <diagonal/>
    </border>
    <border>
      <left/>
      <right/>
      <top style="thin">
        <color auto="1"/>
      </top>
      <bottom style="medium">
        <color auto="1"/>
      </bottom>
      <diagonal/>
    </border>
    <border>
      <left/>
      <right/>
      <top/>
      <bottom style="thin">
        <color auto="1"/>
      </bottom>
      <diagonal/>
    </border>
    <border>
      <left/>
      <right style="thin">
        <color auto="1"/>
      </right>
      <top style="thin">
        <color auto="1"/>
      </top>
      <bottom style="medium">
        <color auto="1"/>
      </bottom>
      <diagonal/>
    </border>
    <border>
      <left/>
      <right style="thin">
        <color auto="1"/>
      </right>
      <top/>
      <bottom style="medium">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000000"/>
      </right>
      <top/>
      <bottom/>
      <diagonal/>
    </border>
    <border>
      <left style="medium">
        <color rgb="FFCCCCCC"/>
      </left>
      <right style="medium">
        <color rgb="FFCCCCCC"/>
      </right>
      <top style="medium">
        <color rgb="FFCCCCCC"/>
      </top>
      <bottom style="medium">
        <color rgb="FFCCCCCC"/>
      </bottom>
      <diagonal/>
    </border>
    <border>
      <left/>
      <right style="thin">
        <color auto="1"/>
      </right>
      <top style="thin">
        <color auto="1"/>
      </top>
      <bottom/>
      <diagonal/>
    </border>
    <border>
      <left style="thin">
        <color auto="1"/>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style="medium">
        <color auto="1"/>
      </top>
      <bottom style="thin">
        <color auto="1"/>
      </bottom>
      <diagonal/>
    </border>
    <border>
      <left style="thin">
        <color auto="1"/>
      </left>
      <right/>
      <top style="thin">
        <color auto="1"/>
      </top>
      <bottom style="medium">
        <color auto="1"/>
      </bottom>
      <diagonal/>
    </border>
    <border>
      <left style="medium">
        <color auto="1"/>
      </left>
      <right style="medium">
        <color auto="1"/>
      </right>
      <top/>
      <bottom style="thin">
        <color auto="1"/>
      </bottom>
      <diagonal/>
    </border>
    <border>
      <left style="thin">
        <color auto="1"/>
      </left>
      <right/>
      <top style="medium">
        <color auto="1"/>
      </top>
      <bottom style="thin">
        <color auto="1"/>
      </bottom>
      <diagonal/>
    </border>
    <border>
      <left/>
      <right style="medium">
        <color auto="1"/>
      </right>
      <top style="thin">
        <color auto="1"/>
      </top>
      <bottom style="medium">
        <color auto="1"/>
      </bottom>
      <diagonal/>
    </border>
    <border>
      <left/>
      <right style="medium">
        <color auto="1"/>
      </right>
      <top/>
      <bottom style="thin">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diagonal/>
    </border>
    <border>
      <left style="medium">
        <color auto="1"/>
      </left>
      <right/>
      <top style="thin">
        <color auto="1"/>
      </top>
      <bottom style="medium">
        <color auto="1"/>
      </bottom>
      <diagonal/>
    </border>
  </borders>
  <cellStyleXfs count="17">
    <xf numFmtId="0" fontId="0" fillId="0" borderId="0"/>
    <xf numFmtId="164" fontId="105" fillId="0" borderId="0" applyFont="0" applyFill="0" applyBorder="0" applyAlignment="0" applyProtection="0"/>
    <xf numFmtId="0" fontId="52" fillId="0" borderId="0"/>
    <xf numFmtId="0" fontId="52" fillId="0" borderId="0"/>
    <xf numFmtId="0" fontId="45" fillId="10" borderId="0" applyNumberFormat="0" applyBorder="0" applyAlignment="0" applyProtection="0"/>
    <xf numFmtId="0" fontId="44" fillId="9" borderId="0" applyNumberFormat="0" applyBorder="0" applyAlignment="0" applyProtection="0"/>
    <xf numFmtId="0" fontId="52" fillId="0" borderId="0"/>
    <xf numFmtId="0" fontId="46" fillId="11" borderId="0" applyNumberFormat="0" applyBorder="0" applyAlignment="0" applyProtection="0"/>
    <xf numFmtId="0" fontId="32" fillId="0" borderId="0"/>
    <xf numFmtId="0" fontId="52" fillId="0" borderId="0"/>
    <xf numFmtId="9" fontId="52" fillId="0" borderId="0" applyFont="0" applyFill="0" applyBorder="0" applyAlignment="0" applyProtection="0"/>
    <xf numFmtId="164" fontId="10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0" fontId="100" fillId="0" borderId="0" applyNumberFormat="0" applyFill="0" applyBorder="0" applyAlignment="0" applyProtection="0"/>
    <xf numFmtId="0" fontId="105" fillId="0" borderId="0"/>
    <xf numFmtId="0" fontId="52" fillId="0" borderId="0"/>
  </cellStyleXfs>
  <cellXfs count="1180">
    <xf numFmtId="0" fontId="0" fillId="0" borderId="0" xfId="0"/>
    <xf numFmtId="0" fontId="0" fillId="0" borderId="0" xfId="0" applyAlignment="1">
      <alignment wrapText="1"/>
    </xf>
    <xf numFmtId="0" fontId="2" fillId="0" borderId="0" xfId="0" applyFont="1" applyAlignment="1">
      <alignment horizontal="left" vertical="center" indent="15"/>
    </xf>
    <xf numFmtId="0" fontId="3" fillId="2" borderId="1" xfId="0" applyFont="1" applyFill="1" applyBorder="1" applyAlignment="1">
      <alignment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5" fillId="3" borderId="4" xfId="0" applyFont="1" applyFill="1" applyBorder="1" applyAlignment="1">
      <alignment horizontal="left" vertical="center" indent="2"/>
    </xf>
    <xf numFmtId="0" fontId="6" fillId="3" borderId="5" xfId="0" applyFont="1" applyFill="1" applyBorder="1" applyAlignment="1">
      <alignment horizontal="center" vertical="center"/>
    </xf>
    <xf numFmtId="0" fontId="6" fillId="3" borderId="6" xfId="0" applyFont="1" applyFill="1" applyBorder="1" applyAlignment="1">
      <alignment horizontal="center" vertical="center" wrapText="1"/>
    </xf>
    <xf numFmtId="0" fontId="5" fillId="0" borderId="4" xfId="0" applyFont="1" applyBorder="1" applyAlignment="1">
      <alignment horizontal="left" vertical="center" indent="2"/>
    </xf>
    <xf numFmtId="0" fontId="6" fillId="0" borderId="5" xfId="0" applyFont="1" applyBorder="1" applyAlignment="1">
      <alignment horizontal="center" vertical="center"/>
    </xf>
    <xf numFmtId="0" fontId="6" fillId="0" borderId="6" xfId="0" applyFont="1" applyBorder="1" applyAlignment="1">
      <alignment horizontal="center" vertical="center" wrapText="1"/>
    </xf>
    <xf numFmtId="0" fontId="6" fillId="4" borderId="4" xfId="0" applyFont="1" applyFill="1" applyBorder="1" applyAlignment="1">
      <alignment horizontal="center" vertical="center"/>
    </xf>
    <xf numFmtId="0" fontId="7" fillId="4" borderId="5" xfId="0" applyFont="1" applyFill="1" applyBorder="1" applyAlignment="1">
      <alignment horizontal="center" vertical="center"/>
    </xf>
    <xf numFmtId="0" fontId="8" fillId="4" borderId="6" xfId="0" applyFont="1" applyFill="1" applyBorder="1" applyAlignment="1">
      <alignment horizontal="center" vertical="center" wrapText="1"/>
    </xf>
    <xf numFmtId="0" fontId="0" fillId="0" borderId="0" xfId="0" applyAlignment="1">
      <alignment vertical="center"/>
    </xf>
    <xf numFmtId="0" fontId="0" fillId="0" borderId="0" xfId="0" applyAlignment="1">
      <alignment vertical="top" wrapText="1"/>
    </xf>
    <xf numFmtId="0" fontId="11" fillId="0" borderId="0" xfId="9" applyFont="1"/>
    <xf numFmtId="0" fontId="12" fillId="0" borderId="0" xfId="9" applyFont="1"/>
    <xf numFmtId="0" fontId="13" fillId="0" borderId="0" xfId="9" applyFont="1" applyAlignment="1">
      <alignment horizontal="center" vertical="center" wrapText="1"/>
    </xf>
    <xf numFmtId="0" fontId="14" fillId="0" borderId="0" xfId="0" applyFont="1"/>
    <xf numFmtId="0" fontId="14" fillId="0" borderId="0" xfId="9" applyFont="1"/>
    <xf numFmtId="0" fontId="14" fillId="0" borderId="0" xfId="9" applyFont="1" applyAlignment="1">
      <alignment horizontal="center" vertical="center"/>
    </xf>
    <xf numFmtId="0" fontId="14" fillId="0" borderId="0" xfId="9" applyFont="1" applyAlignment="1">
      <alignment vertical="center"/>
    </xf>
    <xf numFmtId="0" fontId="15" fillId="0" borderId="0" xfId="9" applyFont="1"/>
    <xf numFmtId="0" fontId="14" fillId="0" borderId="0" xfId="9" applyFont="1" applyAlignment="1">
      <alignment horizontal="center"/>
    </xf>
    <xf numFmtId="0" fontId="16" fillId="0" borderId="0" xfId="9" applyFont="1"/>
    <xf numFmtId="0" fontId="12" fillId="0" borderId="0" xfId="9" applyFont="1" applyAlignment="1">
      <alignment horizontal="center"/>
    </xf>
    <xf numFmtId="0" fontId="14" fillId="0" borderId="9" xfId="9" applyFont="1" applyBorder="1" applyAlignment="1">
      <alignment vertical="center"/>
    </xf>
    <xf numFmtId="0" fontId="14" fillId="0" borderId="9" xfId="9" applyFont="1" applyBorder="1" applyAlignment="1">
      <alignment horizontal="center" vertical="center"/>
    </xf>
    <xf numFmtId="164" fontId="14" fillId="0" borderId="9" xfId="1" applyFont="1" applyBorder="1" applyAlignment="1">
      <alignment vertical="center"/>
    </xf>
    <xf numFmtId="0" fontId="17" fillId="0" borderId="0" xfId="9" applyFont="1"/>
    <xf numFmtId="0" fontId="18" fillId="5" borderId="9" xfId="9" applyFont="1" applyFill="1" applyBorder="1" applyAlignment="1">
      <alignment vertical="center"/>
    </xf>
    <xf numFmtId="0" fontId="14" fillId="0" borderId="10" xfId="9" applyFont="1" applyBorder="1" applyAlignment="1">
      <alignment vertical="center"/>
    </xf>
    <xf numFmtId="0" fontId="14" fillId="0" borderId="10" xfId="9" applyFont="1" applyBorder="1" applyAlignment="1">
      <alignment horizontal="center" vertical="center"/>
    </xf>
    <xf numFmtId="164" fontId="14" fillId="0" borderId="10" xfId="1" applyFont="1" applyBorder="1" applyAlignment="1">
      <alignment vertical="center"/>
    </xf>
    <xf numFmtId="0" fontId="19" fillId="0" borderId="0" xfId="8" applyFont="1"/>
    <xf numFmtId="0" fontId="19" fillId="0" borderId="0" xfId="8" applyFont="1" applyAlignment="1">
      <alignment vertical="center"/>
    </xf>
    <xf numFmtId="167" fontId="19" fillId="0" borderId="0" xfId="8" applyNumberFormat="1" applyFont="1"/>
    <xf numFmtId="167" fontId="19" fillId="0" borderId="0" xfId="8" applyNumberFormat="1" applyFont="1" applyAlignment="1">
      <alignment horizontal="center"/>
    </xf>
    <xf numFmtId="164" fontId="19" fillId="0" borderId="0" xfId="12" applyFont="1"/>
    <xf numFmtId="0" fontId="19" fillId="0" borderId="0" xfId="8" applyFont="1" applyAlignment="1">
      <alignment horizontal="center"/>
    </xf>
    <xf numFmtId="164" fontId="19" fillId="0" borderId="0" xfId="12" applyFont="1" applyFill="1"/>
    <xf numFmtId="0" fontId="21" fillId="0" borderId="11" xfId="8" applyFont="1" applyBorder="1"/>
    <xf numFmtId="0" fontId="21" fillId="0" borderId="12" xfId="8" applyFont="1" applyBorder="1"/>
    <xf numFmtId="167" fontId="21" fillId="0" borderId="12" xfId="8" applyNumberFormat="1" applyFont="1" applyBorder="1"/>
    <xf numFmtId="167" fontId="21" fillId="0" borderId="12" xfId="8" applyNumberFormat="1" applyFont="1" applyBorder="1" applyAlignment="1">
      <alignment horizontal="center"/>
    </xf>
    <xf numFmtId="167" fontId="19" fillId="0" borderId="12" xfId="8" applyNumberFormat="1" applyFont="1" applyBorder="1"/>
    <xf numFmtId="164" fontId="21" fillId="0" borderId="13" xfId="12" applyFont="1" applyFill="1" applyBorder="1"/>
    <xf numFmtId="0" fontId="19" fillId="0" borderId="14" xfId="8" applyFont="1" applyBorder="1"/>
    <xf numFmtId="164" fontId="19" fillId="0" borderId="15" xfId="12" applyFont="1" applyFill="1" applyBorder="1"/>
    <xf numFmtId="0" fontId="21" fillId="0" borderId="19" xfId="8" applyFont="1" applyBorder="1" applyAlignment="1">
      <alignment horizontal="center" vertical="center"/>
    </xf>
    <xf numFmtId="0" fontId="19" fillId="0" borderId="27" xfId="8" applyFont="1" applyBorder="1" applyAlignment="1">
      <alignment horizontal="center" vertical="center"/>
    </xf>
    <xf numFmtId="0" fontId="19" fillId="0" borderId="14" xfId="8" applyFont="1" applyBorder="1" applyAlignment="1">
      <alignment horizontal="left" indent="1"/>
    </xf>
    <xf numFmtId="0" fontId="19" fillId="0" borderId="15" xfId="8" applyFont="1" applyBorder="1" applyAlignment="1">
      <alignment horizontal="left" indent="1"/>
    </xf>
    <xf numFmtId="167" fontId="19" fillId="0" borderId="15" xfId="8" applyNumberFormat="1" applyFont="1" applyBorder="1" applyAlignment="1">
      <alignment horizontal="center" vertical="center"/>
    </xf>
    <xf numFmtId="167" fontId="19" fillId="0" borderId="15" xfId="8" applyNumberFormat="1" applyFont="1" applyBorder="1" applyAlignment="1">
      <alignment horizontal="center"/>
    </xf>
    <xf numFmtId="164" fontId="21" fillId="0" borderId="22" xfId="12" applyFont="1" applyFill="1" applyBorder="1"/>
    <xf numFmtId="166" fontId="19" fillId="0" borderId="24" xfId="8" applyNumberFormat="1" applyFont="1" applyBorder="1"/>
    <xf numFmtId="166" fontId="19" fillId="0" borderId="15" xfId="8" applyNumberFormat="1" applyFont="1" applyBorder="1"/>
    <xf numFmtId="165" fontId="19" fillId="0" borderId="0" xfId="1" applyNumberFormat="1" applyFont="1" applyFill="1"/>
    <xf numFmtId="0" fontId="19" fillId="0" borderId="11" xfId="8" applyFont="1" applyBorder="1"/>
    <xf numFmtId="0" fontId="21" fillId="0" borderId="13" xfId="8" applyFont="1" applyBorder="1"/>
    <xf numFmtId="167" fontId="19" fillId="0" borderId="12" xfId="8" applyNumberFormat="1" applyFont="1" applyBorder="1" applyAlignment="1">
      <alignment horizontal="center"/>
    </xf>
    <xf numFmtId="164" fontId="19" fillId="0" borderId="12" xfId="12" applyFont="1" applyFill="1" applyBorder="1"/>
    <xf numFmtId="0" fontId="19" fillId="0" borderId="12" xfId="8" applyFont="1" applyBorder="1"/>
    <xf numFmtId="0" fontId="21" fillId="0" borderId="14" xfId="8" applyFont="1" applyBorder="1" applyAlignment="1">
      <alignment horizontal="left"/>
    </xf>
    <xf numFmtId="0" fontId="19" fillId="0" borderId="15" xfId="8" applyFont="1" applyBorder="1"/>
    <xf numFmtId="167" fontId="21" fillId="0" borderId="0" xfId="8" applyNumberFormat="1" applyFont="1" applyAlignment="1">
      <alignment horizontal="center"/>
    </xf>
    <xf numFmtId="164" fontId="21" fillId="0" borderId="0" xfId="12" applyFont="1" applyFill="1" applyBorder="1"/>
    <xf numFmtId="0" fontId="21" fillId="0" borderId="15" xfId="8" applyFont="1" applyBorder="1"/>
    <xf numFmtId="167" fontId="21" fillId="0" borderId="0" xfId="8" applyNumberFormat="1" applyFont="1"/>
    <xf numFmtId="0" fontId="21" fillId="0" borderId="0" xfId="8" applyFont="1"/>
    <xf numFmtId="164" fontId="19" fillId="0" borderId="0" xfId="12" applyFont="1" applyFill="1" applyBorder="1"/>
    <xf numFmtId="0" fontId="22" fillId="0" borderId="14" xfId="8" applyFont="1" applyBorder="1" applyAlignment="1">
      <alignment horizontal="center"/>
    </xf>
    <xf numFmtId="0" fontId="19" fillId="0" borderId="14" xfId="8" applyFont="1" applyBorder="1" applyAlignment="1">
      <alignment horizontal="center"/>
    </xf>
    <xf numFmtId="0" fontId="19" fillId="0" borderId="15" xfId="8" applyFont="1" applyBorder="1" applyAlignment="1">
      <alignment horizontal="center"/>
    </xf>
    <xf numFmtId="0" fontId="19" fillId="0" borderId="28" xfId="8" applyFont="1" applyBorder="1"/>
    <xf numFmtId="0" fontId="19" fillId="0" borderId="29" xfId="8" applyFont="1" applyBorder="1"/>
    <xf numFmtId="167" fontId="19" fillId="0" borderId="30" xfId="8" applyNumberFormat="1" applyFont="1" applyBorder="1"/>
    <xf numFmtId="167" fontId="19" fillId="0" borderId="30" xfId="8" applyNumberFormat="1" applyFont="1" applyBorder="1" applyAlignment="1">
      <alignment horizontal="center"/>
    </xf>
    <xf numFmtId="164" fontId="19" fillId="0" borderId="30" xfId="12" applyFont="1" applyFill="1" applyBorder="1"/>
    <xf numFmtId="0" fontId="19" fillId="0" borderId="30" xfId="8" applyFont="1" applyBorder="1"/>
    <xf numFmtId="0" fontId="23" fillId="0" borderId="0" xfId="8" applyFont="1" applyAlignment="1">
      <alignment horizontal="right"/>
    </xf>
    <xf numFmtId="0" fontId="19" fillId="0" borderId="12" xfId="8" applyFont="1" applyBorder="1" applyAlignment="1">
      <alignment horizontal="center"/>
    </xf>
    <xf numFmtId="0" fontId="19" fillId="0" borderId="31" xfId="8" applyFont="1" applyBorder="1"/>
    <xf numFmtId="0" fontId="23" fillId="0" borderId="0" xfId="8" applyFont="1" applyAlignment="1">
      <alignment horizontal="left"/>
    </xf>
    <xf numFmtId="0" fontId="19" fillId="0" borderId="32" xfId="8" applyFont="1" applyBorder="1"/>
    <xf numFmtId="0" fontId="24" fillId="0" borderId="0" xfId="8" applyFont="1" applyAlignment="1">
      <alignment horizontal="left"/>
    </xf>
    <xf numFmtId="0" fontId="21" fillId="0" borderId="20" xfId="8" applyFont="1" applyBorder="1" applyAlignment="1">
      <alignment vertical="center"/>
    </xf>
    <xf numFmtId="0" fontId="21" fillId="0" borderId="18" xfId="8" applyFont="1" applyBorder="1" applyAlignment="1">
      <alignment horizontal="center" vertical="center"/>
    </xf>
    <xf numFmtId="0" fontId="21" fillId="0" borderId="33" xfId="8" applyFont="1" applyBorder="1" applyAlignment="1">
      <alignment vertical="center"/>
    </xf>
    <xf numFmtId="164" fontId="19" fillId="0" borderId="35" xfId="8" applyNumberFormat="1" applyFont="1" applyBorder="1"/>
    <xf numFmtId="164" fontId="21" fillId="0" borderId="12" xfId="8" applyNumberFormat="1" applyFont="1" applyBorder="1"/>
    <xf numFmtId="0" fontId="19" fillId="0" borderId="13" xfId="8" applyFont="1" applyBorder="1" applyAlignment="1">
      <alignment horizontal="center"/>
    </xf>
    <xf numFmtId="164" fontId="21" fillId="0" borderId="31" xfId="8" applyNumberFormat="1" applyFont="1" applyBorder="1"/>
    <xf numFmtId="0" fontId="21" fillId="0" borderId="15" xfId="8" applyFont="1" applyBorder="1" applyAlignment="1">
      <alignment horizontal="center"/>
    </xf>
    <xf numFmtId="0" fontId="19" fillId="0" borderId="29" xfId="8" applyFont="1" applyBorder="1" applyAlignment="1">
      <alignment horizontal="center"/>
    </xf>
    <xf numFmtId="0" fontId="19" fillId="0" borderId="30" xfId="8" applyFont="1" applyBorder="1" applyAlignment="1">
      <alignment horizontal="center"/>
    </xf>
    <xf numFmtId="0" fontId="19" fillId="0" borderId="37" xfId="8" applyFont="1" applyBorder="1"/>
    <xf numFmtId="169" fontId="19" fillId="0" borderId="0" xfId="8" applyNumberFormat="1" applyFont="1"/>
    <xf numFmtId="0" fontId="25" fillId="0" borderId="38" xfId="8" applyFont="1" applyBorder="1" applyAlignment="1">
      <alignment horizontal="center" vertical="top" wrapText="1"/>
    </xf>
    <xf numFmtId="165" fontId="19" fillId="0" borderId="22" xfId="1" applyNumberFormat="1" applyFont="1" applyFill="1" applyBorder="1"/>
    <xf numFmtId="170" fontId="19" fillId="0" borderId="0" xfId="8" applyNumberFormat="1" applyFont="1"/>
    <xf numFmtId="0" fontId="26" fillId="0" borderId="14" xfId="8" applyFont="1" applyBorder="1" applyAlignment="1">
      <alignment horizontal="left" indent="1"/>
    </xf>
    <xf numFmtId="0" fontId="26" fillId="0" borderId="15" xfId="8" applyFont="1" applyBorder="1" applyAlignment="1">
      <alignment horizontal="left" indent="1"/>
    </xf>
    <xf numFmtId="167" fontId="26" fillId="0" borderId="15" xfId="8" applyNumberFormat="1" applyFont="1" applyBorder="1" applyAlignment="1">
      <alignment horizontal="center" vertical="center"/>
    </xf>
    <xf numFmtId="167" fontId="26" fillId="0" borderId="15" xfId="8" applyNumberFormat="1" applyFont="1" applyBorder="1" applyAlignment="1">
      <alignment horizontal="center"/>
    </xf>
    <xf numFmtId="164" fontId="27" fillId="0" borderId="15" xfId="12" applyFont="1" applyFill="1" applyBorder="1"/>
    <xf numFmtId="171" fontId="26" fillId="0" borderId="22" xfId="8" applyNumberFormat="1" applyFont="1" applyBorder="1"/>
    <xf numFmtId="167" fontId="19" fillId="0" borderId="26" xfId="8" applyNumberFormat="1" applyFont="1" applyBorder="1"/>
    <xf numFmtId="167" fontId="19" fillId="0" borderId="29" xfId="8" applyNumberFormat="1" applyFont="1" applyBorder="1" applyAlignment="1">
      <alignment horizontal="center"/>
    </xf>
    <xf numFmtId="167" fontId="19" fillId="0" borderId="29" xfId="8" applyNumberFormat="1" applyFont="1" applyBorder="1"/>
    <xf numFmtId="164" fontId="19" fillId="0" borderId="29" xfId="12" applyFont="1" applyBorder="1"/>
    <xf numFmtId="0" fontId="19" fillId="0" borderId="26" xfId="8" applyFont="1" applyBorder="1"/>
    <xf numFmtId="167" fontId="21" fillId="0" borderId="0" xfId="8" applyNumberFormat="1" applyFont="1" applyAlignment="1">
      <alignment horizontal="left"/>
    </xf>
    <xf numFmtId="164" fontId="26" fillId="0" borderId="15" xfId="12" applyFont="1" applyFill="1" applyBorder="1"/>
    <xf numFmtId="172" fontId="26" fillId="0" borderId="15" xfId="8" applyNumberFormat="1" applyFont="1" applyBorder="1" applyAlignment="1">
      <alignment horizontal="center"/>
    </xf>
    <xf numFmtId="164" fontId="26" fillId="0" borderId="35" xfId="8" applyNumberFormat="1" applyFont="1" applyBorder="1"/>
    <xf numFmtId="164" fontId="19" fillId="0" borderId="36" xfId="12" applyFont="1" applyBorder="1"/>
    <xf numFmtId="171" fontId="19" fillId="0" borderId="22" xfId="8" applyNumberFormat="1" applyFont="1" applyBorder="1"/>
    <xf numFmtId="164" fontId="21" fillId="0" borderId="24" xfId="12" applyFont="1" applyFill="1" applyBorder="1"/>
    <xf numFmtId="167" fontId="19" fillId="0" borderId="15" xfId="8" applyNumberFormat="1" applyFont="1" applyBorder="1"/>
    <xf numFmtId="167" fontId="19" fillId="0" borderId="22" xfId="8" applyNumberFormat="1" applyFont="1" applyBorder="1"/>
    <xf numFmtId="164" fontId="19" fillId="0" borderId="24" xfId="12" applyFont="1" applyFill="1" applyBorder="1"/>
    <xf numFmtId="164" fontId="19" fillId="0" borderId="35" xfId="12" applyFont="1" applyFill="1" applyBorder="1"/>
    <xf numFmtId="0" fontId="19" fillId="0" borderId="22" xfId="8" applyFont="1" applyBorder="1" applyAlignment="1">
      <alignment horizontal="center"/>
    </xf>
    <xf numFmtId="0" fontId="9" fillId="0" borderId="0" xfId="0" applyFont="1"/>
    <xf numFmtId="14" fontId="0" fillId="0" borderId="0" xfId="0" applyNumberFormat="1" applyAlignment="1">
      <alignment horizontal="center"/>
    </xf>
    <xf numFmtId="0" fontId="0" fillId="0" borderId="0" xfId="0" applyAlignment="1">
      <alignment horizontal="left" indent="1"/>
    </xf>
    <xf numFmtId="0" fontId="9" fillId="0" borderId="39" xfId="0" applyFont="1" applyBorder="1"/>
    <xf numFmtId="4" fontId="0" fillId="0" borderId="0" xfId="0" applyNumberFormat="1"/>
    <xf numFmtId="14" fontId="9" fillId="0" borderId="39" xfId="0" applyNumberFormat="1" applyFont="1" applyBorder="1" applyAlignment="1">
      <alignment horizontal="center"/>
    </xf>
    <xf numFmtId="0" fontId="9" fillId="0" borderId="0" xfId="0" applyFont="1" applyAlignment="1">
      <alignment horizontal="left" indent="1"/>
    </xf>
    <xf numFmtId="164" fontId="0" fillId="0" borderId="0" xfId="0" applyNumberFormat="1" applyAlignment="1">
      <alignment horizontal="center"/>
    </xf>
    <xf numFmtId="169" fontId="28" fillId="0" borderId="38" xfId="8" applyNumberFormat="1" applyFont="1" applyBorder="1" applyAlignment="1">
      <alignment horizontal="left" vertical="center" wrapText="1" indent="1"/>
    </xf>
    <xf numFmtId="169" fontId="28" fillId="0" borderId="0" xfId="8" applyNumberFormat="1" applyFont="1" applyAlignment="1">
      <alignment horizontal="left" vertical="center" wrapText="1" indent="1"/>
    </xf>
    <xf numFmtId="169" fontId="28" fillId="0" borderId="40" xfId="8" applyNumberFormat="1" applyFont="1" applyBorder="1" applyAlignment="1">
      <alignment horizontal="left" vertical="center" wrapText="1" indent="1"/>
    </xf>
    <xf numFmtId="167" fontId="29" fillId="0" borderId="17" xfId="8" applyNumberFormat="1" applyFont="1" applyBorder="1" applyAlignment="1">
      <alignment vertical="center"/>
    </xf>
    <xf numFmtId="0" fontId="29" fillId="0" borderId="41" xfId="8" applyFont="1" applyBorder="1" applyAlignment="1">
      <alignment horizontal="center" vertical="center"/>
    </xf>
    <xf numFmtId="0" fontId="29" fillId="0" borderId="11" xfId="8" applyFont="1" applyBorder="1" applyAlignment="1">
      <alignment vertical="center"/>
    </xf>
    <xf numFmtId="0" fontId="29" fillId="0" borderId="31" xfId="8" applyFont="1" applyBorder="1" applyAlignment="1">
      <alignment vertical="center"/>
    </xf>
    <xf numFmtId="0" fontId="30" fillId="0" borderId="41" xfId="8" applyFont="1" applyBorder="1" applyAlignment="1">
      <alignment horizontal="center" vertical="center"/>
    </xf>
    <xf numFmtId="0" fontId="29" fillId="0" borderId="42" xfId="8" applyFont="1" applyBorder="1" applyAlignment="1">
      <alignment vertical="center"/>
    </xf>
    <xf numFmtId="0" fontId="29" fillId="0" borderId="41" xfId="8" applyFont="1" applyBorder="1" applyAlignment="1">
      <alignment vertical="center"/>
    </xf>
    <xf numFmtId="164" fontId="0" fillId="0" borderId="0" xfId="0" applyNumberFormat="1"/>
    <xf numFmtId="0" fontId="29" fillId="0" borderId="34" xfId="8" applyFont="1" applyBorder="1" applyAlignment="1">
      <alignment vertical="center"/>
    </xf>
    <xf numFmtId="0" fontId="31" fillId="0" borderId="43" xfId="8" applyFont="1" applyBorder="1" applyAlignment="1">
      <alignment horizontal="center" vertical="center"/>
    </xf>
    <xf numFmtId="0" fontId="32" fillId="0" borderId="43" xfId="8" applyBorder="1" applyAlignment="1">
      <alignment vertical="center"/>
    </xf>
    <xf numFmtId="0" fontId="32" fillId="0" borderId="0" xfId="8" applyAlignment="1">
      <alignment vertical="center"/>
    </xf>
    <xf numFmtId="0" fontId="0" fillId="0" borderId="39" xfId="0" applyBorder="1"/>
    <xf numFmtId="167" fontId="29" fillId="0" borderId="39" xfId="8" applyNumberFormat="1" applyFont="1" applyBorder="1" applyAlignment="1">
      <alignment vertical="center"/>
    </xf>
    <xf numFmtId="0" fontId="29" fillId="0" borderId="39" xfId="8" applyFont="1" applyBorder="1" applyAlignment="1">
      <alignment horizontal="center" vertical="center"/>
    </xf>
    <xf numFmtId="0" fontId="29" fillId="0" borderId="39" xfId="8" applyFont="1" applyBorder="1" applyAlignment="1">
      <alignment vertical="center"/>
    </xf>
    <xf numFmtId="0" fontId="30" fillId="0" borderId="39" xfId="8" applyFont="1" applyBorder="1" applyAlignment="1">
      <alignment horizontal="center" vertical="center"/>
    </xf>
    <xf numFmtId="169" fontId="28" fillId="0" borderId="38" xfId="8" applyNumberFormat="1" applyFont="1" applyBorder="1" applyAlignment="1">
      <alignment horizontal="center" vertical="center" wrapText="1"/>
    </xf>
    <xf numFmtId="0" fontId="33" fillId="6" borderId="0" xfId="0" applyFont="1" applyFill="1" applyAlignment="1">
      <alignment horizontal="left" wrapText="1"/>
    </xf>
    <xf numFmtId="0" fontId="0" fillId="7" borderId="0" xfId="0" applyFill="1" applyAlignment="1">
      <alignment horizontal="left" vertical="top" wrapText="1"/>
    </xf>
    <xf numFmtId="0" fontId="34" fillId="0" borderId="0" xfId="0" applyFont="1"/>
    <xf numFmtId="0" fontId="35" fillId="0" borderId="0" xfId="0" applyFont="1"/>
    <xf numFmtId="0" fontId="36" fillId="0" borderId="0" xfId="0" applyFont="1"/>
    <xf numFmtId="0" fontId="9" fillId="0" borderId="0" xfId="0" applyFont="1" applyAlignment="1">
      <alignment vertical="center"/>
    </xf>
    <xf numFmtId="0" fontId="0" fillId="0" borderId="0" xfId="0" applyAlignment="1">
      <alignment horizontal="center" vertical="center"/>
    </xf>
    <xf numFmtId="0" fontId="38" fillId="0" borderId="0" xfId="0" applyFont="1" applyAlignment="1">
      <alignment horizontal="center" vertical="center"/>
    </xf>
    <xf numFmtId="0" fontId="9" fillId="0" borderId="42" xfId="0" applyFont="1" applyBorder="1" applyAlignment="1">
      <alignment horizontal="center" vertical="center" wrapText="1"/>
    </xf>
    <xf numFmtId="0" fontId="0" fillId="0" borderId="47" xfId="0" applyBorder="1" applyAlignment="1">
      <alignment horizontal="center" vertical="center"/>
    </xf>
    <xf numFmtId="0" fontId="0" fillId="0" borderId="48" xfId="0" applyBorder="1" applyAlignment="1">
      <alignment horizontal="center" vertical="center"/>
    </xf>
    <xf numFmtId="0" fontId="39" fillId="0" borderId="49" xfId="0" applyFont="1" applyBorder="1" applyAlignment="1">
      <alignment horizontal="left" vertical="center" indent="2"/>
    </xf>
    <xf numFmtId="0" fontId="0" fillId="0" borderId="50" xfId="0" applyBorder="1" applyAlignment="1">
      <alignment horizontal="center" vertical="center"/>
    </xf>
    <xf numFmtId="0" fontId="39" fillId="0" borderId="51" xfId="0" applyFont="1" applyBorder="1" applyAlignment="1">
      <alignment horizontal="left" vertical="center" indent="2"/>
    </xf>
    <xf numFmtId="0" fontId="0" fillId="0" borderId="52" xfId="0" applyBorder="1" applyAlignment="1">
      <alignment horizontal="center" vertical="center"/>
    </xf>
    <xf numFmtId="0" fontId="39" fillId="0" borderId="53" xfId="0" applyFont="1" applyBorder="1" applyAlignment="1">
      <alignment horizontal="left" vertical="center" indent="2"/>
    </xf>
    <xf numFmtId="0" fontId="0" fillId="0" borderId="54" xfId="0" applyBorder="1" applyAlignment="1">
      <alignment horizontal="center" vertical="center"/>
    </xf>
    <xf numFmtId="0" fontId="38" fillId="0" borderId="39" xfId="0" applyFont="1" applyBorder="1" applyAlignment="1">
      <alignment vertical="center"/>
    </xf>
    <xf numFmtId="0" fontId="9" fillId="0" borderId="55" xfId="0" applyFont="1" applyBorder="1" applyAlignment="1">
      <alignment horizontal="center" vertical="center"/>
    </xf>
    <xf numFmtId="0" fontId="9" fillId="0" borderId="56" xfId="0" applyFont="1" applyBorder="1" applyAlignment="1">
      <alignment horizontal="center" vertical="center"/>
    </xf>
    <xf numFmtId="0" fontId="0" fillId="0" borderId="0" xfId="0" applyAlignment="1">
      <alignment horizontal="center"/>
    </xf>
    <xf numFmtId="169" fontId="0" fillId="0" borderId="0" xfId="0" applyNumberFormat="1"/>
    <xf numFmtId="0" fontId="36" fillId="0" borderId="42" xfId="0" applyFont="1" applyBorder="1"/>
    <xf numFmtId="0" fontId="39" fillId="0" borderId="57" xfId="0" applyFont="1" applyBorder="1" applyAlignment="1">
      <alignment horizontal="center" vertical="center"/>
    </xf>
    <xf numFmtId="0" fontId="39" fillId="0" borderId="58" xfId="0" applyFont="1" applyBorder="1" applyAlignment="1">
      <alignment horizontal="center" vertical="center"/>
    </xf>
    <xf numFmtId="0" fontId="36" fillId="0" borderId="59" xfId="0" applyFont="1" applyBorder="1" applyAlignment="1">
      <alignment horizontal="center" vertical="center"/>
    </xf>
    <xf numFmtId="0" fontId="39" fillId="0" borderId="60" xfId="0" applyFont="1" applyBorder="1" applyAlignment="1">
      <alignment horizontal="center" vertical="center"/>
    </xf>
    <xf numFmtId="0" fontId="39" fillId="0" borderId="51" xfId="0" applyFont="1" applyBorder="1" applyAlignment="1">
      <alignment horizontal="center" vertical="center"/>
    </xf>
    <xf numFmtId="0" fontId="36" fillId="0" borderId="61" xfId="0" applyFont="1" applyBorder="1" applyAlignment="1">
      <alignment horizontal="center" vertical="center"/>
    </xf>
    <xf numFmtId="0" fontId="39" fillId="0" borderId="62" xfId="0" applyFont="1" applyBorder="1" applyAlignment="1">
      <alignment horizontal="center" vertical="center"/>
    </xf>
    <xf numFmtId="0" fontId="39" fillId="0" borderId="53" xfId="0" applyFont="1" applyBorder="1" applyAlignment="1">
      <alignment horizontal="center" vertical="center"/>
    </xf>
    <xf numFmtId="0" fontId="36" fillId="0" borderId="63" xfId="0" applyFont="1" applyBorder="1" applyAlignment="1">
      <alignment horizontal="center" vertical="center"/>
    </xf>
    <xf numFmtId="0" fontId="36" fillId="0" borderId="64" xfId="0" applyFont="1" applyBorder="1" applyAlignment="1">
      <alignment horizontal="center" vertical="center"/>
    </xf>
    <xf numFmtId="0" fontId="36" fillId="0" borderId="39" xfId="0" applyFont="1" applyBorder="1" applyAlignment="1">
      <alignment horizontal="center" vertical="center"/>
    </xf>
    <xf numFmtId="0" fontId="36" fillId="0" borderId="33" xfId="0" applyFont="1" applyBorder="1" applyAlignment="1">
      <alignment horizontal="center" vertical="center"/>
    </xf>
    <xf numFmtId="0" fontId="40" fillId="0" borderId="0" xfId="0" applyFont="1"/>
    <xf numFmtId="0" fontId="38" fillId="0" borderId="0" xfId="0" applyFont="1"/>
    <xf numFmtId="0" fontId="0" fillId="0" borderId="0" xfId="0" applyAlignment="1">
      <alignment horizontal="left" vertical="center" indent="1"/>
    </xf>
    <xf numFmtId="0" fontId="38" fillId="0" borderId="47" xfId="0" applyFont="1" applyBorder="1" applyAlignment="1">
      <alignment horizontal="center" vertical="center"/>
    </xf>
    <xf numFmtId="0" fontId="38" fillId="0" borderId="48" xfId="0" applyFont="1" applyBorder="1" applyAlignment="1">
      <alignment horizontal="center" vertical="center"/>
    </xf>
    <xf numFmtId="0" fontId="38" fillId="0" borderId="47" xfId="0" applyFont="1" applyBorder="1" applyAlignment="1">
      <alignment horizontal="center"/>
    </xf>
    <xf numFmtId="0" fontId="43" fillId="0" borderId="66" xfId="8" applyFont="1" applyBorder="1" applyAlignment="1">
      <alignment horizontal="left" vertical="center" wrapText="1" indent="1"/>
    </xf>
    <xf numFmtId="0" fontId="28" fillId="0" borderId="67" xfId="8" applyFont="1" applyBorder="1" applyAlignment="1">
      <alignment horizontal="left" vertical="center" wrapText="1" indent="1"/>
    </xf>
    <xf numFmtId="0" fontId="0" fillId="0" borderId="44" xfId="0" applyBorder="1" applyAlignment="1">
      <alignment horizontal="center" vertical="center"/>
    </xf>
    <xf numFmtId="0" fontId="0" fillId="0" borderId="45" xfId="0" applyBorder="1" applyAlignment="1">
      <alignment horizontal="center" vertical="center"/>
    </xf>
    <xf numFmtId="0" fontId="43" fillId="0" borderId="68" xfId="8" applyFont="1" applyBorder="1" applyAlignment="1">
      <alignment horizontal="left" vertical="center" wrapText="1" indent="1"/>
    </xf>
    <xf numFmtId="0" fontId="28" fillId="0" borderId="69" xfId="8" applyFont="1" applyBorder="1" applyAlignment="1">
      <alignment horizontal="left" vertical="center" wrapText="1" indent="1"/>
    </xf>
    <xf numFmtId="0" fontId="0" fillId="0" borderId="70" xfId="0" applyBorder="1" applyAlignment="1">
      <alignment horizontal="center" vertical="center"/>
    </xf>
    <xf numFmtId="0" fontId="0" fillId="0" borderId="10" xfId="0" applyBorder="1" applyAlignment="1">
      <alignment horizontal="center" vertical="center"/>
    </xf>
    <xf numFmtId="0" fontId="43" fillId="8" borderId="68" xfId="8" applyFont="1" applyFill="1" applyBorder="1" applyAlignment="1">
      <alignment horizontal="left" vertical="center" wrapText="1" indent="1"/>
    </xf>
    <xf numFmtId="0" fontId="28" fillId="8" borderId="69" xfId="8" applyFont="1" applyFill="1" applyBorder="1" applyAlignment="1">
      <alignment horizontal="left" vertical="center" wrapText="1" indent="1"/>
    </xf>
    <xf numFmtId="0" fontId="0" fillId="8" borderId="70" xfId="0" applyFill="1" applyBorder="1" applyAlignment="1">
      <alignment horizontal="center" vertical="center"/>
    </xf>
    <xf numFmtId="0" fontId="0" fillId="8" borderId="10" xfId="0" applyFill="1" applyBorder="1" applyAlignment="1">
      <alignment horizontal="center" vertical="center"/>
    </xf>
    <xf numFmtId="0" fontId="0" fillId="8" borderId="47" xfId="0" applyFill="1" applyBorder="1" applyAlignment="1">
      <alignment horizontal="center" vertical="center"/>
    </xf>
    <xf numFmtId="0" fontId="0" fillId="8" borderId="48" xfId="0" applyFill="1" applyBorder="1" applyAlignment="1">
      <alignment horizontal="center" vertical="center"/>
    </xf>
    <xf numFmtId="0" fontId="0" fillId="0" borderId="28" xfId="0" applyBorder="1" applyAlignment="1">
      <alignment horizontal="center" vertical="center"/>
    </xf>
    <xf numFmtId="0" fontId="0" fillId="0" borderId="37" xfId="0" applyBorder="1" applyAlignment="1">
      <alignment horizontal="center" vertical="center"/>
    </xf>
    <xf numFmtId="0" fontId="0" fillId="0" borderId="71" xfId="0" applyBorder="1" applyAlignment="1">
      <alignment horizontal="center" vertical="center"/>
    </xf>
    <xf numFmtId="0" fontId="0" fillId="0" borderId="72" xfId="0" applyBorder="1" applyAlignment="1">
      <alignment horizontal="center" vertical="center"/>
    </xf>
    <xf numFmtId="173" fontId="0" fillId="0" borderId="0" xfId="0" applyNumberFormat="1" applyAlignment="1">
      <alignment horizontal="center" vertical="center"/>
    </xf>
    <xf numFmtId="0" fontId="0" fillId="0" borderId="0" xfId="0" applyAlignment="1">
      <alignment horizontal="center" vertical="top"/>
    </xf>
    <xf numFmtId="173" fontId="0" fillId="0" borderId="0" xfId="0" applyNumberFormat="1" applyAlignment="1">
      <alignment horizontal="center" vertical="top"/>
    </xf>
    <xf numFmtId="0" fontId="0" fillId="0" borderId="0" xfId="0" applyAlignment="1">
      <alignment horizontal="left"/>
    </xf>
    <xf numFmtId="0" fontId="39" fillId="0" borderId="49" xfId="0" applyFont="1" applyBorder="1" applyAlignment="1">
      <alignment horizontal="left" vertical="center" indent="14"/>
    </xf>
    <xf numFmtId="0" fontId="39" fillId="0" borderId="51" xfId="0" applyFont="1" applyBorder="1" applyAlignment="1">
      <alignment horizontal="left" vertical="center" indent="14"/>
    </xf>
    <xf numFmtId="0" fontId="39" fillId="0" borderId="53" xfId="0" applyFont="1" applyBorder="1" applyAlignment="1">
      <alignment horizontal="left" vertical="center" indent="14"/>
    </xf>
    <xf numFmtId="0" fontId="38" fillId="0" borderId="27" xfId="0" applyFont="1" applyBorder="1" applyAlignment="1">
      <alignment horizontal="center"/>
    </xf>
    <xf numFmtId="0" fontId="0" fillId="0" borderId="73" xfId="0" applyBorder="1" applyAlignment="1">
      <alignment horizontal="center" vertical="center"/>
    </xf>
    <xf numFmtId="0" fontId="0" fillId="0" borderId="65" xfId="0" applyBorder="1" applyAlignment="1">
      <alignment horizontal="center" vertical="center"/>
    </xf>
    <xf numFmtId="0" fontId="0" fillId="0" borderId="74" xfId="0" applyBorder="1" applyAlignment="1">
      <alignment horizontal="center" vertical="center"/>
    </xf>
    <xf numFmtId="0" fontId="0" fillId="8" borderId="74" xfId="0" applyFill="1" applyBorder="1" applyAlignment="1">
      <alignment horizontal="center" vertical="center"/>
    </xf>
    <xf numFmtId="0" fontId="0" fillId="8" borderId="75" xfId="0" applyFill="1" applyBorder="1" applyAlignment="1">
      <alignment horizontal="center" vertical="center"/>
    </xf>
    <xf numFmtId="0" fontId="0" fillId="0" borderId="39" xfId="0" applyBorder="1" applyAlignment="1">
      <alignment horizontal="center" vertical="center"/>
    </xf>
    <xf numFmtId="3" fontId="0" fillId="0" borderId="0" xfId="0" applyNumberFormat="1"/>
    <xf numFmtId="174" fontId="0" fillId="0" borderId="0" xfId="0" applyNumberFormat="1"/>
    <xf numFmtId="0" fontId="10" fillId="0" borderId="0" xfId="0" applyFont="1"/>
    <xf numFmtId="0" fontId="9" fillId="0" borderId="27" xfId="0" applyFont="1" applyBorder="1" applyAlignment="1">
      <alignment horizontal="center" vertical="center" wrapText="1"/>
    </xf>
    <xf numFmtId="0" fontId="9" fillId="0" borderId="27" xfId="0" applyFont="1" applyBorder="1" applyAlignment="1">
      <alignment horizontal="center" vertical="center"/>
    </xf>
    <xf numFmtId="0" fontId="10" fillId="0" borderId="21" xfId="0" applyFont="1" applyBorder="1"/>
    <xf numFmtId="0" fontId="0" fillId="0" borderId="17" xfId="0" applyBorder="1" applyAlignment="1">
      <alignment horizontal="center"/>
    </xf>
    <xf numFmtId="0" fontId="0" fillId="0" borderId="17" xfId="0" applyBorder="1"/>
    <xf numFmtId="0" fontId="0" fillId="0" borderId="21" xfId="0" applyBorder="1" applyAlignment="1">
      <alignment vertical="top" wrapText="1"/>
    </xf>
    <xf numFmtId="0" fontId="0" fillId="0" borderId="22" xfId="0" applyBorder="1" applyAlignment="1">
      <alignment horizontal="center" vertical="top" wrapText="1"/>
    </xf>
    <xf numFmtId="0" fontId="0" fillId="0" borderId="22" xfId="0" applyBorder="1" applyAlignment="1">
      <alignment vertical="top" wrapText="1"/>
    </xf>
    <xf numFmtId="49" fontId="0" fillId="0" borderId="22" xfId="0" applyNumberFormat="1" applyBorder="1" applyAlignment="1">
      <alignment horizontal="center" vertical="top" wrapText="1"/>
    </xf>
    <xf numFmtId="0" fontId="0" fillId="0" borderId="21" xfId="0" applyBorder="1"/>
    <xf numFmtId="0" fontId="0" fillId="0" borderId="22" xfId="0" applyBorder="1" applyAlignment="1">
      <alignment horizontal="center"/>
    </xf>
    <xf numFmtId="0" fontId="0" fillId="0" borderId="22" xfId="0" applyBorder="1"/>
    <xf numFmtId="49" fontId="0" fillId="0" borderId="22" xfId="0" applyNumberFormat="1" applyBorder="1" applyAlignment="1">
      <alignment horizontal="center" vertical="center"/>
    </xf>
    <xf numFmtId="49" fontId="44" fillId="9" borderId="22" xfId="5" applyNumberFormat="1" applyBorder="1" applyAlignment="1">
      <alignment horizontal="center" vertical="top" wrapText="1"/>
    </xf>
    <xf numFmtId="0" fontId="0" fillId="0" borderId="73" xfId="0" applyBorder="1" applyAlignment="1">
      <alignment vertical="top" wrapText="1"/>
    </xf>
    <xf numFmtId="0" fontId="0" fillId="0" borderId="40" xfId="0" applyBorder="1" applyAlignment="1">
      <alignment horizontal="center" vertical="top" wrapText="1"/>
    </xf>
    <xf numFmtId="0" fontId="0" fillId="0" borderId="40" xfId="0" applyBorder="1" applyAlignment="1">
      <alignment vertical="top" wrapText="1"/>
    </xf>
    <xf numFmtId="49" fontId="0" fillId="0" borderId="40" xfId="0" applyNumberFormat="1" applyBorder="1" applyAlignment="1">
      <alignment horizontal="center" vertical="top" wrapText="1"/>
    </xf>
    <xf numFmtId="0" fontId="0" fillId="0" borderId="76" xfId="0" applyBorder="1" applyAlignment="1">
      <alignment vertical="top" wrapText="1"/>
    </xf>
    <xf numFmtId="0" fontId="0" fillId="0" borderId="8" xfId="0" applyBorder="1" applyAlignment="1">
      <alignment horizontal="center" vertical="top" wrapText="1"/>
    </xf>
    <xf numFmtId="0" fontId="0" fillId="0" borderId="8" xfId="0" applyBorder="1" applyAlignment="1">
      <alignment vertical="top" wrapText="1"/>
    </xf>
    <xf numFmtId="49" fontId="0" fillId="0" borderId="8" xfId="0" applyNumberFormat="1" applyBorder="1" applyAlignment="1">
      <alignment horizontal="center" vertical="top" wrapText="1"/>
    </xf>
    <xf numFmtId="49" fontId="0" fillId="0" borderId="22" xfId="0" applyNumberFormat="1" applyBorder="1" applyAlignment="1">
      <alignment horizontal="center"/>
    </xf>
    <xf numFmtId="0" fontId="10" fillId="0" borderId="22" xfId="0" applyFont="1" applyBorder="1" applyAlignment="1">
      <alignment horizontal="center"/>
    </xf>
    <xf numFmtId="0" fontId="10" fillId="0" borderId="22" xfId="0" applyFont="1" applyBorder="1"/>
    <xf numFmtId="49" fontId="10" fillId="0" borderId="22" xfId="0" applyNumberFormat="1" applyFont="1" applyBorder="1" applyAlignment="1">
      <alignment horizontal="center"/>
    </xf>
    <xf numFmtId="0" fontId="0" fillId="0" borderId="0" xfId="0" applyAlignment="1">
      <alignment horizontal="left" vertical="center"/>
    </xf>
    <xf numFmtId="0" fontId="0" fillId="0" borderId="34" xfId="0" applyBorder="1"/>
    <xf numFmtId="0" fontId="0" fillId="0" borderId="35" xfId="0" applyBorder="1" applyAlignment="1">
      <alignment vertical="top" wrapText="1"/>
    </xf>
    <xf numFmtId="0" fontId="0" fillId="0" borderId="0" xfId="0" applyAlignment="1">
      <alignment horizontal="left" vertical="top" wrapText="1"/>
    </xf>
    <xf numFmtId="0" fontId="0" fillId="0" borderId="35" xfId="0" applyBorder="1"/>
    <xf numFmtId="0" fontId="0" fillId="0" borderId="77" xfId="0" applyBorder="1" applyAlignment="1">
      <alignment vertical="top" wrapText="1"/>
    </xf>
    <xf numFmtId="0" fontId="0" fillId="0" borderId="9" xfId="0" applyBorder="1" applyAlignment="1">
      <alignment vertical="top" wrapText="1"/>
    </xf>
    <xf numFmtId="0" fontId="10" fillId="0" borderId="35" xfId="0" applyFont="1" applyBorder="1"/>
    <xf numFmtId="0" fontId="10" fillId="0" borderId="0" xfId="0" applyFont="1" applyAlignment="1">
      <alignment horizontal="left"/>
    </xf>
    <xf numFmtId="0" fontId="10" fillId="0" borderId="0" xfId="0" applyFont="1" applyAlignment="1">
      <alignment vertical="center"/>
    </xf>
    <xf numFmtId="0" fontId="45" fillId="10" borderId="22" xfId="4" applyBorder="1" applyAlignment="1">
      <alignment vertical="top" wrapText="1"/>
    </xf>
    <xf numFmtId="0" fontId="0" fillId="0" borderId="25" xfId="0" applyBorder="1" applyAlignment="1">
      <alignment vertical="top" wrapText="1"/>
    </xf>
    <xf numFmtId="0" fontId="0" fillId="0" borderId="26" xfId="0" applyBorder="1" applyAlignment="1">
      <alignment horizontal="center" vertical="top" wrapText="1"/>
    </xf>
    <xf numFmtId="0" fontId="0" fillId="0" borderId="26" xfId="0" applyBorder="1" applyAlignment="1">
      <alignment vertical="top" wrapText="1"/>
    </xf>
    <xf numFmtId="49" fontId="0" fillId="0" borderId="26" xfId="0" applyNumberFormat="1" applyBorder="1" applyAlignment="1">
      <alignment horizontal="center" vertical="top" wrapText="1"/>
    </xf>
    <xf numFmtId="0" fontId="44" fillId="9" borderId="21" xfId="5" applyBorder="1" applyAlignment="1">
      <alignment vertical="top" wrapText="1"/>
    </xf>
    <xf numFmtId="0" fontId="44" fillId="9" borderId="22" xfId="5" applyBorder="1" applyAlignment="1">
      <alignment horizontal="center" vertical="top" wrapText="1"/>
    </xf>
    <xf numFmtId="0" fontId="44" fillId="9" borderId="22" xfId="5" applyBorder="1" applyAlignment="1">
      <alignment vertical="top" wrapText="1"/>
    </xf>
    <xf numFmtId="0" fontId="46" fillId="11" borderId="21" xfId="7" applyBorder="1" applyAlignment="1">
      <alignment vertical="top" wrapText="1"/>
    </xf>
    <xf numFmtId="0" fontId="46" fillId="11" borderId="22" xfId="7" applyBorder="1" applyAlignment="1">
      <alignment horizontal="center" vertical="top" wrapText="1"/>
    </xf>
    <xf numFmtId="0" fontId="46" fillId="11" borderId="22" xfId="7" applyBorder="1" applyAlignment="1">
      <alignment vertical="top" wrapText="1"/>
    </xf>
    <xf numFmtId="49" fontId="46" fillId="11" borderId="22" xfId="7" applyNumberFormat="1" applyBorder="1" applyAlignment="1">
      <alignment horizontal="center" vertical="top" wrapText="1"/>
    </xf>
    <xf numFmtId="0" fontId="45" fillId="10" borderId="35" xfId="4" applyBorder="1" applyAlignment="1">
      <alignment vertical="top" wrapText="1"/>
    </xf>
    <xf numFmtId="0" fontId="44" fillId="9" borderId="0" xfId="5" applyAlignment="1">
      <alignment vertical="top" wrapText="1"/>
    </xf>
    <xf numFmtId="0" fontId="0" fillId="0" borderId="36" xfId="0" applyBorder="1" applyAlignment="1">
      <alignment vertical="top" wrapText="1"/>
    </xf>
    <xf numFmtId="0" fontId="44" fillId="9" borderId="35" xfId="5" applyBorder="1" applyAlignment="1">
      <alignment vertical="top" wrapText="1"/>
    </xf>
    <xf numFmtId="0" fontId="44" fillId="9" borderId="0" xfId="5" applyAlignment="1">
      <alignment horizontal="left" vertical="top" wrapText="1"/>
    </xf>
    <xf numFmtId="0" fontId="46" fillId="11" borderId="35" xfId="7" applyBorder="1" applyAlignment="1">
      <alignment vertical="top" wrapText="1"/>
    </xf>
    <xf numFmtId="0" fontId="46" fillId="11" borderId="0" xfId="7" applyAlignment="1">
      <alignment horizontal="left" vertical="top" wrapText="1"/>
    </xf>
    <xf numFmtId="0" fontId="0" fillId="0" borderId="25" xfId="0" applyBorder="1"/>
    <xf numFmtId="0" fontId="0" fillId="0" borderId="26" xfId="0" applyBorder="1" applyAlignment="1">
      <alignment horizontal="center"/>
    </xf>
    <xf numFmtId="0" fontId="0" fillId="0" borderId="26" xfId="0" applyBorder="1"/>
    <xf numFmtId="49" fontId="0" fillId="0" borderId="26" xfId="0" applyNumberFormat="1" applyBorder="1" applyAlignment="1">
      <alignment horizontal="center"/>
    </xf>
    <xf numFmtId="2" fontId="44" fillId="9" borderId="22" xfId="5" applyNumberFormat="1" applyBorder="1" applyAlignment="1">
      <alignment horizontal="center" vertical="top" wrapText="1"/>
    </xf>
    <xf numFmtId="0" fontId="45" fillId="10" borderId="21" xfId="4" applyBorder="1" applyAlignment="1">
      <alignment vertical="top" wrapText="1"/>
    </xf>
    <xf numFmtId="0" fontId="45" fillId="10" borderId="22" xfId="4" applyBorder="1" applyAlignment="1">
      <alignment horizontal="center" vertical="top" wrapText="1"/>
    </xf>
    <xf numFmtId="2" fontId="0" fillId="0" borderId="22" xfId="0" applyNumberFormat="1" applyBorder="1" applyAlignment="1">
      <alignment horizontal="center" vertical="top" wrapText="1"/>
    </xf>
    <xf numFmtId="0" fontId="0" fillId="0" borderId="36" xfId="0" applyBorder="1"/>
    <xf numFmtId="0" fontId="10" fillId="0" borderId="0" xfId="0" applyFont="1" applyAlignment="1">
      <alignment vertical="top" wrapText="1"/>
    </xf>
    <xf numFmtId="2" fontId="0" fillId="0" borderId="26" xfId="0" applyNumberFormat="1" applyBorder="1" applyAlignment="1">
      <alignment horizontal="center" vertical="top" wrapText="1"/>
    </xf>
    <xf numFmtId="49" fontId="44" fillId="9" borderId="26" xfId="5" applyNumberFormat="1" applyBorder="1" applyAlignment="1">
      <alignment horizontal="center" vertical="top" wrapText="1"/>
    </xf>
    <xf numFmtId="0" fontId="32" fillId="0" borderId="0" xfId="8"/>
    <xf numFmtId="0" fontId="47" fillId="0" borderId="0" xfId="8" applyFont="1" applyAlignment="1">
      <alignment horizontal="center" vertical="center" wrapText="1"/>
    </xf>
    <xf numFmtId="0" fontId="29" fillId="0" borderId="42" xfId="8" applyFont="1" applyBorder="1" applyAlignment="1">
      <alignment horizontal="center" vertical="center" wrapText="1"/>
    </xf>
    <xf numFmtId="0" fontId="29" fillId="0" borderId="41" xfId="8" applyFont="1" applyBorder="1" applyAlignment="1">
      <alignment horizontal="center" vertical="center" wrapText="1"/>
    </xf>
    <xf numFmtId="0" fontId="31" fillId="0" borderId="78" xfId="8" applyFont="1" applyBorder="1" applyAlignment="1">
      <alignment horizontal="center" vertical="top" wrapText="1"/>
    </xf>
    <xf numFmtId="0" fontId="48" fillId="0" borderId="7" xfId="8" applyFont="1" applyBorder="1" applyAlignment="1">
      <alignment vertical="center" wrapText="1"/>
    </xf>
    <xf numFmtId="0" fontId="28" fillId="0" borderId="79" xfId="8" applyFont="1" applyBorder="1" applyAlignment="1">
      <alignment horizontal="left" vertical="top" wrapText="1"/>
    </xf>
    <xf numFmtId="0" fontId="28" fillId="12" borderId="79" xfId="8" applyFont="1" applyFill="1" applyBorder="1" applyAlignment="1">
      <alignment horizontal="left" vertical="top" wrapText="1"/>
    </xf>
    <xf numFmtId="0" fontId="28" fillId="13" borderId="79" xfId="8" applyFont="1" applyFill="1" applyBorder="1" applyAlignment="1">
      <alignment horizontal="left" vertical="top" wrapText="1"/>
    </xf>
    <xf numFmtId="0" fontId="28" fillId="0" borderId="80" xfId="8" applyFont="1" applyBorder="1" applyAlignment="1">
      <alignment horizontal="left" vertical="top" wrapText="1"/>
    </xf>
    <xf numFmtId="0" fontId="28" fillId="0" borderId="81" xfId="8" applyFont="1" applyBorder="1" applyAlignment="1">
      <alignment horizontal="left" vertical="top" wrapText="1"/>
    </xf>
    <xf numFmtId="0" fontId="28" fillId="12" borderId="81" xfId="8" applyFont="1" applyFill="1" applyBorder="1" applyAlignment="1">
      <alignment horizontal="left" vertical="top" wrapText="1"/>
    </xf>
    <xf numFmtId="0" fontId="28" fillId="12" borderId="80" xfId="8" applyFont="1" applyFill="1" applyBorder="1" applyAlignment="1">
      <alignment horizontal="left" vertical="top" wrapText="1"/>
    </xf>
    <xf numFmtId="0" fontId="25" fillId="12" borderId="79" xfId="8" applyFont="1" applyFill="1" applyBorder="1" applyAlignment="1">
      <alignment horizontal="left" vertical="top" wrapText="1"/>
    </xf>
    <xf numFmtId="0" fontId="28" fillId="5" borderId="79" xfId="8" applyFont="1" applyFill="1" applyBorder="1" applyAlignment="1">
      <alignment horizontal="left" vertical="top" wrapText="1"/>
    </xf>
    <xf numFmtId="0" fontId="28" fillId="14" borderId="79" xfId="8" applyFont="1" applyFill="1" applyBorder="1" applyAlignment="1">
      <alignment horizontal="left" vertical="top" wrapText="1"/>
    </xf>
    <xf numFmtId="0" fontId="48" fillId="0" borderId="79" xfId="8" applyFont="1" applyBorder="1" applyAlignment="1">
      <alignment vertical="center" wrapText="1"/>
    </xf>
    <xf numFmtId="0" fontId="28" fillId="0" borderId="79" xfId="8" applyFont="1" applyBorder="1" applyAlignment="1">
      <alignment vertical="center" wrapText="1"/>
    </xf>
    <xf numFmtId="4" fontId="28" fillId="12" borderId="82" xfId="8" applyNumberFormat="1" applyFont="1" applyFill="1" applyBorder="1" applyAlignment="1">
      <alignment horizontal="left" vertical="top" wrapText="1"/>
    </xf>
    <xf numFmtId="0" fontId="28" fillId="0" borderId="82" xfId="8" applyFont="1" applyBorder="1" applyAlignment="1">
      <alignment horizontal="left" vertical="top" wrapText="1"/>
    </xf>
    <xf numFmtId="0" fontId="28" fillId="0" borderId="83" xfId="8" applyFont="1" applyBorder="1" applyAlignment="1">
      <alignment horizontal="left" vertical="top" wrapText="1"/>
    </xf>
    <xf numFmtId="0" fontId="31" fillId="0" borderId="0" xfId="8" applyFont="1" applyAlignment="1">
      <alignment horizontal="left" vertical="center" wrapText="1"/>
    </xf>
    <xf numFmtId="0" fontId="49" fillId="0" borderId="0" xfId="8" applyFont="1" applyAlignment="1">
      <alignment vertical="center" wrapText="1"/>
    </xf>
    <xf numFmtId="0" fontId="50" fillId="0" borderId="0" xfId="8" applyFont="1"/>
    <xf numFmtId="0" fontId="50" fillId="0" borderId="0" xfId="8" applyFont="1" applyAlignment="1">
      <alignment horizontal="center"/>
    </xf>
    <xf numFmtId="0" fontId="32" fillId="0" borderId="0" xfId="8" applyAlignment="1">
      <alignment horizontal="left" vertical="center" indent="8"/>
    </xf>
    <xf numFmtId="0" fontId="32" fillId="0" borderId="0" xfId="8" applyAlignment="1">
      <alignment horizontal="center"/>
    </xf>
    <xf numFmtId="0" fontId="32" fillId="0" borderId="0" xfId="8" applyAlignment="1">
      <alignment horizontal="center" vertical="center"/>
    </xf>
    <xf numFmtId="0" fontId="51" fillId="0" borderId="0" xfId="8" applyFont="1" applyAlignment="1">
      <alignment horizontal="center"/>
    </xf>
    <xf numFmtId="0" fontId="32" fillId="0" borderId="0" xfId="8" applyAlignment="1">
      <alignment horizontal="left" indent="8"/>
    </xf>
    <xf numFmtId="0" fontId="32" fillId="0" borderId="0" xfId="8" applyAlignment="1">
      <alignment horizontal="left" indent="9"/>
    </xf>
    <xf numFmtId="0" fontId="53" fillId="0" borderId="38" xfId="3" applyFont="1" applyBorder="1" applyAlignment="1">
      <alignment horizontal="left" vertical="center"/>
    </xf>
    <xf numFmtId="0" fontId="53" fillId="0" borderId="38" xfId="3" applyFont="1" applyBorder="1" applyAlignment="1">
      <alignment vertical="center"/>
    </xf>
    <xf numFmtId="0" fontId="53" fillId="12" borderId="38" xfId="3" applyFont="1" applyFill="1" applyBorder="1" applyAlignment="1">
      <alignment vertical="center"/>
    </xf>
    <xf numFmtId="0" fontId="53" fillId="0" borderId="38" xfId="3" applyFont="1" applyBorder="1" applyAlignment="1">
      <alignment vertical="center" wrapText="1"/>
    </xf>
    <xf numFmtId="0" fontId="53" fillId="0" borderId="0" xfId="0" applyFont="1"/>
    <xf numFmtId="0" fontId="53" fillId="0" borderId="38" xfId="0" applyFont="1" applyBorder="1" applyAlignment="1">
      <alignment vertical="center" wrapText="1"/>
    </xf>
    <xf numFmtId="0" fontId="55" fillId="0" borderId="84" xfId="0" applyFont="1" applyBorder="1" applyAlignment="1">
      <alignment wrapText="1"/>
    </xf>
    <xf numFmtId="0" fontId="55" fillId="0" borderId="38" xfId="0" applyFont="1" applyBorder="1" applyAlignment="1">
      <alignment horizontal="center" wrapText="1"/>
    </xf>
    <xf numFmtId="0" fontId="55" fillId="0" borderId="85" xfId="0" applyFont="1" applyBorder="1" applyAlignment="1">
      <alignment wrapText="1"/>
    </xf>
    <xf numFmtId="0" fontId="54" fillId="0" borderId="38" xfId="3" applyFont="1" applyBorder="1" applyAlignment="1">
      <alignment vertical="center"/>
    </xf>
    <xf numFmtId="0" fontId="55" fillId="0" borderId="86" xfId="0" applyFont="1" applyBorder="1" applyAlignment="1">
      <alignment wrapText="1"/>
    </xf>
    <xf numFmtId="0" fontId="55" fillId="0" borderId="22" xfId="0" applyFont="1" applyBorder="1" applyAlignment="1">
      <alignment horizontal="center" wrapText="1"/>
    </xf>
    <xf numFmtId="0" fontId="53" fillId="0" borderId="38" xfId="0" applyFont="1" applyBorder="1" applyAlignment="1">
      <alignment wrapText="1"/>
    </xf>
    <xf numFmtId="0" fontId="55" fillId="0" borderId="38" xfId="0" applyFont="1" applyBorder="1" applyAlignment="1">
      <alignment horizontal="right" wrapText="1"/>
    </xf>
    <xf numFmtId="0" fontId="55" fillId="0" borderId="38" xfId="0" applyFont="1" applyBorder="1" applyAlignment="1">
      <alignment wrapText="1"/>
    </xf>
    <xf numFmtId="0" fontId="0" fillId="0" borderId="87" xfId="0" applyBorder="1" applyAlignment="1">
      <alignment wrapText="1"/>
    </xf>
    <xf numFmtId="0" fontId="105" fillId="0" borderId="0" xfId="15" applyAlignment="1">
      <alignment horizontal="center" vertical="center"/>
    </xf>
    <xf numFmtId="0" fontId="105" fillId="0" borderId="0" xfId="15" applyAlignment="1">
      <alignment vertical="top" wrapText="1"/>
    </xf>
    <xf numFmtId="0" fontId="10" fillId="0" borderId="0" xfId="15" applyFont="1"/>
    <xf numFmtId="0" fontId="105" fillId="0" borderId="0" xfId="15"/>
    <xf numFmtId="0" fontId="105" fillId="0" borderId="0" xfId="15" applyAlignment="1">
      <alignment horizontal="center"/>
    </xf>
    <xf numFmtId="0" fontId="105" fillId="0" borderId="0" xfId="15" applyAlignment="1">
      <alignment horizontal="left"/>
    </xf>
    <xf numFmtId="0" fontId="105" fillId="0" borderId="0" xfId="15" applyAlignment="1">
      <alignment vertical="center"/>
    </xf>
    <xf numFmtId="0" fontId="9" fillId="0" borderId="27" xfId="15" applyFont="1" applyBorder="1" applyAlignment="1">
      <alignment horizontal="center" vertical="center" wrapText="1"/>
    </xf>
    <xf numFmtId="0" fontId="9" fillId="0" borderId="27" xfId="15" applyFont="1" applyBorder="1" applyAlignment="1">
      <alignment horizontal="center" vertical="center"/>
    </xf>
    <xf numFmtId="0" fontId="10" fillId="0" borderId="21" xfId="15" applyFont="1" applyBorder="1"/>
    <xf numFmtId="0" fontId="105" fillId="0" borderId="17" xfId="15" applyBorder="1" applyAlignment="1">
      <alignment horizontal="center"/>
    </xf>
    <xf numFmtId="0" fontId="105" fillId="0" borderId="17" xfId="15" applyBorder="1"/>
    <xf numFmtId="0" fontId="105" fillId="0" borderId="21" xfId="15" applyBorder="1" applyAlignment="1">
      <alignment vertical="top" wrapText="1"/>
    </xf>
    <xf numFmtId="0" fontId="105" fillId="0" borderId="22" xfId="15" applyBorder="1" applyAlignment="1">
      <alignment horizontal="center" vertical="top" wrapText="1"/>
    </xf>
    <xf numFmtId="0" fontId="105" fillId="0" borderId="22" xfId="15" applyBorder="1" applyAlignment="1">
      <alignment vertical="top" wrapText="1"/>
    </xf>
    <xf numFmtId="49" fontId="105" fillId="0" borderId="22" xfId="15" applyNumberFormat="1" applyBorder="1" applyAlignment="1">
      <alignment horizontal="center" vertical="top" wrapText="1"/>
    </xf>
    <xf numFmtId="0" fontId="105" fillId="0" borderId="21" xfId="15" applyBorder="1"/>
    <xf numFmtId="0" fontId="105" fillId="0" borderId="22" xfId="15" applyBorder="1" applyAlignment="1">
      <alignment horizontal="center"/>
    </xf>
    <xf numFmtId="0" fontId="105" fillId="0" borderId="22" xfId="15" applyBorder="1"/>
    <xf numFmtId="49" fontId="105" fillId="0" borderId="22" xfId="15" applyNumberFormat="1" applyBorder="1" applyAlignment="1">
      <alignment horizontal="center" vertical="center"/>
    </xf>
    <xf numFmtId="0" fontId="105" fillId="0" borderId="73" xfId="15" applyBorder="1" applyAlignment="1">
      <alignment vertical="top" wrapText="1"/>
    </xf>
    <xf numFmtId="0" fontId="105" fillId="0" borderId="40" xfId="15" applyBorder="1" applyAlignment="1">
      <alignment horizontal="center" vertical="top" wrapText="1"/>
    </xf>
    <xf numFmtId="0" fontId="105" fillId="0" borderId="40" xfId="15" applyBorder="1" applyAlignment="1">
      <alignment vertical="top" wrapText="1"/>
    </xf>
    <xf numFmtId="49" fontId="105" fillId="0" borderId="40" xfId="15" applyNumberFormat="1" applyBorder="1" applyAlignment="1">
      <alignment horizontal="center" vertical="top" wrapText="1"/>
    </xf>
    <xf numFmtId="0" fontId="105" fillId="0" borderId="76" xfId="15" applyBorder="1" applyAlignment="1">
      <alignment vertical="top" wrapText="1"/>
    </xf>
    <xf numFmtId="0" fontId="105" fillId="0" borderId="8" xfId="15" applyBorder="1" applyAlignment="1">
      <alignment horizontal="center" vertical="top" wrapText="1"/>
    </xf>
    <xf numFmtId="0" fontId="105" fillId="0" borderId="8" xfId="15" applyBorder="1" applyAlignment="1">
      <alignment vertical="top" wrapText="1"/>
    </xf>
    <xf numFmtId="49" fontId="105" fillId="0" borderId="8" xfId="15" applyNumberFormat="1" applyBorder="1" applyAlignment="1">
      <alignment horizontal="center" vertical="top" wrapText="1"/>
    </xf>
    <xf numFmtId="49" fontId="105" fillId="0" borderId="22" xfId="15" applyNumberFormat="1" applyBorder="1" applyAlignment="1">
      <alignment horizontal="center"/>
    </xf>
    <xf numFmtId="0" fontId="10" fillId="0" borderId="22" xfId="15" applyFont="1" applyBorder="1" applyAlignment="1">
      <alignment horizontal="center"/>
    </xf>
    <xf numFmtId="0" fontId="10" fillId="0" borderId="22" xfId="15" applyFont="1" applyBorder="1"/>
    <xf numFmtId="49" fontId="10" fillId="0" borderId="22" xfId="15" applyNumberFormat="1" applyFont="1" applyBorder="1" applyAlignment="1">
      <alignment horizontal="center"/>
    </xf>
    <xf numFmtId="0" fontId="105" fillId="0" borderId="0" xfId="15" applyAlignment="1">
      <alignment horizontal="left" vertical="center"/>
    </xf>
    <xf numFmtId="0" fontId="105" fillId="0" borderId="34" xfId="15" applyBorder="1"/>
    <xf numFmtId="0" fontId="105" fillId="0" borderId="35" xfId="15" applyBorder="1" applyAlignment="1">
      <alignment vertical="top" wrapText="1"/>
    </xf>
    <xf numFmtId="0" fontId="105" fillId="0" borderId="0" xfId="15" applyAlignment="1">
      <alignment horizontal="left" vertical="top" wrapText="1"/>
    </xf>
    <xf numFmtId="0" fontId="105" fillId="0" borderId="35" xfId="15" applyBorder="1"/>
    <xf numFmtId="0" fontId="105" fillId="0" borderId="77" xfId="15" applyBorder="1" applyAlignment="1">
      <alignment vertical="top" wrapText="1"/>
    </xf>
    <xf numFmtId="0" fontId="105" fillId="0" borderId="9" xfId="15" applyBorder="1" applyAlignment="1">
      <alignment vertical="top" wrapText="1"/>
    </xf>
    <xf numFmtId="0" fontId="10" fillId="0" borderId="35" xfId="15" applyFont="1" applyBorder="1"/>
    <xf numFmtId="0" fontId="10" fillId="0" borderId="0" xfId="15" applyFont="1" applyAlignment="1">
      <alignment horizontal="left"/>
    </xf>
    <xf numFmtId="0" fontId="10" fillId="0" borderId="0" xfId="15" applyFont="1" applyAlignment="1">
      <alignment vertical="center"/>
    </xf>
    <xf numFmtId="0" fontId="105" fillId="0" borderId="25" xfId="15" applyBorder="1" applyAlignment="1">
      <alignment vertical="top" wrapText="1"/>
    </xf>
    <xf numFmtId="0" fontId="105" fillId="0" borderId="26" xfId="15" applyBorder="1" applyAlignment="1">
      <alignment horizontal="center" vertical="top" wrapText="1"/>
    </xf>
    <xf numFmtId="0" fontId="105" fillId="0" borderId="26" xfId="15" applyBorder="1" applyAlignment="1">
      <alignment vertical="top" wrapText="1"/>
    </xf>
    <xf numFmtId="49" fontId="105" fillId="0" borderId="26" xfId="15" applyNumberFormat="1" applyBorder="1" applyAlignment="1">
      <alignment horizontal="center" vertical="top" wrapText="1"/>
    </xf>
    <xf numFmtId="0" fontId="105" fillId="0" borderId="36" xfId="15" applyBorder="1" applyAlignment="1">
      <alignment vertical="top" wrapText="1"/>
    </xf>
    <xf numFmtId="0" fontId="105" fillId="0" borderId="25" xfId="15" applyBorder="1"/>
    <xf numFmtId="0" fontId="105" fillId="0" borderId="26" xfId="15" applyBorder="1" applyAlignment="1">
      <alignment horizontal="center"/>
    </xf>
    <xf numFmtId="0" fontId="105" fillId="0" borderId="26" xfId="15" applyBorder="1"/>
    <xf numFmtId="49" fontId="105" fillId="0" borderId="26" xfId="15" applyNumberFormat="1" applyBorder="1" applyAlignment="1">
      <alignment horizontal="center"/>
    </xf>
    <xf numFmtId="2" fontId="105" fillId="0" borderId="22" xfId="15" applyNumberFormat="1" applyBorder="1" applyAlignment="1">
      <alignment horizontal="center" vertical="top" wrapText="1"/>
    </xf>
    <xf numFmtId="2" fontId="105" fillId="0" borderId="26" xfId="15" applyNumberFormat="1" applyBorder="1" applyAlignment="1">
      <alignment horizontal="center" vertical="top" wrapText="1"/>
    </xf>
    <xf numFmtId="0" fontId="105" fillId="0" borderId="36" xfId="15" applyBorder="1"/>
    <xf numFmtId="0" fontId="10" fillId="0" borderId="0" xfId="15" applyFont="1" applyAlignment="1">
      <alignment vertical="top" wrapText="1"/>
    </xf>
    <xf numFmtId="0" fontId="32" fillId="0" borderId="0" xfId="8" applyAlignment="1">
      <alignment horizontal="left" indent="1"/>
    </xf>
    <xf numFmtId="0" fontId="58" fillId="0" borderId="0" xfId="8" applyFont="1" applyAlignment="1">
      <alignment horizontal="center"/>
    </xf>
    <xf numFmtId="2" fontId="32" fillId="0" borderId="0" xfId="8" applyNumberFormat="1" applyAlignment="1">
      <alignment horizontal="center"/>
    </xf>
    <xf numFmtId="2" fontId="32" fillId="0" borderId="0" xfId="8" applyNumberFormat="1" applyAlignment="1">
      <alignment horizontal="center" vertical="center" wrapText="1"/>
    </xf>
    <xf numFmtId="0" fontId="59" fillId="0" borderId="0" xfId="8" applyFont="1" applyAlignment="1">
      <alignment horizontal="center"/>
    </xf>
    <xf numFmtId="167" fontId="32" fillId="0" borderId="0" xfId="8" applyNumberFormat="1" applyAlignment="1">
      <alignment horizontal="center"/>
    </xf>
    <xf numFmtId="175" fontId="32" fillId="0" borderId="0" xfId="8" applyNumberFormat="1" applyAlignment="1">
      <alignment horizontal="center"/>
    </xf>
    <xf numFmtId="0" fontId="60" fillId="0" borderId="0" xfId="8" applyFont="1" applyAlignment="1">
      <alignment horizontal="center" vertical="top" wrapText="1"/>
    </xf>
    <xf numFmtId="0" fontId="38" fillId="0" borderId="0" xfId="0" applyFont="1" applyAlignment="1">
      <alignment horizontal="left"/>
    </xf>
    <xf numFmtId="0" fontId="62" fillId="0" borderId="0" xfId="0" applyFont="1"/>
    <xf numFmtId="0" fontId="29" fillId="0" borderId="42" xfId="8" applyFont="1" applyBorder="1" applyAlignment="1">
      <alignment horizontal="left" vertical="center" wrapText="1" indent="1"/>
    </xf>
    <xf numFmtId="0" fontId="29" fillId="0" borderId="12" xfId="8" applyFont="1" applyBorder="1" applyAlignment="1">
      <alignment horizontal="center" vertical="center" textRotation="255" wrapText="1"/>
    </xf>
    <xf numFmtId="0" fontId="29" fillId="0" borderId="32" xfId="8" applyFont="1" applyBorder="1" applyAlignment="1">
      <alignment horizontal="center" vertical="center" wrapText="1"/>
    </xf>
    <xf numFmtId="0" fontId="31" fillId="0" borderId="37" xfId="8" applyFont="1" applyBorder="1" applyAlignment="1">
      <alignment vertical="top" wrapText="1"/>
    </xf>
    <xf numFmtId="0" fontId="29" fillId="0" borderId="37" xfId="8" applyFont="1" applyBorder="1" applyAlignment="1">
      <alignment horizontal="center" vertical="center" wrapText="1"/>
    </xf>
    <xf numFmtId="0" fontId="63" fillId="0" borderId="74" xfId="8" applyFont="1" applyBorder="1" applyAlignment="1">
      <alignment vertical="center"/>
    </xf>
    <xf numFmtId="0" fontId="32" fillId="0" borderId="94" xfId="8" applyBorder="1" applyAlignment="1">
      <alignment vertical="center"/>
    </xf>
    <xf numFmtId="0" fontId="64" fillId="0" borderId="94" xfId="8" applyFont="1" applyBorder="1" applyAlignment="1">
      <alignment horizontal="center" vertical="center" wrapText="1"/>
    </xf>
    <xf numFmtId="0" fontId="28" fillId="0" borderId="73" xfId="8" applyFont="1" applyBorder="1" applyAlignment="1">
      <alignment horizontal="left" vertical="top" wrapText="1" indent="1"/>
    </xf>
    <xf numFmtId="0" fontId="28" fillId="0" borderId="91" xfId="8" applyFont="1" applyBorder="1" applyAlignment="1">
      <alignment vertical="top" wrapText="1"/>
    </xf>
    <xf numFmtId="0" fontId="28" fillId="0" borderId="90" xfId="8" applyFont="1" applyBorder="1" applyAlignment="1">
      <alignment horizontal="center" vertical="top" wrapText="1"/>
    </xf>
    <xf numFmtId="0" fontId="28" fillId="0" borderId="70" xfId="8" applyFont="1" applyBorder="1" applyAlignment="1">
      <alignment horizontal="left" vertical="top" wrapText="1" indent="1"/>
    </xf>
    <xf numFmtId="0" fontId="28" fillId="0" borderId="92" xfId="8" applyFont="1" applyBorder="1" applyAlignment="1">
      <alignment vertical="top" wrapText="1"/>
    </xf>
    <xf numFmtId="0" fontId="28" fillId="0" borderId="79" xfId="8" applyFont="1" applyBorder="1" applyAlignment="1">
      <alignment horizontal="center" vertical="top" wrapText="1"/>
    </xf>
    <xf numFmtId="0" fontId="65" fillId="0" borderId="47" xfId="8" applyFont="1" applyBorder="1" applyAlignment="1">
      <alignment horizontal="left" vertical="center" indent="1"/>
    </xf>
    <xf numFmtId="0" fontId="66" fillId="0" borderId="95" xfId="8" applyFont="1" applyBorder="1" applyAlignment="1">
      <alignment horizontal="center" vertical="center"/>
    </xf>
    <xf numFmtId="0" fontId="28" fillId="0" borderId="82" xfId="8" applyFont="1" applyBorder="1" applyAlignment="1">
      <alignment horizontal="center" vertical="top" wrapText="1"/>
    </xf>
    <xf numFmtId="0" fontId="63" fillId="0" borderId="96" xfId="8" applyFont="1" applyBorder="1" applyAlignment="1">
      <alignment vertical="center"/>
    </xf>
    <xf numFmtId="0" fontId="32" fillId="0" borderId="81" xfId="8" applyBorder="1" applyAlignment="1">
      <alignment vertical="center"/>
    </xf>
    <xf numFmtId="0" fontId="64" fillId="0" borderId="81" xfId="8" applyFont="1" applyBorder="1" applyAlignment="1">
      <alignment horizontal="center" vertical="center"/>
    </xf>
    <xf numFmtId="0" fontId="67" fillId="0" borderId="0" xfId="0" applyFont="1" applyAlignment="1">
      <alignment wrapText="1"/>
    </xf>
    <xf numFmtId="0" fontId="66" fillId="0" borderId="47" xfId="8" applyFont="1" applyBorder="1" applyAlignment="1">
      <alignment horizontal="left" vertical="center" wrapText="1" indent="1"/>
    </xf>
    <xf numFmtId="0" fontId="28" fillId="0" borderId="95" xfId="8" applyFont="1" applyBorder="1" applyAlignment="1">
      <alignment horizontal="center" vertical="top" wrapText="1"/>
    </xf>
    <xf numFmtId="0" fontId="68" fillId="0" borderId="96" xfId="8" applyFont="1" applyBorder="1" applyAlignment="1">
      <alignment vertical="center"/>
    </xf>
    <xf numFmtId="0" fontId="68" fillId="0" borderId="96" xfId="8" applyFont="1" applyBorder="1" applyAlignment="1">
      <alignment horizontal="left" vertical="center"/>
    </xf>
    <xf numFmtId="0" fontId="69" fillId="0" borderId="0" xfId="0" applyFont="1" applyAlignment="1">
      <alignment vertical="center" wrapText="1"/>
    </xf>
    <xf numFmtId="2" fontId="47" fillId="0" borderId="0" xfId="8" applyNumberFormat="1" applyFont="1" applyAlignment="1">
      <alignment horizontal="center" vertical="center" wrapText="1"/>
    </xf>
    <xf numFmtId="0" fontId="70" fillId="0" borderId="0" xfId="0" applyFont="1" applyAlignment="1">
      <alignment horizontal="center"/>
    </xf>
    <xf numFmtId="2" fontId="70" fillId="0" borderId="0" xfId="0" applyNumberFormat="1" applyFont="1" applyAlignment="1">
      <alignment horizontal="center"/>
    </xf>
    <xf numFmtId="2" fontId="0" fillId="0" borderId="0" xfId="0" applyNumberFormat="1"/>
    <xf numFmtId="0" fontId="29" fillId="0" borderId="42" xfId="8" applyFont="1" applyBorder="1" applyAlignment="1">
      <alignment horizontal="center" vertical="center" textRotation="255" wrapText="1"/>
    </xf>
    <xf numFmtId="0" fontId="30" fillId="0" borderId="41" xfId="8" applyFont="1" applyBorder="1" applyAlignment="1">
      <alignment horizontal="center" vertical="center" wrapText="1"/>
    </xf>
    <xf numFmtId="0" fontId="9" fillId="0" borderId="41" xfId="0" applyFont="1" applyBorder="1" applyAlignment="1">
      <alignment horizontal="center" vertical="center" wrapText="1"/>
    </xf>
    <xf numFmtId="2" fontId="29" fillId="0" borderId="42" xfId="8" applyNumberFormat="1" applyFont="1" applyBorder="1" applyAlignment="1">
      <alignment horizontal="center" vertical="center" textRotation="255" wrapText="1"/>
    </xf>
    <xf numFmtId="0" fontId="31" fillId="0" borderId="37" xfId="8" applyFont="1" applyBorder="1" applyAlignment="1">
      <alignment horizontal="center" vertical="top" wrapText="1"/>
    </xf>
    <xf numFmtId="2" fontId="48" fillId="0" borderId="7" xfId="8" applyNumberFormat="1" applyFont="1" applyBorder="1" applyAlignment="1">
      <alignment vertical="center" wrapText="1"/>
    </xf>
    <xf numFmtId="0" fontId="28" fillId="0" borderId="38" xfId="8" applyFont="1" applyBorder="1" applyAlignment="1">
      <alignment horizontal="center" vertical="top" wrapText="1"/>
    </xf>
    <xf numFmtId="4" fontId="28" fillId="0" borderId="38" xfId="8" applyNumberFormat="1" applyFont="1" applyBorder="1" applyAlignment="1">
      <alignment horizontal="right" vertical="top" wrapText="1"/>
    </xf>
    <xf numFmtId="4" fontId="28" fillId="0" borderId="40" xfId="8" applyNumberFormat="1" applyFont="1" applyBorder="1" applyAlignment="1">
      <alignment horizontal="right" vertical="top" wrapText="1"/>
    </xf>
    <xf numFmtId="0" fontId="28" fillId="0" borderId="40" xfId="8" applyFont="1" applyBorder="1" applyAlignment="1">
      <alignment horizontal="center" vertical="top" wrapText="1"/>
    </xf>
    <xf numFmtId="2" fontId="28" fillId="0" borderId="40" xfId="8" applyNumberFormat="1" applyFont="1" applyBorder="1" applyAlignment="1">
      <alignment horizontal="center" vertical="top" wrapText="1"/>
    </xf>
    <xf numFmtId="2" fontId="28" fillId="0" borderId="38" xfId="8" applyNumberFormat="1" applyFont="1" applyBorder="1" applyAlignment="1">
      <alignment horizontal="center" vertical="top" wrapText="1"/>
    </xf>
    <xf numFmtId="0" fontId="28" fillId="0" borderId="80" xfId="8" applyFont="1" applyBorder="1" applyAlignment="1">
      <alignment horizontal="center" vertical="top" wrapText="1"/>
    </xf>
    <xf numFmtId="0" fontId="66" fillId="0" borderId="27" xfId="8" applyFont="1" applyBorder="1" applyAlignment="1">
      <alignment horizontal="center" vertical="center"/>
    </xf>
    <xf numFmtId="2" fontId="28" fillId="0" borderId="80" xfId="8" applyNumberFormat="1" applyFont="1" applyBorder="1" applyAlignment="1">
      <alignment horizontal="left" vertical="top" wrapText="1"/>
    </xf>
    <xf numFmtId="0" fontId="48" fillId="0" borderId="81" xfId="8" applyFont="1" applyBorder="1" applyAlignment="1">
      <alignment vertical="center" wrapText="1"/>
    </xf>
    <xf numFmtId="2" fontId="48" fillId="0" borderId="81" xfId="8" applyNumberFormat="1" applyFont="1" applyBorder="1" applyAlignment="1">
      <alignment vertical="center" wrapText="1"/>
    </xf>
    <xf numFmtId="4" fontId="28" fillId="0" borderId="95" xfId="8" applyNumberFormat="1" applyFont="1" applyBorder="1" applyAlignment="1">
      <alignment horizontal="right" vertical="top" wrapText="1"/>
    </xf>
    <xf numFmtId="4" fontId="28" fillId="0" borderId="80" xfId="8" applyNumberFormat="1" applyFont="1" applyBorder="1" applyAlignment="1">
      <alignment horizontal="right" vertical="top" wrapText="1"/>
    </xf>
    <xf numFmtId="2" fontId="28" fillId="0" borderId="80" xfId="8" applyNumberFormat="1" applyFont="1" applyBorder="1" applyAlignment="1">
      <alignment horizontal="center" vertical="top" wrapText="1"/>
    </xf>
    <xf numFmtId="0" fontId="48" fillId="0" borderId="91" xfId="8" applyFont="1" applyBorder="1" applyAlignment="1">
      <alignment vertical="center" wrapText="1"/>
    </xf>
    <xf numFmtId="4" fontId="28" fillId="0" borderId="27" xfId="8" applyNumberFormat="1" applyFont="1" applyBorder="1" applyAlignment="1">
      <alignment horizontal="right" vertical="top" wrapText="1"/>
    </xf>
    <xf numFmtId="4" fontId="49" fillId="0" borderId="40" xfId="8" applyNumberFormat="1" applyFont="1" applyBorder="1" applyAlignment="1">
      <alignment horizontal="right" vertical="center" wrapText="1"/>
    </xf>
    <xf numFmtId="2" fontId="0" fillId="0" borderId="0" xfId="0" applyNumberFormat="1" applyAlignment="1">
      <alignment wrapText="1"/>
    </xf>
    <xf numFmtId="2" fontId="31" fillId="0" borderId="23" xfId="8" applyNumberFormat="1" applyFont="1" applyBorder="1" applyAlignment="1">
      <alignment vertical="center" wrapText="1"/>
    </xf>
    <xf numFmtId="2" fontId="29" fillId="0" borderId="41" xfId="8" applyNumberFormat="1" applyFont="1" applyBorder="1" applyAlignment="1">
      <alignment horizontal="center" vertical="center" wrapText="1"/>
    </xf>
    <xf numFmtId="0" fontId="71" fillId="0" borderId="0" xfId="8" applyFont="1" applyAlignment="1">
      <alignment horizontal="center" vertical="center" wrapText="1"/>
    </xf>
    <xf numFmtId="0" fontId="72" fillId="0" borderId="46" xfId="8" applyFont="1" applyBorder="1" applyAlignment="1">
      <alignment horizontal="center" vertical="center" wrapText="1"/>
    </xf>
    <xf numFmtId="0" fontId="30" fillId="0" borderId="88" xfId="8" applyFont="1" applyBorder="1" applyAlignment="1">
      <alignment horizontal="center" vertical="center" wrapText="1"/>
    </xf>
    <xf numFmtId="0" fontId="72" fillId="0" borderId="24" xfId="8" applyFont="1" applyBorder="1" applyAlignment="1">
      <alignment horizontal="center" vertical="top" wrapText="1"/>
    </xf>
    <xf numFmtId="0" fontId="73" fillId="0" borderId="7" xfId="8" applyFont="1" applyBorder="1" applyAlignment="1">
      <alignment vertical="center" wrapText="1"/>
    </xf>
    <xf numFmtId="14" fontId="28" fillId="0" borderId="38" xfId="8" applyNumberFormat="1" applyFont="1" applyBorder="1" applyAlignment="1">
      <alignment horizontal="center" vertical="top" wrapText="1"/>
    </xf>
    <xf numFmtId="0" fontId="25" fillId="0" borderId="80" xfId="8" applyFont="1" applyBorder="1" applyAlignment="1">
      <alignment horizontal="left" vertical="top" wrapText="1"/>
    </xf>
    <xf numFmtId="0" fontId="73" fillId="0" borderId="81" xfId="8" applyFont="1" applyBorder="1" applyAlignment="1">
      <alignment vertical="center" wrapText="1"/>
    </xf>
    <xf numFmtId="14" fontId="28" fillId="0" borderId="80" xfId="8" applyNumberFormat="1" applyFont="1" applyBorder="1" applyAlignment="1">
      <alignment horizontal="center" vertical="top" wrapText="1"/>
    </xf>
    <xf numFmtId="0" fontId="25" fillId="0" borderId="80" xfId="8" applyFont="1" applyBorder="1" applyAlignment="1">
      <alignment horizontal="center" vertical="top" wrapText="1"/>
    </xf>
    <xf numFmtId="0" fontId="28" fillId="15" borderId="79" xfId="8" applyFont="1" applyFill="1" applyBorder="1" applyAlignment="1">
      <alignment horizontal="left" vertical="top" wrapText="1"/>
    </xf>
    <xf numFmtId="175" fontId="47" fillId="0" borderId="0" xfId="8" applyNumberFormat="1" applyFont="1" applyAlignment="1">
      <alignment horizontal="center" vertical="center" wrapText="1"/>
    </xf>
    <xf numFmtId="164" fontId="0" fillId="0" borderId="0" xfId="1" applyFont="1"/>
    <xf numFmtId="175" fontId="0" fillId="0" borderId="0" xfId="0" applyNumberFormat="1"/>
    <xf numFmtId="175" fontId="32" fillId="0" borderId="0" xfId="8" applyNumberFormat="1"/>
    <xf numFmtId="0" fontId="31" fillId="0" borderId="23" xfId="8" applyFont="1" applyBorder="1" applyAlignment="1">
      <alignment horizontal="center" vertical="center" wrapText="1"/>
    </xf>
    <xf numFmtId="175" fontId="31" fillId="0" borderId="7" xfId="8" applyNumberFormat="1" applyFont="1" applyBorder="1" applyAlignment="1">
      <alignment horizontal="center" vertical="center" wrapText="1"/>
    </xf>
    <xf numFmtId="0" fontId="31" fillId="0" borderId="46" xfId="8" applyFont="1" applyBorder="1" applyAlignment="1">
      <alignment horizontal="center" vertical="center" wrapText="1"/>
    </xf>
    <xf numFmtId="0" fontId="29" fillId="0" borderId="24" xfId="8" applyFont="1" applyBorder="1" applyAlignment="1">
      <alignment horizontal="center" vertical="center" wrapText="1"/>
    </xf>
    <xf numFmtId="175" fontId="29" fillId="0" borderId="8" xfId="8" applyNumberFormat="1" applyFont="1" applyBorder="1" applyAlignment="1">
      <alignment horizontal="center" vertical="center" wrapText="1"/>
    </xf>
    <xf numFmtId="0" fontId="29" fillId="0" borderId="88" xfId="8" applyFont="1" applyBorder="1" applyAlignment="1">
      <alignment horizontal="center" vertical="center" wrapText="1"/>
    </xf>
    <xf numFmtId="0" fontId="31" fillId="0" borderId="24" xfId="8" applyFont="1" applyBorder="1" applyAlignment="1">
      <alignment horizontal="center" vertical="top" wrapText="1"/>
    </xf>
    <xf numFmtId="0" fontId="31" fillId="0" borderId="22" xfId="8" applyFont="1" applyBorder="1" applyAlignment="1">
      <alignment horizontal="center" vertical="top" wrapText="1"/>
    </xf>
    <xf numFmtId="175" fontId="31" fillId="0" borderId="22" xfId="8" applyNumberFormat="1" applyFont="1" applyBorder="1" applyAlignment="1">
      <alignment horizontal="center" vertical="top" wrapText="1"/>
    </xf>
    <xf numFmtId="175" fontId="48" fillId="0" borderId="7" xfId="8" applyNumberFormat="1" applyFont="1" applyBorder="1" applyAlignment="1">
      <alignment vertical="center" wrapText="1"/>
    </xf>
    <xf numFmtId="0" fontId="28" fillId="0" borderId="8" xfId="8" applyFont="1" applyBorder="1" applyAlignment="1">
      <alignment horizontal="center" vertical="top" wrapText="1"/>
    </xf>
    <xf numFmtId="167" fontId="28" fillId="0" borderId="38" xfId="8" applyNumberFormat="1" applyFont="1" applyBorder="1" applyAlignment="1">
      <alignment horizontal="center" vertical="top" wrapText="1"/>
    </xf>
    <xf numFmtId="175" fontId="28" fillId="0" borderId="38" xfId="8" applyNumberFormat="1" applyFont="1" applyBorder="1" applyAlignment="1">
      <alignment horizontal="center" vertical="top" wrapText="1"/>
    </xf>
    <xf numFmtId="167" fontId="28" fillId="0" borderId="79" xfId="8" applyNumberFormat="1" applyFont="1" applyBorder="1" applyAlignment="1">
      <alignment horizontal="center" vertical="top" wrapText="1"/>
    </xf>
    <xf numFmtId="175" fontId="28" fillId="0" borderId="80" xfId="8" applyNumberFormat="1" applyFont="1" applyBorder="1" applyAlignment="1">
      <alignment horizontal="left" vertical="top" wrapText="1"/>
    </xf>
    <xf numFmtId="175" fontId="48" fillId="0" borderId="81" xfId="8" applyNumberFormat="1" applyFont="1" applyBorder="1" applyAlignment="1">
      <alignment vertical="center" wrapText="1"/>
    </xf>
    <xf numFmtId="176" fontId="28" fillId="0" borderId="38" xfId="8" applyNumberFormat="1" applyFont="1" applyBorder="1" applyAlignment="1">
      <alignment horizontal="center" vertical="top" wrapText="1"/>
    </xf>
    <xf numFmtId="167" fontId="28" fillId="0" borderId="80" xfId="8" applyNumberFormat="1" applyFont="1" applyBorder="1" applyAlignment="1">
      <alignment horizontal="center" vertical="top" wrapText="1"/>
    </xf>
    <xf numFmtId="176" fontId="28" fillId="0" borderId="80" xfId="8" applyNumberFormat="1" applyFont="1" applyBorder="1" applyAlignment="1">
      <alignment horizontal="center" vertical="top" wrapText="1"/>
    </xf>
    <xf numFmtId="0" fontId="28" fillId="0" borderId="43" xfId="8" applyFont="1" applyBorder="1" applyAlignment="1">
      <alignment horizontal="center" vertical="top" wrapText="1"/>
    </xf>
    <xf numFmtId="175" fontId="28" fillId="0" borderId="80" xfId="8" applyNumberFormat="1" applyFont="1" applyBorder="1" applyAlignment="1">
      <alignment horizontal="center" vertical="top" wrapText="1"/>
    </xf>
    <xf numFmtId="0" fontId="28" fillId="0" borderId="0" xfId="8" applyFont="1" applyAlignment="1">
      <alignment horizontal="center" vertical="top" wrapText="1"/>
    </xf>
    <xf numFmtId="0" fontId="74" fillId="0" borderId="0" xfId="0" applyFont="1"/>
    <xf numFmtId="0" fontId="29" fillId="0" borderId="13" xfId="8" applyFont="1" applyBorder="1" applyAlignment="1">
      <alignment horizontal="center" vertical="center" wrapText="1"/>
    </xf>
    <xf numFmtId="0" fontId="29" fillId="0" borderId="0" xfId="8" applyFont="1" applyAlignment="1">
      <alignment horizontal="center" vertical="center" wrapText="1"/>
    </xf>
    <xf numFmtId="0" fontId="31" fillId="0" borderId="35" xfId="8" applyFont="1" applyBorder="1" applyAlignment="1">
      <alignment horizontal="center" vertical="top" wrapText="1"/>
    </xf>
    <xf numFmtId="0" fontId="31" fillId="0" borderId="0" xfId="8" applyFont="1" applyAlignment="1">
      <alignment horizontal="center" vertical="top" wrapText="1"/>
    </xf>
    <xf numFmtId="0" fontId="48" fillId="0" borderId="97" xfId="8" applyFont="1" applyBorder="1" applyAlignment="1">
      <alignment vertical="center" wrapText="1"/>
    </xf>
    <xf numFmtId="0" fontId="48" fillId="0" borderId="45" xfId="8" applyFont="1" applyBorder="1" applyAlignment="1">
      <alignment vertical="center" wrapText="1"/>
    </xf>
    <xf numFmtId="0" fontId="48" fillId="0" borderId="94" xfId="8" applyFont="1" applyBorder="1" applyAlignment="1">
      <alignment vertical="center" wrapText="1"/>
    </xf>
    <xf numFmtId="0" fontId="28" fillId="0" borderId="38" xfId="8" applyFont="1" applyBorder="1" applyAlignment="1">
      <alignment vertical="top" wrapText="1"/>
    </xf>
    <xf numFmtId="0" fontId="28" fillId="0" borderId="10" xfId="8" applyFont="1" applyBorder="1" applyAlignment="1">
      <alignment vertical="top" wrapText="1"/>
    </xf>
    <xf numFmtId="0" fontId="28" fillId="0" borderId="0" xfId="8" applyFont="1" applyAlignment="1">
      <alignment vertical="top" wrapText="1"/>
    </xf>
    <xf numFmtId="167" fontId="25" fillId="0" borderId="79" xfId="8" applyNumberFormat="1" applyFont="1" applyBorder="1" applyAlignment="1">
      <alignment horizontal="center" vertical="top" wrapText="1"/>
    </xf>
    <xf numFmtId="0" fontId="28" fillId="0" borderId="79" xfId="8" applyFont="1" applyBorder="1" applyAlignment="1">
      <alignment vertical="top" wrapText="1"/>
    </xf>
    <xf numFmtId="0" fontId="28" fillId="0" borderId="93" xfId="8" applyFont="1" applyBorder="1" applyAlignment="1">
      <alignment vertical="top" wrapText="1"/>
    </xf>
    <xf numFmtId="0" fontId="28" fillId="0" borderId="98" xfId="8" applyFont="1" applyBorder="1" applyAlignment="1">
      <alignment horizontal="left" vertical="top" wrapText="1"/>
    </xf>
    <xf numFmtId="0" fontId="28" fillId="0" borderId="0" xfId="8" applyFont="1" applyAlignment="1">
      <alignment horizontal="left" vertical="top" wrapText="1"/>
    </xf>
    <xf numFmtId="0" fontId="48" fillId="0" borderId="99" xfId="8" applyFont="1" applyBorder="1" applyAlignment="1">
      <alignment vertical="center" wrapText="1"/>
    </xf>
    <xf numFmtId="0" fontId="48" fillId="0" borderId="0" xfId="8" applyFont="1" applyAlignment="1">
      <alignment vertical="center" wrapText="1"/>
    </xf>
    <xf numFmtId="0" fontId="25" fillId="0" borderId="38" xfId="8" applyFont="1" applyBorder="1" applyAlignment="1">
      <alignment vertical="top" wrapText="1"/>
    </xf>
    <xf numFmtId="0" fontId="25" fillId="0" borderId="92" xfId="8" applyFont="1" applyBorder="1" applyAlignment="1">
      <alignment vertical="top" wrapText="1"/>
    </xf>
    <xf numFmtId="0" fontId="28" fillId="0" borderId="80" xfId="8" applyFont="1" applyBorder="1" applyAlignment="1">
      <alignment vertical="top" wrapText="1"/>
    </xf>
    <xf numFmtId="0" fontId="28" fillId="0" borderId="98" xfId="8" applyFont="1" applyBorder="1" applyAlignment="1">
      <alignment vertical="top" wrapText="1"/>
    </xf>
    <xf numFmtId="14" fontId="28" fillId="0" borderId="10" xfId="8" applyNumberFormat="1" applyFont="1" applyBorder="1" applyAlignment="1">
      <alignment vertical="top" wrapText="1"/>
    </xf>
    <xf numFmtId="0" fontId="57" fillId="0" borderId="0" xfId="8" applyFont="1"/>
    <xf numFmtId="0" fontId="31" fillId="0" borderId="0" xfId="8" applyFont="1" applyAlignment="1">
      <alignment horizontal="center" vertical="center" wrapText="1"/>
    </xf>
    <xf numFmtId="0" fontId="76" fillId="0" borderId="0" xfId="8" applyFont="1" applyAlignment="1">
      <alignment horizontal="center" vertical="center"/>
    </xf>
    <xf numFmtId="164" fontId="56" fillId="0" borderId="0" xfId="12" applyFont="1" applyBorder="1" applyAlignment="1">
      <alignment vertical="top"/>
    </xf>
    <xf numFmtId="0" fontId="56" fillId="0" borderId="0" xfId="8" applyFont="1" applyAlignment="1">
      <alignment vertical="top"/>
    </xf>
    <xf numFmtId="164" fontId="28" fillId="0" borderId="0" xfId="12" applyFont="1" applyFill="1" applyBorder="1" applyAlignment="1">
      <alignment vertical="top" wrapText="1"/>
    </xf>
    <xf numFmtId="0" fontId="28" fillId="0" borderId="91" xfId="8" applyFont="1" applyBorder="1" applyAlignment="1">
      <alignment horizontal="center" vertical="top" wrapText="1"/>
    </xf>
    <xf numFmtId="0" fontId="28" fillId="0" borderId="92" xfId="8" applyFont="1" applyBorder="1" applyAlignment="1">
      <alignment horizontal="left" vertical="top" wrapText="1"/>
    </xf>
    <xf numFmtId="175" fontId="28" fillId="0" borderId="79" xfId="8" applyNumberFormat="1" applyFont="1" applyBorder="1" applyAlignment="1">
      <alignment horizontal="center" vertical="top" wrapText="1"/>
    </xf>
    <xf numFmtId="0" fontId="28" fillId="0" borderId="81" xfId="8" applyFont="1" applyBorder="1" applyAlignment="1">
      <alignment horizontal="center" vertical="center" wrapText="1"/>
    </xf>
    <xf numFmtId="0" fontId="64" fillId="0" borderId="81" xfId="8" applyFont="1" applyBorder="1" applyAlignment="1">
      <alignment horizontal="center" vertical="center" wrapText="1"/>
    </xf>
    <xf numFmtId="0" fontId="28" fillId="0" borderId="81" xfId="8" applyFont="1" applyBorder="1" applyAlignment="1">
      <alignment vertical="center" wrapText="1"/>
    </xf>
    <xf numFmtId="2" fontId="28" fillId="0" borderId="81" xfId="8" applyNumberFormat="1" applyFont="1" applyBorder="1" applyAlignment="1">
      <alignment vertical="center" wrapText="1"/>
    </xf>
    <xf numFmtId="0" fontId="25" fillId="0" borderId="81" xfId="8" applyFont="1" applyBorder="1" applyAlignment="1">
      <alignment vertical="center" wrapText="1"/>
    </xf>
    <xf numFmtId="0" fontId="28" fillId="0" borderId="99" xfId="8" applyFont="1" applyBorder="1" applyAlignment="1">
      <alignment vertical="center" wrapText="1"/>
    </xf>
    <xf numFmtId="0" fontId="28" fillId="0" borderId="0" xfId="8" applyFont="1" applyAlignment="1">
      <alignment vertical="center" wrapText="1"/>
    </xf>
    <xf numFmtId="164" fontId="28" fillId="0" borderId="10" xfId="12" applyFont="1" applyFill="1" applyBorder="1" applyAlignment="1">
      <alignment vertical="top" wrapText="1"/>
    </xf>
    <xf numFmtId="0" fontId="56" fillId="0" borderId="0" xfId="8" applyFont="1" applyAlignment="1">
      <alignment vertical="center"/>
    </xf>
    <xf numFmtId="0" fontId="28" fillId="0" borderId="38" xfId="8" applyFont="1" applyBorder="1" applyAlignment="1">
      <alignment horizontal="left" vertical="top" wrapText="1"/>
    </xf>
    <xf numFmtId="0" fontId="77" fillId="0" borderId="38" xfId="8" applyFont="1" applyBorder="1" applyAlignment="1">
      <alignment horizontal="center" vertical="top" wrapText="1"/>
    </xf>
    <xf numFmtId="0" fontId="77" fillId="0" borderId="38" xfId="8" applyFont="1" applyBorder="1" applyAlignment="1">
      <alignment vertical="top" wrapText="1"/>
    </xf>
    <xf numFmtId="0" fontId="28" fillId="0" borderId="32" xfId="8" applyFont="1" applyBorder="1" applyAlignment="1">
      <alignment vertical="top" wrapText="1"/>
    </xf>
    <xf numFmtId="164" fontId="56" fillId="0" borderId="0" xfId="12" applyFont="1" applyFill="1" applyBorder="1" applyAlignment="1">
      <alignment vertical="top"/>
    </xf>
    <xf numFmtId="0" fontId="28" fillId="0" borderId="88" xfId="8" applyFont="1" applyBorder="1" applyAlignment="1">
      <alignment horizontal="center" vertical="top" wrapText="1"/>
    </xf>
    <xf numFmtId="0" fontId="28" fillId="0" borderId="95" xfId="8" applyFont="1" applyBorder="1" applyAlignment="1">
      <alignment vertical="top" wrapText="1"/>
    </xf>
    <xf numFmtId="0" fontId="50" fillId="0" borderId="25" xfId="8" applyFont="1" applyBorder="1" applyAlignment="1">
      <alignment horizontal="left" vertical="center" wrapText="1" indent="2"/>
    </xf>
    <xf numFmtId="0" fontId="28" fillId="0" borderId="29" xfId="8" applyFont="1" applyBorder="1" applyAlignment="1">
      <alignment vertical="top" wrapText="1"/>
    </xf>
    <xf numFmtId="0" fontId="28" fillId="0" borderId="83" xfId="8" applyFont="1" applyBorder="1" applyAlignment="1">
      <alignment horizontal="center" vertical="top" wrapText="1"/>
    </xf>
    <xf numFmtId="0" fontId="31" fillId="0" borderId="0" xfId="8" applyFont="1" applyAlignment="1">
      <alignment horizontal="left" vertical="center" wrapText="1" indent="1"/>
    </xf>
    <xf numFmtId="0" fontId="49" fillId="0" borderId="0" xfId="8" applyFont="1" applyAlignment="1">
      <alignment horizontal="center" vertical="center" wrapText="1"/>
    </xf>
    <xf numFmtId="0" fontId="58" fillId="0" borderId="0" xfId="8" applyFont="1" applyAlignment="1">
      <alignment vertical="center"/>
    </xf>
    <xf numFmtId="0" fontId="51" fillId="0" borderId="0" xfId="8" applyFont="1" applyAlignment="1">
      <alignment vertical="center"/>
    </xf>
    <xf numFmtId="0" fontId="76" fillId="0" borderId="0" xfId="8" applyFont="1" applyAlignment="1">
      <alignment vertical="center"/>
    </xf>
    <xf numFmtId="0" fontId="78" fillId="0" borderId="0" xfId="8" applyFont="1" applyAlignment="1">
      <alignment horizontal="left" vertical="center"/>
    </xf>
    <xf numFmtId="0" fontId="78" fillId="0" borderId="0" xfId="8" applyFont="1" applyAlignment="1">
      <alignment vertical="center"/>
    </xf>
    <xf numFmtId="0" fontId="32" fillId="0" borderId="0" xfId="8" applyAlignment="1">
      <alignment horizontal="right" vertical="center"/>
    </xf>
    <xf numFmtId="0" fontId="58" fillId="0" borderId="0" xfId="8" applyFont="1" applyAlignment="1">
      <alignment horizontal="right" vertical="center"/>
    </xf>
    <xf numFmtId="0" fontId="28" fillId="0" borderId="76" xfId="8" applyFont="1" applyBorder="1" applyAlignment="1">
      <alignment horizontal="left" vertical="top" wrapText="1" indent="1"/>
    </xf>
    <xf numFmtId="0" fontId="28" fillId="0" borderId="27" xfId="8" applyFont="1" applyBorder="1" applyAlignment="1">
      <alignment horizontal="center" vertical="top" wrapText="1"/>
    </xf>
    <xf numFmtId="0" fontId="66" fillId="0" borderId="27" xfId="8" applyFont="1" applyBorder="1" applyAlignment="1">
      <alignment horizontal="center" vertical="center" wrapText="1"/>
    </xf>
    <xf numFmtId="2" fontId="28" fillId="0" borderId="27" xfId="8" applyNumberFormat="1" applyFont="1" applyBorder="1" applyAlignment="1">
      <alignment horizontal="center" vertical="top" wrapText="1"/>
    </xf>
    <xf numFmtId="4" fontId="28" fillId="0" borderId="26" xfId="8" applyNumberFormat="1" applyFont="1" applyBorder="1" applyAlignment="1">
      <alignment horizontal="right" vertical="top" wrapText="1"/>
    </xf>
    <xf numFmtId="0" fontId="66" fillId="0" borderId="26" xfId="8" applyFont="1" applyBorder="1" applyAlignment="1">
      <alignment horizontal="center" vertical="center" wrapText="1"/>
    </xf>
    <xf numFmtId="2" fontId="28" fillId="0" borderId="26" xfId="8" applyNumberFormat="1" applyFont="1" applyBorder="1" applyAlignment="1">
      <alignment horizontal="center" vertical="top" wrapText="1"/>
    </xf>
    <xf numFmtId="4" fontId="49" fillId="0" borderId="0" xfId="8" applyNumberFormat="1" applyFont="1" applyAlignment="1">
      <alignment horizontal="right" vertical="center" wrapText="1"/>
    </xf>
    <xf numFmtId="2" fontId="31" fillId="0" borderId="0" xfId="8" applyNumberFormat="1" applyFont="1" applyAlignment="1">
      <alignment horizontal="center" vertical="center" wrapText="1"/>
    </xf>
    <xf numFmtId="4" fontId="79" fillId="0" borderId="0" xfId="8" applyNumberFormat="1" applyFont="1" applyAlignment="1">
      <alignment horizontal="right" vertical="center" wrapText="1"/>
    </xf>
    <xf numFmtId="2" fontId="29" fillId="0" borderId="0" xfId="8" applyNumberFormat="1" applyFont="1" applyAlignment="1">
      <alignment horizontal="center" vertical="center" wrapText="1"/>
    </xf>
    <xf numFmtId="2" fontId="78" fillId="0" borderId="0" xfId="8" applyNumberFormat="1" applyFont="1" applyAlignment="1">
      <alignment vertical="center"/>
    </xf>
    <xf numFmtId="0" fontId="28" fillId="0" borderId="26" xfId="8" applyFont="1" applyBorder="1" applyAlignment="1">
      <alignment horizontal="center" vertical="top" wrapText="1"/>
    </xf>
    <xf numFmtId="2" fontId="49" fillId="0" borderId="0" xfId="8" applyNumberFormat="1" applyFont="1" applyAlignment="1">
      <alignment horizontal="center" vertical="center" wrapText="1"/>
    </xf>
    <xf numFmtId="2" fontId="79" fillId="0" borderId="0" xfId="8" applyNumberFormat="1" applyFont="1" applyAlignment="1">
      <alignment horizontal="center" vertical="center" wrapText="1"/>
    </xf>
    <xf numFmtId="2" fontId="78" fillId="0" borderId="0" xfId="8" applyNumberFormat="1" applyFont="1" applyAlignment="1">
      <alignment vertical="center" wrapText="1"/>
    </xf>
    <xf numFmtId="2" fontId="32" fillId="0" borderId="0" xfId="8" applyNumberFormat="1" applyAlignment="1">
      <alignment wrapText="1"/>
    </xf>
    <xf numFmtId="14" fontId="28" fillId="0" borderId="27" xfId="8" applyNumberFormat="1" applyFont="1" applyBorder="1" applyAlignment="1">
      <alignment horizontal="center" vertical="top" wrapText="1"/>
    </xf>
    <xf numFmtId="0" fontId="25" fillId="0" borderId="27" xfId="8" applyFont="1" applyBorder="1" applyAlignment="1">
      <alignment horizontal="center" vertical="top" wrapText="1"/>
    </xf>
    <xf numFmtId="14" fontId="28" fillId="0" borderId="26" xfId="8" applyNumberFormat="1" applyFont="1" applyBorder="1" applyAlignment="1">
      <alignment horizontal="center" vertical="top" wrapText="1"/>
    </xf>
    <xf numFmtId="0" fontId="25" fillId="0" borderId="26" xfId="8" applyFont="1" applyBorder="1" applyAlignment="1">
      <alignment horizontal="center" vertical="top" wrapText="1"/>
    </xf>
    <xf numFmtId="14" fontId="31" fillId="0" borderId="0" xfId="8" applyNumberFormat="1" applyFont="1" applyAlignment="1">
      <alignment horizontal="center" vertical="center" wrapText="1"/>
    </xf>
    <xf numFmtId="0" fontId="72" fillId="0" borderId="0" xfId="8" applyFont="1" applyAlignment="1">
      <alignment horizontal="center" vertical="center" wrapText="1"/>
    </xf>
    <xf numFmtId="49" fontId="49" fillId="0" borderId="0" xfId="8" applyNumberFormat="1" applyFont="1" applyAlignment="1">
      <alignment horizontal="center" vertical="center" wrapText="1"/>
    </xf>
    <xf numFmtId="14" fontId="30" fillId="0" borderId="0" xfId="8" applyNumberFormat="1" applyFont="1" applyAlignment="1">
      <alignment horizontal="center" vertical="center" wrapText="1"/>
    </xf>
    <xf numFmtId="0" fontId="32" fillId="0" borderId="0" xfId="8" applyAlignment="1">
      <alignment horizontal="left" vertical="center" indent="2"/>
    </xf>
    <xf numFmtId="14" fontId="80" fillId="0" borderId="0" xfId="8" applyNumberFormat="1" applyFont="1" applyAlignment="1">
      <alignment horizontal="left" vertical="center"/>
    </xf>
    <xf numFmtId="14" fontId="30" fillId="0" borderId="0" xfId="8" applyNumberFormat="1" applyFont="1" applyAlignment="1">
      <alignment horizontal="left" vertical="center"/>
    </xf>
    <xf numFmtId="10" fontId="32" fillId="0" borderId="0" xfId="8" applyNumberFormat="1" applyAlignment="1">
      <alignment horizontal="center"/>
    </xf>
    <xf numFmtId="167" fontId="28" fillId="5" borderId="38" xfId="8" applyNumberFormat="1" applyFont="1" applyFill="1" applyBorder="1" applyAlignment="1">
      <alignment horizontal="center" vertical="top" wrapText="1"/>
    </xf>
    <xf numFmtId="167" fontId="28" fillId="0" borderId="27" xfId="8" applyNumberFormat="1" applyFont="1" applyBorder="1" applyAlignment="1">
      <alignment horizontal="center" vertical="top" wrapText="1"/>
    </xf>
    <xf numFmtId="175" fontId="28" fillId="0" borderId="27" xfId="8" applyNumberFormat="1" applyFont="1" applyBorder="1" applyAlignment="1">
      <alignment horizontal="center" vertical="top" wrapText="1"/>
    </xf>
    <xf numFmtId="176" fontId="28" fillId="0" borderId="27" xfId="8" applyNumberFormat="1" applyFont="1" applyBorder="1" applyAlignment="1">
      <alignment horizontal="center" vertical="top" wrapText="1"/>
    </xf>
    <xf numFmtId="167" fontId="28" fillId="0" borderId="26" xfId="8" applyNumberFormat="1" applyFont="1" applyBorder="1" applyAlignment="1">
      <alignment horizontal="center" vertical="top" wrapText="1"/>
    </xf>
    <xf numFmtId="175" fontId="28" fillId="0" borderId="26" xfId="8" applyNumberFormat="1" applyFont="1" applyBorder="1" applyAlignment="1">
      <alignment horizontal="center" vertical="top" wrapText="1"/>
    </xf>
    <xf numFmtId="176" fontId="28" fillId="0" borderId="26" xfId="8" applyNumberFormat="1" applyFont="1" applyBorder="1" applyAlignment="1">
      <alignment horizontal="center" vertical="top" wrapText="1"/>
    </xf>
    <xf numFmtId="167" fontId="31" fillId="0" borderId="0" xfId="8" applyNumberFormat="1" applyFont="1" applyAlignment="1">
      <alignment horizontal="center" vertical="center" wrapText="1"/>
    </xf>
    <xf numFmtId="175" fontId="31" fillId="0" borderId="0" xfId="8" applyNumberFormat="1" applyFont="1" applyAlignment="1">
      <alignment horizontal="center" vertical="center" wrapText="1"/>
    </xf>
    <xf numFmtId="176" fontId="31" fillId="0" borderId="0" xfId="8" applyNumberFormat="1" applyFont="1" applyAlignment="1">
      <alignment horizontal="center" vertical="center" wrapText="1"/>
    </xf>
    <xf numFmtId="167" fontId="29" fillId="0" borderId="0" xfId="8" applyNumberFormat="1" applyFont="1" applyAlignment="1">
      <alignment horizontal="center" vertical="center" wrapText="1"/>
    </xf>
    <xf numFmtId="175" fontId="29" fillId="0" borderId="0" xfId="8" applyNumberFormat="1" applyFont="1" applyAlignment="1">
      <alignment horizontal="center" vertical="center" wrapText="1"/>
    </xf>
    <xf numFmtId="176" fontId="29" fillId="0" borderId="0" xfId="8" applyNumberFormat="1" applyFont="1" applyAlignment="1">
      <alignment horizontal="center" vertical="center" wrapText="1"/>
    </xf>
    <xf numFmtId="14" fontId="29" fillId="0" borderId="0" xfId="8" applyNumberFormat="1" applyFont="1" applyAlignment="1">
      <alignment horizontal="center" vertical="center" wrapText="1"/>
    </xf>
    <xf numFmtId="167" fontId="81" fillId="0" borderId="38" xfId="8" applyNumberFormat="1" applyFont="1" applyBorder="1" applyAlignment="1">
      <alignment horizontal="center" vertical="top" wrapText="1"/>
    </xf>
    <xf numFmtId="0" fontId="28" fillId="0" borderId="27" xfId="8" applyFont="1" applyBorder="1" applyAlignment="1">
      <alignment vertical="top" wrapText="1"/>
    </xf>
    <xf numFmtId="0" fontId="28" fillId="0" borderId="48" xfId="8" applyFont="1" applyBorder="1" applyAlignment="1">
      <alignment vertical="top" wrapText="1"/>
    </xf>
    <xf numFmtId="0" fontId="28" fillId="0" borderId="26" xfId="8" applyFont="1" applyBorder="1" applyAlignment="1">
      <alignment vertical="top" wrapText="1"/>
    </xf>
    <xf numFmtId="0" fontId="28" fillId="0" borderId="36" xfId="8" applyFont="1" applyBorder="1" applyAlignment="1">
      <alignment vertical="top" wrapText="1"/>
    </xf>
    <xf numFmtId="0" fontId="28" fillId="0" borderId="30" xfId="8" applyFont="1" applyBorder="1" applyAlignment="1">
      <alignment vertical="top" wrapText="1"/>
    </xf>
    <xf numFmtId="0" fontId="31" fillId="0" borderId="0" xfId="8" applyFont="1" applyAlignment="1">
      <alignment vertical="center" wrapText="1"/>
    </xf>
    <xf numFmtId="164" fontId="31" fillId="0" borderId="0" xfId="12" applyFont="1" applyBorder="1" applyAlignment="1">
      <alignment vertical="center" wrapText="1"/>
    </xf>
    <xf numFmtId="164" fontId="0" fillId="0" borderId="0" xfId="12" applyFont="1" applyAlignment="1">
      <alignment vertical="center"/>
    </xf>
    <xf numFmtId="0" fontId="28" fillId="5" borderId="38" xfId="8" applyFont="1" applyFill="1" applyBorder="1" applyAlignment="1">
      <alignment horizontal="center" vertical="top" wrapText="1"/>
    </xf>
    <xf numFmtId="0" fontId="82" fillId="0" borderId="0" xfId="0" applyFont="1" applyAlignment="1">
      <alignment horizontal="justify" vertical="center"/>
    </xf>
    <xf numFmtId="16" fontId="82" fillId="0" borderId="0" xfId="0" applyNumberFormat="1" applyFont="1" applyAlignment="1">
      <alignment horizontal="justify" vertical="center"/>
    </xf>
    <xf numFmtId="0" fontId="83" fillId="0" borderId="0" xfId="0" applyFont="1" applyAlignment="1">
      <alignment horizontal="justify" vertical="center"/>
    </xf>
    <xf numFmtId="16" fontId="82" fillId="0" borderId="0" xfId="0" applyNumberFormat="1" applyFont="1"/>
    <xf numFmtId="0" fontId="82" fillId="0" borderId="0" xfId="0" applyFont="1"/>
    <xf numFmtId="0" fontId="83" fillId="0" borderId="0" xfId="0" applyFont="1"/>
    <xf numFmtId="0" fontId="63" fillId="0" borderId="0" xfId="8" applyFont="1" applyAlignment="1">
      <alignment horizontal="center"/>
    </xf>
    <xf numFmtId="0" fontId="63" fillId="0" borderId="0" xfId="8" applyFont="1" applyAlignment="1">
      <alignment horizontal="center" vertical="center"/>
    </xf>
    <xf numFmtId="0" fontId="14" fillId="0" borderId="38" xfId="6" applyFont="1" applyBorder="1" applyAlignment="1">
      <alignment horizontal="center" vertical="center"/>
    </xf>
    <xf numFmtId="0" fontId="84" fillId="0" borderId="38" xfId="4" applyNumberFormat="1" applyFont="1" applyFill="1" applyBorder="1" applyAlignment="1">
      <alignment horizontal="center" vertical="center"/>
    </xf>
    <xf numFmtId="0" fontId="84" fillId="0" borderId="38" xfId="4" applyFont="1" applyFill="1" applyBorder="1" applyAlignment="1">
      <alignment vertical="center"/>
    </xf>
    <xf numFmtId="0" fontId="84" fillId="0" borderId="38" xfId="4" applyFont="1" applyFill="1" applyBorder="1" applyAlignment="1">
      <alignment horizontal="center" vertical="center"/>
    </xf>
    <xf numFmtId="168" fontId="84" fillId="0" borderId="38" xfId="4" applyNumberFormat="1" applyFont="1" applyFill="1" applyBorder="1" applyAlignment="1">
      <alignment horizontal="center" vertical="center"/>
    </xf>
    <xf numFmtId="168" fontId="84" fillId="0" borderId="38" xfId="4" applyNumberFormat="1" applyFont="1" applyFill="1" applyBorder="1" applyAlignment="1">
      <alignment vertical="center"/>
    </xf>
    <xf numFmtId="0" fontId="84" fillId="0" borderId="38" xfId="6" applyFont="1" applyBorder="1" applyAlignment="1">
      <alignment vertical="center"/>
    </xf>
    <xf numFmtId="0" fontId="84" fillId="0" borderId="38" xfId="6" applyFont="1" applyBorder="1" applyAlignment="1">
      <alignment horizontal="center" vertical="center"/>
    </xf>
    <xf numFmtId="168" fontId="84" fillId="0" borderId="38" xfId="6" applyNumberFormat="1" applyFont="1" applyBorder="1" applyAlignment="1">
      <alignment vertical="center"/>
    </xf>
    <xf numFmtId="168" fontId="84" fillId="0" borderId="38" xfId="6" applyNumberFormat="1" applyFont="1" applyBorder="1" applyAlignment="1">
      <alignment horizontal="center" vertical="center"/>
    </xf>
    <xf numFmtId="164" fontId="84" fillId="0" borderId="38" xfId="1" applyFont="1" applyFill="1" applyBorder="1" applyAlignment="1">
      <alignment vertical="center"/>
    </xf>
    <xf numFmtId="0" fontId="14" fillId="0" borderId="38" xfId="6" applyFont="1" applyBorder="1" applyAlignment="1">
      <alignment vertical="center"/>
    </xf>
    <xf numFmtId="0" fontId="14" fillId="0" borderId="38" xfId="16" applyFont="1" applyBorder="1" applyAlignment="1">
      <alignment vertical="center"/>
    </xf>
    <xf numFmtId="0" fontId="85" fillId="10" borderId="38" xfId="4" applyFont="1" applyBorder="1" applyAlignment="1">
      <alignment vertical="center"/>
    </xf>
    <xf numFmtId="0" fontId="14" fillId="0" borderId="0" xfId="6" applyFont="1"/>
    <xf numFmtId="0" fontId="84" fillId="0" borderId="0" xfId="6" applyFont="1"/>
    <xf numFmtId="0" fontId="14" fillId="0" borderId="0" xfId="16" applyFont="1" applyAlignment="1">
      <alignment horizontal="center"/>
    </xf>
    <xf numFmtId="0" fontId="14" fillId="0" borderId="0" xfId="16" applyFont="1" applyAlignment="1">
      <alignment horizontal="center" vertical="center"/>
    </xf>
    <xf numFmtId="0" fontId="13" fillId="0" borderId="44" xfId="16" applyFont="1" applyBorder="1" applyAlignment="1">
      <alignment horizontal="center" vertical="center" wrapText="1"/>
    </xf>
    <xf numFmtId="0" fontId="13" fillId="0" borderId="7" xfId="16" applyFont="1" applyBorder="1" applyAlignment="1">
      <alignment horizontal="center" vertical="center" wrapText="1"/>
    </xf>
    <xf numFmtId="0" fontId="13" fillId="0" borderId="17" xfId="16" applyFont="1" applyBorder="1" applyAlignment="1">
      <alignment horizontal="center" vertical="center" wrapText="1"/>
    </xf>
    <xf numFmtId="0" fontId="13" fillId="0" borderId="76" xfId="16" applyFont="1" applyBorder="1" applyAlignment="1">
      <alignment horizontal="center" vertical="center" wrapText="1"/>
    </xf>
    <xf numFmtId="0" fontId="13" fillId="0" borderId="8" xfId="16" applyFont="1" applyBorder="1" applyAlignment="1">
      <alignment horizontal="center" vertical="center" wrapText="1"/>
    </xf>
    <xf numFmtId="0" fontId="13" fillId="0" borderId="40" xfId="16" applyFont="1" applyBorder="1" applyAlignment="1">
      <alignment horizontal="center" vertical="center" wrapText="1"/>
    </xf>
    <xf numFmtId="0" fontId="14" fillId="0" borderId="70" xfId="16" applyFont="1" applyBorder="1" applyAlignment="1">
      <alignment horizontal="center" vertical="center"/>
    </xf>
    <xf numFmtId="0" fontId="14" fillId="0" borderId="38" xfId="16" applyFont="1" applyBorder="1" applyAlignment="1">
      <alignment horizontal="center" vertical="center"/>
    </xf>
    <xf numFmtId="168" fontId="14" fillId="0" borderId="38" xfId="16" applyNumberFormat="1" applyFont="1" applyBorder="1" applyAlignment="1">
      <alignment horizontal="center" vertical="center"/>
    </xf>
    <xf numFmtId="0" fontId="14" fillId="0" borderId="38" xfId="6" applyFont="1" applyBorder="1"/>
    <xf numFmtId="168" fontId="14" fillId="0" borderId="38" xfId="6" applyNumberFormat="1" applyFont="1" applyBorder="1"/>
    <xf numFmtId="0" fontId="14" fillId="0" borderId="38" xfId="6" applyFont="1" applyBorder="1" applyAlignment="1">
      <alignment horizontal="center"/>
    </xf>
    <xf numFmtId="14" fontId="14" fillId="0" borderId="0" xfId="16" applyNumberFormat="1" applyFont="1"/>
    <xf numFmtId="0" fontId="13" fillId="0" borderId="7" xfId="16" applyFont="1" applyBorder="1" applyAlignment="1">
      <alignment horizontal="center" vertical="center"/>
    </xf>
    <xf numFmtId="14" fontId="14" fillId="0" borderId="38" xfId="6" applyNumberFormat="1" applyFont="1" applyBorder="1"/>
    <xf numFmtId="0" fontId="0" fillId="0" borderId="0" xfId="0" applyAlignment="1">
      <alignment horizontal="center" vertical="center" wrapText="1"/>
    </xf>
    <xf numFmtId="0" fontId="13" fillId="0" borderId="45" xfId="16" applyFont="1" applyBorder="1" applyAlignment="1">
      <alignment horizontal="center" vertical="center"/>
    </xf>
    <xf numFmtId="0" fontId="13" fillId="0" borderId="101" xfId="16" applyFont="1" applyBorder="1" applyAlignment="1">
      <alignment horizontal="center" vertical="center" wrapText="1"/>
    </xf>
    <xf numFmtId="0" fontId="13" fillId="0" borderId="9" xfId="16" applyFont="1" applyBorder="1" applyAlignment="1">
      <alignment horizontal="center" vertical="center" wrapText="1"/>
    </xf>
    <xf numFmtId="0" fontId="13" fillId="0" borderId="96" xfId="16" applyFont="1" applyBorder="1" applyAlignment="1">
      <alignment horizontal="center" vertical="center" wrapText="1"/>
    </xf>
    <xf numFmtId="0" fontId="14" fillId="0" borderId="10" xfId="16" applyFont="1" applyBorder="1" applyAlignment="1">
      <alignment vertical="center"/>
    </xf>
    <xf numFmtId="0" fontId="14" fillId="0" borderId="10" xfId="16" applyFont="1" applyBorder="1" applyAlignment="1">
      <alignment horizontal="center" vertical="center" wrapText="1"/>
    </xf>
    <xf numFmtId="0" fontId="14" fillId="0" borderId="0" xfId="16" applyFont="1"/>
    <xf numFmtId="164" fontId="85" fillId="0" borderId="38" xfId="1" applyFont="1" applyFill="1" applyBorder="1" applyAlignment="1">
      <alignment vertical="center"/>
    </xf>
    <xf numFmtId="0" fontId="14" fillId="0" borderId="38" xfId="16" applyFont="1" applyBorder="1" applyAlignment="1">
      <alignment horizontal="center" vertical="center" wrapText="1"/>
    </xf>
    <xf numFmtId="0" fontId="14" fillId="0" borderId="15" xfId="6" applyFont="1" applyBorder="1"/>
    <xf numFmtId="0" fontId="14" fillId="0" borderId="0" xfId="6" applyFont="1" applyAlignment="1">
      <alignment horizontal="center"/>
    </xf>
    <xf numFmtId="168" fontId="85" fillId="0" borderId="38" xfId="4" applyNumberFormat="1" applyFont="1" applyFill="1" applyBorder="1" applyAlignment="1">
      <alignment horizontal="center" vertical="center"/>
    </xf>
    <xf numFmtId="0" fontId="85" fillId="0" borderId="38" xfId="4" applyFont="1" applyFill="1" applyBorder="1" applyAlignment="1">
      <alignment horizontal="center" vertical="center"/>
    </xf>
    <xf numFmtId="168" fontId="14" fillId="0" borderId="38" xfId="6" applyNumberFormat="1" applyFont="1" applyBorder="1" applyAlignment="1">
      <alignment horizontal="center" vertical="center"/>
    </xf>
    <xf numFmtId="0" fontId="13" fillId="0" borderId="0" xfId="16" applyFont="1" applyAlignment="1">
      <alignment horizontal="center" vertical="center"/>
    </xf>
    <xf numFmtId="0" fontId="13" fillId="0" borderId="0" xfId="16" applyFont="1" applyAlignment="1">
      <alignment horizontal="left" vertical="center"/>
    </xf>
    <xf numFmtId="0" fontId="13" fillId="0" borderId="0" xfId="16" applyFont="1"/>
    <xf numFmtId="0" fontId="86" fillId="9" borderId="38" xfId="5" applyFont="1" applyBorder="1"/>
    <xf numFmtId="0" fontId="86" fillId="9" borderId="38" xfId="5" applyFont="1" applyBorder="1" applyAlignment="1">
      <alignment horizontal="center" vertical="center"/>
    </xf>
    <xf numFmtId="168" fontId="86" fillId="9" borderId="38" xfId="5" applyNumberFormat="1" applyFont="1" applyBorder="1" applyAlignment="1">
      <alignment horizontal="center" vertical="center"/>
    </xf>
    <xf numFmtId="0" fontId="86" fillId="9" borderId="38" xfId="5" applyNumberFormat="1" applyFont="1" applyBorder="1" applyAlignment="1">
      <alignment horizontal="center" vertical="center"/>
    </xf>
    <xf numFmtId="0" fontId="86" fillId="9" borderId="38" xfId="5" applyFont="1" applyBorder="1" applyAlignment="1">
      <alignment vertical="center"/>
    </xf>
    <xf numFmtId="0" fontId="44" fillId="9" borderId="38" xfId="5" applyBorder="1" applyAlignment="1">
      <alignment vertical="center"/>
    </xf>
    <xf numFmtId="0" fontId="44" fillId="9" borderId="38" xfId="5" applyBorder="1" applyAlignment="1">
      <alignment horizontal="center" vertical="center"/>
    </xf>
    <xf numFmtId="168" fontId="44" fillId="9" borderId="38" xfId="5" applyNumberFormat="1" applyBorder="1" applyAlignment="1">
      <alignment horizontal="center" vertical="center"/>
    </xf>
    <xf numFmtId="0" fontId="44" fillId="9" borderId="38" xfId="5" applyNumberFormat="1" applyBorder="1" applyAlignment="1">
      <alignment horizontal="center" vertical="center"/>
    </xf>
    <xf numFmtId="0" fontId="85" fillId="10" borderId="38" xfId="4" applyFont="1" applyBorder="1" applyAlignment="1">
      <alignment horizontal="center" vertical="center"/>
    </xf>
    <xf numFmtId="168" fontId="85" fillId="10" borderId="38" xfId="4" applyNumberFormat="1" applyFont="1" applyBorder="1" applyAlignment="1">
      <alignment horizontal="center" vertical="center"/>
    </xf>
    <xf numFmtId="0" fontId="85" fillId="10" borderId="38" xfId="4" applyNumberFormat="1" applyFont="1" applyBorder="1" applyAlignment="1">
      <alignment horizontal="center" vertical="center"/>
    </xf>
    <xf numFmtId="0" fontId="86" fillId="0" borderId="38" xfId="5" applyFont="1" applyFill="1" applyBorder="1"/>
    <xf numFmtId="0" fontId="86" fillId="0" borderId="38" xfId="5" applyFont="1" applyFill="1" applyBorder="1" applyAlignment="1">
      <alignment vertical="center"/>
    </xf>
    <xf numFmtId="0" fontId="44" fillId="0" borderId="38" xfId="5" applyFill="1" applyBorder="1" applyAlignment="1">
      <alignment vertical="center"/>
    </xf>
    <xf numFmtId="0" fontId="85" fillId="0" borderId="38" xfId="4" applyFont="1" applyFill="1" applyBorder="1" applyAlignment="1">
      <alignment vertical="center"/>
    </xf>
    <xf numFmtId="164" fontId="14" fillId="0" borderId="38" xfId="1" applyFont="1" applyBorder="1" applyAlignment="1">
      <alignment vertical="center"/>
    </xf>
    <xf numFmtId="14" fontId="84" fillId="0" borderId="38" xfId="6" applyNumberFormat="1" applyFont="1" applyBorder="1"/>
    <xf numFmtId="0" fontId="84" fillId="0" borderId="38" xfId="6" applyFont="1" applyBorder="1"/>
    <xf numFmtId="14" fontId="84" fillId="0" borderId="38" xfId="6" applyNumberFormat="1" applyFont="1" applyBorder="1" applyAlignment="1">
      <alignment horizontal="center"/>
    </xf>
    <xf numFmtId="0" fontId="14" fillId="0" borderId="0" xfId="16" applyFont="1" applyAlignment="1">
      <alignment horizontal="center" vertical="center" wrapText="1"/>
    </xf>
    <xf numFmtId="0" fontId="86" fillId="9" borderId="10" xfId="5" applyFont="1" applyBorder="1"/>
    <xf numFmtId="0" fontId="86" fillId="9" borderId="0" xfId="5" applyFont="1" applyBorder="1"/>
    <xf numFmtId="14" fontId="14" fillId="0" borderId="0" xfId="16" applyNumberFormat="1" applyFont="1" applyAlignment="1">
      <alignment horizontal="center" vertical="center" wrapText="1"/>
    </xf>
    <xf numFmtId="0" fontId="86" fillId="9" borderId="10" xfId="5" applyFont="1" applyBorder="1" applyAlignment="1">
      <alignment vertical="center"/>
    </xf>
    <xf numFmtId="0" fontId="86" fillId="9" borderId="0" xfId="5" applyFont="1" applyBorder="1" applyAlignment="1">
      <alignment vertical="center"/>
    </xf>
    <xf numFmtId="0" fontId="44" fillId="9" borderId="10" xfId="5" applyBorder="1" applyAlignment="1">
      <alignment vertical="center"/>
    </xf>
    <xf numFmtId="0" fontId="44" fillId="9" borderId="10" xfId="5" applyBorder="1" applyAlignment="1">
      <alignment horizontal="center" vertical="center" wrapText="1"/>
    </xf>
    <xf numFmtId="16" fontId="14" fillId="0" borderId="0" xfId="16" applyNumberFormat="1" applyFont="1"/>
    <xf numFmtId="0" fontId="85" fillId="10" borderId="10" xfId="4" applyFont="1" applyBorder="1" applyAlignment="1">
      <alignment vertical="center"/>
    </xf>
    <xf numFmtId="164" fontId="85" fillId="10" borderId="10" xfId="1" applyFont="1" applyFill="1" applyBorder="1" applyAlignment="1">
      <alignment vertical="center"/>
    </xf>
    <xf numFmtId="0" fontId="85" fillId="10" borderId="10" xfId="4" applyFont="1" applyBorder="1" applyAlignment="1">
      <alignment horizontal="center" vertical="center" wrapText="1"/>
    </xf>
    <xf numFmtId="14" fontId="0" fillId="0" borderId="0" xfId="0" applyNumberFormat="1"/>
    <xf numFmtId="0" fontId="85" fillId="10" borderId="0" xfId="4" applyFont="1" applyBorder="1" applyAlignment="1">
      <alignment vertical="center"/>
    </xf>
    <xf numFmtId="3" fontId="14" fillId="0" borderId="38" xfId="6" applyNumberFormat="1" applyFont="1" applyBorder="1"/>
    <xf numFmtId="3" fontId="84" fillId="0" borderId="38" xfId="6" applyNumberFormat="1" applyFont="1" applyBorder="1"/>
    <xf numFmtId="49" fontId="32" fillId="0" borderId="0" xfId="8" applyNumberFormat="1" applyAlignment="1">
      <alignment horizontal="center"/>
    </xf>
    <xf numFmtId="0" fontId="32" fillId="0" borderId="0" xfId="8" applyAlignment="1">
      <alignment horizontal="left" vertical="center"/>
    </xf>
    <xf numFmtId="0" fontId="90" fillId="0" borderId="0" xfId="8" applyFont="1" applyAlignment="1">
      <alignment vertical="top" wrapText="1"/>
    </xf>
    <xf numFmtId="0" fontId="29" fillId="0" borderId="16" xfId="8" applyFont="1" applyBorder="1" applyAlignment="1">
      <alignment vertical="center" wrapText="1"/>
    </xf>
    <xf numFmtId="0" fontId="31" fillId="0" borderId="17" xfId="8" applyFont="1" applyBorder="1" applyAlignment="1">
      <alignment vertical="center" wrapText="1"/>
    </xf>
    <xf numFmtId="0" fontId="29" fillId="0" borderId="13" xfId="8" applyFont="1" applyBorder="1" applyAlignment="1">
      <alignment vertical="center" wrapText="1"/>
    </xf>
    <xf numFmtId="0" fontId="29" fillId="0" borderId="23" xfId="8" applyFont="1" applyBorder="1" applyAlignment="1">
      <alignment vertical="center" textRotation="255" wrapText="1"/>
    </xf>
    <xf numFmtId="0" fontId="31" fillId="0" borderId="13" xfId="8" applyFont="1" applyBorder="1" applyAlignment="1">
      <alignment horizontal="center" vertical="center" wrapText="1"/>
    </xf>
    <xf numFmtId="0" fontId="32" fillId="0" borderId="12" xfId="8" applyBorder="1" applyAlignment="1">
      <alignment vertical="center"/>
    </xf>
    <xf numFmtId="0" fontId="31" fillId="0" borderId="17" xfId="8" applyFont="1" applyBorder="1" applyAlignment="1">
      <alignment vertical="center" textRotation="255" wrapText="1"/>
    </xf>
    <xf numFmtId="0" fontId="29" fillId="17" borderId="71" xfId="8" applyFont="1" applyFill="1" applyBorder="1" applyAlignment="1">
      <alignment horizontal="center" vertical="center" wrapText="1"/>
    </xf>
    <xf numFmtId="0" fontId="31" fillId="17" borderId="100" xfId="8" applyFont="1" applyFill="1" applyBorder="1" applyAlignment="1">
      <alignment horizontal="center" vertical="center" wrapText="1"/>
    </xf>
    <xf numFmtId="0" fontId="29" fillId="17" borderId="18" xfId="8" applyFont="1" applyFill="1" applyBorder="1" applyAlignment="1">
      <alignment horizontal="center" vertical="center" wrapText="1"/>
    </xf>
    <xf numFmtId="0" fontId="29" fillId="17" borderId="20" xfId="8" applyFont="1" applyFill="1" applyBorder="1" applyAlignment="1">
      <alignment horizontal="center" vertical="center" textRotation="255" wrapText="1"/>
    </xf>
    <xf numFmtId="0" fontId="29" fillId="17" borderId="100" xfId="8" applyFont="1" applyFill="1" applyBorder="1" applyAlignment="1">
      <alignment horizontal="center" vertical="center" wrapText="1"/>
    </xf>
    <xf numFmtId="0" fontId="76" fillId="17" borderId="100" xfId="8" applyFont="1" applyFill="1" applyBorder="1" applyAlignment="1">
      <alignment horizontal="center" vertical="center" wrapText="1"/>
    </xf>
    <xf numFmtId="0" fontId="49" fillId="17" borderId="100" xfId="8" applyFont="1" applyFill="1" applyBorder="1" applyAlignment="1">
      <alignment horizontal="center" vertical="center" textRotation="255" wrapText="1"/>
    </xf>
    <xf numFmtId="0" fontId="31" fillId="0" borderId="25" xfId="8" applyFont="1" applyBorder="1" applyAlignment="1">
      <alignment horizontal="center" vertical="top" wrapText="1"/>
    </xf>
    <xf numFmtId="0" fontId="31" fillId="0" borderId="29" xfId="8" applyFont="1" applyBorder="1" applyAlignment="1">
      <alignment horizontal="center" vertical="top" wrapText="1"/>
    </xf>
    <xf numFmtId="0" fontId="31" fillId="0" borderId="29" xfId="8" applyFont="1" applyBorder="1" applyAlignment="1">
      <alignment vertical="top" wrapText="1"/>
    </xf>
    <xf numFmtId="0" fontId="31" fillId="0" borderId="83" xfId="8" applyFont="1" applyBorder="1" applyAlignment="1">
      <alignment vertical="top" wrapText="1"/>
    </xf>
    <xf numFmtId="0" fontId="31" fillId="0" borderId="26" xfId="8" applyFont="1" applyBorder="1" applyAlignment="1">
      <alignment horizontal="center" vertical="top" wrapText="1"/>
    </xf>
    <xf numFmtId="0" fontId="32" fillId="0" borderId="30" xfId="8" applyBorder="1"/>
    <xf numFmtId="0" fontId="31" fillId="0" borderId="26" xfId="8" applyFont="1" applyBorder="1" applyAlignment="1">
      <alignment horizontal="center" vertical="center" wrapText="1"/>
    </xf>
    <xf numFmtId="3" fontId="64" fillId="0" borderId="66" xfId="8" applyNumberFormat="1" applyFont="1" applyBorder="1" applyAlignment="1">
      <alignment vertical="center"/>
    </xf>
    <xf numFmtId="3" fontId="64" fillId="0" borderId="94" xfId="8" applyNumberFormat="1" applyFont="1" applyBorder="1" applyAlignment="1">
      <alignment vertical="center" wrapText="1"/>
    </xf>
    <xf numFmtId="0" fontId="64" fillId="0" borderId="94" xfId="8" applyFont="1" applyBorder="1" applyAlignment="1">
      <alignment vertical="center" wrapText="1"/>
    </xf>
    <xf numFmtId="49" fontId="64" fillId="0" borderId="46" xfId="8" applyNumberFormat="1" applyFont="1" applyBorder="1" applyAlignment="1">
      <alignment horizontal="center" vertical="center" wrapText="1"/>
    </xf>
    <xf numFmtId="0" fontId="56" fillId="0" borderId="12" xfId="8" applyFont="1" applyBorder="1" applyAlignment="1">
      <alignment vertical="center"/>
    </xf>
    <xf numFmtId="0" fontId="28" fillId="0" borderId="70" xfId="8" applyFont="1" applyBorder="1" applyAlignment="1">
      <alignment horizontal="left" vertical="top" wrapText="1"/>
    </xf>
    <xf numFmtId="0" fontId="28" fillId="0" borderId="92" xfId="8" applyFont="1" applyBorder="1" applyAlignment="1">
      <alignment horizontal="center" vertical="top" wrapText="1"/>
    </xf>
    <xf numFmtId="1" fontId="28" fillId="0" borderId="79" xfId="8" applyNumberFormat="1" applyFont="1" applyBorder="1" applyAlignment="1">
      <alignment horizontal="center" vertical="top" wrapText="1"/>
    </xf>
    <xf numFmtId="0" fontId="66" fillId="18" borderId="70" xfId="8" applyFont="1" applyFill="1" applyBorder="1" applyAlignment="1">
      <alignment horizontal="center" vertical="center" wrapText="1"/>
    </xf>
    <xf numFmtId="0" fontId="28" fillId="0" borderId="93" xfId="8" applyFont="1" applyBorder="1" applyAlignment="1">
      <alignment horizontal="center" vertical="top" wrapText="1"/>
    </xf>
    <xf numFmtId="0" fontId="92" fillId="18" borderId="92" xfId="8" applyFont="1" applyFill="1" applyBorder="1"/>
    <xf numFmtId="0" fontId="50" fillId="18" borderId="79" xfId="8" applyFont="1" applyFill="1" applyBorder="1" applyAlignment="1">
      <alignment horizontal="center" vertical="center" wrapText="1"/>
    </xf>
    <xf numFmtId="4" fontId="28" fillId="0" borderId="92" xfId="8" applyNumberFormat="1" applyFont="1" applyBorder="1" applyAlignment="1">
      <alignment horizontal="right" vertical="top" wrapText="1"/>
    </xf>
    <xf numFmtId="4" fontId="28" fillId="0" borderId="93" xfId="8" applyNumberFormat="1" applyFont="1" applyBorder="1" applyAlignment="1">
      <alignment horizontal="right" vertical="top" wrapText="1"/>
    </xf>
    <xf numFmtId="4" fontId="28" fillId="0" borderId="0" xfId="8" applyNumberFormat="1" applyFont="1" applyAlignment="1">
      <alignment horizontal="right" vertical="top" wrapText="1"/>
    </xf>
    <xf numFmtId="3" fontId="64" fillId="0" borderId="68" xfId="8" applyNumberFormat="1" applyFont="1" applyBorder="1" applyAlignment="1">
      <alignment vertical="center"/>
    </xf>
    <xf numFmtId="0" fontId="32" fillId="0" borderId="93" xfId="8" applyBorder="1" applyAlignment="1">
      <alignment vertical="center"/>
    </xf>
    <xf numFmtId="49" fontId="64" fillId="0" borderId="79" xfId="8" applyNumberFormat="1" applyFont="1" applyBorder="1" applyAlignment="1">
      <alignment horizontal="center" vertical="center"/>
    </xf>
    <xf numFmtId="0" fontId="48" fillId="0" borderId="92" xfId="8" applyFont="1" applyBorder="1" applyAlignment="1">
      <alignment vertical="center" wrapText="1"/>
    </xf>
    <xf numFmtId="0" fontId="48" fillId="0" borderId="93" xfId="8" applyFont="1" applyBorder="1" applyAlignment="1">
      <alignment vertical="center" wrapText="1"/>
    </xf>
    <xf numFmtId="164" fontId="0" fillId="0" borderId="0" xfId="12" applyFont="1" applyBorder="1" applyAlignment="1">
      <alignment vertical="center"/>
    </xf>
    <xf numFmtId="49" fontId="28" fillId="0" borderId="79" xfId="8" applyNumberFormat="1" applyFont="1" applyBorder="1" applyAlignment="1">
      <alignment horizontal="center" vertical="top" wrapText="1"/>
    </xf>
    <xf numFmtId="0" fontId="64" fillId="0" borderId="91" xfId="8" applyFont="1" applyBorder="1" applyAlignment="1">
      <alignment vertical="center" wrapText="1"/>
    </xf>
    <xf numFmtId="49" fontId="64" fillId="0" borderId="90" xfId="8" applyNumberFormat="1" applyFont="1" applyBorder="1" applyAlignment="1">
      <alignment horizontal="center" vertical="center" wrapText="1"/>
    </xf>
    <xf numFmtId="4" fontId="49" fillId="0" borderId="38" xfId="8" applyNumberFormat="1" applyFont="1" applyBorder="1" applyAlignment="1">
      <alignment horizontal="right" vertical="center" wrapText="1"/>
    </xf>
    <xf numFmtId="0" fontId="90" fillId="0" borderId="0" xfId="8" applyFont="1" applyAlignment="1">
      <alignment horizontal="left" vertical="top" wrapText="1"/>
    </xf>
    <xf numFmtId="0" fontId="31" fillId="0" borderId="12" xfId="8" applyFont="1" applyBorder="1" applyAlignment="1">
      <alignment horizontal="center" vertical="center" wrapText="1"/>
    </xf>
    <xf numFmtId="0" fontId="31" fillId="0" borderId="17" xfId="8" applyFont="1" applyBorder="1" applyAlignment="1">
      <alignment horizontal="center" vertical="center" wrapText="1"/>
    </xf>
    <xf numFmtId="0" fontId="31" fillId="0" borderId="17" xfId="8" applyFont="1" applyBorder="1" applyAlignment="1">
      <alignment horizontal="left" vertical="center" wrapText="1"/>
    </xf>
    <xf numFmtId="49" fontId="29" fillId="17" borderId="100" xfId="8" applyNumberFormat="1" applyFont="1" applyFill="1" applyBorder="1" applyAlignment="1">
      <alignment horizontal="center" vertical="center" textRotation="255" wrapText="1"/>
    </xf>
    <xf numFmtId="0" fontId="29" fillId="17" borderId="100" xfId="8" applyFont="1" applyFill="1" applyBorder="1" applyAlignment="1">
      <alignment horizontal="center" vertical="center" textRotation="255" wrapText="1"/>
    </xf>
    <xf numFmtId="49" fontId="31" fillId="0" borderId="26" xfId="8" applyNumberFormat="1" applyFont="1" applyBorder="1" applyAlignment="1">
      <alignment horizontal="center" vertical="top" wrapText="1"/>
    </xf>
    <xf numFmtId="0" fontId="31" fillId="0" borderId="26" xfId="8" applyFont="1" applyBorder="1" applyAlignment="1">
      <alignment horizontal="left" vertical="center" wrapText="1"/>
    </xf>
    <xf numFmtId="0" fontId="48" fillId="0" borderId="94" xfId="8" applyFont="1" applyBorder="1" applyAlignment="1">
      <alignment horizontal="left" vertical="center" wrapText="1"/>
    </xf>
    <xf numFmtId="49" fontId="28" fillId="0" borderId="38" xfId="8" applyNumberFormat="1" applyFont="1" applyBorder="1" applyAlignment="1">
      <alignment horizontal="center" vertical="top" wrapText="1"/>
    </xf>
    <xf numFmtId="49" fontId="28" fillId="0" borderId="93" xfId="8" applyNumberFormat="1" applyFont="1" applyBorder="1" applyAlignment="1">
      <alignment horizontal="center" vertical="top" wrapText="1"/>
    </xf>
    <xf numFmtId="0" fontId="28" fillId="0" borderId="93" xfId="8" applyFont="1" applyBorder="1" applyAlignment="1">
      <alignment horizontal="left" vertical="top" wrapText="1"/>
    </xf>
    <xf numFmtId="0" fontId="48" fillId="0" borderId="93" xfId="8" applyFont="1" applyBorder="1" applyAlignment="1">
      <alignment horizontal="left" vertical="center" wrapText="1"/>
    </xf>
    <xf numFmtId="0" fontId="28" fillId="12" borderId="38" xfId="8" applyFont="1" applyFill="1" applyBorder="1" applyAlignment="1">
      <alignment horizontal="center" vertical="top" wrapText="1"/>
    </xf>
    <xf numFmtId="0" fontId="28" fillId="5" borderId="93" xfId="8" applyFont="1" applyFill="1" applyBorder="1" applyAlignment="1">
      <alignment horizontal="center" vertical="top" wrapText="1"/>
    </xf>
    <xf numFmtId="0" fontId="29" fillId="0" borderId="17" xfId="8" applyFont="1" applyBorder="1" applyAlignment="1">
      <alignment vertical="center" wrapText="1"/>
    </xf>
    <xf numFmtId="0" fontId="31" fillId="0" borderId="7" xfId="8" applyFont="1" applyBorder="1" applyAlignment="1">
      <alignment horizontal="center" vertical="center" wrapText="1"/>
    </xf>
    <xf numFmtId="0" fontId="31" fillId="0" borderId="22" xfId="8" applyFont="1" applyBorder="1" applyAlignment="1">
      <alignment horizontal="center" vertical="center" wrapText="1"/>
    </xf>
    <xf numFmtId="0" fontId="29" fillId="0" borderId="8" xfId="8" applyFont="1" applyBorder="1" applyAlignment="1">
      <alignment horizontal="center" vertical="center" wrapText="1"/>
    </xf>
    <xf numFmtId="164" fontId="28" fillId="0" borderId="38" xfId="12" applyFont="1" applyFill="1" applyBorder="1" applyAlignment="1">
      <alignment vertical="top"/>
    </xf>
    <xf numFmtId="0" fontId="64" fillId="0" borderId="79" xfId="8" applyFont="1" applyBorder="1" applyAlignment="1">
      <alignment horizontal="right" vertical="top" wrapText="1"/>
    </xf>
    <xf numFmtId="14" fontId="28" fillId="0" borderId="93" xfId="8" applyNumberFormat="1" applyFont="1" applyBorder="1" applyAlignment="1">
      <alignment horizontal="center" vertical="top" wrapText="1"/>
    </xf>
    <xf numFmtId="176" fontId="28" fillId="0" borderId="93" xfId="8" applyNumberFormat="1" applyFont="1" applyBorder="1" applyAlignment="1">
      <alignment horizontal="center" vertical="top" wrapText="1"/>
    </xf>
    <xf numFmtId="164" fontId="28" fillId="0" borderId="38" xfId="12" applyFont="1" applyFill="1" applyBorder="1" applyAlignment="1">
      <alignment vertical="center"/>
    </xf>
    <xf numFmtId="0" fontId="28" fillId="12" borderId="92" xfId="8" applyFont="1" applyFill="1" applyBorder="1" applyAlignment="1">
      <alignment horizontal="left" vertical="top" wrapText="1"/>
    </xf>
    <xf numFmtId="176" fontId="28" fillId="12" borderId="38" xfId="8" applyNumberFormat="1" applyFont="1" applyFill="1" applyBorder="1" applyAlignment="1">
      <alignment horizontal="center" vertical="top" wrapText="1"/>
    </xf>
    <xf numFmtId="0" fontId="75" fillId="0" borderId="0" xfId="8" applyFont="1" applyAlignment="1">
      <alignment vertical="top" wrapText="1"/>
    </xf>
    <xf numFmtId="0" fontId="31" fillId="0" borderId="30" xfId="8" applyFont="1" applyBorder="1" applyAlignment="1">
      <alignment horizontal="center" vertical="center" wrapText="1"/>
    </xf>
    <xf numFmtId="0" fontId="48" fillId="0" borderId="46" xfId="8" applyFont="1" applyBorder="1" applyAlignment="1">
      <alignment vertical="center" wrapText="1"/>
    </xf>
    <xf numFmtId="0" fontId="48" fillId="0" borderId="12" xfId="8" applyFont="1" applyBorder="1" applyAlignment="1">
      <alignment vertical="center" wrapText="1"/>
    </xf>
    <xf numFmtId="164" fontId="28" fillId="0" borderId="0" xfId="12" applyFont="1" applyBorder="1" applyAlignment="1">
      <alignment vertical="top" wrapText="1"/>
    </xf>
    <xf numFmtId="164" fontId="28" fillId="19" borderId="0" xfId="12" applyFont="1" applyFill="1" applyBorder="1" applyAlignment="1">
      <alignment vertical="top" wrapText="1"/>
    </xf>
    <xf numFmtId="167" fontId="28" fillId="0" borderId="93" xfId="8" applyNumberFormat="1" applyFont="1" applyBorder="1" applyAlignment="1">
      <alignment horizontal="center" vertical="top" wrapText="1"/>
    </xf>
    <xf numFmtId="164" fontId="48" fillId="0" borderId="0" xfId="12" applyFont="1" applyBorder="1" applyAlignment="1">
      <alignment vertical="center" wrapText="1"/>
    </xf>
    <xf numFmtId="167" fontId="28" fillId="12" borderId="38" xfId="8" applyNumberFormat="1" applyFont="1" applyFill="1" applyBorder="1" applyAlignment="1">
      <alignment horizontal="center" vertical="top" wrapText="1"/>
    </xf>
    <xf numFmtId="0" fontId="28" fillId="12" borderId="38" xfId="8" applyFont="1" applyFill="1" applyBorder="1" applyAlignment="1">
      <alignment vertical="top" wrapText="1"/>
    </xf>
    <xf numFmtId="0" fontId="31" fillId="0" borderId="30" xfId="8" applyFont="1" applyBorder="1" applyAlignment="1">
      <alignment horizontal="center" vertical="top" wrapText="1"/>
    </xf>
    <xf numFmtId="3" fontId="64" fillId="0" borderId="65" xfId="8" applyNumberFormat="1" applyFont="1" applyBorder="1" applyAlignment="1">
      <alignment vertical="center"/>
    </xf>
    <xf numFmtId="0" fontId="32" fillId="0" borderId="97" xfId="8" applyBorder="1" applyAlignment="1">
      <alignment vertical="center"/>
    </xf>
    <xf numFmtId="0" fontId="28" fillId="13" borderId="74" xfId="8" applyFont="1" applyFill="1" applyBorder="1" applyAlignment="1">
      <alignment horizontal="center" vertical="top" wrapText="1"/>
    </xf>
    <xf numFmtId="164" fontId="56" fillId="19" borderId="0" xfId="12" applyFont="1" applyFill="1" applyBorder="1" applyAlignment="1">
      <alignment vertical="top"/>
    </xf>
    <xf numFmtId="164" fontId="93" fillId="19" borderId="0" xfId="12" applyFont="1" applyFill="1" applyBorder="1" applyAlignment="1">
      <alignment vertical="top"/>
    </xf>
    <xf numFmtId="0" fontId="28" fillId="20" borderId="74" xfId="8" applyFont="1" applyFill="1" applyBorder="1" applyAlignment="1">
      <alignment horizontal="center" vertical="top" wrapText="1"/>
    </xf>
    <xf numFmtId="0" fontId="28" fillId="0" borderId="74" xfId="8" applyFont="1" applyBorder="1" applyAlignment="1">
      <alignment horizontal="center" vertical="top" wrapText="1"/>
    </xf>
    <xf numFmtId="0" fontId="56" fillId="0" borderId="92" xfId="8" applyFont="1" applyBorder="1" applyAlignment="1">
      <alignment vertical="top"/>
    </xf>
    <xf numFmtId="0" fontId="28" fillId="21" borderId="74" xfId="8" applyFont="1" applyFill="1" applyBorder="1" applyAlignment="1">
      <alignment horizontal="center" vertical="top" wrapText="1"/>
    </xf>
    <xf numFmtId="0" fontId="28" fillId="0" borderId="96" xfId="8" applyFont="1" applyBorder="1" applyAlignment="1">
      <alignment horizontal="center" vertical="top" wrapText="1"/>
    </xf>
    <xf numFmtId="0" fontId="66" fillId="18" borderId="79" xfId="8" applyFont="1" applyFill="1" applyBorder="1" applyAlignment="1">
      <alignment horizontal="center" vertical="center" wrapText="1"/>
    </xf>
    <xf numFmtId="0" fontId="64" fillId="0" borderId="96" xfId="8" applyFont="1" applyBorder="1" applyAlignment="1">
      <alignment vertical="center"/>
    </xf>
    <xf numFmtId="0" fontId="32" fillId="0" borderId="79" xfId="8" applyBorder="1" applyAlignment="1">
      <alignment vertical="center"/>
    </xf>
    <xf numFmtId="0" fontId="32" fillId="0" borderId="92" xfId="8" applyBorder="1" applyAlignment="1">
      <alignment vertical="center"/>
    </xf>
    <xf numFmtId="0" fontId="28" fillId="13" borderId="96" xfId="8" applyFont="1" applyFill="1" applyBorder="1" applyAlignment="1">
      <alignment horizontal="center" vertical="top" wrapText="1"/>
    </xf>
    <xf numFmtId="0" fontId="94" fillId="0" borderId="96" xfId="8" applyFont="1" applyBorder="1" applyAlignment="1">
      <alignment horizontal="center" vertical="top" wrapText="1"/>
    </xf>
    <xf numFmtId="0" fontId="64" fillId="0" borderId="81" xfId="8" applyFont="1" applyBorder="1" applyAlignment="1">
      <alignment vertical="center"/>
    </xf>
    <xf numFmtId="0" fontId="64" fillId="0" borderId="96" xfId="8" applyFont="1" applyBorder="1" applyAlignment="1">
      <alignment horizontal="left" vertical="center"/>
    </xf>
    <xf numFmtId="0" fontId="64" fillId="0" borderId="81" xfId="8" applyFont="1" applyBorder="1" applyAlignment="1">
      <alignment vertical="center" wrapText="1"/>
    </xf>
    <xf numFmtId="0" fontId="28" fillId="22" borderId="74" xfId="8" applyFont="1" applyFill="1" applyBorder="1" applyAlignment="1">
      <alignment horizontal="center" vertical="top" wrapText="1"/>
    </xf>
    <xf numFmtId="0" fontId="29" fillId="0" borderId="12" xfId="8" applyFont="1" applyBorder="1" applyAlignment="1">
      <alignment vertical="center" wrapText="1"/>
    </xf>
    <xf numFmtId="0" fontId="29" fillId="17" borderId="72" xfId="8" applyFont="1" applyFill="1" applyBorder="1" applyAlignment="1">
      <alignment horizontal="center" vertical="center" wrapText="1"/>
    </xf>
    <xf numFmtId="0" fontId="32" fillId="0" borderId="66" xfId="8" applyBorder="1" applyAlignment="1">
      <alignment vertical="center"/>
    </xf>
    <xf numFmtId="0" fontId="64" fillId="0" borderId="79" xfId="8" applyFont="1" applyBorder="1" applyAlignment="1">
      <alignment horizontal="left" vertical="top" wrapText="1"/>
    </xf>
    <xf numFmtId="0" fontId="28" fillId="0" borderId="68" xfId="8" applyFont="1" applyBorder="1" applyAlignment="1">
      <alignment horizontal="left" vertical="top" wrapText="1"/>
    </xf>
    <xf numFmtId="0" fontId="64" fillId="0" borderId="79" xfId="8" applyFont="1" applyBorder="1" applyAlignment="1">
      <alignment horizontal="center" vertical="top" wrapText="1"/>
    </xf>
    <xf numFmtId="0" fontId="28" fillId="0" borderId="68" xfId="8" applyFont="1" applyBorder="1" applyAlignment="1">
      <alignment horizontal="center" vertical="top" wrapText="1"/>
    </xf>
    <xf numFmtId="0" fontId="92" fillId="0" borderId="38" xfId="8" applyFont="1" applyBorder="1" applyAlignment="1">
      <alignment vertical="center" wrapText="1"/>
    </xf>
    <xf numFmtId="0" fontId="95" fillId="0" borderId="38" xfId="8" applyFont="1" applyBorder="1" applyAlignment="1">
      <alignment horizontal="center" vertical="center" wrapText="1"/>
    </xf>
    <xf numFmtId="49" fontId="64" fillId="0" borderId="79" xfId="8" applyNumberFormat="1" applyFont="1" applyBorder="1" applyAlignment="1">
      <alignment horizontal="center" vertical="top"/>
    </xf>
    <xf numFmtId="0" fontId="48" fillId="0" borderId="38" xfId="8" applyFont="1" applyBorder="1" applyAlignment="1">
      <alignment vertical="center" wrapText="1"/>
    </xf>
    <xf numFmtId="0" fontId="32" fillId="0" borderId="68" xfId="8" applyBorder="1" applyAlignment="1">
      <alignment vertical="center"/>
    </xf>
    <xf numFmtId="164" fontId="28" fillId="0" borderId="92" xfId="12" applyFont="1" applyFill="1" applyBorder="1" applyAlignment="1">
      <alignment vertical="top"/>
    </xf>
    <xf numFmtId="49" fontId="64" fillId="0" borderId="79" xfId="8" applyNumberFormat="1" applyFont="1" applyBorder="1" applyAlignment="1">
      <alignment horizontal="center" vertical="top" wrapText="1"/>
    </xf>
    <xf numFmtId="164" fontId="28" fillId="0" borderId="92" xfId="12" applyFont="1" applyFill="1" applyBorder="1" applyAlignment="1">
      <alignment vertical="center"/>
    </xf>
    <xf numFmtId="0" fontId="64" fillId="0" borderId="93" xfId="8" applyFont="1" applyBorder="1" applyAlignment="1">
      <alignment horizontal="right" vertical="top" wrapText="1"/>
    </xf>
    <xf numFmtId="0" fontId="32" fillId="0" borderId="31" xfId="8" applyBorder="1" applyAlignment="1">
      <alignment vertical="center"/>
    </xf>
    <xf numFmtId="0" fontId="32" fillId="0" borderId="37" xfId="8" applyBorder="1"/>
    <xf numFmtId="0" fontId="32" fillId="0" borderId="67" xfId="8" applyBorder="1" applyAlignment="1">
      <alignment vertical="center"/>
    </xf>
    <xf numFmtId="0" fontId="28" fillId="0" borderId="10" xfId="8" applyFont="1" applyBorder="1" applyAlignment="1">
      <alignment horizontal="left" vertical="top" wrapText="1"/>
    </xf>
    <xf numFmtId="0" fontId="28" fillId="0" borderId="69" xfId="8" applyFont="1" applyBorder="1" applyAlignment="1">
      <alignment horizontal="left" vertical="top" wrapText="1"/>
    </xf>
    <xf numFmtId="0" fontId="28" fillId="0" borderId="10" xfId="8" applyFont="1" applyBorder="1" applyAlignment="1">
      <alignment horizontal="center" vertical="top" wrapText="1"/>
    </xf>
    <xf numFmtId="0" fontId="28" fillId="0" borderId="69" xfId="8" applyFont="1" applyBorder="1" applyAlignment="1">
      <alignment horizontal="center" vertical="top" wrapText="1"/>
    </xf>
    <xf numFmtId="0" fontId="32" fillId="0" borderId="69" xfId="8" applyBorder="1" applyAlignment="1">
      <alignment vertical="center"/>
    </xf>
    <xf numFmtId="0" fontId="32" fillId="0" borderId="69" xfId="8" applyBorder="1" applyAlignment="1">
      <alignment horizontal="left" vertical="center"/>
    </xf>
    <xf numFmtId="0" fontId="28" fillId="0" borderId="92" xfId="8" applyFont="1" applyBorder="1" applyAlignment="1">
      <alignment vertical="center" wrapText="1"/>
    </xf>
    <xf numFmtId="4" fontId="28" fillId="0" borderId="38" xfId="8" applyNumberFormat="1" applyFont="1" applyBorder="1" applyAlignment="1">
      <alignment horizontal="right" vertical="center" wrapText="1"/>
    </xf>
    <xf numFmtId="164" fontId="56" fillId="0" borderId="0" xfId="12" applyFont="1" applyBorder="1" applyAlignment="1">
      <alignment vertical="center"/>
    </xf>
    <xf numFmtId="0" fontId="28" fillId="0" borderId="93" xfId="8" applyFont="1" applyBorder="1" applyAlignment="1">
      <alignment vertical="center" wrapText="1"/>
    </xf>
    <xf numFmtId="0" fontId="28" fillId="0" borderId="93" xfId="8" applyFont="1" applyBorder="1" applyAlignment="1">
      <alignment horizontal="left" vertical="center" wrapText="1"/>
    </xf>
    <xf numFmtId="164" fontId="28" fillId="0" borderId="0" xfId="12" applyFont="1" applyBorder="1" applyAlignment="1">
      <alignment vertical="center" wrapText="1"/>
    </xf>
    <xf numFmtId="0" fontId="28" fillId="23" borderId="38" xfId="8" applyFont="1" applyFill="1" applyBorder="1" applyAlignment="1">
      <alignment horizontal="center" vertical="top" wrapText="1"/>
    </xf>
    <xf numFmtId="0" fontId="28" fillId="23" borderId="38" xfId="8" applyFont="1" applyFill="1" applyBorder="1" applyAlignment="1">
      <alignment vertical="top" wrapText="1"/>
    </xf>
    <xf numFmtId="0" fontId="28" fillId="0" borderId="92" xfId="8" applyFont="1" applyBorder="1" applyAlignment="1">
      <alignment horizontal="center" vertical="center" wrapText="1"/>
    </xf>
    <xf numFmtId="164" fontId="93" fillId="0" borderId="0" xfId="12" applyFont="1" applyBorder="1" applyAlignment="1">
      <alignment vertical="top"/>
    </xf>
    <xf numFmtId="0" fontId="64" fillId="24" borderId="79" xfId="8" applyFont="1" applyFill="1" applyBorder="1" applyAlignment="1">
      <alignment horizontal="right" vertical="top" wrapText="1"/>
    </xf>
    <xf numFmtId="0" fontId="56" fillId="0" borderId="79" xfId="8" applyFont="1" applyBorder="1" applyAlignment="1">
      <alignment vertical="top"/>
    </xf>
    <xf numFmtId="0" fontId="28" fillId="0" borderId="14" xfId="8" applyFont="1" applyBorder="1" applyAlignment="1">
      <alignment horizontal="left" vertical="top" wrapText="1"/>
    </xf>
    <xf numFmtId="0" fontId="28" fillId="25" borderId="92" xfId="8" applyFont="1" applyFill="1" applyBorder="1" applyAlignment="1">
      <alignment horizontal="left" vertical="top" wrapText="1"/>
    </xf>
    <xf numFmtId="0" fontId="28" fillId="25" borderId="68" xfId="8" applyFont="1" applyFill="1" applyBorder="1" applyAlignment="1">
      <alignment horizontal="left" vertical="top" wrapText="1"/>
    </xf>
    <xf numFmtId="0" fontId="28" fillId="0" borderId="92" xfId="8" applyFont="1" applyBorder="1" applyAlignment="1">
      <alignment horizontal="left" vertical="center" wrapText="1"/>
    </xf>
    <xf numFmtId="0" fontId="28" fillId="0" borderId="68" xfId="8" applyFont="1" applyBorder="1" applyAlignment="1">
      <alignment horizontal="left" vertical="center" wrapText="1"/>
    </xf>
    <xf numFmtId="0" fontId="28" fillId="0" borderId="32" xfId="8" applyFont="1" applyBorder="1" applyAlignment="1">
      <alignment horizontal="left" vertical="top" wrapText="1"/>
    </xf>
    <xf numFmtId="0" fontId="56" fillId="0" borderId="32" xfId="8" applyFont="1" applyBorder="1" applyAlignment="1">
      <alignment vertical="top"/>
    </xf>
    <xf numFmtId="0" fontId="28" fillId="25" borderId="10" xfId="8" applyFont="1" applyFill="1" applyBorder="1" applyAlignment="1">
      <alignment horizontal="left" vertical="top" wrapText="1"/>
    </xf>
    <xf numFmtId="0" fontId="28" fillId="0" borderId="10" xfId="8" applyFont="1" applyBorder="1" applyAlignment="1">
      <alignment horizontal="left" vertical="center" wrapText="1"/>
    </xf>
    <xf numFmtId="0" fontId="28" fillId="0" borderId="69" xfId="8" applyFont="1" applyBorder="1" applyAlignment="1">
      <alignment horizontal="left" vertical="center" wrapText="1"/>
    </xf>
    <xf numFmtId="0" fontId="25" fillId="0" borderId="79" xfId="8" applyFont="1" applyBorder="1" applyAlignment="1">
      <alignment horizontal="left" vertical="top" wrapText="1"/>
    </xf>
    <xf numFmtId="0" fontId="64" fillId="0" borderId="79" xfId="8" applyFont="1" applyBorder="1" applyAlignment="1">
      <alignment horizontal="right" vertical="top" wrapText="1" indent="1"/>
    </xf>
    <xf numFmtId="0" fontId="28" fillId="12" borderId="38" xfId="8" applyFont="1" applyFill="1" applyBorder="1" applyAlignment="1">
      <alignment horizontal="left" vertical="top" wrapText="1"/>
    </xf>
    <xf numFmtId="14" fontId="28" fillId="12" borderId="38" xfId="8" applyNumberFormat="1" applyFont="1" applyFill="1" applyBorder="1" applyAlignment="1">
      <alignment horizontal="center" vertical="top" wrapText="1"/>
    </xf>
    <xf numFmtId="167" fontId="81" fillId="26" borderId="38" xfId="8" applyNumberFormat="1" applyFont="1" applyFill="1" applyBorder="1" applyAlignment="1">
      <alignment horizontal="center" vertical="top" wrapText="1"/>
    </xf>
    <xf numFmtId="0" fontId="81" fillId="0" borderId="38" xfId="8" applyFont="1" applyBorder="1" applyAlignment="1">
      <alignment horizontal="center" vertical="top" wrapText="1"/>
    </xf>
    <xf numFmtId="14" fontId="28" fillId="0" borderId="79" xfId="8" applyNumberFormat="1" applyFont="1" applyBorder="1" applyAlignment="1">
      <alignment horizontal="center" vertical="top" wrapText="1"/>
    </xf>
    <xf numFmtId="164" fontId="56" fillId="12" borderId="0" xfId="12" applyFont="1" applyFill="1" applyBorder="1" applyAlignment="1">
      <alignment vertical="top"/>
    </xf>
    <xf numFmtId="0" fontId="96" fillId="0" borderId="79" xfId="8" applyFont="1" applyBorder="1" applyAlignment="1">
      <alignment horizontal="left" vertical="top" wrapText="1"/>
    </xf>
    <xf numFmtId="0" fontId="28" fillId="0" borderId="89" xfId="8" applyFont="1" applyBorder="1" applyAlignment="1">
      <alignment horizontal="center" vertical="top" wrapText="1"/>
    </xf>
    <xf numFmtId="4" fontId="28" fillId="0" borderId="8" xfId="8" applyNumberFormat="1" applyFont="1" applyBorder="1" applyAlignment="1">
      <alignment horizontal="right" vertical="top" wrapText="1"/>
    </xf>
    <xf numFmtId="0" fontId="66" fillId="0" borderId="47" xfId="8" applyFont="1" applyBorder="1" applyAlignment="1">
      <alignment horizontal="center" vertical="center" wrapText="1"/>
    </xf>
    <xf numFmtId="0" fontId="50" fillId="0" borderId="82" xfId="8" applyFont="1" applyBorder="1" applyAlignment="1">
      <alignment horizontal="center" vertical="center" wrapText="1"/>
    </xf>
    <xf numFmtId="4" fontId="28" fillId="0" borderId="0" xfId="8" applyNumberFormat="1" applyFont="1" applyAlignment="1">
      <alignment horizontal="right" vertical="center" wrapText="1"/>
    </xf>
    <xf numFmtId="0" fontId="97" fillId="0" borderId="0" xfId="8" applyFont="1"/>
    <xf numFmtId="0" fontId="98" fillId="0" borderId="0" xfId="8" applyFont="1" applyAlignment="1">
      <alignment vertical="center"/>
    </xf>
    <xf numFmtId="49" fontId="78" fillId="0" borderId="0" xfId="8" applyNumberFormat="1" applyFont="1" applyAlignment="1">
      <alignment horizontal="center" vertical="center"/>
    </xf>
    <xf numFmtId="0" fontId="31" fillId="0" borderId="38" xfId="8" applyFont="1" applyBorder="1" applyAlignment="1">
      <alignment horizontal="left" vertical="center" wrapText="1"/>
    </xf>
    <xf numFmtId="0" fontId="31" fillId="0" borderId="92" xfId="8" applyFont="1" applyBorder="1" applyAlignment="1">
      <alignment horizontal="center" vertical="center" wrapText="1"/>
    </xf>
    <xf numFmtId="0" fontId="49" fillId="0" borderId="92" xfId="8" applyFont="1" applyBorder="1" applyAlignment="1">
      <alignment vertical="center" wrapText="1"/>
    </xf>
    <xf numFmtId="49" fontId="49" fillId="0" borderId="79" xfId="8" applyNumberFormat="1" applyFont="1" applyBorder="1" applyAlignment="1">
      <alignment horizontal="center" vertical="center" wrapText="1"/>
    </xf>
    <xf numFmtId="0" fontId="31" fillId="0" borderId="38" xfId="8" applyFont="1" applyBorder="1" applyAlignment="1">
      <alignment horizontal="center" vertical="center" wrapText="1"/>
    </xf>
    <xf numFmtId="49" fontId="28" fillId="0" borderId="8" xfId="8" applyNumberFormat="1" applyFont="1" applyBorder="1" applyAlignment="1">
      <alignment horizontal="center" vertical="top" wrapText="1"/>
    </xf>
    <xf numFmtId="0" fontId="28" fillId="0" borderId="8" xfId="8" applyFont="1" applyBorder="1" applyAlignment="1">
      <alignment horizontal="left" vertical="top" wrapText="1"/>
    </xf>
    <xf numFmtId="49" fontId="28" fillId="0" borderId="27" xfId="8" applyNumberFormat="1" applyFont="1" applyBorder="1" applyAlignment="1">
      <alignment horizontal="center" vertical="top" wrapText="1"/>
    </xf>
    <xf numFmtId="0" fontId="28" fillId="0" borderId="27" xfId="8" applyFont="1" applyBorder="1" applyAlignment="1">
      <alignment horizontal="left" vertical="top" wrapText="1"/>
    </xf>
    <xf numFmtId="49" fontId="31" fillId="0" borderId="0" xfId="8" applyNumberFormat="1" applyFont="1" applyAlignment="1">
      <alignment horizontal="center" vertical="center" wrapText="1"/>
    </xf>
    <xf numFmtId="0" fontId="49" fillId="0" borderId="0" xfId="8" applyFont="1" applyAlignment="1">
      <alignment horizontal="left" vertical="center" wrapText="1"/>
    </xf>
    <xf numFmtId="49" fontId="31" fillId="0" borderId="38" xfId="8" applyNumberFormat="1" applyFont="1" applyBorder="1" applyAlignment="1">
      <alignment horizontal="center" vertical="center" wrapText="1"/>
    </xf>
    <xf numFmtId="0" fontId="49" fillId="0" borderId="38" xfId="8" applyFont="1" applyBorder="1" applyAlignment="1">
      <alignment horizontal="center" vertical="center" wrapText="1"/>
    </xf>
    <xf numFmtId="0" fontId="49" fillId="0" borderId="38" xfId="8" applyFont="1" applyBorder="1" applyAlignment="1">
      <alignment horizontal="left" vertical="center" wrapText="1"/>
    </xf>
    <xf numFmtId="0" fontId="28" fillId="0" borderId="89" xfId="8" applyFont="1" applyBorder="1" applyAlignment="1">
      <alignment horizontal="left" vertical="top" wrapText="1"/>
    </xf>
    <xf numFmtId="14" fontId="28" fillId="0" borderId="8" xfId="8" applyNumberFormat="1" applyFont="1" applyBorder="1" applyAlignment="1">
      <alignment horizontal="center" vertical="top" wrapText="1"/>
    </xf>
    <xf numFmtId="176" fontId="28" fillId="0" borderId="8" xfId="8" applyNumberFormat="1" applyFont="1" applyBorder="1" applyAlignment="1">
      <alignment horizontal="center" vertical="top" wrapText="1"/>
    </xf>
    <xf numFmtId="164" fontId="28" fillId="0" borderId="27" xfId="12" applyFont="1" applyFill="1" applyBorder="1" applyAlignment="1">
      <alignment vertical="top"/>
    </xf>
    <xf numFmtId="14" fontId="31" fillId="0" borderId="38" xfId="8" applyNumberFormat="1" applyFont="1" applyBorder="1" applyAlignment="1">
      <alignment horizontal="center" vertical="center" wrapText="1"/>
    </xf>
    <xf numFmtId="176" fontId="31" fillId="0" borderId="38" xfId="8" applyNumberFormat="1" applyFont="1" applyBorder="1" applyAlignment="1">
      <alignment horizontal="center" vertical="center" wrapText="1"/>
    </xf>
    <xf numFmtId="167" fontId="28" fillId="0" borderId="8" xfId="8" applyNumberFormat="1" applyFont="1" applyBorder="1" applyAlignment="1">
      <alignment horizontal="center" vertical="top" wrapText="1"/>
    </xf>
    <xf numFmtId="0" fontId="28" fillId="0" borderId="8" xfId="8" applyFont="1" applyBorder="1" applyAlignment="1">
      <alignment vertical="top" wrapText="1"/>
    </xf>
    <xf numFmtId="164" fontId="28" fillId="0" borderId="38" xfId="12" applyFont="1" applyBorder="1" applyAlignment="1">
      <alignment vertical="top" wrapText="1"/>
    </xf>
    <xf numFmtId="164" fontId="28" fillId="0" borderId="27" xfId="12" applyFont="1" applyBorder="1" applyAlignment="1">
      <alignment vertical="top" wrapText="1"/>
    </xf>
    <xf numFmtId="167" fontId="31" fillId="0" borderId="38" xfId="8" applyNumberFormat="1" applyFont="1" applyBorder="1" applyAlignment="1">
      <alignment horizontal="center" vertical="center" wrapText="1"/>
    </xf>
    <xf numFmtId="0" fontId="31" fillId="0" borderId="38" xfId="8" applyFont="1" applyBorder="1" applyAlignment="1">
      <alignment vertical="center" wrapText="1"/>
    </xf>
    <xf numFmtId="164" fontId="56" fillId="0" borderId="38" xfId="12" applyFont="1" applyBorder="1" applyAlignment="1">
      <alignment vertical="top"/>
    </xf>
    <xf numFmtId="164" fontId="56" fillId="0" borderId="92" xfId="12" applyFont="1" applyBorder="1" applyAlignment="1">
      <alignment vertical="top"/>
    </xf>
    <xf numFmtId="164" fontId="56" fillId="0" borderId="27" xfId="12" applyFont="1" applyBorder="1" applyAlignment="1">
      <alignment vertical="top"/>
    </xf>
    <xf numFmtId="164" fontId="56" fillId="0" borderId="95" xfId="12" applyFont="1" applyBorder="1" applyAlignment="1">
      <alignment vertical="top"/>
    </xf>
    <xf numFmtId="0" fontId="28" fillId="0" borderId="75" xfId="8" applyFont="1" applyBorder="1" applyAlignment="1">
      <alignment horizontal="center" vertical="top" wrapText="1"/>
    </xf>
    <xf numFmtId="0" fontId="66" fillId="0" borderId="82" xfId="8" applyFont="1" applyBorder="1" applyAlignment="1">
      <alignment horizontal="center" vertical="center" wrapText="1"/>
    </xf>
    <xf numFmtId="0" fontId="92" fillId="0" borderId="95" xfId="8" applyFont="1" applyBorder="1"/>
    <xf numFmtId="164" fontId="99" fillId="0" borderId="0" xfId="12" applyFont="1" applyAlignment="1">
      <alignment vertical="center"/>
    </xf>
    <xf numFmtId="0" fontId="64" fillId="0" borderId="38" xfId="8" applyFont="1" applyBorder="1" applyAlignment="1">
      <alignment horizontal="right" vertical="top" wrapText="1"/>
    </xf>
    <xf numFmtId="0" fontId="64" fillId="0" borderId="27" xfId="8" applyFont="1" applyBorder="1" applyAlignment="1">
      <alignment horizontal="right" vertical="top" wrapText="1"/>
    </xf>
    <xf numFmtId="0" fontId="28" fillId="0" borderId="95" xfId="8" applyFont="1" applyBorder="1" applyAlignment="1">
      <alignment horizontal="left" vertical="top" wrapText="1"/>
    </xf>
    <xf numFmtId="0" fontId="28" fillId="0" borderId="102" xfId="8" applyFont="1" applyBorder="1" applyAlignment="1">
      <alignment horizontal="left" vertical="top" wrapText="1"/>
    </xf>
    <xf numFmtId="0" fontId="28" fillId="0" borderId="48" xfId="8" applyFont="1" applyBorder="1" applyAlignment="1">
      <alignment horizontal="left" vertical="top" wrapText="1"/>
    </xf>
    <xf numFmtId="0" fontId="28" fillId="0" borderId="69" xfId="8" quotePrefix="1" applyFont="1" applyBorder="1" applyAlignment="1">
      <alignment horizontal="left" vertical="top" wrapText="1"/>
    </xf>
    <xf numFmtId="0" fontId="31" fillId="0" borderId="78" xfId="8" quotePrefix="1" applyFont="1" applyBorder="1" applyAlignment="1">
      <alignment horizontal="center" vertical="top" wrapText="1"/>
    </xf>
    <xf numFmtId="0" fontId="31" fillId="0" borderId="28" xfId="8" quotePrefix="1" applyFont="1" applyBorder="1" applyAlignment="1">
      <alignment vertical="top" wrapText="1"/>
    </xf>
    <xf numFmtId="0" fontId="31" fillId="0" borderId="78" xfId="8" quotePrefix="1" applyFont="1" applyBorder="1" applyAlignment="1">
      <alignment horizontal="center" vertical="center" wrapText="1"/>
    </xf>
    <xf numFmtId="2" fontId="31" fillId="0" borderId="78" xfId="8" quotePrefix="1" applyNumberFormat="1" applyFont="1" applyBorder="1" applyAlignment="1">
      <alignment horizontal="center" vertical="center" wrapText="1"/>
    </xf>
    <xf numFmtId="0" fontId="28" fillId="0" borderId="79" xfId="8" quotePrefix="1" applyFont="1" applyBorder="1" applyAlignment="1">
      <alignment horizontal="center" vertical="top" wrapText="1"/>
    </xf>
    <xf numFmtId="0" fontId="28" fillId="0" borderId="38" xfId="8" quotePrefix="1" applyFont="1" applyBorder="1" applyAlignment="1">
      <alignment horizontal="center" vertical="top" wrapText="1"/>
    </xf>
    <xf numFmtId="2" fontId="28" fillId="0" borderId="38" xfId="8" quotePrefix="1" applyNumberFormat="1" applyFont="1" applyBorder="1" applyAlignment="1">
      <alignment horizontal="center" vertical="top" wrapText="1"/>
    </xf>
    <xf numFmtId="49" fontId="44" fillId="9" borderId="22" xfId="5" quotePrefix="1" applyNumberFormat="1" applyBorder="1" applyAlignment="1">
      <alignment horizontal="center" vertical="top" wrapText="1"/>
    </xf>
    <xf numFmtId="0" fontId="29" fillId="0" borderId="11" xfId="8" applyFont="1" applyBorder="1" applyAlignment="1">
      <alignment horizontal="center" vertical="center" textRotation="255" wrapText="1"/>
    </xf>
    <xf numFmtId="0" fontId="48" fillId="27" borderId="7" xfId="8" applyFont="1" applyFill="1" applyBorder="1" applyAlignment="1">
      <alignment vertical="center" wrapText="1"/>
    </xf>
    <xf numFmtId="0" fontId="28" fillId="27" borderId="38" xfId="8" applyFont="1" applyFill="1" applyBorder="1" applyAlignment="1">
      <alignment horizontal="center" vertical="top" wrapText="1"/>
    </xf>
    <xf numFmtId="0" fontId="28" fillId="27" borderId="43" xfId="8" applyFont="1" applyFill="1" applyBorder="1" applyAlignment="1">
      <alignment horizontal="center" vertical="top" wrapText="1"/>
    </xf>
    <xf numFmtId="0" fontId="28" fillId="27" borderId="81" xfId="8" applyFont="1" applyFill="1" applyBorder="1" applyAlignment="1">
      <alignment horizontal="center" vertical="top" wrapText="1"/>
    </xf>
    <xf numFmtId="0" fontId="28" fillId="27" borderId="89" xfId="8" applyFont="1" applyFill="1" applyBorder="1" applyAlignment="1">
      <alignment horizontal="center" vertical="top" wrapText="1"/>
    </xf>
    <xf numFmtId="0" fontId="28" fillId="27" borderId="91" xfId="8" applyFont="1" applyFill="1" applyBorder="1" applyAlignment="1">
      <alignment horizontal="center" vertical="top" wrapText="1"/>
    </xf>
    <xf numFmtId="0" fontId="28" fillId="27" borderId="8" xfId="8" applyFont="1" applyFill="1" applyBorder="1" applyAlignment="1">
      <alignment horizontal="center" vertical="top" wrapText="1"/>
    </xf>
    <xf numFmtId="0" fontId="28" fillId="27" borderId="40" xfId="8" applyFont="1" applyFill="1" applyBorder="1" applyAlignment="1">
      <alignment horizontal="center" vertical="top" wrapText="1"/>
    </xf>
    <xf numFmtId="0" fontId="48" fillId="28" borderId="7" xfId="8" applyFont="1" applyFill="1" applyBorder="1" applyAlignment="1">
      <alignment vertical="center" wrapText="1"/>
    </xf>
    <xf numFmtId="0" fontId="28" fillId="28" borderId="38" xfId="8" applyFont="1" applyFill="1" applyBorder="1" applyAlignment="1">
      <alignment horizontal="center" vertical="top" wrapText="1"/>
    </xf>
    <xf numFmtId="0" fontId="28" fillId="28" borderId="43" xfId="8" applyFont="1" applyFill="1" applyBorder="1" applyAlignment="1">
      <alignment horizontal="center" vertical="top" wrapText="1"/>
    </xf>
    <xf numFmtId="0" fontId="28" fillId="28" borderId="81" xfId="8" applyFont="1" applyFill="1" applyBorder="1" applyAlignment="1">
      <alignment horizontal="center" vertical="top" wrapText="1"/>
    </xf>
    <xf numFmtId="0" fontId="28" fillId="28" borderId="89" xfId="8" applyFont="1" applyFill="1" applyBorder="1" applyAlignment="1">
      <alignment horizontal="center" vertical="top" wrapText="1"/>
    </xf>
    <xf numFmtId="0" fontId="28" fillId="28" borderId="91" xfId="8" applyFont="1" applyFill="1" applyBorder="1" applyAlignment="1">
      <alignment horizontal="center" vertical="top" wrapText="1"/>
    </xf>
    <xf numFmtId="0" fontId="28" fillId="28" borderId="8" xfId="8" applyFont="1" applyFill="1" applyBorder="1" applyAlignment="1">
      <alignment horizontal="center" vertical="top" wrapText="1"/>
    </xf>
    <xf numFmtId="0" fontId="28" fillId="28" borderId="40" xfId="8" applyFont="1" applyFill="1" applyBorder="1" applyAlignment="1">
      <alignment horizontal="center" vertical="top" wrapText="1"/>
    </xf>
    <xf numFmtId="0" fontId="48" fillId="29" borderId="7" xfId="8" applyFont="1" applyFill="1" applyBorder="1" applyAlignment="1">
      <alignment vertical="center" wrapText="1"/>
    </xf>
    <xf numFmtId="0" fontId="28" fillId="29" borderId="38" xfId="8" applyFont="1" applyFill="1" applyBorder="1" applyAlignment="1">
      <alignment horizontal="center" vertical="top" wrapText="1"/>
    </xf>
    <xf numFmtId="0" fontId="28" fillId="29" borderId="43" xfId="8" applyFont="1" applyFill="1" applyBorder="1" applyAlignment="1">
      <alignment horizontal="center" vertical="top" wrapText="1"/>
    </xf>
    <xf numFmtId="0" fontId="28" fillId="29" borderId="81" xfId="8" applyFont="1" applyFill="1" applyBorder="1" applyAlignment="1">
      <alignment horizontal="center" vertical="top" wrapText="1"/>
    </xf>
    <xf numFmtId="0" fontId="28" fillId="29" borderId="89" xfId="8" applyFont="1" applyFill="1" applyBorder="1" applyAlignment="1">
      <alignment horizontal="center" vertical="top" wrapText="1"/>
    </xf>
    <xf numFmtId="0" fontId="28" fillId="29" borderId="91" xfId="8" applyFont="1" applyFill="1" applyBorder="1" applyAlignment="1">
      <alignment horizontal="center" vertical="top" wrapText="1"/>
    </xf>
    <xf numFmtId="0" fontId="28" fillId="29" borderId="8" xfId="8" applyFont="1" applyFill="1" applyBorder="1" applyAlignment="1">
      <alignment horizontal="center" vertical="top" wrapText="1"/>
    </xf>
    <xf numFmtId="0" fontId="28" fillId="29" borderId="40" xfId="8" applyFont="1" applyFill="1" applyBorder="1" applyAlignment="1">
      <alignment horizontal="center" vertical="top" wrapText="1"/>
    </xf>
    <xf numFmtId="0" fontId="48" fillId="5" borderId="7" xfId="8" applyFont="1" applyFill="1" applyBorder="1" applyAlignment="1">
      <alignment vertical="center" wrapText="1"/>
    </xf>
    <xf numFmtId="0" fontId="28" fillId="5" borderId="43" xfId="8" applyFont="1" applyFill="1" applyBorder="1" applyAlignment="1">
      <alignment horizontal="center" vertical="top" wrapText="1"/>
    </xf>
    <xf numFmtId="0" fontId="28" fillId="5" borderId="81" xfId="8" applyFont="1" applyFill="1" applyBorder="1" applyAlignment="1">
      <alignment horizontal="center" vertical="top" wrapText="1"/>
    </xf>
    <xf numFmtId="0" fontId="28" fillId="5" borderId="89" xfId="8" applyFont="1" applyFill="1" applyBorder="1" applyAlignment="1">
      <alignment horizontal="center" vertical="top" wrapText="1"/>
    </xf>
    <xf numFmtId="0" fontId="28" fillId="5" borderId="91" xfId="8" applyFont="1" applyFill="1" applyBorder="1" applyAlignment="1">
      <alignment horizontal="center" vertical="top" wrapText="1"/>
    </xf>
    <xf numFmtId="0" fontId="28" fillId="5" borderId="8" xfId="8" applyFont="1" applyFill="1" applyBorder="1" applyAlignment="1">
      <alignment horizontal="center" vertical="top" wrapText="1"/>
    </xf>
    <xf numFmtId="0" fontId="28" fillId="5" borderId="40" xfId="8" applyFont="1" applyFill="1" applyBorder="1" applyAlignment="1">
      <alignment horizontal="center" vertical="top" wrapText="1"/>
    </xf>
    <xf numFmtId="0" fontId="28" fillId="30" borderId="27" xfId="8" applyFont="1" applyFill="1" applyBorder="1" applyAlignment="1">
      <alignment horizontal="center" vertical="top" wrapText="1"/>
    </xf>
    <xf numFmtId="0" fontId="31" fillId="0" borderId="41" xfId="8" quotePrefix="1" applyFont="1" applyBorder="1" applyAlignment="1">
      <alignment horizontal="center" vertical="top" wrapText="1"/>
    </xf>
    <xf numFmtId="0" fontId="31" fillId="0" borderId="0" xfId="8" quotePrefix="1" applyFont="1" applyAlignment="1">
      <alignment vertical="top" wrapText="1"/>
    </xf>
    <xf numFmtId="0" fontId="31" fillId="0" borderId="0" xfId="8" applyFont="1" applyAlignment="1">
      <alignment vertical="top" wrapText="1"/>
    </xf>
    <xf numFmtId="0" fontId="31" fillId="27" borderId="0" xfId="8" applyFont="1" applyFill="1" applyAlignment="1">
      <alignment horizontal="center" vertical="top" wrapText="1"/>
    </xf>
    <xf numFmtId="0" fontId="31" fillId="28" borderId="0" xfId="8" applyFont="1" applyFill="1" applyAlignment="1">
      <alignment horizontal="center" vertical="top" wrapText="1"/>
    </xf>
    <xf numFmtId="0" fontId="31" fillId="29" borderId="0" xfId="8" applyFont="1" applyFill="1" applyAlignment="1">
      <alignment horizontal="center" vertical="top" wrapText="1"/>
    </xf>
    <xf numFmtId="0" fontId="31" fillId="5" borderId="0" xfId="8" applyFont="1" applyFill="1" applyAlignment="1">
      <alignment horizontal="center" vertical="top" wrapText="1"/>
    </xf>
    <xf numFmtId="0" fontId="31" fillId="0" borderId="0" xfId="8" quotePrefix="1" applyFont="1" applyAlignment="1">
      <alignment horizontal="center" vertical="top" wrapText="1"/>
    </xf>
    <xf numFmtId="0" fontId="31" fillId="0" borderId="0" xfId="8" quotePrefix="1" applyFont="1" applyAlignment="1">
      <alignment horizontal="center" vertical="center" wrapText="1"/>
    </xf>
    <xf numFmtId="2" fontId="31" fillId="0" borderId="0" xfId="8" quotePrefix="1" applyNumberFormat="1" applyFont="1" applyAlignment="1">
      <alignment horizontal="center" vertical="center" wrapText="1"/>
    </xf>
    <xf numFmtId="0" fontId="9" fillId="0" borderId="15" xfId="0" applyFont="1" applyBorder="1"/>
    <xf numFmtId="0" fontId="77" fillId="0" borderId="38" xfId="8" applyFont="1" applyBorder="1" applyAlignment="1">
      <alignment vertical="top" wrapText="1"/>
    </xf>
    <xf numFmtId="0" fontId="29" fillId="0" borderId="11" xfId="8" applyFont="1" applyBorder="1" applyAlignment="1">
      <alignment horizontal="center" vertical="center" wrapText="1"/>
    </xf>
    <xf numFmtId="0" fontId="29" fillId="0" borderId="14" xfId="8" applyFont="1" applyBorder="1" applyAlignment="1">
      <alignment horizontal="center" vertical="center" wrapText="1"/>
    </xf>
    <xf numFmtId="0" fontId="29" fillId="0" borderId="31" xfId="8" applyFont="1" applyBorder="1" applyAlignment="1">
      <alignment horizontal="center" vertical="center" textRotation="255" wrapText="1"/>
    </xf>
    <xf numFmtId="0" fontId="29" fillId="0" borderId="32" xfId="8" applyFont="1" applyBorder="1" applyAlignment="1">
      <alignment horizontal="center" vertical="center" textRotation="255" wrapText="1"/>
    </xf>
    <xf numFmtId="0" fontId="29" fillId="0" borderId="42" xfId="8" applyFont="1" applyBorder="1" applyAlignment="1">
      <alignment horizontal="center" vertical="center" textRotation="255" wrapText="1"/>
    </xf>
    <xf numFmtId="0" fontId="29" fillId="0" borderId="41" xfId="8" applyFont="1" applyBorder="1" applyAlignment="1">
      <alignment horizontal="center" vertical="center" textRotation="255" wrapText="1"/>
    </xf>
    <xf numFmtId="0" fontId="29" fillId="0" borderId="42" xfId="8" applyFont="1" applyBorder="1" applyAlignment="1">
      <alignment horizontal="center" vertical="center" wrapText="1"/>
    </xf>
    <xf numFmtId="0" fontId="29" fillId="0" borderId="41" xfId="8" applyFont="1" applyBorder="1" applyAlignment="1">
      <alignment horizontal="center" vertical="center" wrapText="1"/>
    </xf>
    <xf numFmtId="0" fontId="106" fillId="0" borderId="14" xfId="0" applyFont="1" applyBorder="1" applyAlignment="1">
      <alignment horizontal="center" vertical="center" wrapText="1"/>
    </xf>
    <xf numFmtId="0" fontId="106" fillId="0" borderId="0" xfId="0" applyFont="1" applyAlignment="1">
      <alignment horizontal="center" vertical="center" wrapText="1"/>
    </xf>
    <xf numFmtId="0" fontId="106" fillId="0" borderId="32" xfId="0" applyFont="1" applyBorder="1" applyAlignment="1">
      <alignment horizontal="center" vertical="center" wrapText="1"/>
    </xf>
    <xf numFmtId="0" fontId="31" fillId="29" borderId="28" xfId="8" applyFont="1" applyFill="1" applyBorder="1" applyAlignment="1">
      <alignment horizontal="center" vertical="top" wrapText="1"/>
    </xf>
    <xf numFmtId="0" fontId="31" fillId="29" borderId="30" xfId="8" applyFont="1" applyFill="1" applyBorder="1" applyAlignment="1">
      <alignment horizontal="center" vertical="top" wrapText="1"/>
    </xf>
    <xf numFmtId="0" fontId="31" fillId="29" borderId="37" xfId="8" applyFont="1" applyFill="1" applyBorder="1" applyAlignment="1">
      <alignment horizontal="center" vertical="top" wrapText="1"/>
    </xf>
    <xf numFmtId="0" fontId="31" fillId="5" borderId="28" xfId="8" applyFont="1" applyFill="1" applyBorder="1" applyAlignment="1">
      <alignment horizontal="center" vertical="top" wrapText="1"/>
    </xf>
    <xf numFmtId="0" fontId="31" fillId="5" borderId="30" xfId="8" applyFont="1" applyFill="1" applyBorder="1" applyAlignment="1">
      <alignment horizontal="center" vertical="top" wrapText="1"/>
    </xf>
    <xf numFmtId="0" fontId="31" fillId="5" borderId="37" xfId="8" applyFont="1" applyFill="1" applyBorder="1" applyAlignment="1">
      <alignment horizontal="center" vertical="top" wrapText="1"/>
    </xf>
    <xf numFmtId="0" fontId="9" fillId="0" borderId="41" xfId="0" applyFont="1" applyBorder="1"/>
    <xf numFmtId="0" fontId="29" fillId="0" borderId="17" xfId="8" applyFont="1" applyBorder="1" applyAlignment="1">
      <alignment horizontal="center" vertical="center" wrapText="1"/>
    </xf>
    <xf numFmtId="0" fontId="9" fillId="0" borderId="22" xfId="0" applyFont="1" applyBorder="1"/>
    <xf numFmtId="167" fontId="29" fillId="0" borderId="17" xfId="8" applyNumberFormat="1" applyFont="1" applyBorder="1" applyAlignment="1">
      <alignment horizontal="center" vertical="center" wrapText="1"/>
    </xf>
    <xf numFmtId="0" fontId="29" fillId="0" borderId="17" xfId="8" applyFont="1" applyBorder="1" applyAlignment="1">
      <alignment horizontal="center" vertical="center" textRotation="255" wrapText="1"/>
    </xf>
    <xf numFmtId="0" fontId="22" fillId="0" borderId="22" xfId="0" applyFont="1" applyBorder="1"/>
    <xf numFmtId="0" fontId="29" fillId="0" borderId="34" xfId="8" applyFont="1" applyBorder="1" applyAlignment="1">
      <alignment horizontal="center" vertical="center" wrapText="1"/>
    </xf>
    <xf numFmtId="0" fontId="29" fillId="0" borderId="35" xfId="8" applyFont="1" applyBorder="1" applyAlignment="1">
      <alignment horizontal="center" vertical="center" wrapText="1"/>
    </xf>
    <xf numFmtId="0" fontId="31" fillId="27" borderId="28" xfId="8" applyFont="1" applyFill="1" applyBorder="1" applyAlignment="1">
      <alignment horizontal="center" vertical="top" wrapText="1"/>
    </xf>
    <xf numFmtId="0" fontId="31" fillId="27" borderId="30" xfId="8" applyFont="1" applyFill="1" applyBorder="1" applyAlignment="1">
      <alignment horizontal="center" vertical="top" wrapText="1"/>
    </xf>
    <xf numFmtId="0" fontId="31" fillId="27" borderId="37" xfId="8" applyFont="1" applyFill="1" applyBorder="1" applyAlignment="1">
      <alignment horizontal="center" vertical="top" wrapText="1"/>
    </xf>
    <xf numFmtId="0" fontId="31" fillId="28" borderId="28" xfId="8" applyFont="1" applyFill="1" applyBorder="1" applyAlignment="1">
      <alignment horizontal="center" vertical="top" wrapText="1"/>
    </xf>
    <xf numFmtId="0" fontId="31" fillId="28" borderId="30" xfId="8" applyFont="1" applyFill="1" applyBorder="1" applyAlignment="1">
      <alignment horizontal="center" vertical="top" wrapText="1"/>
    </xf>
    <xf numFmtId="0" fontId="31" fillId="28" borderId="37" xfId="8" applyFont="1" applyFill="1" applyBorder="1" applyAlignment="1">
      <alignment horizontal="center" vertical="top" wrapText="1"/>
    </xf>
    <xf numFmtId="0" fontId="60" fillId="0" borderId="0" xfId="8" applyFont="1" applyAlignment="1">
      <alignment horizontal="center" vertical="top" wrapText="1"/>
    </xf>
    <xf numFmtId="0" fontId="61" fillId="0" borderId="0" xfId="8" applyFont="1" applyAlignment="1">
      <alignment horizontal="center" vertical="top" wrapText="1"/>
    </xf>
    <xf numFmtId="2" fontId="60" fillId="0" borderId="0" xfId="8" applyNumberFormat="1" applyFont="1" applyAlignment="1">
      <alignment horizontal="center" vertical="top" wrapText="1"/>
    </xf>
    <xf numFmtId="0" fontId="47" fillId="0" borderId="0" xfId="8" applyFont="1" applyAlignment="1">
      <alignment horizontal="center" vertical="center" wrapText="1"/>
    </xf>
    <xf numFmtId="0" fontId="29" fillId="0" borderId="0" xfId="8" applyFont="1" applyAlignment="1">
      <alignment horizontal="center" vertical="center" wrapText="1"/>
    </xf>
    <xf numFmtId="2" fontId="47" fillId="0" borderId="0" xfId="8" applyNumberFormat="1" applyFont="1" applyAlignment="1">
      <alignment horizontal="center" vertical="center" wrapText="1"/>
    </xf>
    <xf numFmtId="0" fontId="29" fillId="0" borderId="64" xfId="8" applyFont="1" applyBorder="1" applyAlignment="1">
      <alignment horizontal="center" vertical="center" wrapText="1"/>
    </xf>
    <xf numFmtId="0" fontId="29" fillId="0" borderId="33" xfId="8" applyFont="1" applyBorder="1" applyAlignment="1">
      <alignment horizontal="center" vertical="center" wrapText="1"/>
    </xf>
    <xf numFmtId="0" fontId="31" fillId="0" borderId="64" xfId="8" applyFont="1" applyBorder="1" applyAlignment="1">
      <alignment horizontal="center" vertical="center" wrapText="1"/>
    </xf>
    <xf numFmtId="0" fontId="31" fillId="0" borderId="19" xfId="8" applyFont="1" applyBorder="1" applyAlignment="1">
      <alignment horizontal="center" vertical="center" wrapText="1"/>
    </xf>
    <xf numFmtId="0" fontId="31" fillId="0" borderId="33" xfId="8" applyFont="1" applyBorder="1" applyAlignment="1">
      <alignment horizontal="center" vertical="center" wrapText="1"/>
    </xf>
    <xf numFmtId="0" fontId="29" fillId="0" borderId="32" xfId="8" applyFont="1" applyBorder="1" applyAlignment="1">
      <alignment horizontal="center" vertical="center" wrapText="1"/>
    </xf>
    <xf numFmtId="0" fontId="28" fillId="0" borderId="0" xfId="8" applyFont="1" applyAlignment="1">
      <alignment horizontal="center"/>
    </xf>
    <xf numFmtId="0" fontId="98" fillId="0" borderId="0" xfId="8" applyFont="1" applyAlignment="1">
      <alignment horizontal="center" vertical="center"/>
    </xf>
    <xf numFmtId="0" fontId="31" fillId="0" borderId="17" xfId="8" applyFont="1" applyBorder="1" applyAlignment="1">
      <alignment horizontal="center" vertical="center" textRotation="255" wrapText="1"/>
    </xf>
    <xf numFmtId="0" fontId="0" fillId="0" borderId="24" xfId="0" applyBorder="1"/>
    <xf numFmtId="0" fontId="0" fillId="0" borderId="22" xfId="0" applyBorder="1"/>
    <xf numFmtId="0" fontId="31" fillId="0" borderId="17" xfId="8" applyFont="1" applyBorder="1" applyAlignment="1">
      <alignment horizontal="center" vertical="center" wrapText="1"/>
    </xf>
    <xf numFmtId="167" fontId="31" fillId="0" borderId="17" xfId="8" applyNumberFormat="1" applyFont="1" applyBorder="1" applyAlignment="1">
      <alignment horizontal="center" vertical="center" wrapText="1"/>
    </xf>
    <xf numFmtId="0" fontId="0" fillId="0" borderId="26" xfId="0" applyBorder="1"/>
    <xf numFmtId="0" fontId="29" fillId="17" borderId="42" xfId="8" applyFont="1" applyFill="1" applyBorder="1" applyAlignment="1">
      <alignment horizontal="center" vertical="center" wrapText="1"/>
    </xf>
    <xf numFmtId="0" fontId="29" fillId="17" borderId="78" xfId="8" applyFont="1" applyFill="1" applyBorder="1" applyAlignment="1">
      <alignment horizontal="center" vertical="center" wrapText="1"/>
    </xf>
    <xf numFmtId="0" fontId="68" fillId="13" borderId="95" xfId="8" applyFont="1" applyFill="1" applyBorder="1" applyAlignment="1">
      <alignment vertical="center"/>
    </xf>
    <xf numFmtId="0" fontId="68" fillId="13" borderId="80" xfId="8" applyFont="1" applyFill="1" applyBorder="1" applyAlignment="1">
      <alignment vertical="center"/>
    </xf>
    <xf numFmtId="0" fontId="68" fillId="13" borderId="82" xfId="8" applyFont="1" applyFill="1" applyBorder="1" applyAlignment="1">
      <alignment vertical="center"/>
    </xf>
    <xf numFmtId="0" fontId="31" fillId="0" borderId="13" xfId="8" applyFont="1" applyBorder="1" applyAlignment="1">
      <alignment horizontal="center" vertical="center" wrapText="1"/>
    </xf>
    <xf numFmtId="0" fontId="31" fillId="0" borderId="23" xfId="8" applyFont="1" applyBorder="1" applyAlignment="1">
      <alignment horizontal="center" vertical="center" wrapText="1"/>
    </xf>
    <xf numFmtId="0" fontId="31" fillId="0" borderId="12" xfId="8" applyFont="1" applyBorder="1" applyAlignment="1">
      <alignment horizontal="center" vertical="center" wrapText="1"/>
    </xf>
    <xf numFmtId="0" fontId="91" fillId="16" borderId="64" xfId="8" applyFont="1" applyFill="1" applyBorder="1" applyAlignment="1">
      <alignment horizontal="center" vertical="center" wrapText="1"/>
    </xf>
    <xf numFmtId="0" fontId="91" fillId="16" borderId="19" xfId="8" applyFont="1" applyFill="1" applyBorder="1" applyAlignment="1">
      <alignment vertical="center" wrapText="1"/>
    </xf>
    <xf numFmtId="0" fontId="91" fillId="16" borderId="19" xfId="8" applyFont="1" applyFill="1" applyBorder="1" applyAlignment="1">
      <alignment horizontal="center" vertical="center" wrapText="1"/>
    </xf>
    <xf numFmtId="0" fontId="91" fillId="16" borderId="33" xfId="8" applyFont="1" applyFill="1" applyBorder="1" applyAlignment="1">
      <alignment horizontal="center" vertical="center" wrapText="1"/>
    </xf>
    <xf numFmtId="0" fontId="91" fillId="15" borderId="64" xfId="8" applyFont="1" applyFill="1" applyBorder="1" applyAlignment="1">
      <alignment horizontal="center" vertical="center" wrapText="1"/>
    </xf>
    <xf numFmtId="0" fontId="91" fillId="15" borderId="19" xfId="8" applyFont="1" applyFill="1" applyBorder="1" applyAlignment="1">
      <alignment horizontal="center" vertical="center" wrapText="1"/>
    </xf>
    <xf numFmtId="0" fontId="91" fillId="17" borderId="18" xfId="8" applyFont="1" applyFill="1" applyBorder="1" applyAlignment="1">
      <alignment horizontal="center" vertical="center" wrapText="1"/>
    </xf>
    <xf numFmtId="0" fontId="91" fillId="17" borderId="19" xfId="8" applyFont="1" applyFill="1" applyBorder="1" applyAlignment="1">
      <alignment horizontal="center" vertical="center" wrapText="1"/>
    </xf>
    <xf numFmtId="0" fontId="91" fillId="17" borderId="20" xfId="8" applyFont="1" applyFill="1" applyBorder="1" applyAlignment="1">
      <alignment horizontal="center" vertical="center" wrapText="1"/>
    </xf>
    <xf numFmtId="0" fontId="29" fillId="17" borderId="16" xfId="8" applyFont="1" applyFill="1" applyBorder="1" applyAlignment="1">
      <alignment horizontal="center" vertical="center" wrapText="1"/>
    </xf>
    <xf numFmtId="0" fontId="29" fillId="17" borderId="25" xfId="8" applyFont="1" applyFill="1" applyBorder="1" applyAlignment="1">
      <alignment horizontal="center" vertical="center" wrapText="1"/>
    </xf>
    <xf numFmtId="0" fontId="29" fillId="17" borderId="34" xfId="8" applyFont="1" applyFill="1" applyBorder="1" applyAlignment="1">
      <alignment horizontal="center" vertical="center" wrapText="1"/>
    </xf>
    <xf numFmtId="0" fontId="29" fillId="17" borderId="36" xfId="8" applyFont="1" applyFill="1" applyBorder="1" applyAlignment="1">
      <alignment horizontal="center" vertical="center" wrapText="1"/>
    </xf>
    <xf numFmtId="0" fontId="87" fillId="0" borderId="0" xfId="8" applyFont="1" applyAlignment="1">
      <alignment horizontal="center" vertical="top" wrapText="1"/>
    </xf>
    <xf numFmtId="0" fontId="87" fillId="0" borderId="0" xfId="8" applyFont="1" applyAlignment="1">
      <alignment vertical="top" wrapText="1"/>
    </xf>
    <xf numFmtId="0" fontId="88" fillId="0" borderId="0" xfId="8" applyFont="1" applyAlignment="1">
      <alignment horizontal="center" vertical="center" wrapText="1"/>
    </xf>
    <xf numFmtId="0" fontId="89" fillId="0" borderId="0" xfId="8" applyFont="1" applyAlignment="1">
      <alignment vertical="center" wrapText="1"/>
    </xf>
    <xf numFmtId="0" fontId="90" fillId="0" borderId="0" xfId="8" applyFont="1" applyAlignment="1">
      <alignment vertical="top" wrapText="1"/>
    </xf>
    <xf numFmtId="0" fontId="90" fillId="0" borderId="81" xfId="8" applyFont="1" applyBorder="1" applyAlignment="1">
      <alignment vertical="top" wrapText="1"/>
    </xf>
    <xf numFmtId="0" fontId="75" fillId="0" borderId="81" xfId="8" applyFont="1" applyBorder="1" applyAlignment="1">
      <alignment vertical="top" wrapText="1"/>
    </xf>
    <xf numFmtId="0" fontId="15" fillId="0" borderId="0" xfId="16" applyFont="1" applyAlignment="1">
      <alignment horizontal="center"/>
    </xf>
    <xf numFmtId="0" fontId="14" fillId="0" borderId="0" xfId="16" applyFont="1" applyAlignment="1">
      <alignment horizontal="center"/>
    </xf>
    <xf numFmtId="0" fontId="16" fillId="0" borderId="0" xfId="16" applyFont="1" applyAlignment="1">
      <alignment horizontal="center"/>
    </xf>
    <xf numFmtId="0" fontId="12" fillId="0" borderId="0" xfId="16" applyFont="1" applyAlignment="1">
      <alignment horizontal="center"/>
    </xf>
    <xf numFmtId="0" fontId="37" fillId="0" borderId="0" xfId="15" applyFont="1" applyAlignment="1">
      <alignment horizontal="center"/>
    </xf>
    <xf numFmtId="0" fontId="105" fillId="0" borderId="0" xfId="15" applyAlignment="1">
      <alignment horizontal="center"/>
    </xf>
    <xf numFmtId="0" fontId="9" fillId="0" borderId="7" xfId="15" applyFont="1" applyBorder="1" applyAlignment="1">
      <alignment horizontal="center" vertical="center"/>
    </xf>
    <xf numFmtId="0" fontId="9" fillId="0" borderId="44" xfId="15" applyFont="1" applyBorder="1" applyAlignment="1">
      <alignment horizontal="center" vertical="center"/>
    </xf>
    <xf numFmtId="0" fontId="9" fillId="0" borderId="47" xfId="15" applyFont="1" applyBorder="1" applyAlignment="1">
      <alignment horizontal="center" vertical="center"/>
    </xf>
    <xf numFmtId="0" fontId="9" fillId="0" borderId="7" xfId="15" applyFont="1" applyBorder="1" applyAlignment="1">
      <alignment horizontal="center" vertical="center" wrapText="1"/>
    </xf>
    <xf numFmtId="0" fontId="9" fillId="0" borderId="27" xfId="15" applyFont="1" applyBorder="1" applyAlignment="1">
      <alignment horizontal="center" vertical="center" wrapText="1"/>
    </xf>
    <xf numFmtId="0" fontId="9" fillId="0" borderId="27" xfId="15" applyFont="1" applyBorder="1" applyAlignment="1">
      <alignment horizontal="center" vertical="center"/>
    </xf>
    <xf numFmtId="0" fontId="9" fillId="0" borderId="17" xfId="15" applyFont="1" applyBorder="1" applyAlignment="1">
      <alignment horizontal="center" vertical="center" wrapText="1"/>
    </xf>
    <xf numFmtId="0" fontId="9" fillId="0" borderId="26" xfId="15" applyFont="1" applyBorder="1" applyAlignment="1">
      <alignment horizontal="center" vertical="center" wrapText="1"/>
    </xf>
    <xf numFmtId="0" fontId="9" fillId="0" borderId="45" xfId="15" applyFont="1" applyBorder="1" applyAlignment="1">
      <alignment horizontal="center" vertical="center"/>
    </xf>
    <xf numFmtId="0" fontId="9" fillId="0" borderId="48" xfId="15" applyFont="1" applyBorder="1" applyAlignment="1">
      <alignment horizontal="center" vertical="center"/>
    </xf>
    <xf numFmtId="0" fontId="53" fillId="0" borderId="0" xfId="0" applyFont="1" applyAlignment="1">
      <alignment horizontal="center"/>
    </xf>
    <xf numFmtId="0" fontId="37" fillId="0" borderId="0" xfId="0" applyFont="1" applyAlignment="1">
      <alignment horizontal="center"/>
    </xf>
    <xf numFmtId="0" fontId="0" fillId="0" borderId="0" xfId="0" applyAlignment="1">
      <alignment horizontal="center"/>
    </xf>
    <xf numFmtId="0" fontId="9" fillId="0" borderId="7" xfId="0" applyFont="1" applyBorder="1" applyAlignment="1">
      <alignment horizontal="center" vertical="center"/>
    </xf>
    <xf numFmtId="0" fontId="9" fillId="0" borderId="44" xfId="0" applyFont="1" applyBorder="1" applyAlignment="1">
      <alignment horizontal="center" vertical="center"/>
    </xf>
    <xf numFmtId="0" fontId="9" fillId="0" borderId="47" xfId="0" applyFont="1" applyBorder="1" applyAlignment="1">
      <alignment horizontal="center" vertical="center"/>
    </xf>
    <xf numFmtId="0" fontId="9" fillId="0" borderId="7" xfId="0" applyFont="1" applyBorder="1" applyAlignment="1">
      <alignment horizontal="center" vertical="center" wrapText="1"/>
    </xf>
    <xf numFmtId="0" fontId="9" fillId="0" borderId="27" xfId="0" applyFont="1" applyBorder="1" applyAlignment="1">
      <alignment horizontal="center" vertical="center" wrapText="1"/>
    </xf>
    <xf numFmtId="0" fontId="9" fillId="0" borderId="27" xfId="0" applyFont="1" applyBorder="1" applyAlignment="1">
      <alignment horizontal="center" vertical="center"/>
    </xf>
    <xf numFmtId="0" fontId="9" fillId="0" borderId="17" xfId="0" applyFont="1" applyBorder="1" applyAlignment="1">
      <alignment horizontal="center" vertical="center" wrapText="1"/>
    </xf>
    <xf numFmtId="0" fontId="9" fillId="0" borderId="26" xfId="0" applyFont="1" applyBorder="1" applyAlignment="1">
      <alignment horizontal="center" vertical="center" wrapText="1"/>
    </xf>
    <xf numFmtId="0" fontId="9" fillId="0" borderId="45" xfId="0" applyFont="1" applyBorder="1" applyAlignment="1">
      <alignment horizontal="center" vertical="center"/>
    </xf>
    <xf numFmtId="0" fontId="9" fillId="0" borderId="48" xfId="0" applyFont="1" applyBorder="1" applyAlignment="1">
      <alignment horizontal="center" vertical="center"/>
    </xf>
    <xf numFmtId="0" fontId="38" fillId="0" borderId="31" xfId="0" applyFont="1" applyBorder="1" applyAlignment="1">
      <alignment horizontal="center" vertical="center"/>
    </xf>
    <xf numFmtId="0" fontId="38" fillId="0" borderId="37" xfId="0" applyFont="1" applyBorder="1" applyAlignment="1">
      <alignment horizontal="center" vertical="center"/>
    </xf>
    <xf numFmtId="0" fontId="38" fillId="0" borderId="65" xfId="0" applyFont="1" applyBorder="1" applyAlignment="1">
      <alignment horizontal="center"/>
    </xf>
    <xf numFmtId="0" fontId="38" fillId="0" borderId="64" xfId="0" applyFont="1" applyBorder="1" applyAlignment="1">
      <alignment horizontal="center"/>
    </xf>
    <xf numFmtId="0" fontId="38" fillId="0" borderId="19" xfId="0" applyFont="1" applyBorder="1" applyAlignment="1">
      <alignment horizontal="center"/>
    </xf>
    <xf numFmtId="0" fontId="38" fillId="0" borderId="33" xfId="0" applyFont="1" applyBorder="1" applyAlignment="1">
      <alignment horizontal="center"/>
    </xf>
    <xf numFmtId="0" fontId="38" fillId="0" borderId="55" xfId="0" applyFont="1" applyBorder="1" applyAlignment="1">
      <alignment horizontal="left" vertical="center" indent="5"/>
    </xf>
    <xf numFmtId="0" fontId="38" fillId="0" borderId="56" xfId="0" applyFont="1" applyBorder="1" applyAlignment="1">
      <alignment horizontal="center" vertical="center"/>
    </xf>
    <xf numFmtId="0" fontId="38" fillId="0" borderId="65" xfId="0" applyFont="1" applyBorder="1" applyAlignment="1">
      <alignment horizontal="center" vertical="center"/>
    </xf>
    <xf numFmtId="0" fontId="41" fillId="0" borderId="0" xfId="0" applyFont="1" applyAlignment="1">
      <alignment horizontal="center"/>
    </xf>
    <xf numFmtId="0" fontId="42" fillId="0" borderId="0" xfId="0" applyFont="1" applyAlignment="1">
      <alignment horizontal="center"/>
    </xf>
    <xf numFmtId="0" fontId="9" fillId="0" borderId="0" xfId="0" applyFont="1" applyAlignment="1">
      <alignment horizontal="center"/>
    </xf>
    <xf numFmtId="0" fontId="37" fillId="0" borderId="0" xfId="0" applyFont="1" applyAlignment="1">
      <alignment horizontal="center" vertical="center"/>
    </xf>
    <xf numFmtId="0" fontId="36" fillId="0" borderId="0" xfId="0" applyFont="1" applyAlignment="1">
      <alignment horizontal="center" vertical="center"/>
    </xf>
    <xf numFmtId="0" fontId="38" fillId="0" borderId="0" xfId="0" applyFont="1" applyAlignment="1">
      <alignment horizontal="center" vertical="center"/>
    </xf>
    <xf numFmtId="0" fontId="38" fillId="0" borderId="44" xfId="0" applyFont="1" applyBorder="1" applyAlignment="1">
      <alignment horizontal="center" vertical="center" wrapText="1"/>
    </xf>
    <xf numFmtId="0" fontId="38" fillId="0" borderId="45" xfId="0" applyFont="1" applyBorder="1" applyAlignment="1">
      <alignment horizontal="center" vertical="center" wrapText="1"/>
    </xf>
    <xf numFmtId="0" fontId="38" fillId="0" borderId="46" xfId="0" applyFont="1" applyBorder="1" applyAlignment="1">
      <alignment horizontal="center" vertical="center" wrapText="1"/>
    </xf>
    <xf numFmtId="0" fontId="36" fillId="0" borderId="46" xfId="0" applyFont="1" applyBorder="1" applyAlignment="1">
      <alignment horizontal="center" vertical="center"/>
    </xf>
    <xf numFmtId="0" fontId="36" fillId="0" borderId="45" xfId="0" applyFont="1" applyBorder="1" applyAlignment="1">
      <alignment horizontal="center" vertical="center"/>
    </xf>
    <xf numFmtId="0" fontId="19" fillId="0" borderId="34" xfId="8" applyFont="1" applyBorder="1" applyAlignment="1">
      <alignment horizontal="center" vertical="center"/>
    </xf>
    <xf numFmtId="0" fontId="19" fillId="0" borderId="35" xfId="8" applyFont="1" applyBorder="1" applyAlignment="1">
      <alignment horizontal="center" vertical="center"/>
    </xf>
    <xf numFmtId="0" fontId="19" fillId="0" borderId="36" xfId="8" applyFont="1" applyBorder="1" applyAlignment="1">
      <alignment horizontal="center" vertical="center"/>
    </xf>
    <xf numFmtId="0" fontId="19" fillId="0" borderId="13" xfId="8" applyFont="1" applyBorder="1" applyAlignment="1">
      <alignment horizontal="center" vertical="center" wrapText="1"/>
    </xf>
    <xf numFmtId="0" fontId="19" fillId="0" borderId="12" xfId="8" applyFont="1" applyBorder="1" applyAlignment="1">
      <alignment horizontal="center" vertical="center" wrapText="1"/>
    </xf>
    <xf numFmtId="0" fontId="19" fillId="0" borderId="23" xfId="8" applyFont="1" applyBorder="1" applyAlignment="1">
      <alignment horizontal="center" vertical="center" wrapText="1"/>
    </xf>
    <xf numFmtId="0" fontId="19" fillId="0" borderId="15" xfId="8" applyFont="1" applyBorder="1" applyAlignment="1">
      <alignment horizontal="center" vertical="center" wrapText="1"/>
    </xf>
    <xf numFmtId="0" fontId="19" fillId="0" borderId="0" xfId="8" applyFont="1" applyAlignment="1">
      <alignment horizontal="center" vertical="center" wrapText="1"/>
    </xf>
    <xf numFmtId="0" fontId="19" fillId="0" borderId="24" xfId="8" applyFont="1" applyBorder="1" applyAlignment="1">
      <alignment horizontal="center" vertical="center" wrapText="1"/>
    </xf>
    <xf numFmtId="0" fontId="19" fillId="0" borderId="17" xfId="8" applyFont="1" applyBorder="1" applyAlignment="1">
      <alignment horizontal="center" vertical="center"/>
    </xf>
    <xf numFmtId="0" fontId="19" fillId="0" borderId="22" xfId="8" applyFont="1" applyBorder="1" applyAlignment="1">
      <alignment horizontal="center" vertical="center"/>
    </xf>
    <xf numFmtId="0" fontId="19" fillId="0" borderId="26" xfId="8" applyFont="1" applyBorder="1" applyAlignment="1">
      <alignment horizontal="center" vertical="center"/>
    </xf>
    <xf numFmtId="0" fontId="19" fillId="0" borderId="17" xfId="8" applyFont="1" applyBorder="1" applyAlignment="1">
      <alignment horizontal="center" vertical="center" wrapText="1"/>
    </xf>
    <xf numFmtId="0" fontId="19" fillId="0" borderId="22" xfId="8" applyFont="1" applyBorder="1" applyAlignment="1">
      <alignment horizontal="center" vertical="center" wrapText="1"/>
    </xf>
    <xf numFmtId="0" fontId="19" fillId="0" borderId="26" xfId="8" applyFont="1" applyBorder="1" applyAlignment="1">
      <alignment horizontal="center" vertical="center" wrapText="1"/>
    </xf>
    <xf numFmtId="0" fontId="19" fillId="0" borderId="15" xfId="8" applyFont="1" applyBorder="1" applyAlignment="1">
      <alignment horizontal="center"/>
    </xf>
    <xf numFmtId="0" fontId="19" fillId="0" borderId="0" xfId="8" applyFont="1" applyAlignment="1">
      <alignment horizontal="center"/>
    </xf>
    <xf numFmtId="0" fontId="19" fillId="0" borderId="24" xfId="8" applyFont="1" applyBorder="1" applyAlignment="1">
      <alignment horizontal="center"/>
    </xf>
    <xf numFmtId="0" fontId="20" fillId="0" borderId="0" xfId="8" applyFont="1" applyAlignment="1">
      <alignment horizontal="center"/>
    </xf>
    <xf numFmtId="0" fontId="21" fillId="0" borderId="0" xfId="8" applyFont="1" applyAlignment="1">
      <alignment horizontal="center"/>
    </xf>
    <xf numFmtId="167" fontId="21" fillId="0" borderId="18" xfId="8" applyNumberFormat="1" applyFont="1" applyBorder="1" applyAlignment="1">
      <alignment horizontal="center" vertical="center"/>
    </xf>
    <xf numFmtId="167" fontId="21" fillId="0" borderId="19" xfId="8" applyNumberFormat="1" applyFont="1" applyBorder="1" applyAlignment="1">
      <alignment horizontal="center" vertical="center"/>
    </xf>
    <xf numFmtId="167" fontId="21" fillId="0" borderId="20" xfId="8" applyNumberFormat="1" applyFont="1" applyBorder="1" applyAlignment="1">
      <alignment horizontal="center" vertical="center"/>
    </xf>
    <xf numFmtId="0" fontId="21" fillId="0" borderId="18" xfId="8" applyFont="1" applyBorder="1" applyAlignment="1">
      <alignment horizontal="center" vertical="center"/>
    </xf>
    <xf numFmtId="0" fontId="21" fillId="0" borderId="19" xfId="8" applyFont="1" applyBorder="1" applyAlignment="1">
      <alignment horizontal="center" vertical="center"/>
    </xf>
    <xf numFmtId="0" fontId="22" fillId="0" borderId="15" xfId="8" applyFont="1" applyBorder="1" applyAlignment="1">
      <alignment horizontal="center"/>
    </xf>
    <xf numFmtId="0" fontId="22" fillId="0" borderId="0" xfId="8" applyFont="1" applyAlignment="1">
      <alignment horizontal="center"/>
    </xf>
    <xf numFmtId="0" fontId="22" fillId="0" borderId="24" xfId="8" applyFont="1" applyBorder="1" applyAlignment="1">
      <alignment horizontal="center"/>
    </xf>
    <xf numFmtId="15" fontId="19" fillId="0" borderId="15" xfId="8" applyNumberFormat="1" applyFont="1" applyBorder="1" applyAlignment="1">
      <alignment horizontal="center"/>
    </xf>
    <xf numFmtId="15" fontId="19" fillId="0" borderId="0" xfId="8" applyNumberFormat="1" applyFont="1" applyAlignment="1">
      <alignment horizontal="center"/>
    </xf>
    <xf numFmtId="15" fontId="19" fillId="0" borderId="32" xfId="8" applyNumberFormat="1" applyFont="1" applyBorder="1" applyAlignment="1">
      <alignment horizontal="center"/>
    </xf>
    <xf numFmtId="0" fontId="21" fillId="0" borderId="16" xfId="8" applyFont="1" applyBorder="1" applyAlignment="1">
      <alignment horizontal="center" vertical="center"/>
    </xf>
    <xf numFmtId="0" fontId="21" fillId="0" borderId="21" xfId="8" applyFont="1" applyBorder="1" applyAlignment="1">
      <alignment horizontal="center" vertical="center"/>
    </xf>
    <xf numFmtId="0" fontId="21" fillId="0" borderId="25" xfId="8" applyFont="1" applyBorder="1" applyAlignment="1">
      <alignment horizontal="center" vertical="center"/>
    </xf>
    <xf numFmtId="0" fontId="21" fillId="0" borderId="17" xfId="8" applyFont="1" applyBorder="1" applyAlignment="1">
      <alignment horizontal="center" vertical="center" wrapText="1"/>
    </xf>
    <xf numFmtId="0" fontId="21" fillId="0" borderId="22" xfId="8" applyFont="1" applyBorder="1" applyAlignment="1">
      <alignment horizontal="center" vertical="center" wrapText="1"/>
    </xf>
    <xf numFmtId="0" fontId="21" fillId="0" borderId="26" xfId="8" applyFont="1" applyBorder="1" applyAlignment="1">
      <alignment horizontal="center" vertical="center" wrapText="1"/>
    </xf>
    <xf numFmtId="167" fontId="19" fillId="0" borderId="17" xfId="8" applyNumberFormat="1" applyFont="1" applyBorder="1" applyAlignment="1">
      <alignment horizontal="center" vertical="center"/>
    </xf>
    <xf numFmtId="167" fontId="19" fillId="0" borderId="22" xfId="8" applyNumberFormat="1" applyFont="1" applyBorder="1" applyAlignment="1">
      <alignment horizontal="center" vertical="center"/>
    </xf>
    <xf numFmtId="167" fontId="19" fillId="0" borderId="26" xfId="8" applyNumberFormat="1" applyFont="1" applyBorder="1" applyAlignment="1">
      <alignment horizontal="center" vertical="center"/>
    </xf>
    <xf numFmtId="164" fontId="21" fillId="0" borderId="17" xfId="12" applyFont="1" applyFill="1" applyBorder="1" applyAlignment="1">
      <alignment horizontal="center" vertical="center" wrapText="1"/>
    </xf>
    <xf numFmtId="164" fontId="21" fillId="0" borderId="22" xfId="12" applyFont="1" applyFill="1" applyBorder="1" applyAlignment="1">
      <alignment horizontal="center" vertical="center" wrapText="1"/>
    </xf>
    <xf numFmtId="164" fontId="21" fillId="0" borderId="26" xfId="12" applyFont="1" applyFill="1" applyBorder="1" applyAlignment="1">
      <alignment horizontal="center" vertical="center" wrapText="1"/>
    </xf>
    <xf numFmtId="0" fontId="15" fillId="0" borderId="0" xfId="9" applyFont="1" applyAlignment="1">
      <alignment horizontal="center" vertical="center"/>
    </xf>
    <xf numFmtId="0" fontId="14" fillId="0" borderId="0" xfId="9" applyFont="1" applyAlignment="1">
      <alignment horizontal="center" vertical="center"/>
    </xf>
    <xf numFmtId="0" fontId="16" fillId="0" borderId="0" xfId="9" applyFont="1" applyAlignment="1">
      <alignment horizontal="center" vertical="center"/>
    </xf>
    <xf numFmtId="0" fontId="12" fillId="0" borderId="0" xfId="9" applyFont="1" applyAlignment="1">
      <alignment horizontal="center" vertical="center"/>
    </xf>
    <xf numFmtId="0" fontId="13" fillId="0" borderId="7" xfId="9" applyFont="1" applyBorder="1" applyAlignment="1">
      <alignment horizontal="center" vertical="center" wrapText="1"/>
    </xf>
    <xf numFmtId="0" fontId="13" fillId="0" borderId="8" xfId="9" applyFont="1" applyBorder="1" applyAlignment="1">
      <alignment horizontal="center" vertical="center" wrapText="1"/>
    </xf>
    <xf numFmtId="0" fontId="1" fillId="0" borderId="0" xfId="0" applyFont="1" applyAlignment="1">
      <alignment horizontal="center" vertical="center"/>
    </xf>
    <xf numFmtId="0" fontId="107" fillId="0" borderId="0" xfId="0" applyFont="1"/>
    <xf numFmtId="0" fontId="107" fillId="0" borderId="38" xfId="0" applyFont="1" applyBorder="1" applyAlignment="1">
      <alignment wrapText="1"/>
    </xf>
    <xf numFmtId="0" fontId="107" fillId="0" borderId="38" xfId="0" applyFont="1" applyBorder="1" applyAlignment="1">
      <alignment vertical="top" wrapText="1"/>
    </xf>
    <xf numFmtId="0" fontId="107" fillId="0" borderId="38" xfId="0" applyFont="1" applyBorder="1" applyAlignment="1">
      <alignment horizontal="center" vertical="top"/>
    </xf>
    <xf numFmtId="0" fontId="107" fillId="0" borderId="38" xfId="0" applyFont="1" applyBorder="1" applyAlignment="1">
      <alignment horizontal="center" vertical="top" wrapText="1"/>
    </xf>
    <xf numFmtId="0" fontId="107" fillId="0" borderId="38" xfId="0" applyFont="1" applyBorder="1" applyAlignment="1">
      <alignment horizontal="center" vertical="center" wrapText="1"/>
    </xf>
    <xf numFmtId="0" fontId="107" fillId="0" borderId="38" xfId="0" applyFont="1" applyBorder="1" applyAlignment="1">
      <alignment horizontal="center" wrapText="1"/>
    </xf>
    <xf numFmtId="0" fontId="107" fillId="0" borderId="70" xfId="0" applyFont="1" applyBorder="1" applyAlignment="1">
      <alignment vertical="top"/>
    </xf>
    <xf numFmtId="0" fontId="107" fillId="0" borderId="10" xfId="0" applyFont="1" applyBorder="1" applyAlignment="1">
      <alignment vertical="top"/>
    </xf>
    <xf numFmtId="0" fontId="107" fillId="0" borderId="70" xfId="0" applyFont="1" applyBorder="1" applyAlignment="1">
      <alignment vertical="top" wrapText="1"/>
    </xf>
    <xf numFmtId="0" fontId="107" fillId="0" borderId="70" xfId="0" applyFont="1" applyBorder="1" applyAlignment="1">
      <alignment wrapText="1"/>
    </xf>
    <xf numFmtId="0" fontId="107" fillId="0" borderId="70" xfId="0" applyFont="1" applyBorder="1"/>
    <xf numFmtId="0" fontId="107" fillId="0" borderId="10" xfId="0" applyFont="1" applyBorder="1" applyAlignment="1">
      <alignment horizontal="center" vertical="top"/>
    </xf>
    <xf numFmtId="0" fontId="107" fillId="0" borderId="47" xfId="0" applyFont="1" applyBorder="1" applyAlignment="1">
      <alignment wrapText="1"/>
    </xf>
    <xf numFmtId="0" fontId="107" fillId="0" borderId="27" xfId="0" applyFont="1" applyBorder="1" applyAlignment="1">
      <alignment horizontal="center" vertical="top"/>
    </xf>
    <xf numFmtId="0" fontId="107" fillId="0" borderId="48" xfId="0" applyFont="1" applyBorder="1" applyAlignment="1">
      <alignment vertical="top"/>
    </xf>
    <xf numFmtId="0" fontId="107" fillId="0" borderId="73" xfId="0" applyFont="1" applyBorder="1" applyAlignment="1">
      <alignment vertical="top"/>
    </xf>
    <xf numFmtId="0" fontId="107" fillId="0" borderId="40" xfId="0" applyFont="1" applyBorder="1" applyAlignment="1">
      <alignment horizontal="center"/>
    </xf>
    <xf numFmtId="0" fontId="110" fillId="0" borderId="40" xfId="0" applyFont="1" applyBorder="1" applyAlignment="1">
      <alignment horizontal="center"/>
    </xf>
    <xf numFmtId="0" fontId="110" fillId="0" borderId="77" xfId="0" applyFont="1" applyBorder="1" applyAlignment="1">
      <alignment horizontal="center"/>
    </xf>
    <xf numFmtId="0" fontId="109" fillId="28" borderId="100" xfId="0" applyFont="1" applyFill="1" applyBorder="1" applyAlignment="1">
      <alignment horizontal="center"/>
    </xf>
    <xf numFmtId="0" fontId="109" fillId="28" borderId="72" xfId="0" applyFont="1" applyFill="1" applyBorder="1" applyAlignment="1">
      <alignment horizontal="center"/>
    </xf>
    <xf numFmtId="0" fontId="108" fillId="28" borderId="11" xfId="0" applyFont="1" applyFill="1" applyBorder="1" applyAlignment="1">
      <alignment horizontal="center"/>
    </xf>
    <xf numFmtId="0" fontId="108" fillId="28" borderId="28" xfId="0" applyFont="1" applyFill="1" applyBorder="1" applyAlignment="1">
      <alignment horizontal="center"/>
    </xf>
    <xf numFmtId="0" fontId="108" fillId="31" borderId="12" xfId="0" applyFont="1" applyFill="1" applyBorder="1" applyAlignment="1">
      <alignment horizontal="center"/>
    </xf>
    <xf numFmtId="0" fontId="108" fillId="31" borderId="31" xfId="0" applyFont="1" applyFill="1" applyBorder="1" applyAlignment="1">
      <alignment horizontal="center"/>
    </xf>
    <xf numFmtId="0" fontId="107" fillId="28" borderId="0" xfId="0" applyFont="1" applyFill="1" applyAlignment="1">
      <alignment wrapText="1"/>
    </xf>
  </cellXfs>
  <cellStyles count="17">
    <cellStyle name="Bad" xfId="5" builtinId="27"/>
    <cellStyle name="Comma" xfId="1" builtinId="3"/>
    <cellStyle name="Comma 2" xfId="12" xr:uid="{00000000-0005-0000-0000-000002000000}"/>
    <cellStyle name="Comma 2 2" xfId="11" xr:uid="{00000000-0005-0000-0000-000003000000}"/>
    <cellStyle name="Comma 3" xfId="13" xr:uid="{00000000-0005-0000-0000-000004000000}"/>
    <cellStyle name="Good" xfId="4" builtinId="26"/>
    <cellStyle name="Hyperlink 2" xfId="14" xr:uid="{00000000-0005-0000-0000-000006000000}"/>
    <cellStyle name="Neutral" xfId="7" builtinId="28"/>
    <cellStyle name="Normal" xfId="0" builtinId="0"/>
    <cellStyle name="Normal 2" xfId="8" xr:uid="{00000000-0005-0000-0000-000009000000}"/>
    <cellStyle name="Normal 2 2" xfId="15" xr:uid="{00000000-0005-0000-0000-00000A000000}"/>
    <cellStyle name="Normal 3" xfId="9" xr:uid="{00000000-0005-0000-0000-00000B000000}"/>
    <cellStyle name="Normal 3 2" xfId="16" xr:uid="{00000000-0005-0000-0000-00000C000000}"/>
    <cellStyle name="Normal 3 3" xfId="6" xr:uid="{00000000-0005-0000-0000-00000D000000}"/>
    <cellStyle name="Normal 4" xfId="3" xr:uid="{00000000-0005-0000-0000-00000E000000}"/>
    <cellStyle name="Normal 5" xfId="2" xr:uid="{00000000-0005-0000-0000-00000F000000}"/>
    <cellStyle name="Percent 2" xfId="10" xr:uid="{00000000-0005-0000-0000-000010000000}"/>
  </cellStyles>
  <dxfs count="357">
    <dxf>
      <fill>
        <patternFill patternType="solid">
          <bgColor rgb="FFE896F8"/>
        </patternFill>
      </fill>
    </dxf>
    <dxf>
      <font>
        <color theme="0"/>
      </font>
      <fill>
        <patternFill patternType="solid">
          <bgColor rgb="FFE959CA"/>
        </patternFill>
      </fill>
    </dxf>
    <dxf>
      <font>
        <color theme="1" tint="4.9989318521683403E-2"/>
      </font>
      <fill>
        <patternFill patternType="solid">
          <fgColor theme="0" tint="-0.34998626667073579"/>
          <bgColor rgb="FFCF3D89"/>
        </patternFill>
      </fill>
    </dxf>
    <dxf>
      <fill>
        <gradientFill degree="90">
          <stop position="0">
            <color rgb="FFFFFF00"/>
          </stop>
          <stop position="1">
            <color rgb="FFFF00FF"/>
          </stop>
        </gradientFill>
      </fill>
    </dxf>
    <dxf>
      <fill>
        <patternFill patternType="solid">
          <bgColor rgb="FFFF0168"/>
        </patternFill>
      </fill>
    </dxf>
    <dxf>
      <font>
        <color theme="1"/>
      </font>
      <fill>
        <patternFill patternType="solid">
          <bgColor rgb="FFFFFF00"/>
        </patternFill>
      </fill>
    </dxf>
    <dxf>
      <fill>
        <patternFill patternType="solid">
          <bgColor rgb="FFE896F8"/>
        </patternFill>
      </fill>
    </dxf>
    <dxf>
      <font>
        <color theme="0"/>
      </font>
      <fill>
        <patternFill patternType="solid">
          <bgColor rgb="FFE959CA"/>
        </patternFill>
      </fill>
    </dxf>
    <dxf>
      <font>
        <color theme="1" tint="4.9989318521683403E-2"/>
      </font>
      <fill>
        <patternFill patternType="solid">
          <fgColor theme="0" tint="-0.34998626667073579"/>
          <bgColor rgb="FFCF3D89"/>
        </patternFill>
      </fill>
    </dxf>
    <dxf>
      <fill>
        <gradientFill degree="90">
          <stop position="0">
            <color rgb="FFFFFF00"/>
          </stop>
          <stop position="1">
            <color rgb="FFFF00FF"/>
          </stop>
        </gradientFill>
      </fill>
    </dxf>
    <dxf>
      <fill>
        <patternFill patternType="solid">
          <bgColor rgb="FFFF0168"/>
        </patternFill>
      </fill>
    </dxf>
    <dxf>
      <font>
        <color theme="1"/>
      </font>
      <fill>
        <patternFill patternType="solid">
          <bgColor rgb="FFFFFF00"/>
        </patternFill>
      </fill>
    </dxf>
    <dxf>
      <fill>
        <patternFill patternType="solid">
          <bgColor rgb="FFE896F8"/>
        </patternFill>
      </fill>
    </dxf>
    <dxf>
      <font>
        <color theme="0"/>
      </font>
      <fill>
        <patternFill patternType="solid">
          <bgColor rgb="FFE959CA"/>
        </patternFill>
      </fill>
    </dxf>
    <dxf>
      <font>
        <color theme="1" tint="4.9989318521683403E-2"/>
      </font>
      <fill>
        <patternFill patternType="solid">
          <fgColor theme="0" tint="-0.34998626667073579"/>
          <bgColor rgb="FFCF3D89"/>
        </patternFill>
      </fill>
    </dxf>
    <dxf>
      <fill>
        <gradientFill degree="90">
          <stop position="0">
            <color rgb="FFFFFF00"/>
          </stop>
          <stop position="1">
            <color rgb="FFFF00FF"/>
          </stop>
        </gradientFill>
      </fill>
    </dxf>
    <dxf>
      <fill>
        <patternFill patternType="solid">
          <bgColor rgb="FFFF0168"/>
        </patternFill>
      </fill>
    </dxf>
    <dxf>
      <font>
        <color theme="1"/>
      </font>
      <fill>
        <patternFill patternType="solid">
          <bgColor rgb="FFFFFF00"/>
        </patternFill>
      </fill>
    </dxf>
    <dxf>
      <fill>
        <patternFill patternType="solid">
          <bgColor rgb="FFE896F8"/>
        </patternFill>
      </fill>
    </dxf>
    <dxf>
      <font>
        <color theme="0"/>
      </font>
      <fill>
        <patternFill patternType="solid">
          <bgColor rgb="FFE959CA"/>
        </patternFill>
      </fill>
    </dxf>
    <dxf>
      <font>
        <color theme="1" tint="4.9989318521683403E-2"/>
      </font>
      <fill>
        <patternFill patternType="solid">
          <fgColor theme="0" tint="-0.34998626667073579"/>
          <bgColor rgb="FFCF3D89"/>
        </patternFill>
      </fill>
    </dxf>
    <dxf>
      <fill>
        <gradientFill degree="90">
          <stop position="0">
            <color rgb="FFFFFF00"/>
          </stop>
          <stop position="1">
            <color rgb="FFFF00FF"/>
          </stop>
        </gradientFill>
      </fill>
    </dxf>
    <dxf>
      <fill>
        <patternFill patternType="solid">
          <bgColor rgb="FFFF0168"/>
        </patternFill>
      </fill>
    </dxf>
    <dxf>
      <font>
        <color theme="1"/>
      </font>
      <fill>
        <patternFill patternType="solid">
          <bgColor rgb="FFFFFF00"/>
        </patternFill>
      </fill>
    </dxf>
    <dxf>
      <fill>
        <patternFill patternType="solid">
          <bgColor rgb="FFE896F8"/>
        </patternFill>
      </fill>
    </dxf>
    <dxf>
      <font>
        <color theme="0"/>
      </font>
      <fill>
        <patternFill patternType="solid">
          <bgColor rgb="FFE959CA"/>
        </patternFill>
      </fill>
    </dxf>
    <dxf>
      <font>
        <color theme="1" tint="4.9989318521683403E-2"/>
      </font>
      <fill>
        <patternFill patternType="solid">
          <fgColor theme="0" tint="-0.34998626667073579"/>
          <bgColor rgb="FFCF3D89"/>
        </patternFill>
      </fill>
    </dxf>
    <dxf>
      <fill>
        <gradientFill degree="90">
          <stop position="0">
            <color rgb="FFFFFF00"/>
          </stop>
          <stop position="1">
            <color rgb="FFFF00FF"/>
          </stop>
        </gradientFill>
      </fill>
    </dxf>
    <dxf>
      <fill>
        <patternFill patternType="solid">
          <bgColor rgb="FFFF0168"/>
        </patternFill>
      </fill>
    </dxf>
    <dxf>
      <font>
        <color theme="1"/>
      </font>
      <fill>
        <patternFill patternType="solid">
          <bgColor rgb="FFFFFF00"/>
        </patternFill>
      </fill>
    </dxf>
    <dxf>
      <font>
        <color rgb="FF9C0006"/>
      </font>
      <fill>
        <patternFill patternType="solid">
          <bgColor rgb="FFFFC7CE"/>
        </patternFill>
      </fill>
    </dxf>
    <dxf>
      <font>
        <color theme="0"/>
      </font>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theme="6" tint="0.59996337778862885"/>
      </font>
    </dxf>
    <dxf>
      <font>
        <color rgb="FF006100"/>
      </font>
      <fill>
        <patternFill patternType="solid">
          <bgColor rgb="FFC6EFCE"/>
        </patternFill>
      </fill>
    </dxf>
    <dxf>
      <font>
        <color rgb="FFFFC000"/>
      </font>
      <fill>
        <patternFill patternType="solid">
          <bgColor theme="9" tint="-0.24994659260841701"/>
        </patternFill>
      </fill>
      <border>
        <left style="thin">
          <color auto="1"/>
        </left>
        <right style="thin">
          <color auto="1"/>
        </right>
        <top style="thin">
          <color auto="1"/>
        </top>
        <bottom style="thin">
          <color auto="1"/>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ont>
        <color rgb="FF9C0006"/>
      </font>
      <fill>
        <patternFill patternType="solid">
          <bgColor rgb="FFFFC7CE"/>
        </patternFill>
      </fill>
    </dxf>
    <dxf>
      <font>
        <color rgb="FF9C0006"/>
      </font>
      <fill>
        <patternFill patternType="solid">
          <bgColor rgb="FFFFC7CE"/>
        </patternFill>
      </fill>
    </dxf>
    <dxf>
      <font>
        <color rgb="FFFFC000"/>
      </font>
      <fill>
        <patternFill patternType="solid">
          <bgColor theme="9" tint="-0.24994659260841701"/>
        </patternFill>
      </fill>
      <border>
        <left style="thin">
          <color auto="1"/>
        </left>
        <right style="thin">
          <color auto="1"/>
        </right>
        <top style="thin">
          <color auto="1"/>
        </top>
        <bottom style="thin">
          <color auto="1"/>
        </bottom>
      </border>
    </dxf>
    <dxf>
      <fill>
        <patternFill patternType="solid">
          <bgColor rgb="FF00B0F0"/>
        </patternFill>
      </fill>
      <border>
        <left style="thin">
          <color auto="1"/>
        </left>
        <right style="thin">
          <color auto="1"/>
        </right>
        <top style="thin">
          <color auto="1"/>
        </top>
        <bottom style="thin">
          <color auto="1"/>
        </bottom>
      </border>
    </dxf>
    <dxf>
      <fill>
        <patternFill patternType="solid">
          <bgColor rgb="FFFF00FF"/>
        </patternFill>
      </fill>
    </dxf>
    <dxf>
      <fill>
        <patternFill patternType="solid">
          <bgColor rgb="FF00B0F0"/>
        </patternFill>
      </fill>
      <border>
        <left style="thin">
          <color auto="1"/>
        </left>
        <right style="thin">
          <color auto="1"/>
        </right>
        <top style="thin">
          <color auto="1"/>
        </top>
        <bottom style="thin">
          <color auto="1"/>
        </bottom>
      </border>
    </dxf>
    <dxf>
      <fill>
        <patternFill patternType="solid">
          <bgColor rgb="FFFF00FF"/>
        </patternFill>
      </fill>
    </dxf>
    <dxf>
      <fill>
        <patternFill patternType="solid">
          <bgColor rgb="FF00B0F0"/>
        </patternFill>
      </fill>
      <border>
        <left style="thin">
          <color auto="1"/>
        </left>
        <right style="thin">
          <color auto="1"/>
        </right>
        <top style="thin">
          <color auto="1"/>
        </top>
        <bottom style="thin">
          <color auto="1"/>
        </bottom>
      </border>
    </dxf>
    <dxf>
      <fill>
        <patternFill patternType="solid">
          <bgColor rgb="FFFF00FF"/>
        </patternFill>
      </fill>
    </dxf>
    <dxf>
      <fill>
        <patternFill patternType="solid">
          <bgColor rgb="FF00B0F0"/>
        </patternFill>
      </fill>
      <border>
        <left style="thin">
          <color auto="1"/>
        </left>
        <right style="thin">
          <color auto="1"/>
        </right>
        <top style="thin">
          <color auto="1"/>
        </top>
        <bottom style="thin">
          <color auto="1"/>
        </bottom>
      </border>
    </dxf>
    <dxf>
      <fill>
        <patternFill patternType="solid">
          <bgColor rgb="FFFF00FF"/>
        </patternFill>
      </fill>
    </dxf>
    <dxf>
      <fill>
        <patternFill patternType="solid">
          <bgColor theme="9" tint="0.39970091860713525"/>
        </patternFill>
      </fill>
    </dxf>
    <dxf>
      <fill>
        <patternFill patternType="solid">
          <bgColor theme="9" tint="0.39970091860713525"/>
        </patternFill>
      </fill>
    </dxf>
    <dxf>
      <fill>
        <patternFill patternType="solid">
          <bgColor theme="9" tint="0.39970091860713525"/>
        </patternFill>
      </fill>
    </dxf>
    <dxf>
      <fill>
        <patternFill patternType="solid">
          <bgColor theme="9" tint="0.39970091860713525"/>
        </patternFill>
      </fill>
    </dxf>
    <dxf>
      <fill>
        <patternFill patternType="solid">
          <bgColor theme="9" tint="0.39970091860713525"/>
        </patternFill>
      </fill>
    </dxf>
    <dxf>
      <fill>
        <patternFill patternType="solid">
          <bgColor rgb="FFE896F8"/>
        </patternFill>
      </fill>
    </dxf>
    <dxf>
      <font>
        <color theme="0"/>
      </font>
      <fill>
        <patternFill patternType="solid">
          <bgColor rgb="FFE959CA"/>
        </patternFill>
      </fill>
    </dxf>
    <dxf>
      <font>
        <color theme="1" tint="4.9989318521683403E-2"/>
      </font>
      <fill>
        <patternFill patternType="solid">
          <fgColor theme="0" tint="-0.34998626667073579"/>
          <bgColor rgb="FFCF3D89"/>
        </patternFill>
      </fill>
    </dxf>
    <dxf>
      <fill>
        <gradientFill degree="90">
          <stop position="0">
            <color rgb="FFFFFF00"/>
          </stop>
          <stop position="1">
            <color rgb="FFFF00FF"/>
          </stop>
        </gradientFill>
      </fill>
    </dxf>
    <dxf>
      <fill>
        <patternFill patternType="solid">
          <bgColor rgb="FFFF0168"/>
        </patternFill>
      </fill>
    </dxf>
    <dxf>
      <font>
        <color theme="1"/>
      </font>
      <fill>
        <patternFill patternType="solid">
          <bgColor rgb="FFFFFF00"/>
        </patternFill>
      </fill>
    </dxf>
    <dxf>
      <fill>
        <patternFill patternType="solid">
          <bgColor rgb="FF00B0F0"/>
        </patternFill>
      </fill>
      <border>
        <left style="thin">
          <color auto="1"/>
        </left>
        <right style="thin">
          <color auto="1"/>
        </right>
        <top style="thin">
          <color auto="1"/>
        </top>
        <bottom style="thin">
          <color auto="1"/>
        </bottom>
      </border>
    </dxf>
    <dxf>
      <fill>
        <patternFill patternType="solid">
          <bgColor rgb="FFFF00FF"/>
        </patternFill>
      </fill>
    </dxf>
    <dxf>
      <fill>
        <patternFill patternType="solid">
          <bgColor rgb="FFE896F8"/>
        </patternFill>
      </fill>
    </dxf>
    <dxf>
      <font>
        <color theme="0"/>
      </font>
      <fill>
        <patternFill patternType="solid">
          <bgColor rgb="FFE959CA"/>
        </patternFill>
      </fill>
    </dxf>
    <dxf>
      <font>
        <color theme="1" tint="4.9989318521683403E-2"/>
      </font>
      <fill>
        <patternFill patternType="solid">
          <fgColor theme="0" tint="-0.34998626667073579"/>
          <bgColor rgb="FFCF3D89"/>
        </patternFill>
      </fill>
    </dxf>
    <dxf>
      <fill>
        <gradientFill degree="90">
          <stop position="0">
            <color rgb="FFFFFF00"/>
          </stop>
          <stop position="1">
            <color rgb="FFFF00FF"/>
          </stop>
        </gradientFill>
      </fill>
    </dxf>
    <dxf>
      <fill>
        <patternFill patternType="solid">
          <bgColor rgb="FFFF0168"/>
        </patternFill>
      </fill>
    </dxf>
    <dxf>
      <font>
        <color theme="1"/>
      </font>
      <fill>
        <patternFill patternType="solid">
          <bgColor rgb="FFFFFF00"/>
        </patternFill>
      </fill>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border>
        <left style="thin">
          <color rgb="FFFF0168"/>
        </left>
        <right style="thin">
          <color rgb="FFFF0168"/>
        </right>
        <top style="thin">
          <color rgb="FFFF0168"/>
        </top>
        <bottom style="thin">
          <color rgb="FFFF0168"/>
        </bottom>
      </border>
    </dxf>
    <dxf>
      <fill>
        <patternFill patternType="solid">
          <bgColor theme="9" tint="0.39970091860713525"/>
        </patternFill>
      </fill>
    </dxf>
    <dxf>
      <fill>
        <patternFill patternType="solid">
          <bgColor theme="9" tint="0.39970091860713525"/>
        </patternFill>
      </fill>
    </dxf>
    <dxf>
      <fill>
        <patternFill patternType="solid">
          <bgColor theme="9" tint="0.39970091860713525"/>
        </patternFill>
      </fill>
      <border>
        <left style="thin">
          <color rgb="FFFF0168"/>
        </left>
        <right style="thin">
          <color rgb="FFFF0168"/>
        </right>
        <top style="thin">
          <color rgb="FFFF0168"/>
        </top>
        <bottom style="thin">
          <color rgb="FFFF0168"/>
        </bottom>
      </border>
    </dxf>
  </dxfs>
  <tableStyles count="0" defaultTableStyle="TableStyleMedium9" defaultPivotStyle="PivotStyleLight16"/>
  <colors>
    <mruColors>
      <color rgb="FFADEDC7"/>
      <color rgb="FFFF9999"/>
      <color rgb="FFFFCCCC"/>
      <color rgb="FFFF0168"/>
      <color rgb="FFCC00CC"/>
      <color rgb="FFFF00FF"/>
      <color rgb="FFFFFF99"/>
      <color rgb="FFCF3D89"/>
      <color rgb="FFE16BD9"/>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calcChain" Target="calcChain.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rot="0" spcFirstLastPara="0" vertOverflow="ellipsis" vert="horz" wrap="square" anchor="ctr" anchorCtr="1"/>
        <a:lstStyle/>
        <a:p>
          <a:pPr>
            <a:defRPr lang="en-PH" sz="1800" b="1" i="0" u="none" strike="noStrike" kern="120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'HR Profile'!$T$10</c:f>
              <c:strCache>
                <c:ptCount val="1"/>
              </c:strCache>
            </c:strRef>
          </c:tx>
          <c:invertIfNegative val="0"/>
          <c:cat>
            <c:strRef>
              <c:f>'HR Profile'!$A$12:$A$16</c:f>
              <c:strCache>
                <c:ptCount val="5"/>
                <c:pt idx="0">
                  <c:v>21 – 29 y/o</c:v>
                </c:pt>
                <c:pt idx="1">
                  <c:v>30 – 39 y/o</c:v>
                </c:pt>
                <c:pt idx="2">
                  <c:v>40 – 49 y/o</c:v>
                </c:pt>
                <c:pt idx="3">
                  <c:v>50 – 59 y/o</c:v>
                </c:pt>
                <c:pt idx="4">
                  <c:v>60 – 65 y/o</c:v>
                </c:pt>
              </c:strCache>
            </c:strRef>
          </c:cat>
          <c:val>
            <c:numRef>
              <c:f>'HR Profile'!$T$12:$T$16</c:f>
              <c:numCache>
                <c:formatCode>General</c:formatCode>
                <c:ptCount val="5"/>
                <c:pt idx="0">
                  <c:v>1</c:v>
                </c:pt>
                <c:pt idx="1">
                  <c:v>34</c:v>
                </c:pt>
                <c:pt idx="2">
                  <c:v>53</c:v>
                </c:pt>
                <c:pt idx="3">
                  <c:v>64</c:v>
                </c:pt>
                <c:pt idx="4">
                  <c:v>30</c:v>
                </c:pt>
              </c:numCache>
            </c:numRef>
          </c:val>
          <c:extLst>
            <c:ext xmlns:c16="http://schemas.microsoft.com/office/drawing/2014/chart" uri="{C3380CC4-5D6E-409C-BE32-E72D297353CC}">
              <c16:uniqueId val="{00000000-D6BF-4361-AC87-13D09B304562}"/>
            </c:ext>
          </c:extLst>
        </c:ser>
        <c:dLbls>
          <c:showLegendKey val="0"/>
          <c:showVal val="0"/>
          <c:showCatName val="0"/>
          <c:showSerName val="0"/>
          <c:showPercent val="0"/>
          <c:showBubbleSize val="0"/>
        </c:dLbls>
        <c:gapWidth val="150"/>
        <c:axId val="257334048"/>
        <c:axId val="257334608"/>
      </c:barChart>
      <c:catAx>
        <c:axId val="257334048"/>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en-PH" sz="1000" b="0" i="0" u="none" strike="noStrike" kern="1200" baseline="0">
                <a:solidFill>
                  <a:schemeClr val="tx1"/>
                </a:solidFill>
                <a:latin typeface="+mn-lt"/>
                <a:ea typeface="+mn-ea"/>
                <a:cs typeface="+mn-cs"/>
              </a:defRPr>
            </a:pPr>
            <a:endParaRPr lang="en-US"/>
          </a:p>
        </c:txPr>
        <c:crossAx val="257334608"/>
        <c:crosses val="autoZero"/>
        <c:auto val="1"/>
        <c:lblAlgn val="ctr"/>
        <c:lblOffset val="100"/>
        <c:noMultiLvlLbl val="0"/>
      </c:catAx>
      <c:valAx>
        <c:axId val="257334608"/>
        <c:scaling>
          <c:orientation val="minMax"/>
        </c:scaling>
        <c:delete val="0"/>
        <c:axPos val="l"/>
        <c:majorGridlines/>
        <c:numFmt formatCode="General" sourceLinked="1"/>
        <c:majorTickMark val="out"/>
        <c:minorTickMark val="none"/>
        <c:tickLblPos val="nextTo"/>
        <c:txPr>
          <a:bodyPr rot="-60000000" spcFirstLastPara="0" vertOverflow="ellipsis" vert="horz" wrap="square" anchor="ctr" anchorCtr="1"/>
          <a:lstStyle/>
          <a:p>
            <a:pPr>
              <a:defRPr lang="en-PH" sz="1000" b="0" i="0" u="none" strike="noStrike" kern="1200" baseline="0">
                <a:solidFill>
                  <a:schemeClr val="tx1"/>
                </a:solidFill>
                <a:latin typeface="+mn-lt"/>
                <a:ea typeface="+mn-ea"/>
                <a:cs typeface="+mn-cs"/>
              </a:defRPr>
            </a:pPr>
            <a:endParaRPr lang="en-US"/>
          </a:p>
        </c:txPr>
        <c:crossAx val="257334048"/>
        <c:crosses val="autoZero"/>
        <c:crossBetween val="between"/>
      </c:valAx>
      <c:spPr>
        <a:solidFill>
          <a:schemeClr val="bg1"/>
        </a:solidFill>
        <a:ln>
          <a:noFill/>
        </a:ln>
        <a:effectLst/>
      </c:spPr>
    </c:plotArea>
    <c:legend>
      <c:legendPos val="r"/>
      <c:overlay val="0"/>
      <c:txPr>
        <a:bodyPr rot="0" spcFirstLastPara="0" vertOverflow="ellipsis" vert="horz" wrap="square" anchor="ctr" anchorCtr="1"/>
        <a:lstStyle/>
        <a:p>
          <a:pPr>
            <a:defRPr lang="en-PH" sz="1000" b="0" i="0" u="none" strike="noStrike" kern="1200" baseline="0">
              <a:solidFill>
                <a:schemeClr val="tx1"/>
              </a:solidFill>
              <a:latin typeface="+mn-lt"/>
              <a:ea typeface="+mn-ea"/>
              <a:cs typeface="+mn-cs"/>
            </a:defRPr>
          </a:pPr>
          <a:endParaRPr lang="en-US"/>
        </a:p>
      </c:txPr>
    </c:legend>
    <c:plotVisOnly val="1"/>
    <c:dispBlanksAs val="gap"/>
    <c:showDLblsOverMax val="0"/>
  </c:chart>
  <c:txPr>
    <a:bodyPr/>
    <a:lstStyle/>
    <a:p>
      <a:pPr>
        <a:defRPr lang="en-GB"/>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'HR Profile'!$R$11</c:f>
              <c:strCache>
                <c:ptCount val="1"/>
                <c:pt idx="0">
                  <c:v>M</c:v>
                </c:pt>
              </c:strCache>
            </c:strRef>
          </c:tx>
          <c:invertIfNegative val="0"/>
          <c:cat>
            <c:strRef>
              <c:f>'HR Profile'!$A$12:$A$16</c:f>
              <c:strCache>
                <c:ptCount val="5"/>
                <c:pt idx="0">
                  <c:v>21 – 29 y/o</c:v>
                </c:pt>
                <c:pt idx="1">
                  <c:v>30 – 39 y/o</c:v>
                </c:pt>
                <c:pt idx="2">
                  <c:v>40 – 49 y/o</c:v>
                </c:pt>
                <c:pt idx="3">
                  <c:v>50 – 59 y/o</c:v>
                </c:pt>
                <c:pt idx="4">
                  <c:v>60 – 65 y/o</c:v>
                </c:pt>
              </c:strCache>
            </c:strRef>
          </c:cat>
          <c:val>
            <c:numRef>
              <c:f>'HR Profile'!$R$12:$R$16</c:f>
              <c:numCache>
                <c:formatCode>General</c:formatCode>
                <c:ptCount val="5"/>
                <c:pt idx="0">
                  <c:v>1</c:v>
                </c:pt>
                <c:pt idx="1">
                  <c:v>12</c:v>
                </c:pt>
                <c:pt idx="2">
                  <c:v>28</c:v>
                </c:pt>
                <c:pt idx="3">
                  <c:v>28</c:v>
                </c:pt>
                <c:pt idx="4">
                  <c:v>12</c:v>
                </c:pt>
              </c:numCache>
            </c:numRef>
          </c:val>
          <c:extLst>
            <c:ext xmlns:c16="http://schemas.microsoft.com/office/drawing/2014/chart" uri="{C3380CC4-5D6E-409C-BE32-E72D297353CC}">
              <c16:uniqueId val="{00000000-9821-4D78-8E9D-F132DB8D5B20}"/>
            </c:ext>
          </c:extLst>
        </c:ser>
        <c:ser>
          <c:idx val="1"/>
          <c:order val="1"/>
          <c:tx>
            <c:strRef>
              <c:f>'HR Profile'!$S$11</c:f>
              <c:strCache>
                <c:ptCount val="1"/>
                <c:pt idx="0">
                  <c:v>F</c:v>
                </c:pt>
              </c:strCache>
            </c:strRef>
          </c:tx>
          <c:invertIfNegative val="0"/>
          <c:cat>
            <c:strRef>
              <c:f>'HR Profile'!$A$12:$A$16</c:f>
              <c:strCache>
                <c:ptCount val="5"/>
                <c:pt idx="0">
                  <c:v>21 – 29 y/o</c:v>
                </c:pt>
                <c:pt idx="1">
                  <c:v>30 – 39 y/o</c:v>
                </c:pt>
                <c:pt idx="2">
                  <c:v>40 – 49 y/o</c:v>
                </c:pt>
                <c:pt idx="3">
                  <c:v>50 – 59 y/o</c:v>
                </c:pt>
                <c:pt idx="4">
                  <c:v>60 – 65 y/o</c:v>
                </c:pt>
              </c:strCache>
            </c:strRef>
          </c:cat>
          <c:val>
            <c:numRef>
              <c:f>'HR Profile'!$S$12:$S$16</c:f>
              <c:numCache>
                <c:formatCode>General</c:formatCode>
                <c:ptCount val="5"/>
                <c:pt idx="0">
                  <c:v>0</c:v>
                </c:pt>
                <c:pt idx="1">
                  <c:v>22</c:v>
                </c:pt>
                <c:pt idx="2">
                  <c:v>25</c:v>
                </c:pt>
                <c:pt idx="3">
                  <c:v>36</c:v>
                </c:pt>
                <c:pt idx="4">
                  <c:v>18</c:v>
                </c:pt>
              </c:numCache>
            </c:numRef>
          </c:val>
          <c:extLst>
            <c:ext xmlns:c16="http://schemas.microsoft.com/office/drawing/2014/chart" uri="{C3380CC4-5D6E-409C-BE32-E72D297353CC}">
              <c16:uniqueId val="{00000001-9821-4D78-8E9D-F132DB8D5B20}"/>
            </c:ext>
          </c:extLst>
        </c:ser>
        <c:dLbls>
          <c:showLegendKey val="0"/>
          <c:showVal val="0"/>
          <c:showCatName val="0"/>
          <c:showSerName val="0"/>
          <c:showPercent val="0"/>
          <c:showBubbleSize val="0"/>
        </c:dLbls>
        <c:gapWidth val="150"/>
        <c:axId val="257337408"/>
        <c:axId val="257337968"/>
      </c:barChart>
      <c:catAx>
        <c:axId val="257337408"/>
        <c:scaling>
          <c:orientation val="minMax"/>
        </c:scaling>
        <c:delete val="0"/>
        <c:axPos val="l"/>
        <c:numFmt formatCode="General" sourceLinked="0"/>
        <c:majorTickMark val="out"/>
        <c:minorTickMark val="none"/>
        <c:tickLblPos val="nextTo"/>
        <c:txPr>
          <a:bodyPr rot="-60000000" spcFirstLastPara="0" vertOverflow="ellipsis" vert="horz" wrap="square" anchor="ctr" anchorCtr="1"/>
          <a:lstStyle/>
          <a:p>
            <a:pPr>
              <a:defRPr lang="en-PH" sz="1000" b="0" i="0" u="none" strike="noStrike" kern="1200" baseline="0">
                <a:solidFill>
                  <a:schemeClr val="tx1"/>
                </a:solidFill>
                <a:latin typeface="+mn-lt"/>
                <a:ea typeface="+mn-ea"/>
                <a:cs typeface="+mn-cs"/>
              </a:defRPr>
            </a:pPr>
            <a:endParaRPr lang="en-US"/>
          </a:p>
        </c:txPr>
        <c:crossAx val="257337968"/>
        <c:crosses val="autoZero"/>
        <c:auto val="1"/>
        <c:lblAlgn val="ctr"/>
        <c:lblOffset val="100"/>
        <c:noMultiLvlLbl val="0"/>
      </c:catAx>
      <c:valAx>
        <c:axId val="257337968"/>
        <c:scaling>
          <c:orientation val="minMax"/>
        </c:scaling>
        <c:delete val="0"/>
        <c:axPos val="b"/>
        <c:majorGridlines/>
        <c:minorGridlines/>
        <c:numFmt formatCode="General" sourceLinked="1"/>
        <c:majorTickMark val="out"/>
        <c:minorTickMark val="none"/>
        <c:tickLblPos val="nextTo"/>
        <c:txPr>
          <a:bodyPr rot="-60000000" spcFirstLastPara="0" vertOverflow="ellipsis" vert="horz" wrap="square" anchor="ctr" anchorCtr="1"/>
          <a:lstStyle/>
          <a:p>
            <a:pPr>
              <a:defRPr lang="en-PH" sz="1000" b="0" i="0" u="none" strike="noStrike" kern="1200" baseline="0">
                <a:solidFill>
                  <a:schemeClr val="tx1"/>
                </a:solidFill>
                <a:latin typeface="+mn-lt"/>
                <a:ea typeface="+mn-ea"/>
                <a:cs typeface="+mn-cs"/>
              </a:defRPr>
            </a:pPr>
            <a:endParaRPr lang="en-US"/>
          </a:p>
        </c:txPr>
        <c:crossAx val="257337408"/>
        <c:crosses val="autoZero"/>
        <c:crossBetween val="between"/>
      </c:valAx>
      <c:spPr>
        <a:solidFill>
          <a:schemeClr val="bg1"/>
        </a:solidFill>
        <a:ln>
          <a:noFill/>
        </a:ln>
        <a:effectLst/>
      </c:spPr>
    </c:plotArea>
    <c:legend>
      <c:legendPos val="r"/>
      <c:layout>
        <c:manualLayout>
          <c:xMode val="edge"/>
          <c:yMode val="edge"/>
          <c:x val="0.79554265091863496"/>
          <c:y val="0.23109762321376501"/>
          <c:w val="0.182235126859143"/>
          <c:h val="0.315582531350249"/>
        </c:manualLayout>
      </c:layout>
      <c:overlay val="0"/>
      <c:txPr>
        <a:bodyPr rot="0" spcFirstLastPara="0" vertOverflow="ellipsis" vert="horz" wrap="square" anchor="ctr" anchorCtr="1"/>
        <a:lstStyle/>
        <a:p>
          <a:pPr>
            <a:defRPr lang="en-PH" sz="1000" b="0" i="0" u="none" strike="noStrike" kern="1200" baseline="0">
              <a:solidFill>
                <a:schemeClr val="tx1"/>
              </a:solidFill>
              <a:latin typeface="+mn-lt"/>
              <a:ea typeface="+mn-ea"/>
              <a:cs typeface="+mn-cs"/>
            </a:defRPr>
          </a:pPr>
          <a:endParaRPr lang="en-US"/>
        </a:p>
      </c:txPr>
    </c:legend>
    <c:plotVisOnly val="1"/>
    <c:dispBlanksAs val="gap"/>
    <c:showDLblsOverMax val="0"/>
  </c:chart>
  <c:txPr>
    <a:bodyPr/>
    <a:lstStyle/>
    <a:p>
      <a:pPr>
        <a:defRPr lang="en-GB"/>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19050">
              <a:solidFill>
                <a:srgbClr val="FFFF00"/>
              </a:solidFill>
            </a:ln>
          </c:spPr>
          <c:dPt>
            <c:idx val="0"/>
            <c:bubble3D val="0"/>
            <c:extLst>
              <c:ext xmlns:c16="http://schemas.microsoft.com/office/drawing/2014/chart" uri="{C3380CC4-5D6E-409C-BE32-E72D297353CC}">
                <c16:uniqueId val="{00000001-5D6C-44F6-A841-852B28428BD9}"/>
              </c:ext>
            </c:extLst>
          </c:dPt>
          <c:dPt>
            <c:idx val="1"/>
            <c:bubble3D val="0"/>
            <c:extLst>
              <c:ext xmlns:c16="http://schemas.microsoft.com/office/drawing/2014/chart" uri="{C3380CC4-5D6E-409C-BE32-E72D297353CC}">
                <c16:uniqueId val="{00000003-5D6C-44F6-A841-852B28428BD9}"/>
              </c:ext>
            </c:extLst>
          </c:dPt>
          <c:dPt>
            <c:idx val="2"/>
            <c:bubble3D val="0"/>
            <c:extLst>
              <c:ext xmlns:c16="http://schemas.microsoft.com/office/drawing/2014/chart" uri="{C3380CC4-5D6E-409C-BE32-E72D297353CC}">
                <c16:uniqueId val="{00000005-5D6C-44F6-A841-852B28428BD9}"/>
              </c:ext>
            </c:extLst>
          </c:dPt>
          <c:dPt>
            <c:idx val="3"/>
            <c:bubble3D val="0"/>
            <c:extLst>
              <c:ext xmlns:c16="http://schemas.microsoft.com/office/drawing/2014/chart" uri="{C3380CC4-5D6E-409C-BE32-E72D297353CC}">
                <c16:uniqueId val="{00000007-5D6C-44F6-A841-852B28428BD9}"/>
              </c:ext>
            </c:extLst>
          </c:dPt>
          <c:dPt>
            <c:idx val="4"/>
            <c:bubble3D val="0"/>
            <c:extLst>
              <c:ext xmlns:c16="http://schemas.microsoft.com/office/drawing/2014/chart" uri="{C3380CC4-5D6E-409C-BE32-E72D297353CC}">
                <c16:uniqueId val="{00000009-5D6C-44F6-A841-852B28428BD9}"/>
              </c:ext>
            </c:extLst>
          </c:dPt>
          <c:cat>
            <c:strRef>
              <c:f>'HR Profile'!$A$12:$A$16</c:f>
              <c:strCache>
                <c:ptCount val="5"/>
                <c:pt idx="0">
                  <c:v>21 – 29 y/o</c:v>
                </c:pt>
                <c:pt idx="1">
                  <c:v>30 – 39 y/o</c:v>
                </c:pt>
                <c:pt idx="2">
                  <c:v>40 – 49 y/o</c:v>
                </c:pt>
                <c:pt idx="3">
                  <c:v>50 – 59 y/o</c:v>
                </c:pt>
                <c:pt idx="4">
                  <c:v>60 – 65 y/o</c:v>
                </c:pt>
              </c:strCache>
            </c:strRef>
          </c:cat>
          <c:val>
            <c:numRef>
              <c:f>'HR Profile'!$T$12:$T$16</c:f>
              <c:numCache>
                <c:formatCode>General</c:formatCode>
                <c:ptCount val="5"/>
                <c:pt idx="0">
                  <c:v>1</c:v>
                </c:pt>
                <c:pt idx="1">
                  <c:v>34</c:v>
                </c:pt>
                <c:pt idx="2">
                  <c:v>53</c:v>
                </c:pt>
                <c:pt idx="3">
                  <c:v>64</c:v>
                </c:pt>
                <c:pt idx="4">
                  <c:v>30</c:v>
                </c:pt>
              </c:numCache>
            </c:numRef>
          </c:val>
          <c:extLst>
            <c:ext xmlns:c16="http://schemas.microsoft.com/office/drawing/2014/chart" uri="{C3380CC4-5D6E-409C-BE32-E72D297353CC}">
              <c16:uniqueId val="{0000000A-5D6C-44F6-A841-852B28428BD9}"/>
            </c:ext>
          </c:extLst>
        </c:ser>
        <c:dLbls>
          <c:showLegendKey val="0"/>
          <c:showVal val="0"/>
          <c:showCatName val="0"/>
          <c:showSerName val="0"/>
          <c:showPercent val="0"/>
          <c:showBubbleSize val="0"/>
          <c:showLeaderLines val="1"/>
        </c:dLbls>
        <c:firstSliceAng val="0"/>
      </c:pieChart>
    </c:plotArea>
    <c:legend>
      <c:legendPos val="r"/>
      <c:overlay val="0"/>
      <c:spPr>
        <a:noFill/>
        <a:ln>
          <a:noFill/>
        </a:ln>
        <a:effectLst>
          <a:glow rad="63500">
            <a:schemeClr val="accent6">
              <a:satMod val="175000"/>
              <a:alpha val="40000"/>
            </a:schemeClr>
          </a:glow>
        </a:effectLst>
      </c:spPr>
      <c:txPr>
        <a:bodyPr rot="0" spcFirstLastPara="0" vertOverflow="ellipsis" vert="horz" wrap="square" anchor="ctr" anchorCtr="1"/>
        <a:lstStyle/>
        <a:p>
          <a:pPr>
            <a:defRPr lang="en-PH" sz="1000" b="0" i="0" u="none" strike="noStrike" kern="1200" baseline="0">
              <a:solidFill>
                <a:schemeClr val="tx1"/>
              </a:solidFill>
              <a:latin typeface="+mn-lt"/>
              <a:ea typeface="+mn-ea"/>
              <a:cs typeface="+mn-cs"/>
            </a:defRPr>
          </a:pPr>
          <a:endParaRPr lang="en-US"/>
        </a:p>
      </c:txPr>
    </c:legend>
    <c:plotVisOnly val="1"/>
    <c:dispBlanksAs val="zero"/>
    <c:showDLblsOverMax val="0"/>
  </c:chart>
  <c:spPr>
    <a:ln w="15875" cap="flat" cmpd="sng" algn="ctr">
      <a:solidFill>
        <a:srgbClr val="FFFF00">
          <a:alpha val="78000"/>
        </a:srgbClr>
      </a:solidFill>
      <a:prstDash val="solid"/>
      <a:round/>
    </a:ln>
  </c:spPr>
  <c:txPr>
    <a:bodyPr/>
    <a:lstStyle/>
    <a:p>
      <a:pPr>
        <a:defRPr lang="en-GB"/>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740923392016301E-2"/>
          <c:y val="2.5913034756005801E-2"/>
          <c:w val="0.94194963910761198"/>
          <c:h val="0.61645017302773497"/>
        </c:manualLayout>
      </c:layout>
      <c:barChart>
        <c:barDir val="col"/>
        <c:grouping val="clustered"/>
        <c:varyColors val="0"/>
        <c:ser>
          <c:idx val="0"/>
          <c:order val="0"/>
          <c:tx>
            <c:strRef>
              <c:f>'HR Profile'!$A$12</c:f>
              <c:strCache>
                <c:ptCount val="1"/>
                <c:pt idx="0">
                  <c:v>21 – 29 y/o</c:v>
                </c:pt>
              </c:strCache>
            </c:strRef>
          </c:tx>
          <c:invertIfNegative val="0"/>
          <c:cat>
            <c:multiLvlStrRef>
              <c:f>'HR Profile'!$B$10:$Q$11</c:f>
              <c:multiLvlStrCache>
                <c:ptCount val="16"/>
                <c:lvl>
                  <c:pt idx="0">
                    <c:v>M</c:v>
                  </c:pt>
                  <c:pt idx="1">
                    <c:v>F</c:v>
                  </c:pt>
                  <c:pt idx="2">
                    <c:v>M</c:v>
                  </c:pt>
                  <c:pt idx="3">
                    <c:v>F</c:v>
                  </c:pt>
                  <c:pt idx="4">
                    <c:v>M</c:v>
                  </c:pt>
                  <c:pt idx="5">
                    <c:v>F</c:v>
                  </c:pt>
                  <c:pt idx="6">
                    <c:v>M</c:v>
                  </c:pt>
                  <c:pt idx="7">
                    <c:v>F</c:v>
                  </c:pt>
                  <c:pt idx="8">
                    <c:v>M</c:v>
                  </c:pt>
                  <c:pt idx="9">
                    <c:v>F</c:v>
                  </c:pt>
                  <c:pt idx="10">
                    <c:v>M</c:v>
                  </c:pt>
                  <c:pt idx="11">
                    <c:v>F</c:v>
                  </c:pt>
                  <c:pt idx="12">
                    <c:v>M</c:v>
                  </c:pt>
                  <c:pt idx="13">
                    <c:v>F</c:v>
                  </c:pt>
                  <c:pt idx="14">
                    <c:v>M</c:v>
                  </c:pt>
                  <c:pt idx="15">
                    <c:v>F</c:v>
                  </c:pt>
                </c:lvl>
                <c:lvl>
                  <c:pt idx="0">
                    <c:v>Region</c:v>
                  </c:pt>
                  <c:pt idx="2">
                    <c:v>Abra</c:v>
                  </c:pt>
                  <c:pt idx="4">
                    <c:v>Apayao</c:v>
                  </c:pt>
                  <c:pt idx="6">
                    <c:v>Baguio</c:v>
                  </c:pt>
                  <c:pt idx="8">
                    <c:v>Benguet</c:v>
                  </c:pt>
                  <c:pt idx="10">
                    <c:v>Ifugao</c:v>
                  </c:pt>
                  <c:pt idx="12">
                    <c:v>Kalinga</c:v>
                  </c:pt>
                  <c:pt idx="14">
                    <c:v>Mt. Prov.</c:v>
                  </c:pt>
                </c:lvl>
              </c:multiLvlStrCache>
            </c:multiLvlStrRef>
          </c:cat>
          <c:val>
            <c:numRef>
              <c:f>'HR Profile'!$B$12:$Q$12</c:f>
              <c:numCache>
                <c:formatCode>General</c:formatCode>
                <c:ptCount val="16"/>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D4A4-48D9-BE26-45D6901D7C78}"/>
            </c:ext>
          </c:extLst>
        </c:ser>
        <c:ser>
          <c:idx val="1"/>
          <c:order val="1"/>
          <c:tx>
            <c:strRef>
              <c:f>'HR Profile'!$A$13</c:f>
              <c:strCache>
                <c:ptCount val="1"/>
                <c:pt idx="0">
                  <c:v>30 – 39 y/o</c:v>
                </c:pt>
              </c:strCache>
            </c:strRef>
          </c:tx>
          <c:invertIfNegative val="0"/>
          <c:cat>
            <c:multiLvlStrRef>
              <c:f>'HR Profile'!$B$10:$Q$11</c:f>
              <c:multiLvlStrCache>
                <c:ptCount val="16"/>
                <c:lvl>
                  <c:pt idx="0">
                    <c:v>M</c:v>
                  </c:pt>
                  <c:pt idx="1">
                    <c:v>F</c:v>
                  </c:pt>
                  <c:pt idx="2">
                    <c:v>M</c:v>
                  </c:pt>
                  <c:pt idx="3">
                    <c:v>F</c:v>
                  </c:pt>
                  <c:pt idx="4">
                    <c:v>M</c:v>
                  </c:pt>
                  <c:pt idx="5">
                    <c:v>F</c:v>
                  </c:pt>
                  <c:pt idx="6">
                    <c:v>M</c:v>
                  </c:pt>
                  <c:pt idx="7">
                    <c:v>F</c:v>
                  </c:pt>
                  <c:pt idx="8">
                    <c:v>M</c:v>
                  </c:pt>
                  <c:pt idx="9">
                    <c:v>F</c:v>
                  </c:pt>
                  <c:pt idx="10">
                    <c:v>M</c:v>
                  </c:pt>
                  <c:pt idx="11">
                    <c:v>F</c:v>
                  </c:pt>
                  <c:pt idx="12">
                    <c:v>M</c:v>
                  </c:pt>
                  <c:pt idx="13">
                    <c:v>F</c:v>
                  </c:pt>
                  <c:pt idx="14">
                    <c:v>M</c:v>
                  </c:pt>
                  <c:pt idx="15">
                    <c:v>F</c:v>
                  </c:pt>
                </c:lvl>
                <c:lvl>
                  <c:pt idx="0">
                    <c:v>Region</c:v>
                  </c:pt>
                  <c:pt idx="2">
                    <c:v>Abra</c:v>
                  </c:pt>
                  <c:pt idx="4">
                    <c:v>Apayao</c:v>
                  </c:pt>
                  <c:pt idx="6">
                    <c:v>Baguio</c:v>
                  </c:pt>
                  <c:pt idx="8">
                    <c:v>Benguet</c:v>
                  </c:pt>
                  <c:pt idx="10">
                    <c:v>Ifugao</c:v>
                  </c:pt>
                  <c:pt idx="12">
                    <c:v>Kalinga</c:v>
                  </c:pt>
                  <c:pt idx="14">
                    <c:v>Mt. Prov.</c:v>
                  </c:pt>
                </c:lvl>
              </c:multiLvlStrCache>
            </c:multiLvlStrRef>
          </c:cat>
          <c:val>
            <c:numRef>
              <c:f>'HR Profile'!$B$13:$Q$13</c:f>
              <c:numCache>
                <c:formatCode>General</c:formatCode>
                <c:ptCount val="16"/>
                <c:pt idx="0">
                  <c:v>2</c:v>
                </c:pt>
                <c:pt idx="1">
                  <c:v>2</c:v>
                </c:pt>
                <c:pt idx="2">
                  <c:v>3</c:v>
                </c:pt>
                <c:pt idx="3">
                  <c:v>5</c:v>
                </c:pt>
                <c:pt idx="4">
                  <c:v>2</c:v>
                </c:pt>
                <c:pt idx="5">
                  <c:v>3</c:v>
                </c:pt>
                <c:pt idx="6">
                  <c:v>1</c:v>
                </c:pt>
                <c:pt idx="7">
                  <c:v>1</c:v>
                </c:pt>
                <c:pt idx="8">
                  <c:v>1</c:v>
                </c:pt>
                <c:pt idx="9">
                  <c:v>1</c:v>
                </c:pt>
                <c:pt idx="10">
                  <c:v>3</c:v>
                </c:pt>
                <c:pt idx="11">
                  <c:v>1</c:v>
                </c:pt>
                <c:pt idx="12">
                  <c:v>0</c:v>
                </c:pt>
                <c:pt idx="13">
                  <c:v>4</c:v>
                </c:pt>
                <c:pt idx="14">
                  <c:v>0</c:v>
                </c:pt>
                <c:pt idx="15">
                  <c:v>5</c:v>
                </c:pt>
              </c:numCache>
            </c:numRef>
          </c:val>
          <c:extLst>
            <c:ext xmlns:c16="http://schemas.microsoft.com/office/drawing/2014/chart" uri="{C3380CC4-5D6E-409C-BE32-E72D297353CC}">
              <c16:uniqueId val="{00000001-D4A4-48D9-BE26-45D6901D7C78}"/>
            </c:ext>
          </c:extLst>
        </c:ser>
        <c:ser>
          <c:idx val="2"/>
          <c:order val="2"/>
          <c:tx>
            <c:strRef>
              <c:f>'HR Profile'!$A$14</c:f>
              <c:strCache>
                <c:ptCount val="1"/>
                <c:pt idx="0">
                  <c:v>40 – 49 y/o</c:v>
                </c:pt>
              </c:strCache>
            </c:strRef>
          </c:tx>
          <c:invertIfNegative val="0"/>
          <c:cat>
            <c:multiLvlStrRef>
              <c:f>'HR Profile'!$B$10:$Q$11</c:f>
              <c:multiLvlStrCache>
                <c:ptCount val="16"/>
                <c:lvl>
                  <c:pt idx="0">
                    <c:v>M</c:v>
                  </c:pt>
                  <c:pt idx="1">
                    <c:v>F</c:v>
                  </c:pt>
                  <c:pt idx="2">
                    <c:v>M</c:v>
                  </c:pt>
                  <c:pt idx="3">
                    <c:v>F</c:v>
                  </c:pt>
                  <c:pt idx="4">
                    <c:v>M</c:v>
                  </c:pt>
                  <c:pt idx="5">
                    <c:v>F</c:v>
                  </c:pt>
                  <c:pt idx="6">
                    <c:v>M</c:v>
                  </c:pt>
                  <c:pt idx="7">
                    <c:v>F</c:v>
                  </c:pt>
                  <c:pt idx="8">
                    <c:v>M</c:v>
                  </c:pt>
                  <c:pt idx="9">
                    <c:v>F</c:v>
                  </c:pt>
                  <c:pt idx="10">
                    <c:v>M</c:v>
                  </c:pt>
                  <c:pt idx="11">
                    <c:v>F</c:v>
                  </c:pt>
                  <c:pt idx="12">
                    <c:v>M</c:v>
                  </c:pt>
                  <c:pt idx="13">
                    <c:v>F</c:v>
                  </c:pt>
                  <c:pt idx="14">
                    <c:v>M</c:v>
                  </c:pt>
                  <c:pt idx="15">
                    <c:v>F</c:v>
                  </c:pt>
                </c:lvl>
                <c:lvl>
                  <c:pt idx="0">
                    <c:v>Region</c:v>
                  </c:pt>
                  <c:pt idx="2">
                    <c:v>Abra</c:v>
                  </c:pt>
                  <c:pt idx="4">
                    <c:v>Apayao</c:v>
                  </c:pt>
                  <c:pt idx="6">
                    <c:v>Baguio</c:v>
                  </c:pt>
                  <c:pt idx="8">
                    <c:v>Benguet</c:v>
                  </c:pt>
                  <c:pt idx="10">
                    <c:v>Ifugao</c:v>
                  </c:pt>
                  <c:pt idx="12">
                    <c:v>Kalinga</c:v>
                  </c:pt>
                  <c:pt idx="14">
                    <c:v>Mt. Prov.</c:v>
                  </c:pt>
                </c:lvl>
              </c:multiLvlStrCache>
            </c:multiLvlStrRef>
          </c:cat>
          <c:val>
            <c:numRef>
              <c:f>'HR Profile'!$B$14:$Q$14</c:f>
              <c:numCache>
                <c:formatCode>General</c:formatCode>
                <c:ptCount val="16"/>
                <c:pt idx="0">
                  <c:v>7</c:v>
                </c:pt>
                <c:pt idx="1">
                  <c:v>10</c:v>
                </c:pt>
                <c:pt idx="2">
                  <c:v>4</c:v>
                </c:pt>
                <c:pt idx="3">
                  <c:v>3</c:v>
                </c:pt>
                <c:pt idx="4">
                  <c:v>4</c:v>
                </c:pt>
                <c:pt idx="5">
                  <c:v>3</c:v>
                </c:pt>
                <c:pt idx="6">
                  <c:v>1</c:v>
                </c:pt>
                <c:pt idx="7">
                  <c:v>1</c:v>
                </c:pt>
                <c:pt idx="8">
                  <c:v>2</c:v>
                </c:pt>
                <c:pt idx="9">
                  <c:v>1</c:v>
                </c:pt>
                <c:pt idx="10">
                  <c:v>1</c:v>
                </c:pt>
                <c:pt idx="11">
                  <c:v>3</c:v>
                </c:pt>
                <c:pt idx="12">
                  <c:v>4</c:v>
                </c:pt>
                <c:pt idx="13">
                  <c:v>2</c:v>
                </c:pt>
                <c:pt idx="14">
                  <c:v>5</c:v>
                </c:pt>
                <c:pt idx="15">
                  <c:v>2</c:v>
                </c:pt>
              </c:numCache>
            </c:numRef>
          </c:val>
          <c:extLst>
            <c:ext xmlns:c16="http://schemas.microsoft.com/office/drawing/2014/chart" uri="{C3380CC4-5D6E-409C-BE32-E72D297353CC}">
              <c16:uniqueId val="{00000002-D4A4-48D9-BE26-45D6901D7C78}"/>
            </c:ext>
          </c:extLst>
        </c:ser>
        <c:ser>
          <c:idx val="3"/>
          <c:order val="3"/>
          <c:tx>
            <c:strRef>
              <c:f>'HR Profile'!$A$15</c:f>
              <c:strCache>
                <c:ptCount val="1"/>
                <c:pt idx="0">
                  <c:v>50 – 59 y/o</c:v>
                </c:pt>
              </c:strCache>
            </c:strRef>
          </c:tx>
          <c:invertIfNegative val="0"/>
          <c:cat>
            <c:multiLvlStrRef>
              <c:f>'HR Profile'!$B$10:$Q$11</c:f>
              <c:multiLvlStrCache>
                <c:ptCount val="16"/>
                <c:lvl>
                  <c:pt idx="0">
                    <c:v>M</c:v>
                  </c:pt>
                  <c:pt idx="1">
                    <c:v>F</c:v>
                  </c:pt>
                  <c:pt idx="2">
                    <c:v>M</c:v>
                  </c:pt>
                  <c:pt idx="3">
                    <c:v>F</c:v>
                  </c:pt>
                  <c:pt idx="4">
                    <c:v>M</c:v>
                  </c:pt>
                  <c:pt idx="5">
                    <c:v>F</c:v>
                  </c:pt>
                  <c:pt idx="6">
                    <c:v>M</c:v>
                  </c:pt>
                  <c:pt idx="7">
                    <c:v>F</c:v>
                  </c:pt>
                  <c:pt idx="8">
                    <c:v>M</c:v>
                  </c:pt>
                  <c:pt idx="9">
                    <c:v>F</c:v>
                  </c:pt>
                  <c:pt idx="10">
                    <c:v>M</c:v>
                  </c:pt>
                  <c:pt idx="11">
                    <c:v>F</c:v>
                  </c:pt>
                  <c:pt idx="12">
                    <c:v>M</c:v>
                  </c:pt>
                  <c:pt idx="13">
                    <c:v>F</c:v>
                  </c:pt>
                  <c:pt idx="14">
                    <c:v>M</c:v>
                  </c:pt>
                  <c:pt idx="15">
                    <c:v>F</c:v>
                  </c:pt>
                </c:lvl>
                <c:lvl>
                  <c:pt idx="0">
                    <c:v>Region</c:v>
                  </c:pt>
                  <c:pt idx="2">
                    <c:v>Abra</c:v>
                  </c:pt>
                  <c:pt idx="4">
                    <c:v>Apayao</c:v>
                  </c:pt>
                  <c:pt idx="6">
                    <c:v>Baguio</c:v>
                  </c:pt>
                  <c:pt idx="8">
                    <c:v>Benguet</c:v>
                  </c:pt>
                  <c:pt idx="10">
                    <c:v>Ifugao</c:v>
                  </c:pt>
                  <c:pt idx="12">
                    <c:v>Kalinga</c:v>
                  </c:pt>
                  <c:pt idx="14">
                    <c:v>Mt. Prov.</c:v>
                  </c:pt>
                </c:lvl>
              </c:multiLvlStrCache>
            </c:multiLvlStrRef>
          </c:cat>
          <c:val>
            <c:numRef>
              <c:f>'HR Profile'!$B$15:$Q$15</c:f>
              <c:numCache>
                <c:formatCode>General</c:formatCode>
                <c:ptCount val="16"/>
                <c:pt idx="0">
                  <c:v>8</c:v>
                </c:pt>
                <c:pt idx="1">
                  <c:v>7</c:v>
                </c:pt>
                <c:pt idx="2">
                  <c:v>6</c:v>
                </c:pt>
                <c:pt idx="3">
                  <c:v>8</c:v>
                </c:pt>
                <c:pt idx="4">
                  <c:v>2</c:v>
                </c:pt>
                <c:pt idx="5">
                  <c:v>1</c:v>
                </c:pt>
                <c:pt idx="6">
                  <c:v>0</c:v>
                </c:pt>
                <c:pt idx="7">
                  <c:v>1</c:v>
                </c:pt>
                <c:pt idx="8">
                  <c:v>4</c:v>
                </c:pt>
                <c:pt idx="9">
                  <c:v>9</c:v>
                </c:pt>
                <c:pt idx="10">
                  <c:v>3</c:v>
                </c:pt>
                <c:pt idx="11">
                  <c:v>3</c:v>
                </c:pt>
                <c:pt idx="12">
                  <c:v>2</c:v>
                </c:pt>
                <c:pt idx="13">
                  <c:v>2</c:v>
                </c:pt>
                <c:pt idx="14">
                  <c:v>3</c:v>
                </c:pt>
                <c:pt idx="15">
                  <c:v>5</c:v>
                </c:pt>
              </c:numCache>
            </c:numRef>
          </c:val>
          <c:extLst>
            <c:ext xmlns:c16="http://schemas.microsoft.com/office/drawing/2014/chart" uri="{C3380CC4-5D6E-409C-BE32-E72D297353CC}">
              <c16:uniqueId val="{00000003-D4A4-48D9-BE26-45D6901D7C78}"/>
            </c:ext>
          </c:extLst>
        </c:ser>
        <c:ser>
          <c:idx val="4"/>
          <c:order val="4"/>
          <c:tx>
            <c:strRef>
              <c:f>'HR Profile'!$A$16</c:f>
              <c:strCache>
                <c:ptCount val="1"/>
                <c:pt idx="0">
                  <c:v>60 – 65 y/o</c:v>
                </c:pt>
              </c:strCache>
            </c:strRef>
          </c:tx>
          <c:invertIfNegative val="0"/>
          <c:cat>
            <c:multiLvlStrRef>
              <c:f>'HR Profile'!$B$10:$Q$11</c:f>
              <c:multiLvlStrCache>
                <c:ptCount val="16"/>
                <c:lvl>
                  <c:pt idx="0">
                    <c:v>M</c:v>
                  </c:pt>
                  <c:pt idx="1">
                    <c:v>F</c:v>
                  </c:pt>
                  <c:pt idx="2">
                    <c:v>M</c:v>
                  </c:pt>
                  <c:pt idx="3">
                    <c:v>F</c:v>
                  </c:pt>
                  <c:pt idx="4">
                    <c:v>M</c:v>
                  </c:pt>
                  <c:pt idx="5">
                    <c:v>F</c:v>
                  </c:pt>
                  <c:pt idx="6">
                    <c:v>M</c:v>
                  </c:pt>
                  <c:pt idx="7">
                    <c:v>F</c:v>
                  </c:pt>
                  <c:pt idx="8">
                    <c:v>M</c:v>
                  </c:pt>
                  <c:pt idx="9">
                    <c:v>F</c:v>
                  </c:pt>
                  <c:pt idx="10">
                    <c:v>M</c:v>
                  </c:pt>
                  <c:pt idx="11">
                    <c:v>F</c:v>
                  </c:pt>
                  <c:pt idx="12">
                    <c:v>M</c:v>
                  </c:pt>
                  <c:pt idx="13">
                    <c:v>F</c:v>
                  </c:pt>
                  <c:pt idx="14">
                    <c:v>M</c:v>
                  </c:pt>
                  <c:pt idx="15">
                    <c:v>F</c:v>
                  </c:pt>
                </c:lvl>
                <c:lvl>
                  <c:pt idx="0">
                    <c:v>Region</c:v>
                  </c:pt>
                  <c:pt idx="2">
                    <c:v>Abra</c:v>
                  </c:pt>
                  <c:pt idx="4">
                    <c:v>Apayao</c:v>
                  </c:pt>
                  <c:pt idx="6">
                    <c:v>Baguio</c:v>
                  </c:pt>
                  <c:pt idx="8">
                    <c:v>Benguet</c:v>
                  </c:pt>
                  <c:pt idx="10">
                    <c:v>Ifugao</c:v>
                  </c:pt>
                  <c:pt idx="12">
                    <c:v>Kalinga</c:v>
                  </c:pt>
                  <c:pt idx="14">
                    <c:v>Mt. Prov.</c:v>
                  </c:pt>
                </c:lvl>
              </c:multiLvlStrCache>
            </c:multiLvlStrRef>
          </c:cat>
          <c:val>
            <c:numRef>
              <c:f>'HR Profile'!$B$16:$Q$16</c:f>
              <c:numCache>
                <c:formatCode>General</c:formatCode>
                <c:ptCount val="16"/>
                <c:pt idx="0">
                  <c:v>1</c:v>
                </c:pt>
                <c:pt idx="1">
                  <c:v>3</c:v>
                </c:pt>
                <c:pt idx="2">
                  <c:v>3</c:v>
                </c:pt>
                <c:pt idx="3">
                  <c:v>4</c:v>
                </c:pt>
                <c:pt idx="4">
                  <c:v>1</c:v>
                </c:pt>
                <c:pt idx="5">
                  <c:v>2</c:v>
                </c:pt>
                <c:pt idx="6">
                  <c:v>0</c:v>
                </c:pt>
                <c:pt idx="7">
                  <c:v>0</c:v>
                </c:pt>
                <c:pt idx="8">
                  <c:v>1</c:v>
                </c:pt>
                <c:pt idx="9">
                  <c:v>4</c:v>
                </c:pt>
                <c:pt idx="10">
                  <c:v>4</c:v>
                </c:pt>
                <c:pt idx="11">
                  <c:v>1</c:v>
                </c:pt>
                <c:pt idx="12">
                  <c:v>2</c:v>
                </c:pt>
                <c:pt idx="13">
                  <c:v>2</c:v>
                </c:pt>
                <c:pt idx="14">
                  <c:v>0</c:v>
                </c:pt>
                <c:pt idx="15">
                  <c:v>2</c:v>
                </c:pt>
              </c:numCache>
            </c:numRef>
          </c:val>
          <c:extLst>
            <c:ext xmlns:c16="http://schemas.microsoft.com/office/drawing/2014/chart" uri="{C3380CC4-5D6E-409C-BE32-E72D297353CC}">
              <c16:uniqueId val="{00000004-D4A4-48D9-BE26-45D6901D7C78}"/>
            </c:ext>
          </c:extLst>
        </c:ser>
        <c:dLbls>
          <c:showLegendKey val="0"/>
          <c:showVal val="0"/>
          <c:showCatName val="0"/>
          <c:showSerName val="0"/>
          <c:showPercent val="0"/>
          <c:showBubbleSize val="0"/>
        </c:dLbls>
        <c:gapWidth val="150"/>
        <c:axId val="257534688"/>
        <c:axId val="257535248"/>
      </c:barChart>
      <c:catAx>
        <c:axId val="257534688"/>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en-PH" sz="1000" b="0" i="0" u="none" strike="noStrike" kern="1200" baseline="0">
                <a:solidFill>
                  <a:schemeClr val="tx1"/>
                </a:solidFill>
                <a:latin typeface="+mn-lt"/>
                <a:ea typeface="+mn-ea"/>
                <a:cs typeface="+mn-cs"/>
              </a:defRPr>
            </a:pPr>
            <a:endParaRPr lang="en-US"/>
          </a:p>
        </c:txPr>
        <c:crossAx val="257535248"/>
        <c:crosses val="autoZero"/>
        <c:auto val="1"/>
        <c:lblAlgn val="ctr"/>
        <c:lblOffset val="100"/>
        <c:noMultiLvlLbl val="0"/>
      </c:catAx>
      <c:valAx>
        <c:axId val="257535248"/>
        <c:scaling>
          <c:orientation val="minMax"/>
        </c:scaling>
        <c:delete val="0"/>
        <c:axPos val="l"/>
        <c:majorGridlines/>
        <c:numFmt formatCode="General" sourceLinked="1"/>
        <c:majorTickMark val="out"/>
        <c:minorTickMark val="none"/>
        <c:tickLblPos val="nextTo"/>
        <c:txPr>
          <a:bodyPr rot="-60000000" spcFirstLastPara="0" vertOverflow="ellipsis" vert="horz" wrap="square" anchor="ctr" anchorCtr="1"/>
          <a:lstStyle/>
          <a:p>
            <a:pPr>
              <a:defRPr lang="en-PH" sz="1000" b="0" i="0" u="none" strike="noStrike" kern="1200" baseline="0">
                <a:solidFill>
                  <a:schemeClr val="tx1"/>
                </a:solidFill>
                <a:latin typeface="+mn-lt"/>
                <a:ea typeface="+mn-ea"/>
                <a:cs typeface="+mn-cs"/>
              </a:defRPr>
            </a:pPr>
            <a:endParaRPr lang="en-US"/>
          </a:p>
        </c:txPr>
        <c:crossAx val="257534688"/>
        <c:crosses val="autoZero"/>
        <c:crossBetween val="between"/>
      </c:valAx>
    </c:plotArea>
    <c:legend>
      <c:legendPos val="b"/>
      <c:overlay val="0"/>
      <c:txPr>
        <a:bodyPr rot="0" spcFirstLastPara="0" vertOverflow="ellipsis" vert="horz" wrap="square" anchor="ctr" anchorCtr="1"/>
        <a:lstStyle/>
        <a:p>
          <a:pPr>
            <a:defRPr lang="en-PH" sz="1000" b="0" i="0" u="none" strike="noStrike" kern="1200" baseline="0">
              <a:solidFill>
                <a:schemeClr val="tx1"/>
              </a:solidFill>
              <a:latin typeface="+mn-lt"/>
              <a:ea typeface="+mn-ea"/>
              <a:cs typeface="+mn-cs"/>
            </a:defRPr>
          </a:pPr>
          <a:endParaRPr lang="en-US"/>
        </a:p>
      </c:txPr>
    </c:legend>
    <c:plotVisOnly val="1"/>
    <c:dispBlanksAs val="gap"/>
    <c:showDLblsOverMax val="0"/>
  </c:chart>
  <c:txPr>
    <a:bodyPr/>
    <a:lstStyle/>
    <a:p>
      <a:pPr>
        <a:defRPr lang="en-GB"/>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371475</xdr:colOff>
      <xdr:row>17</xdr:row>
      <xdr:rowOff>171450</xdr:rowOff>
    </xdr:from>
    <xdr:to>
      <xdr:col>8</xdr:col>
      <xdr:colOff>419100</xdr:colOff>
      <xdr:row>32</xdr:row>
      <xdr:rowOff>57150</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66675</xdr:colOff>
      <xdr:row>17</xdr:row>
      <xdr:rowOff>152400</xdr:rowOff>
    </xdr:from>
    <xdr:to>
      <xdr:col>18</xdr:col>
      <xdr:colOff>180975</xdr:colOff>
      <xdr:row>32</xdr:row>
      <xdr:rowOff>38100</xdr:rowOff>
    </xdr:to>
    <xdr:graphicFrame macro="">
      <xdr:nvGraphicFramePr>
        <xdr:cNvPr id="7" name="Chart 6">
          <a:extLst>
            <a:ext uri="{FF2B5EF4-FFF2-40B4-BE49-F238E27FC236}">
              <a16:creationId xmlns:a16="http://schemas.microsoft.com/office/drawing/2014/main" id="{00000000-0008-0000-0D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158198</xdr:colOff>
      <xdr:row>3</xdr:row>
      <xdr:rowOff>38100</xdr:rowOff>
    </xdr:from>
    <xdr:to>
      <xdr:col>27</xdr:col>
      <xdr:colOff>262973</xdr:colOff>
      <xdr:row>13</xdr:row>
      <xdr:rowOff>260074</xdr:rowOff>
    </xdr:to>
    <xdr:graphicFrame macro="">
      <xdr:nvGraphicFramePr>
        <xdr:cNvPr id="10" name="Chart 9">
          <a:extLst>
            <a:ext uri="{FF2B5EF4-FFF2-40B4-BE49-F238E27FC236}">
              <a16:creationId xmlns:a16="http://schemas.microsoft.com/office/drawing/2014/main" id="{00000000-0008-0000-0D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292794</xdr:colOff>
      <xdr:row>32</xdr:row>
      <xdr:rowOff>144116</xdr:rowOff>
    </xdr:from>
    <xdr:to>
      <xdr:col>15</xdr:col>
      <xdr:colOff>306458</xdr:colOff>
      <xdr:row>48</xdr:row>
      <xdr:rowOff>86966</xdr:rowOff>
    </xdr:to>
    <xdr:graphicFrame macro="">
      <xdr:nvGraphicFramePr>
        <xdr:cNvPr id="11" name="Chart 10">
          <a:extLst>
            <a:ext uri="{FF2B5EF4-FFF2-40B4-BE49-F238E27FC236}">
              <a16:creationId xmlns:a16="http://schemas.microsoft.com/office/drawing/2014/main" id="{00000000-0008-0000-0D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rits123\yhumies$\4%20tine\CURRENT%20PLANTILLA\plantilla\2017\plantilla%207-20-repaired%20(Autosave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rits123\yhumies$\4%20tine\CURRENT%20PLANTILLA\plantilla\2017\plantilla%207-20-repair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Plan Strat"/>
      <sheetName val="LIST"/>
      <sheetName val="7-10"/>
      <sheetName val="pivot"/>
      <sheetName val="IP SP"/>
      <sheetName val="MIrror 5-6 (2)"/>
      <sheetName val="salary grade"/>
      <sheetName val="Inventory of Positions"/>
      <sheetName val="inventory all"/>
      <sheetName val="inventory 5-6"/>
      <sheetName val="JO inventory csc"/>
      <sheetName val="COS in CO"/>
      <sheetName val="HR Profile PT"/>
      <sheetName val="HR Profile"/>
      <sheetName val="formula edits"/>
      <sheetName val="mirror"/>
      <sheetName val="mirror 2018"/>
      <sheetName val="2018SI "/>
      <sheetName val="mirror 2019"/>
      <sheetName val="2019SI "/>
      <sheetName val="BP205 18"/>
      <sheetName val="BP205 19"/>
      <sheetName val="BP205 20"/>
      <sheetName val="BP205 21"/>
      <sheetName val="2017nosaDB"/>
      <sheetName val="2017NOSA"/>
      <sheetName val="mirror2017"/>
      <sheetName val="2017SI"/>
      <sheetName val="Sheet1"/>
      <sheetName val="Sheet2"/>
    </sheetNames>
    <sheetDataSet>
      <sheetData sheetId="0" refreshError="1"/>
      <sheetData sheetId="1"/>
      <sheetData sheetId="2" refreshError="1"/>
      <sheetData sheetId="3" refreshError="1"/>
      <sheetData sheetId="4" refreshError="1"/>
      <sheetData sheetId="5" refreshError="1"/>
      <sheetData sheetId="6">
        <row r="1">
          <cell r="B1">
            <v>1</v>
          </cell>
          <cell r="C1">
            <v>2</v>
          </cell>
          <cell r="D1">
            <v>3</v>
          </cell>
          <cell r="E1">
            <v>4</v>
          </cell>
          <cell r="F1">
            <v>5</v>
          </cell>
          <cell r="G1">
            <v>6</v>
          </cell>
          <cell r="H1">
            <v>7</v>
          </cell>
          <cell r="I1">
            <v>8</v>
          </cell>
        </row>
        <row r="2">
          <cell r="A2">
            <v>1</v>
          </cell>
          <cell r="B2">
            <v>9981</v>
          </cell>
          <cell r="C2">
            <v>10072</v>
          </cell>
          <cell r="D2">
            <v>10165</v>
          </cell>
          <cell r="E2">
            <v>10258</v>
          </cell>
          <cell r="F2">
            <v>10352</v>
          </cell>
          <cell r="G2">
            <v>10453</v>
          </cell>
          <cell r="H2">
            <v>10543</v>
          </cell>
          <cell r="I2">
            <v>10640</v>
          </cell>
        </row>
        <row r="3">
          <cell r="A3">
            <v>2</v>
          </cell>
          <cell r="B3">
            <v>10667</v>
          </cell>
          <cell r="C3">
            <v>10761</v>
          </cell>
          <cell r="D3">
            <v>10856</v>
          </cell>
          <cell r="E3">
            <v>10952</v>
          </cell>
          <cell r="F3">
            <v>11049</v>
          </cell>
          <cell r="G3">
            <v>11147</v>
          </cell>
          <cell r="H3">
            <v>11245</v>
          </cell>
          <cell r="I3">
            <v>11345</v>
          </cell>
        </row>
        <row r="4">
          <cell r="A4">
            <v>3</v>
          </cell>
          <cell r="B4">
            <v>11387</v>
          </cell>
          <cell r="C4">
            <v>11488</v>
          </cell>
          <cell r="D4">
            <v>11589</v>
          </cell>
          <cell r="E4">
            <v>11691</v>
          </cell>
          <cell r="F4">
            <v>11795</v>
          </cell>
          <cell r="G4">
            <v>11899</v>
          </cell>
          <cell r="H4">
            <v>12004</v>
          </cell>
          <cell r="I4">
            <v>12110</v>
          </cell>
        </row>
        <row r="5">
          <cell r="A5">
            <v>4</v>
          </cell>
          <cell r="B5">
            <v>12155</v>
          </cell>
          <cell r="C5">
            <v>12262</v>
          </cell>
          <cell r="D5">
            <v>12371</v>
          </cell>
          <cell r="E5">
            <v>12480</v>
          </cell>
          <cell r="F5">
            <v>12591</v>
          </cell>
          <cell r="G5">
            <v>12702</v>
          </cell>
          <cell r="H5">
            <v>12814</v>
          </cell>
          <cell r="I5">
            <v>12927</v>
          </cell>
        </row>
        <row r="6">
          <cell r="A6">
            <v>5</v>
          </cell>
          <cell r="B6">
            <v>12975</v>
          </cell>
          <cell r="C6">
            <v>13117</v>
          </cell>
          <cell r="D6">
            <v>13206</v>
          </cell>
          <cell r="E6">
            <v>13322</v>
          </cell>
          <cell r="F6">
            <v>13440</v>
          </cell>
          <cell r="G6">
            <v>13559</v>
          </cell>
          <cell r="H6">
            <v>13679</v>
          </cell>
          <cell r="I6">
            <v>13799</v>
          </cell>
        </row>
        <row r="7">
          <cell r="A7">
            <v>6</v>
          </cell>
          <cell r="B7">
            <v>13851</v>
          </cell>
          <cell r="C7">
            <v>13973</v>
          </cell>
          <cell r="D7">
            <v>14096</v>
          </cell>
          <cell r="E7">
            <v>14221</v>
          </cell>
          <cell r="F7">
            <v>14347</v>
          </cell>
          <cell r="G7">
            <v>14474</v>
          </cell>
          <cell r="H7">
            <v>14602</v>
          </cell>
          <cell r="I7">
            <v>14731</v>
          </cell>
        </row>
        <row r="8">
          <cell r="A8">
            <v>7</v>
          </cell>
        </row>
        <row r="9">
          <cell r="A9">
            <v>8</v>
          </cell>
          <cell r="B9">
            <v>15818</v>
          </cell>
          <cell r="C9">
            <v>15969</v>
          </cell>
          <cell r="D9">
            <v>16121</v>
          </cell>
          <cell r="E9">
            <v>16275</v>
          </cell>
          <cell r="F9">
            <v>16430</v>
          </cell>
          <cell r="G9">
            <v>16586</v>
          </cell>
          <cell r="H9">
            <v>16744</v>
          </cell>
          <cell r="I9">
            <v>16903</v>
          </cell>
        </row>
        <row r="10">
          <cell r="A10">
            <v>9</v>
          </cell>
          <cell r="B10">
            <v>16986</v>
          </cell>
          <cell r="C10">
            <v>17142</v>
          </cell>
          <cell r="D10">
            <v>17299</v>
          </cell>
          <cell r="E10">
            <v>17458</v>
          </cell>
          <cell r="F10">
            <v>17618</v>
          </cell>
          <cell r="G10">
            <v>17780</v>
          </cell>
          <cell r="H10">
            <v>17943</v>
          </cell>
          <cell r="I10">
            <v>18108</v>
          </cell>
        </row>
        <row r="11">
          <cell r="A11">
            <v>10</v>
          </cell>
        </row>
        <row r="12">
          <cell r="A12">
            <v>11</v>
          </cell>
          <cell r="B12">
            <v>19620</v>
          </cell>
          <cell r="C12">
            <v>19853</v>
          </cell>
          <cell r="D12">
            <v>20088</v>
          </cell>
          <cell r="E12">
            <v>20326</v>
          </cell>
          <cell r="F12">
            <v>20567</v>
          </cell>
          <cell r="G12">
            <v>20811</v>
          </cell>
          <cell r="H12">
            <v>21058</v>
          </cell>
          <cell r="I12">
            <v>21307</v>
          </cell>
        </row>
        <row r="13">
          <cell r="A13">
            <v>12</v>
          </cell>
        </row>
        <row r="14">
          <cell r="A14">
            <v>13</v>
          </cell>
          <cell r="B14">
            <v>23257</v>
          </cell>
          <cell r="C14">
            <v>23517</v>
          </cell>
          <cell r="D14">
            <v>23780</v>
          </cell>
          <cell r="E14">
            <v>24047</v>
          </cell>
          <cell r="F14">
            <v>24315</v>
          </cell>
          <cell r="G14">
            <v>24587</v>
          </cell>
          <cell r="H14">
            <v>24863</v>
          </cell>
          <cell r="I14">
            <v>25141</v>
          </cell>
        </row>
        <row r="15">
          <cell r="A15">
            <v>14</v>
          </cell>
          <cell r="B15">
            <v>25290</v>
          </cell>
          <cell r="C15">
            <v>25573</v>
          </cell>
          <cell r="D15">
            <v>25859</v>
          </cell>
          <cell r="E15">
            <v>26149</v>
          </cell>
          <cell r="F15">
            <v>26441</v>
          </cell>
          <cell r="G15">
            <v>26737</v>
          </cell>
          <cell r="H15">
            <v>27036</v>
          </cell>
          <cell r="I15">
            <v>27339</v>
          </cell>
        </row>
        <row r="16">
          <cell r="A16">
            <v>15</v>
          </cell>
          <cell r="B16">
            <v>27565</v>
          </cell>
          <cell r="C16">
            <v>27887</v>
          </cell>
          <cell r="D16">
            <v>28214</v>
          </cell>
          <cell r="E16">
            <v>28544</v>
          </cell>
          <cell r="F16">
            <v>28877</v>
          </cell>
          <cell r="G16">
            <v>29214</v>
          </cell>
          <cell r="H16">
            <v>29557</v>
          </cell>
          <cell r="I16">
            <v>29902</v>
          </cell>
        </row>
        <row r="17">
          <cell r="A17">
            <v>16</v>
          </cell>
          <cell r="B17">
            <v>30044</v>
          </cell>
          <cell r="C17">
            <v>30396</v>
          </cell>
          <cell r="D17">
            <v>30751</v>
          </cell>
          <cell r="E17">
            <v>31111</v>
          </cell>
          <cell r="F17">
            <v>31474</v>
          </cell>
          <cell r="G17">
            <v>31843</v>
          </cell>
          <cell r="H17">
            <v>32215</v>
          </cell>
          <cell r="I17">
            <v>32592</v>
          </cell>
        </row>
        <row r="18">
          <cell r="A18">
            <v>17</v>
          </cell>
        </row>
        <row r="19">
          <cell r="A19">
            <v>18</v>
          </cell>
          <cell r="B19">
            <v>35693</v>
          </cell>
          <cell r="C19">
            <v>36111</v>
          </cell>
          <cell r="D19">
            <v>36532</v>
          </cell>
          <cell r="E19">
            <v>36960</v>
          </cell>
          <cell r="F19">
            <v>37392</v>
          </cell>
          <cell r="G19">
            <v>37829</v>
          </cell>
          <cell r="H19">
            <v>38272</v>
          </cell>
          <cell r="I19">
            <v>38719</v>
          </cell>
        </row>
        <row r="20">
          <cell r="A20">
            <v>19</v>
          </cell>
          <cell r="B20">
            <v>39151</v>
          </cell>
          <cell r="C20">
            <v>39685</v>
          </cell>
          <cell r="D20">
            <v>40227</v>
          </cell>
          <cell r="E20">
            <v>40776</v>
          </cell>
          <cell r="F20">
            <v>41333</v>
          </cell>
          <cell r="G20">
            <v>41898</v>
          </cell>
          <cell r="H20">
            <v>42470</v>
          </cell>
          <cell r="I20">
            <v>43051</v>
          </cell>
        </row>
        <row r="21">
          <cell r="A21">
            <v>20</v>
          </cell>
          <cell r="B21">
            <v>43250</v>
          </cell>
          <cell r="C21">
            <v>43841</v>
          </cell>
          <cell r="D21">
            <v>44440</v>
          </cell>
          <cell r="E21">
            <v>45047</v>
          </cell>
          <cell r="F21">
            <v>45662</v>
          </cell>
          <cell r="G21">
            <v>46285</v>
          </cell>
          <cell r="H21">
            <v>46917</v>
          </cell>
          <cell r="I21">
            <v>47559</v>
          </cell>
        </row>
        <row r="22">
          <cell r="A22">
            <v>21</v>
          </cell>
        </row>
        <row r="23">
          <cell r="A23">
            <v>22</v>
          </cell>
          <cell r="B23">
            <v>52783</v>
          </cell>
          <cell r="C23">
            <v>53503</v>
          </cell>
          <cell r="D23">
            <v>54234</v>
          </cell>
          <cell r="E23">
            <v>54975</v>
          </cell>
          <cell r="F23">
            <v>55726</v>
          </cell>
          <cell r="G23">
            <v>56487</v>
          </cell>
          <cell r="H23">
            <v>57258</v>
          </cell>
          <cell r="I23">
            <v>58040</v>
          </cell>
        </row>
        <row r="24">
          <cell r="A24">
            <v>23</v>
          </cell>
          <cell r="B24">
            <v>58310</v>
          </cell>
          <cell r="C24">
            <v>59106</v>
          </cell>
          <cell r="D24">
            <v>59913</v>
          </cell>
          <cell r="E24">
            <v>60732</v>
          </cell>
          <cell r="F24">
            <v>61561</v>
          </cell>
          <cell r="G24">
            <v>62402</v>
          </cell>
          <cell r="H24">
            <v>63255</v>
          </cell>
          <cell r="I24">
            <v>64118</v>
          </cell>
        </row>
        <row r="25">
          <cell r="A25">
            <v>24</v>
          </cell>
          <cell r="B25">
            <v>64416</v>
          </cell>
          <cell r="C25">
            <v>65296</v>
          </cell>
          <cell r="D25">
            <v>66187</v>
          </cell>
          <cell r="E25">
            <v>67092</v>
          </cell>
          <cell r="F25">
            <v>68008</v>
          </cell>
          <cell r="G25">
            <v>68937</v>
          </cell>
          <cell r="H25">
            <v>69878</v>
          </cell>
          <cell r="I25">
            <v>70832</v>
          </cell>
        </row>
        <row r="26">
          <cell r="A26">
            <v>25</v>
          </cell>
        </row>
        <row r="27">
          <cell r="A27">
            <v>26</v>
          </cell>
          <cell r="B27">
            <v>78960</v>
          </cell>
          <cell r="C27">
            <v>80039</v>
          </cell>
          <cell r="D27">
            <v>81132</v>
          </cell>
          <cell r="E27">
            <v>82240</v>
          </cell>
          <cell r="F27">
            <v>83363</v>
          </cell>
          <cell r="G27">
            <v>84502</v>
          </cell>
          <cell r="H27">
            <v>85657</v>
          </cell>
          <cell r="I27">
            <v>86825</v>
          </cell>
        </row>
        <row r="28">
          <cell r="A28">
            <v>27</v>
          </cell>
          <cell r="B28">
            <v>87229</v>
          </cell>
          <cell r="C28">
            <v>88420</v>
          </cell>
          <cell r="D28">
            <v>89628</v>
          </cell>
          <cell r="E28">
            <v>90852</v>
          </cell>
          <cell r="F28">
            <v>92093</v>
          </cell>
          <cell r="G28">
            <v>93351</v>
          </cell>
          <cell r="H28">
            <v>94625</v>
          </cell>
          <cell r="I28">
            <v>95925</v>
          </cell>
        </row>
        <row r="29">
          <cell r="A29">
            <v>28</v>
          </cell>
          <cell r="B29">
            <v>96363</v>
          </cell>
          <cell r="C29">
            <v>97679</v>
          </cell>
          <cell r="D29">
            <v>99013</v>
          </cell>
          <cell r="E29">
            <v>100366</v>
          </cell>
          <cell r="F29">
            <v>101736</v>
          </cell>
          <cell r="G29">
            <v>103126</v>
          </cell>
          <cell r="H29">
            <v>104534</v>
          </cell>
          <cell r="I29">
            <v>105962</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Plan Strat"/>
      <sheetName val="Reclass"/>
      <sheetName val="LIST"/>
      <sheetName val="7-10"/>
      <sheetName val="pivot"/>
      <sheetName val="IP SP"/>
      <sheetName val="MIrror 5-6 (2)"/>
      <sheetName val="salary grade"/>
      <sheetName val="Inventory of Positions"/>
      <sheetName val="inventory all"/>
      <sheetName val="inventory 5-6"/>
      <sheetName val="ID Numbers"/>
      <sheetName val="JO inventory"/>
      <sheetName val="JO inventory csc"/>
      <sheetName val="COS in CO"/>
      <sheetName val="HR Profile PT"/>
      <sheetName val="HR Profile"/>
      <sheetName val="formula edits"/>
      <sheetName val="mirror"/>
      <sheetName val="mirror 2018"/>
      <sheetName val="2018SI "/>
      <sheetName val="mirror 2019"/>
      <sheetName val="2019SI "/>
      <sheetName val="BP205 18"/>
      <sheetName val="BP205 19"/>
      <sheetName val="BP205 20"/>
      <sheetName val="BP205 21"/>
      <sheetName val="2017nosaDB"/>
      <sheetName val="2017NOSA"/>
      <sheetName val="mirror2017"/>
      <sheetName val="2017SI"/>
      <sheetName val="Sheet1"/>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WWS305"/>
  <sheetViews>
    <sheetView view="pageBreakPreview" zoomScale="130" zoomScaleNormal="100" zoomScaleSheetLayoutView="130" workbookViewId="0">
      <selection activeCell="B234" sqref="B234"/>
    </sheetView>
  </sheetViews>
  <sheetFormatPr defaultColWidth="9" defaultRowHeight="13.2"/>
  <cols>
    <col min="1" max="1" width="15.5546875" style="299" customWidth="1"/>
    <col min="2" max="2" width="7" style="299" customWidth="1"/>
    <col min="3" max="3" width="16" style="299" customWidth="1"/>
    <col min="4" max="4" width="3.6640625" style="712" customWidth="1"/>
    <col min="5" max="6" width="9" style="299" customWidth="1"/>
    <col min="7" max="7" width="9.109375" style="299" customWidth="1"/>
    <col min="8" max="8" width="2.5546875" style="326" customWidth="1"/>
    <col min="9" max="9" width="3.33203125" style="712" customWidth="1"/>
    <col min="10" max="11" width="3.33203125" style="325" customWidth="1"/>
    <col min="12" max="13" width="8.109375" style="326" customWidth="1"/>
    <col min="14" max="14" width="8.109375" style="713" customWidth="1"/>
    <col min="15" max="16" width="8.109375" style="326" customWidth="1"/>
    <col min="17" max="18" width="2.109375" style="326" customWidth="1"/>
    <col min="19" max="19" width="9.88671875" style="326" customWidth="1"/>
    <col min="20" max="20" width="8.6640625" style="326" customWidth="1"/>
    <col min="21" max="21" width="19.5546875" style="299" customWidth="1"/>
    <col min="22" max="22" width="3.33203125" style="325" hidden="1" customWidth="1"/>
    <col min="23" max="23" width="8.5546875" style="325" hidden="1" customWidth="1"/>
    <col min="24" max="24" width="7.44140625" style="325" hidden="1" customWidth="1"/>
    <col min="25" max="25" width="9.109375" style="325" hidden="1" customWidth="1"/>
    <col min="26" max="26" width="9" style="325" hidden="1" customWidth="1"/>
    <col min="27" max="27" width="9.33203125" style="406" hidden="1" customWidth="1"/>
    <col min="28" max="28" width="9" style="406" hidden="1" customWidth="1"/>
    <col min="29" max="29" width="3.5546875" style="325" hidden="1" customWidth="1"/>
    <col min="30" max="30" width="8.44140625" style="299" hidden="1" customWidth="1"/>
    <col min="31" max="31" width="7" style="299" hidden="1" customWidth="1"/>
    <col min="32" max="32" width="9" style="299" hidden="1" customWidth="1"/>
    <col min="33" max="33" width="10.33203125" style="299" hidden="1" customWidth="1"/>
    <col min="34" max="34" width="10.109375" style="299" hidden="1" customWidth="1"/>
    <col min="35" max="35" width="2.6640625" style="299" hidden="1" customWidth="1"/>
    <col min="36" max="37" width="9.33203125" style="299" hidden="1" customWidth="1"/>
    <col min="38" max="38" width="9" style="299" customWidth="1"/>
    <col min="39" max="39" width="15.5546875" style="299" customWidth="1"/>
    <col min="40" max="40" width="16" style="299" customWidth="1"/>
    <col min="41" max="41" width="4.33203125" style="712" customWidth="1"/>
    <col min="42" max="42" width="2.5546875" style="326" customWidth="1"/>
    <col min="43" max="43" width="8.6640625" style="326" customWidth="1"/>
    <col min="44" max="44" width="18.33203125" style="299" customWidth="1"/>
    <col min="45" max="45" width="18.6640625" style="299" customWidth="1"/>
    <col min="46" max="46" width="11.6640625" style="299" hidden="1" customWidth="1"/>
    <col min="47" max="47" width="26.33203125" style="299" hidden="1" customWidth="1"/>
    <col min="48" max="48" width="19.88671875" style="299" hidden="1" customWidth="1"/>
    <col min="49" max="49" width="19.33203125" style="299" hidden="1" customWidth="1"/>
    <col min="50" max="50" width="11.6640625" style="299" hidden="1" customWidth="1"/>
    <col min="51" max="51" width="12.5546875" style="299" hidden="1" customWidth="1"/>
    <col min="52" max="256" width="9.109375" style="299"/>
    <col min="257" max="257" width="15.5546875" style="299" customWidth="1"/>
    <col min="258" max="258" width="7" style="299" customWidth="1"/>
    <col min="259" max="259" width="16" style="299" customWidth="1"/>
    <col min="260" max="260" width="3.6640625" style="299" customWidth="1"/>
    <col min="261" max="261" width="8" style="299" customWidth="1"/>
    <col min="262" max="262" width="8.33203125" style="299" customWidth="1"/>
    <col min="263" max="263" width="9.109375" style="299" customWidth="1"/>
    <col min="264" max="264" width="2.5546875" style="299" customWidth="1"/>
    <col min="265" max="267" width="3.33203125" style="299" customWidth="1"/>
    <col min="268" max="272" width="8.109375" style="299" customWidth="1"/>
    <col min="273" max="274" width="2.109375" style="299" customWidth="1"/>
    <col min="275" max="275" width="9.88671875" style="299" customWidth="1"/>
    <col min="276" max="276" width="8.6640625" style="299" customWidth="1"/>
    <col min="277" max="277" width="19.5546875" style="299" customWidth="1"/>
    <col min="278" max="293" width="9" style="299" hidden="1" customWidth="1"/>
    <col min="294" max="294" width="9" style="299" customWidth="1"/>
    <col min="295" max="295" width="15.5546875" style="299" customWidth="1"/>
    <col min="296" max="296" width="16" style="299" customWidth="1"/>
    <col min="297" max="297" width="4.33203125" style="299" customWidth="1"/>
    <col min="298" max="298" width="2.5546875" style="299" customWidth="1"/>
    <col min="299" max="299" width="8.6640625" style="299" customWidth="1"/>
    <col min="300" max="300" width="18.33203125" style="299" customWidth="1"/>
    <col min="301" max="301" width="18.6640625" style="299" customWidth="1"/>
    <col min="302" max="302" width="11.6640625" style="299" customWidth="1"/>
    <col min="303" max="303" width="26.33203125" style="299" customWidth="1"/>
    <col min="304" max="304" width="19.88671875" style="299" customWidth="1"/>
    <col min="305" max="305" width="19.33203125" style="299" customWidth="1"/>
    <col min="306" max="306" width="11.6640625" style="299" customWidth="1"/>
    <col min="307" max="307" width="12.5546875" style="299" customWidth="1"/>
    <col min="308" max="512" width="9.109375" style="299"/>
    <col min="513" max="513" width="15.5546875" style="299" customWidth="1"/>
    <col min="514" max="514" width="7" style="299" customWidth="1"/>
    <col min="515" max="515" width="16" style="299" customWidth="1"/>
    <col min="516" max="516" width="3.6640625" style="299" customWidth="1"/>
    <col min="517" max="517" width="8" style="299" customWidth="1"/>
    <col min="518" max="518" width="8.33203125" style="299" customWidth="1"/>
    <col min="519" max="519" width="9.109375" style="299" customWidth="1"/>
    <col min="520" max="520" width="2.5546875" style="299" customWidth="1"/>
    <col min="521" max="523" width="3.33203125" style="299" customWidth="1"/>
    <col min="524" max="528" width="8.109375" style="299" customWidth="1"/>
    <col min="529" max="530" width="2.109375" style="299" customWidth="1"/>
    <col min="531" max="531" width="9.88671875" style="299" customWidth="1"/>
    <col min="532" max="532" width="8.6640625" style="299" customWidth="1"/>
    <col min="533" max="533" width="19.5546875" style="299" customWidth="1"/>
    <col min="534" max="549" width="9" style="299" hidden="1" customWidth="1"/>
    <col min="550" max="550" width="9" style="299" customWidth="1"/>
    <col min="551" max="551" width="15.5546875" style="299" customWidth="1"/>
    <col min="552" max="552" width="16" style="299" customWidth="1"/>
    <col min="553" max="553" width="4.33203125" style="299" customWidth="1"/>
    <col min="554" max="554" width="2.5546875" style="299" customWidth="1"/>
    <col min="555" max="555" width="8.6640625" style="299" customWidth="1"/>
    <col min="556" max="556" width="18.33203125" style="299" customWidth="1"/>
    <col min="557" max="557" width="18.6640625" style="299" customWidth="1"/>
    <col min="558" max="558" width="11.6640625" style="299" customWidth="1"/>
    <col min="559" max="559" width="26.33203125" style="299" customWidth="1"/>
    <col min="560" max="560" width="19.88671875" style="299" customWidth="1"/>
    <col min="561" max="561" width="19.33203125" style="299" customWidth="1"/>
    <col min="562" max="562" width="11.6640625" style="299" customWidth="1"/>
    <col min="563" max="563" width="12.5546875" style="299" customWidth="1"/>
    <col min="564" max="768" width="9.109375" style="299"/>
    <col min="769" max="769" width="15.5546875" style="299" customWidth="1"/>
    <col min="770" max="770" width="7" style="299" customWidth="1"/>
    <col min="771" max="771" width="16" style="299" customWidth="1"/>
    <col min="772" max="772" width="3.6640625" style="299" customWidth="1"/>
    <col min="773" max="773" width="8" style="299" customWidth="1"/>
    <col min="774" max="774" width="8.33203125" style="299" customWidth="1"/>
    <col min="775" max="775" width="9.109375" style="299" customWidth="1"/>
    <col min="776" max="776" width="2.5546875" style="299" customWidth="1"/>
    <col min="777" max="779" width="3.33203125" style="299" customWidth="1"/>
    <col min="780" max="784" width="8.109375" style="299" customWidth="1"/>
    <col min="785" max="786" width="2.109375" style="299" customWidth="1"/>
    <col min="787" max="787" width="9.88671875" style="299" customWidth="1"/>
    <col min="788" max="788" width="8.6640625" style="299" customWidth="1"/>
    <col min="789" max="789" width="19.5546875" style="299" customWidth="1"/>
    <col min="790" max="805" width="9" style="299" hidden="1" customWidth="1"/>
    <col min="806" max="806" width="9" style="299" customWidth="1"/>
    <col min="807" max="807" width="15.5546875" style="299" customWidth="1"/>
    <col min="808" max="808" width="16" style="299" customWidth="1"/>
    <col min="809" max="809" width="4.33203125" style="299" customWidth="1"/>
    <col min="810" max="810" width="2.5546875" style="299" customWidth="1"/>
    <col min="811" max="811" width="8.6640625" style="299" customWidth="1"/>
    <col min="812" max="812" width="18.33203125" style="299" customWidth="1"/>
    <col min="813" max="813" width="18.6640625" style="299" customWidth="1"/>
    <col min="814" max="814" width="11.6640625" style="299" customWidth="1"/>
    <col min="815" max="815" width="26.33203125" style="299" customWidth="1"/>
    <col min="816" max="816" width="19.88671875" style="299" customWidth="1"/>
    <col min="817" max="817" width="19.33203125" style="299" customWidth="1"/>
    <col min="818" max="818" width="11.6640625" style="299" customWidth="1"/>
    <col min="819" max="819" width="12.5546875" style="299" customWidth="1"/>
    <col min="820" max="1024" width="9.109375" style="299"/>
    <col min="1025" max="1025" width="15.5546875" style="299" customWidth="1"/>
    <col min="1026" max="1026" width="7" style="299" customWidth="1"/>
    <col min="1027" max="1027" width="16" style="299" customWidth="1"/>
    <col min="1028" max="1028" width="3.6640625" style="299" customWidth="1"/>
    <col min="1029" max="1029" width="8" style="299" customWidth="1"/>
    <col min="1030" max="1030" width="8.33203125" style="299" customWidth="1"/>
    <col min="1031" max="1031" width="9.109375" style="299" customWidth="1"/>
    <col min="1032" max="1032" width="2.5546875" style="299" customWidth="1"/>
    <col min="1033" max="1035" width="3.33203125" style="299" customWidth="1"/>
    <col min="1036" max="1040" width="8.109375" style="299" customWidth="1"/>
    <col min="1041" max="1042" width="2.109375" style="299" customWidth="1"/>
    <col min="1043" max="1043" width="9.88671875" style="299" customWidth="1"/>
    <col min="1044" max="1044" width="8.6640625" style="299" customWidth="1"/>
    <col min="1045" max="1045" width="19.5546875" style="299" customWidth="1"/>
    <col min="1046" max="1061" width="9" style="299" hidden="1" customWidth="1"/>
    <col min="1062" max="1062" width="9" style="299" customWidth="1"/>
    <col min="1063" max="1063" width="15.5546875" style="299" customWidth="1"/>
    <col min="1064" max="1064" width="16" style="299" customWidth="1"/>
    <col min="1065" max="1065" width="4.33203125" style="299" customWidth="1"/>
    <col min="1066" max="1066" width="2.5546875" style="299" customWidth="1"/>
    <col min="1067" max="1067" width="8.6640625" style="299" customWidth="1"/>
    <col min="1068" max="1068" width="18.33203125" style="299" customWidth="1"/>
    <col min="1069" max="1069" width="18.6640625" style="299" customWidth="1"/>
    <col min="1070" max="1070" width="11.6640625" style="299" customWidth="1"/>
    <col min="1071" max="1071" width="26.33203125" style="299" customWidth="1"/>
    <col min="1072" max="1072" width="19.88671875" style="299" customWidth="1"/>
    <col min="1073" max="1073" width="19.33203125" style="299" customWidth="1"/>
    <col min="1074" max="1074" width="11.6640625" style="299" customWidth="1"/>
    <col min="1075" max="1075" width="12.5546875" style="299" customWidth="1"/>
    <col min="1076" max="1280" width="9.109375" style="299"/>
    <col min="1281" max="1281" width="15.5546875" style="299" customWidth="1"/>
    <col min="1282" max="1282" width="7" style="299" customWidth="1"/>
    <col min="1283" max="1283" width="16" style="299" customWidth="1"/>
    <col min="1284" max="1284" width="3.6640625" style="299" customWidth="1"/>
    <col min="1285" max="1285" width="8" style="299" customWidth="1"/>
    <col min="1286" max="1286" width="8.33203125" style="299" customWidth="1"/>
    <col min="1287" max="1287" width="9.109375" style="299" customWidth="1"/>
    <col min="1288" max="1288" width="2.5546875" style="299" customWidth="1"/>
    <col min="1289" max="1291" width="3.33203125" style="299" customWidth="1"/>
    <col min="1292" max="1296" width="8.109375" style="299" customWidth="1"/>
    <col min="1297" max="1298" width="2.109375" style="299" customWidth="1"/>
    <col min="1299" max="1299" width="9.88671875" style="299" customWidth="1"/>
    <col min="1300" max="1300" width="8.6640625" style="299" customWidth="1"/>
    <col min="1301" max="1301" width="19.5546875" style="299" customWidth="1"/>
    <col min="1302" max="1317" width="9" style="299" hidden="1" customWidth="1"/>
    <col min="1318" max="1318" width="9" style="299" customWidth="1"/>
    <col min="1319" max="1319" width="15.5546875" style="299" customWidth="1"/>
    <col min="1320" max="1320" width="16" style="299" customWidth="1"/>
    <col min="1321" max="1321" width="4.33203125" style="299" customWidth="1"/>
    <col min="1322" max="1322" width="2.5546875" style="299" customWidth="1"/>
    <col min="1323" max="1323" width="8.6640625" style="299" customWidth="1"/>
    <col min="1324" max="1324" width="18.33203125" style="299" customWidth="1"/>
    <col min="1325" max="1325" width="18.6640625" style="299" customWidth="1"/>
    <col min="1326" max="1326" width="11.6640625" style="299" customWidth="1"/>
    <col min="1327" max="1327" width="26.33203125" style="299" customWidth="1"/>
    <col min="1328" max="1328" width="19.88671875" style="299" customWidth="1"/>
    <col min="1329" max="1329" width="19.33203125" style="299" customWidth="1"/>
    <col min="1330" max="1330" width="11.6640625" style="299" customWidth="1"/>
    <col min="1331" max="1331" width="12.5546875" style="299" customWidth="1"/>
    <col min="1332" max="1536" width="9.109375" style="299"/>
    <col min="1537" max="1537" width="15.5546875" style="299" customWidth="1"/>
    <col min="1538" max="1538" width="7" style="299" customWidth="1"/>
    <col min="1539" max="1539" width="16" style="299" customWidth="1"/>
    <col min="1540" max="1540" width="3.6640625" style="299" customWidth="1"/>
    <col min="1541" max="1541" width="8" style="299" customWidth="1"/>
    <col min="1542" max="1542" width="8.33203125" style="299" customWidth="1"/>
    <col min="1543" max="1543" width="9.109375" style="299" customWidth="1"/>
    <col min="1544" max="1544" width="2.5546875" style="299" customWidth="1"/>
    <col min="1545" max="1547" width="3.33203125" style="299" customWidth="1"/>
    <col min="1548" max="1552" width="8.109375" style="299" customWidth="1"/>
    <col min="1553" max="1554" width="2.109375" style="299" customWidth="1"/>
    <col min="1555" max="1555" width="9.88671875" style="299" customWidth="1"/>
    <col min="1556" max="1556" width="8.6640625" style="299" customWidth="1"/>
    <col min="1557" max="1557" width="19.5546875" style="299" customWidth="1"/>
    <col min="1558" max="1573" width="9" style="299" hidden="1" customWidth="1"/>
    <col min="1574" max="1574" width="9" style="299" customWidth="1"/>
    <col min="1575" max="1575" width="15.5546875" style="299" customWidth="1"/>
    <col min="1576" max="1576" width="16" style="299" customWidth="1"/>
    <col min="1577" max="1577" width="4.33203125" style="299" customWidth="1"/>
    <col min="1578" max="1578" width="2.5546875" style="299" customWidth="1"/>
    <col min="1579" max="1579" width="8.6640625" style="299" customWidth="1"/>
    <col min="1580" max="1580" width="18.33203125" style="299" customWidth="1"/>
    <col min="1581" max="1581" width="18.6640625" style="299" customWidth="1"/>
    <col min="1582" max="1582" width="11.6640625" style="299" customWidth="1"/>
    <col min="1583" max="1583" width="26.33203125" style="299" customWidth="1"/>
    <col min="1584" max="1584" width="19.88671875" style="299" customWidth="1"/>
    <col min="1585" max="1585" width="19.33203125" style="299" customWidth="1"/>
    <col min="1586" max="1586" width="11.6640625" style="299" customWidth="1"/>
    <col min="1587" max="1587" width="12.5546875" style="299" customWidth="1"/>
    <col min="1588" max="1792" width="9.109375" style="299"/>
    <col min="1793" max="1793" width="15.5546875" style="299" customWidth="1"/>
    <col min="1794" max="1794" width="7" style="299" customWidth="1"/>
    <col min="1795" max="1795" width="16" style="299" customWidth="1"/>
    <col min="1796" max="1796" width="3.6640625" style="299" customWidth="1"/>
    <col min="1797" max="1797" width="8" style="299" customWidth="1"/>
    <col min="1798" max="1798" width="8.33203125" style="299" customWidth="1"/>
    <col min="1799" max="1799" width="9.109375" style="299" customWidth="1"/>
    <col min="1800" max="1800" width="2.5546875" style="299" customWidth="1"/>
    <col min="1801" max="1803" width="3.33203125" style="299" customWidth="1"/>
    <col min="1804" max="1808" width="8.109375" style="299" customWidth="1"/>
    <col min="1809" max="1810" width="2.109375" style="299" customWidth="1"/>
    <col min="1811" max="1811" width="9.88671875" style="299" customWidth="1"/>
    <col min="1812" max="1812" width="8.6640625" style="299" customWidth="1"/>
    <col min="1813" max="1813" width="19.5546875" style="299" customWidth="1"/>
    <col min="1814" max="1829" width="9" style="299" hidden="1" customWidth="1"/>
    <col min="1830" max="1830" width="9" style="299" customWidth="1"/>
    <col min="1831" max="1831" width="15.5546875" style="299" customWidth="1"/>
    <col min="1832" max="1832" width="16" style="299" customWidth="1"/>
    <col min="1833" max="1833" width="4.33203125" style="299" customWidth="1"/>
    <col min="1834" max="1834" width="2.5546875" style="299" customWidth="1"/>
    <col min="1835" max="1835" width="8.6640625" style="299" customWidth="1"/>
    <col min="1836" max="1836" width="18.33203125" style="299" customWidth="1"/>
    <col min="1837" max="1837" width="18.6640625" style="299" customWidth="1"/>
    <col min="1838" max="1838" width="11.6640625" style="299" customWidth="1"/>
    <col min="1839" max="1839" width="26.33203125" style="299" customWidth="1"/>
    <col min="1840" max="1840" width="19.88671875" style="299" customWidth="1"/>
    <col min="1841" max="1841" width="19.33203125" style="299" customWidth="1"/>
    <col min="1842" max="1842" width="11.6640625" style="299" customWidth="1"/>
    <col min="1843" max="1843" width="12.5546875" style="299" customWidth="1"/>
    <col min="1844" max="2048" width="9.109375" style="299"/>
    <col min="2049" max="2049" width="15.5546875" style="299" customWidth="1"/>
    <col min="2050" max="2050" width="7" style="299" customWidth="1"/>
    <col min="2051" max="2051" width="16" style="299" customWidth="1"/>
    <col min="2052" max="2052" width="3.6640625" style="299" customWidth="1"/>
    <col min="2053" max="2053" width="8" style="299" customWidth="1"/>
    <col min="2054" max="2054" width="8.33203125" style="299" customWidth="1"/>
    <col min="2055" max="2055" width="9.109375" style="299" customWidth="1"/>
    <col min="2056" max="2056" width="2.5546875" style="299" customWidth="1"/>
    <col min="2057" max="2059" width="3.33203125" style="299" customWidth="1"/>
    <col min="2060" max="2064" width="8.109375" style="299" customWidth="1"/>
    <col min="2065" max="2066" width="2.109375" style="299" customWidth="1"/>
    <col min="2067" max="2067" width="9.88671875" style="299" customWidth="1"/>
    <col min="2068" max="2068" width="8.6640625" style="299" customWidth="1"/>
    <col min="2069" max="2069" width="19.5546875" style="299" customWidth="1"/>
    <col min="2070" max="2085" width="9" style="299" hidden="1" customWidth="1"/>
    <col min="2086" max="2086" width="9" style="299" customWidth="1"/>
    <col min="2087" max="2087" width="15.5546875" style="299" customWidth="1"/>
    <col min="2088" max="2088" width="16" style="299" customWidth="1"/>
    <col min="2089" max="2089" width="4.33203125" style="299" customWidth="1"/>
    <col min="2090" max="2090" width="2.5546875" style="299" customWidth="1"/>
    <col min="2091" max="2091" width="8.6640625" style="299" customWidth="1"/>
    <col min="2092" max="2092" width="18.33203125" style="299" customWidth="1"/>
    <col min="2093" max="2093" width="18.6640625" style="299" customWidth="1"/>
    <col min="2094" max="2094" width="11.6640625" style="299" customWidth="1"/>
    <col min="2095" max="2095" width="26.33203125" style="299" customWidth="1"/>
    <col min="2096" max="2096" width="19.88671875" style="299" customWidth="1"/>
    <col min="2097" max="2097" width="19.33203125" style="299" customWidth="1"/>
    <col min="2098" max="2098" width="11.6640625" style="299" customWidth="1"/>
    <col min="2099" max="2099" width="12.5546875" style="299" customWidth="1"/>
    <col min="2100" max="2304" width="9.109375" style="299"/>
    <col min="2305" max="2305" width="15.5546875" style="299" customWidth="1"/>
    <col min="2306" max="2306" width="7" style="299" customWidth="1"/>
    <col min="2307" max="2307" width="16" style="299" customWidth="1"/>
    <col min="2308" max="2308" width="3.6640625" style="299" customWidth="1"/>
    <col min="2309" max="2309" width="8" style="299" customWidth="1"/>
    <col min="2310" max="2310" width="8.33203125" style="299" customWidth="1"/>
    <col min="2311" max="2311" width="9.109375" style="299" customWidth="1"/>
    <col min="2312" max="2312" width="2.5546875" style="299" customWidth="1"/>
    <col min="2313" max="2315" width="3.33203125" style="299" customWidth="1"/>
    <col min="2316" max="2320" width="8.109375" style="299" customWidth="1"/>
    <col min="2321" max="2322" width="2.109375" style="299" customWidth="1"/>
    <col min="2323" max="2323" width="9.88671875" style="299" customWidth="1"/>
    <col min="2324" max="2324" width="8.6640625" style="299" customWidth="1"/>
    <col min="2325" max="2325" width="19.5546875" style="299" customWidth="1"/>
    <col min="2326" max="2341" width="9" style="299" hidden="1" customWidth="1"/>
    <col min="2342" max="2342" width="9" style="299" customWidth="1"/>
    <col min="2343" max="2343" width="15.5546875" style="299" customWidth="1"/>
    <col min="2344" max="2344" width="16" style="299" customWidth="1"/>
    <col min="2345" max="2345" width="4.33203125" style="299" customWidth="1"/>
    <col min="2346" max="2346" width="2.5546875" style="299" customWidth="1"/>
    <col min="2347" max="2347" width="8.6640625" style="299" customWidth="1"/>
    <col min="2348" max="2348" width="18.33203125" style="299" customWidth="1"/>
    <col min="2349" max="2349" width="18.6640625" style="299" customWidth="1"/>
    <col min="2350" max="2350" width="11.6640625" style="299" customWidth="1"/>
    <col min="2351" max="2351" width="26.33203125" style="299" customWidth="1"/>
    <col min="2352" max="2352" width="19.88671875" style="299" customWidth="1"/>
    <col min="2353" max="2353" width="19.33203125" style="299" customWidth="1"/>
    <col min="2354" max="2354" width="11.6640625" style="299" customWidth="1"/>
    <col min="2355" max="2355" width="12.5546875" style="299" customWidth="1"/>
    <col min="2356" max="2560" width="9.109375" style="299"/>
    <col min="2561" max="2561" width="15.5546875" style="299" customWidth="1"/>
    <col min="2562" max="2562" width="7" style="299" customWidth="1"/>
    <col min="2563" max="2563" width="16" style="299" customWidth="1"/>
    <col min="2564" max="2564" width="3.6640625" style="299" customWidth="1"/>
    <col min="2565" max="2565" width="8" style="299" customWidth="1"/>
    <col min="2566" max="2566" width="8.33203125" style="299" customWidth="1"/>
    <col min="2567" max="2567" width="9.109375" style="299" customWidth="1"/>
    <col min="2568" max="2568" width="2.5546875" style="299" customWidth="1"/>
    <col min="2569" max="2571" width="3.33203125" style="299" customWidth="1"/>
    <col min="2572" max="2576" width="8.109375" style="299" customWidth="1"/>
    <col min="2577" max="2578" width="2.109375" style="299" customWidth="1"/>
    <col min="2579" max="2579" width="9.88671875" style="299" customWidth="1"/>
    <col min="2580" max="2580" width="8.6640625" style="299" customWidth="1"/>
    <col min="2581" max="2581" width="19.5546875" style="299" customWidth="1"/>
    <col min="2582" max="2597" width="9" style="299" hidden="1" customWidth="1"/>
    <col min="2598" max="2598" width="9" style="299" customWidth="1"/>
    <col min="2599" max="2599" width="15.5546875" style="299" customWidth="1"/>
    <col min="2600" max="2600" width="16" style="299" customWidth="1"/>
    <col min="2601" max="2601" width="4.33203125" style="299" customWidth="1"/>
    <col min="2602" max="2602" width="2.5546875" style="299" customWidth="1"/>
    <col min="2603" max="2603" width="8.6640625" style="299" customWidth="1"/>
    <col min="2604" max="2604" width="18.33203125" style="299" customWidth="1"/>
    <col min="2605" max="2605" width="18.6640625" style="299" customWidth="1"/>
    <col min="2606" max="2606" width="11.6640625" style="299" customWidth="1"/>
    <col min="2607" max="2607" width="26.33203125" style="299" customWidth="1"/>
    <col min="2608" max="2608" width="19.88671875" style="299" customWidth="1"/>
    <col min="2609" max="2609" width="19.33203125" style="299" customWidth="1"/>
    <col min="2610" max="2610" width="11.6640625" style="299" customWidth="1"/>
    <col min="2611" max="2611" width="12.5546875" style="299" customWidth="1"/>
    <col min="2612" max="2816" width="9.109375" style="299"/>
    <col min="2817" max="2817" width="15.5546875" style="299" customWidth="1"/>
    <col min="2818" max="2818" width="7" style="299" customWidth="1"/>
    <col min="2819" max="2819" width="16" style="299" customWidth="1"/>
    <col min="2820" max="2820" width="3.6640625" style="299" customWidth="1"/>
    <col min="2821" max="2821" width="8" style="299" customWidth="1"/>
    <col min="2822" max="2822" width="8.33203125" style="299" customWidth="1"/>
    <col min="2823" max="2823" width="9.109375" style="299" customWidth="1"/>
    <col min="2824" max="2824" width="2.5546875" style="299" customWidth="1"/>
    <col min="2825" max="2827" width="3.33203125" style="299" customWidth="1"/>
    <col min="2828" max="2832" width="8.109375" style="299" customWidth="1"/>
    <col min="2833" max="2834" width="2.109375" style="299" customWidth="1"/>
    <col min="2835" max="2835" width="9.88671875" style="299" customWidth="1"/>
    <col min="2836" max="2836" width="8.6640625" style="299" customWidth="1"/>
    <col min="2837" max="2837" width="19.5546875" style="299" customWidth="1"/>
    <col min="2838" max="2853" width="9" style="299" hidden="1" customWidth="1"/>
    <col min="2854" max="2854" width="9" style="299" customWidth="1"/>
    <col min="2855" max="2855" width="15.5546875" style="299" customWidth="1"/>
    <col min="2856" max="2856" width="16" style="299" customWidth="1"/>
    <col min="2857" max="2857" width="4.33203125" style="299" customWidth="1"/>
    <col min="2858" max="2858" width="2.5546875" style="299" customWidth="1"/>
    <col min="2859" max="2859" width="8.6640625" style="299" customWidth="1"/>
    <col min="2860" max="2860" width="18.33203125" style="299" customWidth="1"/>
    <col min="2861" max="2861" width="18.6640625" style="299" customWidth="1"/>
    <col min="2862" max="2862" width="11.6640625" style="299" customWidth="1"/>
    <col min="2863" max="2863" width="26.33203125" style="299" customWidth="1"/>
    <col min="2864" max="2864" width="19.88671875" style="299" customWidth="1"/>
    <col min="2865" max="2865" width="19.33203125" style="299" customWidth="1"/>
    <col min="2866" max="2866" width="11.6640625" style="299" customWidth="1"/>
    <col min="2867" max="2867" width="12.5546875" style="299" customWidth="1"/>
    <col min="2868" max="3072" width="9.109375" style="299"/>
    <col min="3073" max="3073" width="15.5546875" style="299" customWidth="1"/>
    <col min="3074" max="3074" width="7" style="299" customWidth="1"/>
    <col min="3075" max="3075" width="16" style="299" customWidth="1"/>
    <col min="3076" max="3076" width="3.6640625" style="299" customWidth="1"/>
    <col min="3077" max="3077" width="8" style="299" customWidth="1"/>
    <col min="3078" max="3078" width="8.33203125" style="299" customWidth="1"/>
    <col min="3079" max="3079" width="9.109375" style="299" customWidth="1"/>
    <col min="3080" max="3080" width="2.5546875" style="299" customWidth="1"/>
    <col min="3081" max="3083" width="3.33203125" style="299" customWidth="1"/>
    <col min="3084" max="3088" width="8.109375" style="299" customWidth="1"/>
    <col min="3089" max="3090" width="2.109375" style="299" customWidth="1"/>
    <col min="3091" max="3091" width="9.88671875" style="299" customWidth="1"/>
    <col min="3092" max="3092" width="8.6640625" style="299" customWidth="1"/>
    <col min="3093" max="3093" width="19.5546875" style="299" customWidth="1"/>
    <col min="3094" max="3109" width="9" style="299" hidden="1" customWidth="1"/>
    <col min="3110" max="3110" width="9" style="299" customWidth="1"/>
    <col min="3111" max="3111" width="15.5546875" style="299" customWidth="1"/>
    <col min="3112" max="3112" width="16" style="299" customWidth="1"/>
    <col min="3113" max="3113" width="4.33203125" style="299" customWidth="1"/>
    <col min="3114" max="3114" width="2.5546875" style="299" customWidth="1"/>
    <col min="3115" max="3115" width="8.6640625" style="299" customWidth="1"/>
    <col min="3116" max="3116" width="18.33203125" style="299" customWidth="1"/>
    <col min="3117" max="3117" width="18.6640625" style="299" customWidth="1"/>
    <col min="3118" max="3118" width="11.6640625" style="299" customWidth="1"/>
    <col min="3119" max="3119" width="26.33203125" style="299" customWidth="1"/>
    <col min="3120" max="3120" width="19.88671875" style="299" customWidth="1"/>
    <col min="3121" max="3121" width="19.33203125" style="299" customWidth="1"/>
    <col min="3122" max="3122" width="11.6640625" style="299" customWidth="1"/>
    <col min="3123" max="3123" width="12.5546875" style="299" customWidth="1"/>
    <col min="3124" max="3328" width="9.109375" style="299"/>
    <col min="3329" max="3329" width="15.5546875" style="299" customWidth="1"/>
    <col min="3330" max="3330" width="7" style="299" customWidth="1"/>
    <col min="3331" max="3331" width="16" style="299" customWidth="1"/>
    <col min="3332" max="3332" width="3.6640625" style="299" customWidth="1"/>
    <col min="3333" max="3333" width="8" style="299" customWidth="1"/>
    <col min="3334" max="3334" width="8.33203125" style="299" customWidth="1"/>
    <col min="3335" max="3335" width="9.109375" style="299" customWidth="1"/>
    <col min="3336" max="3336" width="2.5546875" style="299" customWidth="1"/>
    <col min="3337" max="3339" width="3.33203125" style="299" customWidth="1"/>
    <col min="3340" max="3344" width="8.109375" style="299" customWidth="1"/>
    <col min="3345" max="3346" width="2.109375" style="299" customWidth="1"/>
    <col min="3347" max="3347" width="9.88671875" style="299" customWidth="1"/>
    <col min="3348" max="3348" width="8.6640625" style="299" customWidth="1"/>
    <col min="3349" max="3349" width="19.5546875" style="299" customWidth="1"/>
    <col min="3350" max="3365" width="9" style="299" hidden="1" customWidth="1"/>
    <col min="3366" max="3366" width="9" style="299" customWidth="1"/>
    <col min="3367" max="3367" width="15.5546875" style="299" customWidth="1"/>
    <col min="3368" max="3368" width="16" style="299" customWidth="1"/>
    <col min="3369" max="3369" width="4.33203125" style="299" customWidth="1"/>
    <col min="3370" max="3370" width="2.5546875" style="299" customWidth="1"/>
    <col min="3371" max="3371" width="8.6640625" style="299" customWidth="1"/>
    <col min="3372" max="3372" width="18.33203125" style="299" customWidth="1"/>
    <col min="3373" max="3373" width="18.6640625" style="299" customWidth="1"/>
    <col min="3374" max="3374" width="11.6640625" style="299" customWidth="1"/>
    <col min="3375" max="3375" width="26.33203125" style="299" customWidth="1"/>
    <col min="3376" max="3376" width="19.88671875" style="299" customWidth="1"/>
    <col min="3377" max="3377" width="19.33203125" style="299" customWidth="1"/>
    <col min="3378" max="3378" width="11.6640625" style="299" customWidth="1"/>
    <col min="3379" max="3379" width="12.5546875" style="299" customWidth="1"/>
    <col min="3380" max="3584" width="9.109375" style="299"/>
    <col min="3585" max="3585" width="15.5546875" style="299" customWidth="1"/>
    <col min="3586" max="3586" width="7" style="299" customWidth="1"/>
    <col min="3587" max="3587" width="16" style="299" customWidth="1"/>
    <col min="3588" max="3588" width="3.6640625" style="299" customWidth="1"/>
    <col min="3589" max="3589" width="8" style="299" customWidth="1"/>
    <col min="3590" max="3590" width="8.33203125" style="299" customWidth="1"/>
    <col min="3591" max="3591" width="9.109375" style="299" customWidth="1"/>
    <col min="3592" max="3592" width="2.5546875" style="299" customWidth="1"/>
    <col min="3593" max="3595" width="3.33203125" style="299" customWidth="1"/>
    <col min="3596" max="3600" width="8.109375" style="299" customWidth="1"/>
    <col min="3601" max="3602" width="2.109375" style="299" customWidth="1"/>
    <col min="3603" max="3603" width="9.88671875" style="299" customWidth="1"/>
    <col min="3604" max="3604" width="8.6640625" style="299" customWidth="1"/>
    <col min="3605" max="3605" width="19.5546875" style="299" customWidth="1"/>
    <col min="3606" max="3621" width="9" style="299" hidden="1" customWidth="1"/>
    <col min="3622" max="3622" width="9" style="299" customWidth="1"/>
    <col min="3623" max="3623" width="15.5546875" style="299" customWidth="1"/>
    <col min="3624" max="3624" width="16" style="299" customWidth="1"/>
    <col min="3625" max="3625" width="4.33203125" style="299" customWidth="1"/>
    <col min="3626" max="3626" width="2.5546875" style="299" customWidth="1"/>
    <col min="3627" max="3627" width="8.6640625" style="299" customWidth="1"/>
    <col min="3628" max="3628" width="18.33203125" style="299" customWidth="1"/>
    <col min="3629" max="3629" width="18.6640625" style="299" customWidth="1"/>
    <col min="3630" max="3630" width="11.6640625" style="299" customWidth="1"/>
    <col min="3631" max="3631" width="26.33203125" style="299" customWidth="1"/>
    <col min="3632" max="3632" width="19.88671875" style="299" customWidth="1"/>
    <col min="3633" max="3633" width="19.33203125" style="299" customWidth="1"/>
    <col min="3634" max="3634" width="11.6640625" style="299" customWidth="1"/>
    <col min="3635" max="3635" width="12.5546875" style="299" customWidth="1"/>
    <col min="3636" max="3840" width="9.109375" style="299"/>
    <col min="3841" max="3841" width="15.5546875" style="299" customWidth="1"/>
    <col min="3842" max="3842" width="7" style="299" customWidth="1"/>
    <col min="3843" max="3843" width="16" style="299" customWidth="1"/>
    <col min="3844" max="3844" width="3.6640625" style="299" customWidth="1"/>
    <col min="3845" max="3845" width="8" style="299" customWidth="1"/>
    <col min="3846" max="3846" width="8.33203125" style="299" customWidth="1"/>
    <col min="3847" max="3847" width="9.109375" style="299" customWidth="1"/>
    <col min="3848" max="3848" width="2.5546875" style="299" customWidth="1"/>
    <col min="3849" max="3851" width="3.33203125" style="299" customWidth="1"/>
    <col min="3852" max="3856" width="8.109375" style="299" customWidth="1"/>
    <col min="3857" max="3858" width="2.109375" style="299" customWidth="1"/>
    <col min="3859" max="3859" width="9.88671875" style="299" customWidth="1"/>
    <col min="3860" max="3860" width="8.6640625" style="299" customWidth="1"/>
    <col min="3861" max="3861" width="19.5546875" style="299" customWidth="1"/>
    <col min="3862" max="3877" width="9" style="299" hidden="1" customWidth="1"/>
    <col min="3878" max="3878" width="9" style="299" customWidth="1"/>
    <col min="3879" max="3879" width="15.5546875" style="299" customWidth="1"/>
    <col min="3880" max="3880" width="16" style="299" customWidth="1"/>
    <col min="3881" max="3881" width="4.33203125" style="299" customWidth="1"/>
    <col min="3882" max="3882" width="2.5546875" style="299" customWidth="1"/>
    <col min="3883" max="3883" width="8.6640625" style="299" customWidth="1"/>
    <col min="3884" max="3884" width="18.33203125" style="299" customWidth="1"/>
    <col min="3885" max="3885" width="18.6640625" style="299" customWidth="1"/>
    <col min="3886" max="3886" width="11.6640625" style="299" customWidth="1"/>
    <col min="3887" max="3887" width="26.33203125" style="299" customWidth="1"/>
    <col min="3888" max="3888" width="19.88671875" style="299" customWidth="1"/>
    <col min="3889" max="3889" width="19.33203125" style="299" customWidth="1"/>
    <col min="3890" max="3890" width="11.6640625" style="299" customWidth="1"/>
    <col min="3891" max="3891" width="12.5546875" style="299" customWidth="1"/>
    <col min="3892" max="4096" width="9.109375" style="299"/>
    <col min="4097" max="4097" width="15.5546875" style="299" customWidth="1"/>
    <col min="4098" max="4098" width="7" style="299" customWidth="1"/>
    <col min="4099" max="4099" width="16" style="299" customWidth="1"/>
    <col min="4100" max="4100" width="3.6640625" style="299" customWidth="1"/>
    <col min="4101" max="4101" width="8" style="299" customWidth="1"/>
    <col min="4102" max="4102" width="8.33203125" style="299" customWidth="1"/>
    <col min="4103" max="4103" width="9.109375" style="299" customWidth="1"/>
    <col min="4104" max="4104" width="2.5546875" style="299" customWidth="1"/>
    <col min="4105" max="4107" width="3.33203125" style="299" customWidth="1"/>
    <col min="4108" max="4112" width="8.109375" style="299" customWidth="1"/>
    <col min="4113" max="4114" width="2.109375" style="299" customWidth="1"/>
    <col min="4115" max="4115" width="9.88671875" style="299" customWidth="1"/>
    <col min="4116" max="4116" width="8.6640625" style="299" customWidth="1"/>
    <col min="4117" max="4117" width="19.5546875" style="299" customWidth="1"/>
    <col min="4118" max="4133" width="9" style="299" hidden="1" customWidth="1"/>
    <col min="4134" max="4134" width="9" style="299" customWidth="1"/>
    <col min="4135" max="4135" width="15.5546875" style="299" customWidth="1"/>
    <col min="4136" max="4136" width="16" style="299" customWidth="1"/>
    <col min="4137" max="4137" width="4.33203125" style="299" customWidth="1"/>
    <col min="4138" max="4138" width="2.5546875" style="299" customWidth="1"/>
    <col min="4139" max="4139" width="8.6640625" style="299" customWidth="1"/>
    <col min="4140" max="4140" width="18.33203125" style="299" customWidth="1"/>
    <col min="4141" max="4141" width="18.6640625" style="299" customWidth="1"/>
    <col min="4142" max="4142" width="11.6640625" style="299" customWidth="1"/>
    <col min="4143" max="4143" width="26.33203125" style="299" customWidth="1"/>
    <col min="4144" max="4144" width="19.88671875" style="299" customWidth="1"/>
    <col min="4145" max="4145" width="19.33203125" style="299" customWidth="1"/>
    <col min="4146" max="4146" width="11.6640625" style="299" customWidth="1"/>
    <col min="4147" max="4147" width="12.5546875" style="299" customWidth="1"/>
    <col min="4148" max="4352" width="9.109375" style="299"/>
    <col min="4353" max="4353" width="15.5546875" style="299" customWidth="1"/>
    <col min="4354" max="4354" width="7" style="299" customWidth="1"/>
    <col min="4355" max="4355" width="16" style="299" customWidth="1"/>
    <col min="4356" max="4356" width="3.6640625" style="299" customWidth="1"/>
    <col min="4357" max="4357" width="8" style="299" customWidth="1"/>
    <col min="4358" max="4358" width="8.33203125" style="299" customWidth="1"/>
    <col min="4359" max="4359" width="9.109375" style="299" customWidth="1"/>
    <col min="4360" max="4360" width="2.5546875" style="299" customWidth="1"/>
    <col min="4361" max="4363" width="3.33203125" style="299" customWidth="1"/>
    <col min="4364" max="4368" width="8.109375" style="299" customWidth="1"/>
    <col min="4369" max="4370" width="2.109375" style="299" customWidth="1"/>
    <col min="4371" max="4371" width="9.88671875" style="299" customWidth="1"/>
    <col min="4372" max="4372" width="8.6640625" style="299" customWidth="1"/>
    <col min="4373" max="4373" width="19.5546875" style="299" customWidth="1"/>
    <col min="4374" max="4389" width="9" style="299" hidden="1" customWidth="1"/>
    <col min="4390" max="4390" width="9" style="299" customWidth="1"/>
    <col min="4391" max="4391" width="15.5546875" style="299" customWidth="1"/>
    <col min="4392" max="4392" width="16" style="299" customWidth="1"/>
    <col min="4393" max="4393" width="4.33203125" style="299" customWidth="1"/>
    <col min="4394" max="4394" width="2.5546875" style="299" customWidth="1"/>
    <col min="4395" max="4395" width="8.6640625" style="299" customWidth="1"/>
    <col min="4396" max="4396" width="18.33203125" style="299" customWidth="1"/>
    <col min="4397" max="4397" width="18.6640625" style="299" customWidth="1"/>
    <col min="4398" max="4398" width="11.6640625" style="299" customWidth="1"/>
    <col min="4399" max="4399" width="26.33203125" style="299" customWidth="1"/>
    <col min="4400" max="4400" width="19.88671875" style="299" customWidth="1"/>
    <col min="4401" max="4401" width="19.33203125" style="299" customWidth="1"/>
    <col min="4402" max="4402" width="11.6640625" style="299" customWidth="1"/>
    <col min="4403" max="4403" width="12.5546875" style="299" customWidth="1"/>
    <col min="4404" max="4608" width="9.109375" style="299"/>
    <col min="4609" max="4609" width="15.5546875" style="299" customWidth="1"/>
    <col min="4610" max="4610" width="7" style="299" customWidth="1"/>
    <col min="4611" max="4611" width="16" style="299" customWidth="1"/>
    <col min="4612" max="4612" width="3.6640625" style="299" customWidth="1"/>
    <col min="4613" max="4613" width="8" style="299" customWidth="1"/>
    <col min="4614" max="4614" width="8.33203125" style="299" customWidth="1"/>
    <col min="4615" max="4615" width="9.109375" style="299" customWidth="1"/>
    <col min="4616" max="4616" width="2.5546875" style="299" customWidth="1"/>
    <col min="4617" max="4619" width="3.33203125" style="299" customWidth="1"/>
    <col min="4620" max="4624" width="8.109375" style="299" customWidth="1"/>
    <col min="4625" max="4626" width="2.109375" style="299" customWidth="1"/>
    <col min="4627" max="4627" width="9.88671875" style="299" customWidth="1"/>
    <col min="4628" max="4628" width="8.6640625" style="299" customWidth="1"/>
    <col min="4629" max="4629" width="19.5546875" style="299" customWidth="1"/>
    <col min="4630" max="4645" width="9" style="299" hidden="1" customWidth="1"/>
    <col min="4646" max="4646" width="9" style="299" customWidth="1"/>
    <col min="4647" max="4647" width="15.5546875" style="299" customWidth="1"/>
    <col min="4648" max="4648" width="16" style="299" customWidth="1"/>
    <col min="4649" max="4649" width="4.33203125" style="299" customWidth="1"/>
    <col min="4650" max="4650" width="2.5546875" style="299" customWidth="1"/>
    <col min="4651" max="4651" width="8.6640625" style="299" customWidth="1"/>
    <col min="4652" max="4652" width="18.33203125" style="299" customWidth="1"/>
    <col min="4653" max="4653" width="18.6640625" style="299" customWidth="1"/>
    <col min="4654" max="4654" width="11.6640625" style="299" customWidth="1"/>
    <col min="4655" max="4655" width="26.33203125" style="299" customWidth="1"/>
    <col min="4656" max="4656" width="19.88671875" style="299" customWidth="1"/>
    <col min="4657" max="4657" width="19.33203125" style="299" customWidth="1"/>
    <col min="4658" max="4658" width="11.6640625" style="299" customWidth="1"/>
    <col min="4659" max="4659" width="12.5546875" style="299" customWidth="1"/>
    <col min="4660" max="4864" width="9.109375" style="299"/>
    <col min="4865" max="4865" width="15.5546875" style="299" customWidth="1"/>
    <col min="4866" max="4866" width="7" style="299" customWidth="1"/>
    <col min="4867" max="4867" width="16" style="299" customWidth="1"/>
    <col min="4868" max="4868" width="3.6640625" style="299" customWidth="1"/>
    <col min="4869" max="4869" width="8" style="299" customWidth="1"/>
    <col min="4870" max="4870" width="8.33203125" style="299" customWidth="1"/>
    <col min="4871" max="4871" width="9.109375" style="299" customWidth="1"/>
    <col min="4872" max="4872" width="2.5546875" style="299" customWidth="1"/>
    <col min="4873" max="4875" width="3.33203125" style="299" customWidth="1"/>
    <col min="4876" max="4880" width="8.109375" style="299" customWidth="1"/>
    <col min="4881" max="4882" width="2.109375" style="299" customWidth="1"/>
    <col min="4883" max="4883" width="9.88671875" style="299" customWidth="1"/>
    <col min="4884" max="4884" width="8.6640625" style="299" customWidth="1"/>
    <col min="4885" max="4885" width="19.5546875" style="299" customWidth="1"/>
    <col min="4886" max="4901" width="9" style="299" hidden="1" customWidth="1"/>
    <col min="4902" max="4902" width="9" style="299" customWidth="1"/>
    <col min="4903" max="4903" width="15.5546875" style="299" customWidth="1"/>
    <col min="4904" max="4904" width="16" style="299" customWidth="1"/>
    <col min="4905" max="4905" width="4.33203125" style="299" customWidth="1"/>
    <col min="4906" max="4906" width="2.5546875" style="299" customWidth="1"/>
    <col min="4907" max="4907" width="8.6640625" style="299" customWidth="1"/>
    <col min="4908" max="4908" width="18.33203125" style="299" customWidth="1"/>
    <col min="4909" max="4909" width="18.6640625" style="299" customWidth="1"/>
    <col min="4910" max="4910" width="11.6640625" style="299" customWidth="1"/>
    <col min="4911" max="4911" width="26.33203125" style="299" customWidth="1"/>
    <col min="4912" max="4912" width="19.88671875" style="299" customWidth="1"/>
    <col min="4913" max="4913" width="19.33203125" style="299" customWidth="1"/>
    <col min="4914" max="4914" width="11.6640625" style="299" customWidth="1"/>
    <col min="4915" max="4915" width="12.5546875" style="299" customWidth="1"/>
    <col min="4916" max="5120" width="9.109375" style="299"/>
    <col min="5121" max="5121" width="15.5546875" style="299" customWidth="1"/>
    <col min="5122" max="5122" width="7" style="299" customWidth="1"/>
    <col min="5123" max="5123" width="16" style="299" customWidth="1"/>
    <col min="5124" max="5124" width="3.6640625" style="299" customWidth="1"/>
    <col min="5125" max="5125" width="8" style="299" customWidth="1"/>
    <col min="5126" max="5126" width="8.33203125" style="299" customWidth="1"/>
    <col min="5127" max="5127" width="9.109375" style="299" customWidth="1"/>
    <col min="5128" max="5128" width="2.5546875" style="299" customWidth="1"/>
    <col min="5129" max="5131" width="3.33203125" style="299" customWidth="1"/>
    <col min="5132" max="5136" width="8.109375" style="299" customWidth="1"/>
    <col min="5137" max="5138" width="2.109375" style="299" customWidth="1"/>
    <col min="5139" max="5139" width="9.88671875" style="299" customWidth="1"/>
    <col min="5140" max="5140" width="8.6640625" style="299" customWidth="1"/>
    <col min="5141" max="5141" width="19.5546875" style="299" customWidth="1"/>
    <col min="5142" max="5157" width="9" style="299" hidden="1" customWidth="1"/>
    <col min="5158" max="5158" width="9" style="299" customWidth="1"/>
    <col min="5159" max="5159" width="15.5546875" style="299" customWidth="1"/>
    <col min="5160" max="5160" width="16" style="299" customWidth="1"/>
    <col min="5161" max="5161" width="4.33203125" style="299" customWidth="1"/>
    <col min="5162" max="5162" width="2.5546875" style="299" customWidth="1"/>
    <col min="5163" max="5163" width="8.6640625" style="299" customWidth="1"/>
    <col min="5164" max="5164" width="18.33203125" style="299" customWidth="1"/>
    <col min="5165" max="5165" width="18.6640625" style="299" customWidth="1"/>
    <col min="5166" max="5166" width="11.6640625" style="299" customWidth="1"/>
    <col min="5167" max="5167" width="26.33203125" style="299" customWidth="1"/>
    <col min="5168" max="5168" width="19.88671875" style="299" customWidth="1"/>
    <col min="5169" max="5169" width="19.33203125" style="299" customWidth="1"/>
    <col min="5170" max="5170" width="11.6640625" style="299" customWidth="1"/>
    <col min="5171" max="5171" width="12.5546875" style="299" customWidth="1"/>
    <col min="5172" max="5376" width="9.109375" style="299"/>
    <col min="5377" max="5377" width="15.5546875" style="299" customWidth="1"/>
    <col min="5378" max="5378" width="7" style="299" customWidth="1"/>
    <col min="5379" max="5379" width="16" style="299" customWidth="1"/>
    <col min="5380" max="5380" width="3.6640625" style="299" customWidth="1"/>
    <col min="5381" max="5381" width="8" style="299" customWidth="1"/>
    <col min="5382" max="5382" width="8.33203125" style="299" customWidth="1"/>
    <col min="5383" max="5383" width="9.109375" style="299" customWidth="1"/>
    <col min="5384" max="5384" width="2.5546875" style="299" customWidth="1"/>
    <col min="5385" max="5387" width="3.33203125" style="299" customWidth="1"/>
    <col min="5388" max="5392" width="8.109375" style="299" customWidth="1"/>
    <col min="5393" max="5394" width="2.109375" style="299" customWidth="1"/>
    <col min="5395" max="5395" width="9.88671875" style="299" customWidth="1"/>
    <col min="5396" max="5396" width="8.6640625" style="299" customWidth="1"/>
    <col min="5397" max="5397" width="19.5546875" style="299" customWidth="1"/>
    <col min="5398" max="5413" width="9" style="299" hidden="1" customWidth="1"/>
    <col min="5414" max="5414" width="9" style="299" customWidth="1"/>
    <col min="5415" max="5415" width="15.5546875" style="299" customWidth="1"/>
    <col min="5416" max="5416" width="16" style="299" customWidth="1"/>
    <col min="5417" max="5417" width="4.33203125" style="299" customWidth="1"/>
    <col min="5418" max="5418" width="2.5546875" style="299" customWidth="1"/>
    <col min="5419" max="5419" width="8.6640625" style="299" customWidth="1"/>
    <col min="5420" max="5420" width="18.33203125" style="299" customWidth="1"/>
    <col min="5421" max="5421" width="18.6640625" style="299" customWidth="1"/>
    <col min="5422" max="5422" width="11.6640625" style="299" customWidth="1"/>
    <col min="5423" max="5423" width="26.33203125" style="299" customWidth="1"/>
    <col min="5424" max="5424" width="19.88671875" style="299" customWidth="1"/>
    <col min="5425" max="5425" width="19.33203125" style="299" customWidth="1"/>
    <col min="5426" max="5426" width="11.6640625" style="299" customWidth="1"/>
    <col min="5427" max="5427" width="12.5546875" style="299" customWidth="1"/>
    <col min="5428" max="5632" width="9.109375" style="299"/>
    <col min="5633" max="5633" width="15.5546875" style="299" customWidth="1"/>
    <col min="5634" max="5634" width="7" style="299" customWidth="1"/>
    <col min="5635" max="5635" width="16" style="299" customWidth="1"/>
    <col min="5636" max="5636" width="3.6640625" style="299" customWidth="1"/>
    <col min="5637" max="5637" width="8" style="299" customWidth="1"/>
    <col min="5638" max="5638" width="8.33203125" style="299" customWidth="1"/>
    <col min="5639" max="5639" width="9.109375" style="299" customWidth="1"/>
    <col min="5640" max="5640" width="2.5546875" style="299" customWidth="1"/>
    <col min="5641" max="5643" width="3.33203125" style="299" customWidth="1"/>
    <col min="5644" max="5648" width="8.109375" style="299" customWidth="1"/>
    <col min="5649" max="5650" width="2.109375" style="299" customWidth="1"/>
    <col min="5651" max="5651" width="9.88671875" style="299" customWidth="1"/>
    <col min="5652" max="5652" width="8.6640625" style="299" customWidth="1"/>
    <col min="5653" max="5653" width="19.5546875" style="299" customWidth="1"/>
    <col min="5654" max="5669" width="9" style="299" hidden="1" customWidth="1"/>
    <col min="5670" max="5670" width="9" style="299" customWidth="1"/>
    <col min="5671" max="5671" width="15.5546875" style="299" customWidth="1"/>
    <col min="5672" max="5672" width="16" style="299" customWidth="1"/>
    <col min="5673" max="5673" width="4.33203125" style="299" customWidth="1"/>
    <col min="5674" max="5674" width="2.5546875" style="299" customWidth="1"/>
    <col min="5675" max="5675" width="8.6640625" style="299" customWidth="1"/>
    <col min="5676" max="5676" width="18.33203125" style="299" customWidth="1"/>
    <col min="5677" max="5677" width="18.6640625" style="299" customWidth="1"/>
    <col min="5678" max="5678" width="11.6640625" style="299" customWidth="1"/>
    <col min="5679" max="5679" width="26.33203125" style="299" customWidth="1"/>
    <col min="5680" max="5680" width="19.88671875" style="299" customWidth="1"/>
    <col min="5681" max="5681" width="19.33203125" style="299" customWidth="1"/>
    <col min="5682" max="5682" width="11.6640625" style="299" customWidth="1"/>
    <col min="5683" max="5683" width="12.5546875" style="299" customWidth="1"/>
    <col min="5684" max="5888" width="9.109375" style="299"/>
    <col min="5889" max="5889" width="15.5546875" style="299" customWidth="1"/>
    <col min="5890" max="5890" width="7" style="299" customWidth="1"/>
    <col min="5891" max="5891" width="16" style="299" customWidth="1"/>
    <col min="5892" max="5892" width="3.6640625" style="299" customWidth="1"/>
    <col min="5893" max="5893" width="8" style="299" customWidth="1"/>
    <col min="5894" max="5894" width="8.33203125" style="299" customWidth="1"/>
    <col min="5895" max="5895" width="9.109375" style="299" customWidth="1"/>
    <col min="5896" max="5896" width="2.5546875" style="299" customWidth="1"/>
    <col min="5897" max="5899" width="3.33203125" style="299" customWidth="1"/>
    <col min="5900" max="5904" width="8.109375" style="299" customWidth="1"/>
    <col min="5905" max="5906" width="2.109375" style="299" customWidth="1"/>
    <col min="5907" max="5907" width="9.88671875" style="299" customWidth="1"/>
    <col min="5908" max="5908" width="8.6640625" style="299" customWidth="1"/>
    <col min="5909" max="5909" width="19.5546875" style="299" customWidth="1"/>
    <col min="5910" max="5925" width="9" style="299" hidden="1" customWidth="1"/>
    <col min="5926" max="5926" width="9" style="299" customWidth="1"/>
    <col min="5927" max="5927" width="15.5546875" style="299" customWidth="1"/>
    <col min="5928" max="5928" width="16" style="299" customWidth="1"/>
    <col min="5929" max="5929" width="4.33203125" style="299" customWidth="1"/>
    <col min="5930" max="5930" width="2.5546875" style="299" customWidth="1"/>
    <col min="5931" max="5931" width="8.6640625" style="299" customWidth="1"/>
    <col min="5932" max="5932" width="18.33203125" style="299" customWidth="1"/>
    <col min="5933" max="5933" width="18.6640625" style="299" customWidth="1"/>
    <col min="5934" max="5934" width="11.6640625" style="299" customWidth="1"/>
    <col min="5935" max="5935" width="26.33203125" style="299" customWidth="1"/>
    <col min="5936" max="5936" width="19.88671875" style="299" customWidth="1"/>
    <col min="5937" max="5937" width="19.33203125" style="299" customWidth="1"/>
    <col min="5938" max="5938" width="11.6640625" style="299" customWidth="1"/>
    <col min="5939" max="5939" width="12.5546875" style="299" customWidth="1"/>
    <col min="5940" max="6144" width="9.109375" style="299"/>
    <col min="6145" max="6145" width="15.5546875" style="299" customWidth="1"/>
    <col min="6146" max="6146" width="7" style="299" customWidth="1"/>
    <col min="6147" max="6147" width="16" style="299" customWidth="1"/>
    <col min="6148" max="6148" width="3.6640625" style="299" customWidth="1"/>
    <col min="6149" max="6149" width="8" style="299" customWidth="1"/>
    <col min="6150" max="6150" width="8.33203125" style="299" customWidth="1"/>
    <col min="6151" max="6151" width="9.109375" style="299" customWidth="1"/>
    <col min="6152" max="6152" width="2.5546875" style="299" customWidth="1"/>
    <col min="6153" max="6155" width="3.33203125" style="299" customWidth="1"/>
    <col min="6156" max="6160" width="8.109375" style="299" customWidth="1"/>
    <col min="6161" max="6162" width="2.109375" style="299" customWidth="1"/>
    <col min="6163" max="6163" width="9.88671875" style="299" customWidth="1"/>
    <col min="6164" max="6164" width="8.6640625" style="299" customWidth="1"/>
    <col min="6165" max="6165" width="19.5546875" style="299" customWidth="1"/>
    <col min="6166" max="6181" width="9" style="299" hidden="1" customWidth="1"/>
    <col min="6182" max="6182" width="9" style="299" customWidth="1"/>
    <col min="6183" max="6183" width="15.5546875" style="299" customWidth="1"/>
    <col min="6184" max="6184" width="16" style="299" customWidth="1"/>
    <col min="6185" max="6185" width="4.33203125" style="299" customWidth="1"/>
    <col min="6186" max="6186" width="2.5546875" style="299" customWidth="1"/>
    <col min="6187" max="6187" width="8.6640625" style="299" customWidth="1"/>
    <col min="6188" max="6188" width="18.33203125" style="299" customWidth="1"/>
    <col min="6189" max="6189" width="18.6640625" style="299" customWidth="1"/>
    <col min="6190" max="6190" width="11.6640625" style="299" customWidth="1"/>
    <col min="6191" max="6191" width="26.33203125" style="299" customWidth="1"/>
    <col min="6192" max="6192" width="19.88671875" style="299" customWidth="1"/>
    <col min="6193" max="6193" width="19.33203125" style="299" customWidth="1"/>
    <col min="6194" max="6194" width="11.6640625" style="299" customWidth="1"/>
    <col min="6195" max="6195" width="12.5546875" style="299" customWidth="1"/>
    <col min="6196" max="6400" width="9.109375" style="299"/>
    <col min="6401" max="6401" width="15.5546875" style="299" customWidth="1"/>
    <col min="6402" max="6402" width="7" style="299" customWidth="1"/>
    <col min="6403" max="6403" width="16" style="299" customWidth="1"/>
    <col min="6404" max="6404" width="3.6640625" style="299" customWidth="1"/>
    <col min="6405" max="6405" width="8" style="299" customWidth="1"/>
    <col min="6406" max="6406" width="8.33203125" style="299" customWidth="1"/>
    <col min="6407" max="6407" width="9.109375" style="299" customWidth="1"/>
    <col min="6408" max="6408" width="2.5546875" style="299" customWidth="1"/>
    <col min="6409" max="6411" width="3.33203125" style="299" customWidth="1"/>
    <col min="6412" max="6416" width="8.109375" style="299" customWidth="1"/>
    <col min="6417" max="6418" width="2.109375" style="299" customWidth="1"/>
    <col min="6419" max="6419" width="9.88671875" style="299" customWidth="1"/>
    <col min="6420" max="6420" width="8.6640625" style="299" customWidth="1"/>
    <col min="6421" max="6421" width="19.5546875" style="299" customWidth="1"/>
    <col min="6422" max="6437" width="9" style="299" hidden="1" customWidth="1"/>
    <col min="6438" max="6438" width="9" style="299" customWidth="1"/>
    <col min="6439" max="6439" width="15.5546875" style="299" customWidth="1"/>
    <col min="6440" max="6440" width="16" style="299" customWidth="1"/>
    <col min="6441" max="6441" width="4.33203125" style="299" customWidth="1"/>
    <col min="6442" max="6442" width="2.5546875" style="299" customWidth="1"/>
    <col min="6443" max="6443" width="8.6640625" style="299" customWidth="1"/>
    <col min="6444" max="6444" width="18.33203125" style="299" customWidth="1"/>
    <col min="6445" max="6445" width="18.6640625" style="299" customWidth="1"/>
    <col min="6446" max="6446" width="11.6640625" style="299" customWidth="1"/>
    <col min="6447" max="6447" width="26.33203125" style="299" customWidth="1"/>
    <col min="6448" max="6448" width="19.88671875" style="299" customWidth="1"/>
    <col min="6449" max="6449" width="19.33203125" style="299" customWidth="1"/>
    <col min="6450" max="6450" width="11.6640625" style="299" customWidth="1"/>
    <col min="6451" max="6451" width="12.5546875" style="299" customWidth="1"/>
    <col min="6452" max="6656" width="9.109375" style="299"/>
    <col min="6657" max="6657" width="15.5546875" style="299" customWidth="1"/>
    <col min="6658" max="6658" width="7" style="299" customWidth="1"/>
    <col min="6659" max="6659" width="16" style="299" customWidth="1"/>
    <col min="6660" max="6660" width="3.6640625" style="299" customWidth="1"/>
    <col min="6661" max="6661" width="8" style="299" customWidth="1"/>
    <col min="6662" max="6662" width="8.33203125" style="299" customWidth="1"/>
    <col min="6663" max="6663" width="9.109375" style="299" customWidth="1"/>
    <col min="6664" max="6664" width="2.5546875" style="299" customWidth="1"/>
    <col min="6665" max="6667" width="3.33203125" style="299" customWidth="1"/>
    <col min="6668" max="6672" width="8.109375" style="299" customWidth="1"/>
    <col min="6673" max="6674" width="2.109375" style="299" customWidth="1"/>
    <col min="6675" max="6675" width="9.88671875" style="299" customWidth="1"/>
    <col min="6676" max="6676" width="8.6640625" style="299" customWidth="1"/>
    <col min="6677" max="6677" width="19.5546875" style="299" customWidth="1"/>
    <col min="6678" max="6693" width="9" style="299" hidden="1" customWidth="1"/>
    <col min="6694" max="6694" width="9" style="299" customWidth="1"/>
    <col min="6695" max="6695" width="15.5546875" style="299" customWidth="1"/>
    <col min="6696" max="6696" width="16" style="299" customWidth="1"/>
    <col min="6697" max="6697" width="4.33203125" style="299" customWidth="1"/>
    <col min="6698" max="6698" width="2.5546875" style="299" customWidth="1"/>
    <col min="6699" max="6699" width="8.6640625" style="299" customWidth="1"/>
    <col min="6700" max="6700" width="18.33203125" style="299" customWidth="1"/>
    <col min="6701" max="6701" width="18.6640625" style="299" customWidth="1"/>
    <col min="6702" max="6702" width="11.6640625" style="299" customWidth="1"/>
    <col min="6703" max="6703" width="26.33203125" style="299" customWidth="1"/>
    <col min="6704" max="6704" width="19.88671875" style="299" customWidth="1"/>
    <col min="6705" max="6705" width="19.33203125" style="299" customWidth="1"/>
    <col min="6706" max="6706" width="11.6640625" style="299" customWidth="1"/>
    <col min="6707" max="6707" width="12.5546875" style="299" customWidth="1"/>
    <col min="6708" max="6912" width="9.109375" style="299"/>
    <col min="6913" max="6913" width="15.5546875" style="299" customWidth="1"/>
    <col min="6914" max="6914" width="7" style="299" customWidth="1"/>
    <col min="6915" max="6915" width="16" style="299" customWidth="1"/>
    <col min="6916" max="6916" width="3.6640625" style="299" customWidth="1"/>
    <col min="6917" max="6917" width="8" style="299" customWidth="1"/>
    <col min="6918" max="6918" width="8.33203125" style="299" customWidth="1"/>
    <col min="6919" max="6919" width="9.109375" style="299" customWidth="1"/>
    <col min="6920" max="6920" width="2.5546875" style="299" customWidth="1"/>
    <col min="6921" max="6923" width="3.33203125" style="299" customWidth="1"/>
    <col min="6924" max="6928" width="8.109375" style="299" customWidth="1"/>
    <col min="6929" max="6930" width="2.109375" style="299" customWidth="1"/>
    <col min="6931" max="6931" width="9.88671875" style="299" customWidth="1"/>
    <col min="6932" max="6932" width="8.6640625" style="299" customWidth="1"/>
    <col min="6933" max="6933" width="19.5546875" style="299" customWidth="1"/>
    <col min="6934" max="6949" width="9" style="299" hidden="1" customWidth="1"/>
    <col min="6950" max="6950" width="9" style="299" customWidth="1"/>
    <col min="6951" max="6951" width="15.5546875" style="299" customWidth="1"/>
    <col min="6952" max="6952" width="16" style="299" customWidth="1"/>
    <col min="6953" max="6953" width="4.33203125" style="299" customWidth="1"/>
    <col min="6954" max="6954" width="2.5546875" style="299" customWidth="1"/>
    <col min="6955" max="6955" width="8.6640625" style="299" customWidth="1"/>
    <col min="6956" max="6956" width="18.33203125" style="299" customWidth="1"/>
    <col min="6957" max="6957" width="18.6640625" style="299" customWidth="1"/>
    <col min="6958" max="6958" width="11.6640625" style="299" customWidth="1"/>
    <col min="6959" max="6959" width="26.33203125" style="299" customWidth="1"/>
    <col min="6960" max="6960" width="19.88671875" style="299" customWidth="1"/>
    <col min="6961" max="6961" width="19.33203125" style="299" customWidth="1"/>
    <col min="6962" max="6962" width="11.6640625" style="299" customWidth="1"/>
    <col min="6963" max="6963" width="12.5546875" style="299" customWidth="1"/>
    <col min="6964" max="7168" width="9.109375" style="299"/>
    <col min="7169" max="7169" width="15.5546875" style="299" customWidth="1"/>
    <col min="7170" max="7170" width="7" style="299" customWidth="1"/>
    <col min="7171" max="7171" width="16" style="299" customWidth="1"/>
    <col min="7172" max="7172" width="3.6640625" style="299" customWidth="1"/>
    <col min="7173" max="7173" width="8" style="299" customWidth="1"/>
    <col min="7174" max="7174" width="8.33203125" style="299" customWidth="1"/>
    <col min="7175" max="7175" width="9.109375" style="299" customWidth="1"/>
    <col min="7176" max="7176" width="2.5546875" style="299" customWidth="1"/>
    <col min="7177" max="7179" width="3.33203125" style="299" customWidth="1"/>
    <col min="7180" max="7184" width="8.109375" style="299" customWidth="1"/>
    <col min="7185" max="7186" width="2.109375" style="299" customWidth="1"/>
    <col min="7187" max="7187" width="9.88671875" style="299" customWidth="1"/>
    <col min="7188" max="7188" width="8.6640625" style="299" customWidth="1"/>
    <col min="7189" max="7189" width="19.5546875" style="299" customWidth="1"/>
    <col min="7190" max="7205" width="9" style="299" hidden="1" customWidth="1"/>
    <col min="7206" max="7206" width="9" style="299" customWidth="1"/>
    <col min="7207" max="7207" width="15.5546875" style="299" customWidth="1"/>
    <col min="7208" max="7208" width="16" style="299" customWidth="1"/>
    <col min="7209" max="7209" width="4.33203125" style="299" customWidth="1"/>
    <col min="7210" max="7210" width="2.5546875" style="299" customWidth="1"/>
    <col min="7211" max="7211" width="8.6640625" style="299" customWidth="1"/>
    <col min="7212" max="7212" width="18.33203125" style="299" customWidth="1"/>
    <col min="7213" max="7213" width="18.6640625" style="299" customWidth="1"/>
    <col min="7214" max="7214" width="11.6640625" style="299" customWidth="1"/>
    <col min="7215" max="7215" width="26.33203125" style="299" customWidth="1"/>
    <col min="7216" max="7216" width="19.88671875" style="299" customWidth="1"/>
    <col min="7217" max="7217" width="19.33203125" style="299" customWidth="1"/>
    <col min="7218" max="7218" width="11.6640625" style="299" customWidth="1"/>
    <col min="7219" max="7219" width="12.5546875" style="299" customWidth="1"/>
    <col min="7220" max="7424" width="9.109375" style="299"/>
    <col min="7425" max="7425" width="15.5546875" style="299" customWidth="1"/>
    <col min="7426" max="7426" width="7" style="299" customWidth="1"/>
    <col min="7427" max="7427" width="16" style="299" customWidth="1"/>
    <col min="7428" max="7428" width="3.6640625" style="299" customWidth="1"/>
    <col min="7429" max="7429" width="8" style="299" customWidth="1"/>
    <col min="7430" max="7430" width="8.33203125" style="299" customWidth="1"/>
    <col min="7431" max="7431" width="9.109375" style="299" customWidth="1"/>
    <col min="7432" max="7432" width="2.5546875" style="299" customWidth="1"/>
    <col min="7433" max="7435" width="3.33203125" style="299" customWidth="1"/>
    <col min="7436" max="7440" width="8.109375" style="299" customWidth="1"/>
    <col min="7441" max="7442" width="2.109375" style="299" customWidth="1"/>
    <col min="7443" max="7443" width="9.88671875" style="299" customWidth="1"/>
    <col min="7444" max="7444" width="8.6640625" style="299" customWidth="1"/>
    <col min="7445" max="7445" width="19.5546875" style="299" customWidth="1"/>
    <col min="7446" max="7461" width="9" style="299" hidden="1" customWidth="1"/>
    <col min="7462" max="7462" width="9" style="299" customWidth="1"/>
    <col min="7463" max="7463" width="15.5546875" style="299" customWidth="1"/>
    <col min="7464" max="7464" width="16" style="299" customWidth="1"/>
    <col min="7465" max="7465" width="4.33203125" style="299" customWidth="1"/>
    <col min="7466" max="7466" width="2.5546875" style="299" customWidth="1"/>
    <col min="7467" max="7467" width="8.6640625" style="299" customWidth="1"/>
    <col min="7468" max="7468" width="18.33203125" style="299" customWidth="1"/>
    <col min="7469" max="7469" width="18.6640625" style="299" customWidth="1"/>
    <col min="7470" max="7470" width="11.6640625" style="299" customWidth="1"/>
    <col min="7471" max="7471" width="26.33203125" style="299" customWidth="1"/>
    <col min="7472" max="7472" width="19.88671875" style="299" customWidth="1"/>
    <col min="7473" max="7473" width="19.33203125" style="299" customWidth="1"/>
    <col min="7474" max="7474" width="11.6640625" style="299" customWidth="1"/>
    <col min="7475" max="7475" width="12.5546875" style="299" customWidth="1"/>
    <col min="7476" max="7680" width="9.109375" style="299"/>
    <col min="7681" max="7681" width="15.5546875" style="299" customWidth="1"/>
    <col min="7682" max="7682" width="7" style="299" customWidth="1"/>
    <col min="7683" max="7683" width="16" style="299" customWidth="1"/>
    <col min="7684" max="7684" width="3.6640625" style="299" customWidth="1"/>
    <col min="7685" max="7685" width="8" style="299" customWidth="1"/>
    <col min="7686" max="7686" width="8.33203125" style="299" customWidth="1"/>
    <col min="7687" max="7687" width="9.109375" style="299" customWidth="1"/>
    <col min="7688" max="7688" width="2.5546875" style="299" customWidth="1"/>
    <col min="7689" max="7691" width="3.33203125" style="299" customWidth="1"/>
    <col min="7692" max="7696" width="8.109375" style="299" customWidth="1"/>
    <col min="7697" max="7698" width="2.109375" style="299" customWidth="1"/>
    <col min="7699" max="7699" width="9.88671875" style="299" customWidth="1"/>
    <col min="7700" max="7700" width="8.6640625" style="299" customWidth="1"/>
    <col min="7701" max="7701" width="19.5546875" style="299" customWidth="1"/>
    <col min="7702" max="7717" width="9" style="299" hidden="1" customWidth="1"/>
    <col min="7718" max="7718" width="9" style="299" customWidth="1"/>
    <col min="7719" max="7719" width="15.5546875" style="299" customWidth="1"/>
    <col min="7720" max="7720" width="16" style="299" customWidth="1"/>
    <col min="7721" max="7721" width="4.33203125" style="299" customWidth="1"/>
    <col min="7722" max="7722" width="2.5546875" style="299" customWidth="1"/>
    <col min="7723" max="7723" width="8.6640625" style="299" customWidth="1"/>
    <col min="7724" max="7724" width="18.33203125" style="299" customWidth="1"/>
    <col min="7725" max="7725" width="18.6640625" style="299" customWidth="1"/>
    <col min="7726" max="7726" width="11.6640625" style="299" customWidth="1"/>
    <col min="7727" max="7727" width="26.33203125" style="299" customWidth="1"/>
    <col min="7728" max="7728" width="19.88671875" style="299" customWidth="1"/>
    <col min="7729" max="7729" width="19.33203125" style="299" customWidth="1"/>
    <col min="7730" max="7730" width="11.6640625" style="299" customWidth="1"/>
    <col min="7731" max="7731" width="12.5546875" style="299" customWidth="1"/>
    <col min="7732" max="7936" width="9.109375" style="299"/>
    <col min="7937" max="7937" width="15.5546875" style="299" customWidth="1"/>
    <col min="7938" max="7938" width="7" style="299" customWidth="1"/>
    <col min="7939" max="7939" width="16" style="299" customWidth="1"/>
    <col min="7940" max="7940" width="3.6640625" style="299" customWidth="1"/>
    <col min="7941" max="7941" width="8" style="299" customWidth="1"/>
    <col min="7942" max="7942" width="8.33203125" style="299" customWidth="1"/>
    <col min="7943" max="7943" width="9.109375" style="299" customWidth="1"/>
    <col min="7944" max="7944" width="2.5546875" style="299" customWidth="1"/>
    <col min="7945" max="7947" width="3.33203125" style="299" customWidth="1"/>
    <col min="7948" max="7952" width="8.109375" style="299" customWidth="1"/>
    <col min="7953" max="7954" width="2.109375" style="299" customWidth="1"/>
    <col min="7955" max="7955" width="9.88671875" style="299" customWidth="1"/>
    <col min="7956" max="7956" width="8.6640625" style="299" customWidth="1"/>
    <col min="7957" max="7957" width="19.5546875" style="299" customWidth="1"/>
    <col min="7958" max="7973" width="9" style="299" hidden="1" customWidth="1"/>
    <col min="7974" max="7974" width="9" style="299" customWidth="1"/>
    <col min="7975" max="7975" width="15.5546875" style="299" customWidth="1"/>
    <col min="7976" max="7976" width="16" style="299" customWidth="1"/>
    <col min="7977" max="7977" width="4.33203125" style="299" customWidth="1"/>
    <col min="7978" max="7978" width="2.5546875" style="299" customWidth="1"/>
    <col min="7979" max="7979" width="8.6640625" style="299" customWidth="1"/>
    <col min="7980" max="7980" width="18.33203125" style="299" customWidth="1"/>
    <col min="7981" max="7981" width="18.6640625" style="299" customWidth="1"/>
    <col min="7982" max="7982" width="11.6640625" style="299" customWidth="1"/>
    <col min="7983" max="7983" width="26.33203125" style="299" customWidth="1"/>
    <col min="7984" max="7984" width="19.88671875" style="299" customWidth="1"/>
    <col min="7985" max="7985" width="19.33203125" style="299" customWidth="1"/>
    <col min="7986" max="7986" width="11.6640625" style="299" customWidth="1"/>
    <col min="7987" max="7987" width="12.5546875" style="299" customWidth="1"/>
    <col min="7988" max="8192" width="9.109375" style="299"/>
    <col min="8193" max="8193" width="15.5546875" style="299" customWidth="1"/>
    <col min="8194" max="8194" width="7" style="299" customWidth="1"/>
    <col min="8195" max="8195" width="16" style="299" customWidth="1"/>
    <col min="8196" max="8196" width="3.6640625" style="299" customWidth="1"/>
    <col min="8197" max="8197" width="8" style="299" customWidth="1"/>
    <col min="8198" max="8198" width="8.33203125" style="299" customWidth="1"/>
    <col min="8199" max="8199" width="9.109375" style="299" customWidth="1"/>
    <col min="8200" max="8200" width="2.5546875" style="299" customWidth="1"/>
    <col min="8201" max="8203" width="3.33203125" style="299" customWidth="1"/>
    <col min="8204" max="8208" width="8.109375" style="299" customWidth="1"/>
    <col min="8209" max="8210" width="2.109375" style="299" customWidth="1"/>
    <col min="8211" max="8211" width="9.88671875" style="299" customWidth="1"/>
    <col min="8212" max="8212" width="8.6640625" style="299" customWidth="1"/>
    <col min="8213" max="8213" width="19.5546875" style="299" customWidth="1"/>
    <col min="8214" max="8229" width="9" style="299" hidden="1" customWidth="1"/>
    <col min="8230" max="8230" width="9" style="299" customWidth="1"/>
    <col min="8231" max="8231" width="15.5546875" style="299" customWidth="1"/>
    <col min="8232" max="8232" width="16" style="299" customWidth="1"/>
    <col min="8233" max="8233" width="4.33203125" style="299" customWidth="1"/>
    <col min="8234" max="8234" width="2.5546875" style="299" customWidth="1"/>
    <col min="8235" max="8235" width="8.6640625" style="299" customWidth="1"/>
    <col min="8236" max="8236" width="18.33203125" style="299" customWidth="1"/>
    <col min="8237" max="8237" width="18.6640625" style="299" customWidth="1"/>
    <col min="8238" max="8238" width="11.6640625" style="299" customWidth="1"/>
    <col min="8239" max="8239" width="26.33203125" style="299" customWidth="1"/>
    <col min="8240" max="8240" width="19.88671875" style="299" customWidth="1"/>
    <col min="8241" max="8241" width="19.33203125" style="299" customWidth="1"/>
    <col min="8242" max="8242" width="11.6640625" style="299" customWidth="1"/>
    <col min="8243" max="8243" width="12.5546875" style="299" customWidth="1"/>
    <col min="8244" max="8448" width="9.109375" style="299"/>
    <col min="8449" max="8449" width="15.5546875" style="299" customWidth="1"/>
    <col min="8450" max="8450" width="7" style="299" customWidth="1"/>
    <col min="8451" max="8451" width="16" style="299" customWidth="1"/>
    <col min="8452" max="8452" width="3.6640625" style="299" customWidth="1"/>
    <col min="8453" max="8453" width="8" style="299" customWidth="1"/>
    <col min="8454" max="8454" width="8.33203125" style="299" customWidth="1"/>
    <col min="8455" max="8455" width="9.109375" style="299" customWidth="1"/>
    <col min="8456" max="8456" width="2.5546875" style="299" customWidth="1"/>
    <col min="8457" max="8459" width="3.33203125" style="299" customWidth="1"/>
    <col min="8460" max="8464" width="8.109375" style="299" customWidth="1"/>
    <col min="8465" max="8466" width="2.109375" style="299" customWidth="1"/>
    <col min="8467" max="8467" width="9.88671875" style="299" customWidth="1"/>
    <col min="8468" max="8468" width="8.6640625" style="299" customWidth="1"/>
    <col min="8469" max="8469" width="19.5546875" style="299" customWidth="1"/>
    <col min="8470" max="8485" width="9" style="299" hidden="1" customWidth="1"/>
    <col min="8486" max="8486" width="9" style="299" customWidth="1"/>
    <col min="8487" max="8487" width="15.5546875" style="299" customWidth="1"/>
    <col min="8488" max="8488" width="16" style="299" customWidth="1"/>
    <col min="8489" max="8489" width="4.33203125" style="299" customWidth="1"/>
    <col min="8490" max="8490" width="2.5546875" style="299" customWidth="1"/>
    <col min="8491" max="8491" width="8.6640625" style="299" customWidth="1"/>
    <col min="8492" max="8492" width="18.33203125" style="299" customWidth="1"/>
    <col min="8493" max="8493" width="18.6640625" style="299" customWidth="1"/>
    <col min="8494" max="8494" width="11.6640625" style="299" customWidth="1"/>
    <col min="8495" max="8495" width="26.33203125" style="299" customWidth="1"/>
    <col min="8496" max="8496" width="19.88671875" style="299" customWidth="1"/>
    <col min="8497" max="8497" width="19.33203125" style="299" customWidth="1"/>
    <col min="8498" max="8498" width="11.6640625" style="299" customWidth="1"/>
    <col min="8499" max="8499" width="12.5546875" style="299" customWidth="1"/>
    <col min="8500" max="8704" width="9.109375" style="299"/>
    <col min="8705" max="8705" width="15.5546875" style="299" customWidth="1"/>
    <col min="8706" max="8706" width="7" style="299" customWidth="1"/>
    <col min="8707" max="8707" width="16" style="299" customWidth="1"/>
    <col min="8708" max="8708" width="3.6640625" style="299" customWidth="1"/>
    <col min="8709" max="8709" width="8" style="299" customWidth="1"/>
    <col min="8710" max="8710" width="8.33203125" style="299" customWidth="1"/>
    <col min="8711" max="8711" width="9.109375" style="299" customWidth="1"/>
    <col min="8712" max="8712" width="2.5546875" style="299" customWidth="1"/>
    <col min="8713" max="8715" width="3.33203125" style="299" customWidth="1"/>
    <col min="8716" max="8720" width="8.109375" style="299" customWidth="1"/>
    <col min="8721" max="8722" width="2.109375" style="299" customWidth="1"/>
    <col min="8723" max="8723" width="9.88671875" style="299" customWidth="1"/>
    <col min="8724" max="8724" width="8.6640625" style="299" customWidth="1"/>
    <col min="8725" max="8725" width="19.5546875" style="299" customWidth="1"/>
    <col min="8726" max="8741" width="9" style="299" hidden="1" customWidth="1"/>
    <col min="8742" max="8742" width="9" style="299" customWidth="1"/>
    <col min="8743" max="8743" width="15.5546875" style="299" customWidth="1"/>
    <col min="8744" max="8744" width="16" style="299" customWidth="1"/>
    <col min="8745" max="8745" width="4.33203125" style="299" customWidth="1"/>
    <col min="8746" max="8746" width="2.5546875" style="299" customWidth="1"/>
    <col min="8747" max="8747" width="8.6640625" style="299" customWidth="1"/>
    <col min="8748" max="8748" width="18.33203125" style="299" customWidth="1"/>
    <col min="8749" max="8749" width="18.6640625" style="299" customWidth="1"/>
    <col min="8750" max="8750" width="11.6640625" style="299" customWidth="1"/>
    <col min="8751" max="8751" width="26.33203125" style="299" customWidth="1"/>
    <col min="8752" max="8752" width="19.88671875" style="299" customWidth="1"/>
    <col min="8753" max="8753" width="19.33203125" style="299" customWidth="1"/>
    <col min="8754" max="8754" width="11.6640625" style="299" customWidth="1"/>
    <col min="8755" max="8755" width="12.5546875" style="299" customWidth="1"/>
    <col min="8756" max="8960" width="9.109375" style="299"/>
    <col min="8961" max="8961" width="15.5546875" style="299" customWidth="1"/>
    <col min="8962" max="8962" width="7" style="299" customWidth="1"/>
    <col min="8963" max="8963" width="16" style="299" customWidth="1"/>
    <col min="8964" max="8964" width="3.6640625" style="299" customWidth="1"/>
    <col min="8965" max="8965" width="8" style="299" customWidth="1"/>
    <col min="8966" max="8966" width="8.33203125" style="299" customWidth="1"/>
    <col min="8967" max="8967" width="9.109375" style="299" customWidth="1"/>
    <col min="8968" max="8968" width="2.5546875" style="299" customWidth="1"/>
    <col min="8969" max="8971" width="3.33203125" style="299" customWidth="1"/>
    <col min="8972" max="8976" width="8.109375" style="299" customWidth="1"/>
    <col min="8977" max="8978" width="2.109375" style="299" customWidth="1"/>
    <col min="8979" max="8979" width="9.88671875" style="299" customWidth="1"/>
    <col min="8980" max="8980" width="8.6640625" style="299" customWidth="1"/>
    <col min="8981" max="8981" width="19.5546875" style="299" customWidth="1"/>
    <col min="8982" max="8997" width="9" style="299" hidden="1" customWidth="1"/>
    <col min="8998" max="8998" width="9" style="299" customWidth="1"/>
    <col min="8999" max="8999" width="15.5546875" style="299" customWidth="1"/>
    <col min="9000" max="9000" width="16" style="299" customWidth="1"/>
    <col min="9001" max="9001" width="4.33203125" style="299" customWidth="1"/>
    <col min="9002" max="9002" width="2.5546875" style="299" customWidth="1"/>
    <col min="9003" max="9003" width="8.6640625" style="299" customWidth="1"/>
    <col min="9004" max="9004" width="18.33203125" style="299" customWidth="1"/>
    <col min="9005" max="9005" width="18.6640625" style="299" customWidth="1"/>
    <col min="9006" max="9006" width="11.6640625" style="299" customWidth="1"/>
    <col min="9007" max="9007" width="26.33203125" style="299" customWidth="1"/>
    <col min="9008" max="9008" width="19.88671875" style="299" customWidth="1"/>
    <col min="9009" max="9009" width="19.33203125" style="299" customWidth="1"/>
    <col min="9010" max="9010" width="11.6640625" style="299" customWidth="1"/>
    <col min="9011" max="9011" width="12.5546875" style="299" customWidth="1"/>
    <col min="9012" max="9216" width="9.109375" style="299"/>
    <col min="9217" max="9217" width="15.5546875" style="299" customWidth="1"/>
    <col min="9218" max="9218" width="7" style="299" customWidth="1"/>
    <col min="9219" max="9219" width="16" style="299" customWidth="1"/>
    <col min="9220" max="9220" width="3.6640625" style="299" customWidth="1"/>
    <col min="9221" max="9221" width="8" style="299" customWidth="1"/>
    <col min="9222" max="9222" width="8.33203125" style="299" customWidth="1"/>
    <col min="9223" max="9223" width="9.109375" style="299" customWidth="1"/>
    <col min="9224" max="9224" width="2.5546875" style="299" customWidth="1"/>
    <col min="9225" max="9227" width="3.33203125" style="299" customWidth="1"/>
    <col min="9228" max="9232" width="8.109375" style="299" customWidth="1"/>
    <col min="9233" max="9234" width="2.109375" style="299" customWidth="1"/>
    <col min="9235" max="9235" width="9.88671875" style="299" customWidth="1"/>
    <col min="9236" max="9236" width="8.6640625" style="299" customWidth="1"/>
    <col min="9237" max="9237" width="19.5546875" style="299" customWidth="1"/>
    <col min="9238" max="9253" width="9" style="299" hidden="1" customWidth="1"/>
    <col min="9254" max="9254" width="9" style="299" customWidth="1"/>
    <col min="9255" max="9255" width="15.5546875" style="299" customWidth="1"/>
    <col min="9256" max="9256" width="16" style="299" customWidth="1"/>
    <col min="9257" max="9257" width="4.33203125" style="299" customWidth="1"/>
    <col min="9258" max="9258" width="2.5546875" style="299" customWidth="1"/>
    <col min="9259" max="9259" width="8.6640625" style="299" customWidth="1"/>
    <col min="9260" max="9260" width="18.33203125" style="299" customWidth="1"/>
    <col min="9261" max="9261" width="18.6640625" style="299" customWidth="1"/>
    <col min="9262" max="9262" width="11.6640625" style="299" customWidth="1"/>
    <col min="9263" max="9263" width="26.33203125" style="299" customWidth="1"/>
    <col min="9264" max="9264" width="19.88671875" style="299" customWidth="1"/>
    <col min="9265" max="9265" width="19.33203125" style="299" customWidth="1"/>
    <col min="9266" max="9266" width="11.6640625" style="299" customWidth="1"/>
    <col min="9267" max="9267" width="12.5546875" style="299" customWidth="1"/>
    <col min="9268" max="9472" width="9.109375" style="299"/>
    <col min="9473" max="9473" width="15.5546875" style="299" customWidth="1"/>
    <col min="9474" max="9474" width="7" style="299" customWidth="1"/>
    <col min="9475" max="9475" width="16" style="299" customWidth="1"/>
    <col min="9476" max="9476" width="3.6640625" style="299" customWidth="1"/>
    <col min="9477" max="9477" width="8" style="299" customWidth="1"/>
    <col min="9478" max="9478" width="8.33203125" style="299" customWidth="1"/>
    <col min="9479" max="9479" width="9.109375" style="299" customWidth="1"/>
    <col min="9480" max="9480" width="2.5546875" style="299" customWidth="1"/>
    <col min="9481" max="9483" width="3.33203125" style="299" customWidth="1"/>
    <col min="9484" max="9488" width="8.109375" style="299" customWidth="1"/>
    <col min="9489" max="9490" width="2.109375" style="299" customWidth="1"/>
    <col min="9491" max="9491" width="9.88671875" style="299" customWidth="1"/>
    <col min="9492" max="9492" width="8.6640625" style="299" customWidth="1"/>
    <col min="9493" max="9493" width="19.5546875" style="299" customWidth="1"/>
    <col min="9494" max="9509" width="9" style="299" hidden="1" customWidth="1"/>
    <col min="9510" max="9510" width="9" style="299" customWidth="1"/>
    <col min="9511" max="9511" width="15.5546875" style="299" customWidth="1"/>
    <col min="9512" max="9512" width="16" style="299" customWidth="1"/>
    <col min="9513" max="9513" width="4.33203125" style="299" customWidth="1"/>
    <col min="9514" max="9514" width="2.5546875" style="299" customWidth="1"/>
    <col min="9515" max="9515" width="8.6640625" style="299" customWidth="1"/>
    <col min="9516" max="9516" width="18.33203125" style="299" customWidth="1"/>
    <col min="9517" max="9517" width="18.6640625" style="299" customWidth="1"/>
    <col min="9518" max="9518" width="11.6640625" style="299" customWidth="1"/>
    <col min="9519" max="9519" width="26.33203125" style="299" customWidth="1"/>
    <col min="9520" max="9520" width="19.88671875" style="299" customWidth="1"/>
    <col min="9521" max="9521" width="19.33203125" style="299" customWidth="1"/>
    <col min="9522" max="9522" width="11.6640625" style="299" customWidth="1"/>
    <col min="9523" max="9523" width="12.5546875" style="299" customWidth="1"/>
    <col min="9524" max="9728" width="9.109375" style="299"/>
    <col min="9729" max="9729" width="15.5546875" style="299" customWidth="1"/>
    <col min="9730" max="9730" width="7" style="299" customWidth="1"/>
    <col min="9731" max="9731" width="16" style="299" customWidth="1"/>
    <col min="9732" max="9732" width="3.6640625" style="299" customWidth="1"/>
    <col min="9733" max="9733" width="8" style="299" customWidth="1"/>
    <col min="9734" max="9734" width="8.33203125" style="299" customWidth="1"/>
    <col min="9735" max="9735" width="9.109375" style="299" customWidth="1"/>
    <col min="9736" max="9736" width="2.5546875" style="299" customWidth="1"/>
    <col min="9737" max="9739" width="3.33203125" style="299" customWidth="1"/>
    <col min="9740" max="9744" width="8.109375" style="299" customWidth="1"/>
    <col min="9745" max="9746" width="2.109375" style="299" customWidth="1"/>
    <col min="9747" max="9747" width="9.88671875" style="299" customWidth="1"/>
    <col min="9748" max="9748" width="8.6640625" style="299" customWidth="1"/>
    <col min="9749" max="9749" width="19.5546875" style="299" customWidth="1"/>
    <col min="9750" max="9765" width="9" style="299" hidden="1" customWidth="1"/>
    <col min="9766" max="9766" width="9" style="299" customWidth="1"/>
    <col min="9767" max="9767" width="15.5546875" style="299" customWidth="1"/>
    <col min="9768" max="9768" width="16" style="299" customWidth="1"/>
    <col min="9769" max="9769" width="4.33203125" style="299" customWidth="1"/>
    <col min="9770" max="9770" width="2.5546875" style="299" customWidth="1"/>
    <col min="9771" max="9771" width="8.6640625" style="299" customWidth="1"/>
    <col min="9772" max="9772" width="18.33203125" style="299" customWidth="1"/>
    <col min="9773" max="9773" width="18.6640625" style="299" customWidth="1"/>
    <col min="9774" max="9774" width="11.6640625" style="299" customWidth="1"/>
    <col min="9775" max="9775" width="26.33203125" style="299" customWidth="1"/>
    <col min="9776" max="9776" width="19.88671875" style="299" customWidth="1"/>
    <col min="9777" max="9777" width="19.33203125" style="299" customWidth="1"/>
    <col min="9778" max="9778" width="11.6640625" style="299" customWidth="1"/>
    <col min="9779" max="9779" width="12.5546875" style="299" customWidth="1"/>
    <col min="9780" max="9984" width="9.109375" style="299"/>
    <col min="9985" max="9985" width="15.5546875" style="299" customWidth="1"/>
    <col min="9986" max="9986" width="7" style="299" customWidth="1"/>
    <col min="9987" max="9987" width="16" style="299" customWidth="1"/>
    <col min="9988" max="9988" width="3.6640625" style="299" customWidth="1"/>
    <col min="9989" max="9989" width="8" style="299" customWidth="1"/>
    <col min="9990" max="9990" width="8.33203125" style="299" customWidth="1"/>
    <col min="9991" max="9991" width="9.109375" style="299" customWidth="1"/>
    <col min="9992" max="9992" width="2.5546875" style="299" customWidth="1"/>
    <col min="9993" max="9995" width="3.33203125" style="299" customWidth="1"/>
    <col min="9996" max="10000" width="8.109375" style="299" customWidth="1"/>
    <col min="10001" max="10002" width="2.109375" style="299" customWidth="1"/>
    <col min="10003" max="10003" width="9.88671875" style="299" customWidth="1"/>
    <col min="10004" max="10004" width="8.6640625" style="299" customWidth="1"/>
    <col min="10005" max="10005" width="19.5546875" style="299" customWidth="1"/>
    <col min="10006" max="10021" width="9" style="299" hidden="1" customWidth="1"/>
    <col min="10022" max="10022" width="9" style="299" customWidth="1"/>
    <col min="10023" max="10023" width="15.5546875" style="299" customWidth="1"/>
    <col min="10024" max="10024" width="16" style="299" customWidth="1"/>
    <col min="10025" max="10025" width="4.33203125" style="299" customWidth="1"/>
    <col min="10026" max="10026" width="2.5546875" style="299" customWidth="1"/>
    <col min="10027" max="10027" width="8.6640625" style="299" customWidth="1"/>
    <col min="10028" max="10028" width="18.33203125" style="299" customWidth="1"/>
    <col min="10029" max="10029" width="18.6640625" style="299" customWidth="1"/>
    <col min="10030" max="10030" width="11.6640625" style="299" customWidth="1"/>
    <col min="10031" max="10031" width="26.33203125" style="299" customWidth="1"/>
    <col min="10032" max="10032" width="19.88671875" style="299" customWidth="1"/>
    <col min="10033" max="10033" width="19.33203125" style="299" customWidth="1"/>
    <col min="10034" max="10034" width="11.6640625" style="299" customWidth="1"/>
    <col min="10035" max="10035" width="12.5546875" style="299" customWidth="1"/>
    <col min="10036" max="10240" width="9.109375" style="299"/>
    <col min="10241" max="10241" width="15.5546875" style="299" customWidth="1"/>
    <col min="10242" max="10242" width="7" style="299" customWidth="1"/>
    <col min="10243" max="10243" width="16" style="299" customWidth="1"/>
    <col min="10244" max="10244" width="3.6640625" style="299" customWidth="1"/>
    <col min="10245" max="10245" width="8" style="299" customWidth="1"/>
    <col min="10246" max="10246" width="8.33203125" style="299" customWidth="1"/>
    <col min="10247" max="10247" width="9.109375" style="299" customWidth="1"/>
    <col min="10248" max="10248" width="2.5546875" style="299" customWidth="1"/>
    <col min="10249" max="10251" width="3.33203125" style="299" customWidth="1"/>
    <col min="10252" max="10256" width="8.109375" style="299" customWidth="1"/>
    <col min="10257" max="10258" width="2.109375" style="299" customWidth="1"/>
    <col min="10259" max="10259" width="9.88671875" style="299" customWidth="1"/>
    <col min="10260" max="10260" width="8.6640625" style="299" customWidth="1"/>
    <col min="10261" max="10261" width="19.5546875" style="299" customWidth="1"/>
    <col min="10262" max="10277" width="9" style="299" hidden="1" customWidth="1"/>
    <col min="10278" max="10278" width="9" style="299" customWidth="1"/>
    <col min="10279" max="10279" width="15.5546875" style="299" customWidth="1"/>
    <col min="10280" max="10280" width="16" style="299" customWidth="1"/>
    <col min="10281" max="10281" width="4.33203125" style="299" customWidth="1"/>
    <col min="10282" max="10282" width="2.5546875" style="299" customWidth="1"/>
    <col min="10283" max="10283" width="8.6640625" style="299" customWidth="1"/>
    <col min="10284" max="10284" width="18.33203125" style="299" customWidth="1"/>
    <col min="10285" max="10285" width="18.6640625" style="299" customWidth="1"/>
    <col min="10286" max="10286" width="11.6640625" style="299" customWidth="1"/>
    <col min="10287" max="10287" width="26.33203125" style="299" customWidth="1"/>
    <col min="10288" max="10288" width="19.88671875" style="299" customWidth="1"/>
    <col min="10289" max="10289" width="19.33203125" style="299" customWidth="1"/>
    <col min="10290" max="10290" width="11.6640625" style="299" customWidth="1"/>
    <col min="10291" max="10291" width="12.5546875" style="299" customWidth="1"/>
    <col min="10292" max="10496" width="9.109375" style="299"/>
    <col min="10497" max="10497" width="15.5546875" style="299" customWidth="1"/>
    <col min="10498" max="10498" width="7" style="299" customWidth="1"/>
    <col min="10499" max="10499" width="16" style="299" customWidth="1"/>
    <col min="10500" max="10500" width="3.6640625" style="299" customWidth="1"/>
    <col min="10501" max="10501" width="8" style="299" customWidth="1"/>
    <col min="10502" max="10502" width="8.33203125" style="299" customWidth="1"/>
    <col min="10503" max="10503" width="9.109375" style="299" customWidth="1"/>
    <col min="10504" max="10504" width="2.5546875" style="299" customWidth="1"/>
    <col min="10505" max="10507" width="3.33203125" style="299" customWidth="1"/>
    <col min="10508" max="10512" width="8.109375" style="299" customWidth="1"/>
    <col min="10513" max="10514" width="2.109375" style="299" customWidth="1"/>
    <col min="10515" max="10515" width="9.88671875" style="299" customWidth="1"/>
    <col min="10516" max="10516" width="8.6640625" style="299" customWidth="1"/>
    <col min="10517" max="10517" width="19.5546875" style="299" customWidth="1"/>
    <col min="10518" max="10533" width="9" style="299" hidden="1" customWidth="1"/>
    <col min="10534" max="10534" width="9" style="299" customWidth="1"/>
    <col min="10535" max="10535" width="15.5546875" style="299" customWidth="1"/>
    <col min="10536" max="10536" width="16" style="299" customWidth="1"/>
    <col min="10537" max="10537" width="4.33203125" style="299" customWidth="1"/>
    <col min="10538" max="10538" width="2.5546875" style="299" customWidth="1"/>
    <col min="10539" max="10539" width="8.6640625" style="299" customWidth="1"/>
    <col min="10540" max="10540" width="18.33203125" style="299" customWidth="1"/>
    <col min="10541" max="10541" width="18.6640625" style="299" customWidth="1"/>
    <col min="10542" max="10542" width="11.6640625" style="299" customWidth="1"/>
    <col min="10543" max="10543" width="26.33203125" style="299" customWidth="1"/>
    <col min="10544" max="10544" width="19.88671875" style="299" customWidth="1"/>
    <col min="10545" max="10545" width="19.33203125" style="299" customWidth="1"/>
    <col min="10546" max="10546" width="11.6640625" style="299" customWidth="1"/>
    <col min="10547" max="10547" width="12.5546875" style="299" customWidth="1"/>
    <col min="10548" max="10752" width="9.109375" style="299"/>
    <col min="10753" max="10753" width="15.5546875" style="299" customWidth="1"/>
    <col min="10754" max="10754" width="7" style="299" customWidth="1"/>
    <col min="10755" max="10755" width="16" style="299" customWidth="1"/>
    <col min="10756" max="10756" width="3.6640625" style="299" customWidth="1"/>
    <col min="10757" max="10757" width="8" style="299" customWidth="1"/>
    <col min="10758" max="10758" width="8.33203125" style="299" customWidth="1"/>
    <col min="10759" max="10759" width="9.109375" style="299" customWidth="1"/>
    <col min="10760" max="10760" width="2.5546875" style="299" customWidth="1"/>
    <col min="10761" max="10763" width="3.33203125" style="299" customWidth="1"/>
    <col min="10764" max="10768" width="8.109375" style="299" customWidth="1"/>
    <col min="10769" max="10770" width="2.109375" style="299" customWidth="1"/>
    <col min="10771" max="10771" width="9.88671875" style="299" customWidth="1"/>
    <col min="10772" max="10772" width="8.6640625" style="299" customWidth="1"/>
    <col min="10773" max="10773" width="19.5546875" style="299" customWidth="1"/>
    <col min="10774" max="10789" width="9" style="299" hidden="1" customWidth="1"/>
    <col min="10790" max="10790" width="9" style="299" customWidth="1"/>
    <col min="10791" max="10791" width="15.5546875" style="299" customWidth="1"/>
    <col min="10792" max="10792" width="16" style="299" customWidth="1"/>
    <col min="10793" max="10793" width="4.33203125" style="299" customWidth="1"/>
    <col min="10794" max="10794" width="2.5546875" style="299" customWidth="1"/>
    <col min="10795" max="10795" width="8.6640625" style="299" customWidth="1"/>
    <col min="10796" max="10796" width="18.33203125" style="299" customWidth="1"/>
    <col min="10797" max="10797" width="18.6640625" style="299" customWidth="1"/>
    <col min="10798" max="10798" width="11.6640625" style="299" customWidth="1"/>
    <col min="10799" max="10799" width="26.33203125" style="299" customWidth="1"/>
    <col min="10800" max="10800" width="19.88671875" style="299" customWidth="1"/>
    <col min="10801" max="10801" width="19.33203125" style="299" customWidth="1"/>
    <col min="10802" max="10802" width="11.6640625" style="299" customWidth="1"/>
    <col min="10803" max="10803" width="12.5546875" style="299" customWidth="1"/>
    <col min="10804" max="11008" width="9.109375" style="299"/>
    <col min="11009" max="11009" width="15.5546875" style="299" customWidth="1"/>
    <col min="11010" max="11010" width="7" style="299" customWidth="1"/>
    <col min="11011" max="11011" width="16" style="299" customWidth="1"/>
    <col min="11012" max="11012" width="3.6640625" style="299" customWidth="1"/>
    <col min="11013" max="11013" width="8" style="299" customWidth="1"/>
    <col min="11014" max="11014" width="8.33203125" style="299" customWidth="1"/>
    <col min="11015" max="11015" width="9.109375" style="299" customWidth="1"/>
    <col min="11016" max="11016" width="2.5546875" style="299" customWidth="1"/>
    <col min="11017" max="11019" width="3.33203125" style="299" customWidth="1"/>
    <col min="11020" max="11024" width="8.109375" style="299" customWidth="1"/>
    <col min="11025" max="11026" width="2.109375" style="299" customWidth="1"/>
    <col min="11027" max="11027" width="9.88671875" style="299" customWidth="1"/>
    <col min="11028" max="11028" width="8.6640625" style="299" customWidth="1"/>
    <col min="11029" max="11029" width="19.5546875" style="299" customWidth="1"/>
    <col min="11030" max="11045" width="9" style="299" hidden="1" customWidth="1"/>
    <col min="11046" max="11046" width="9" style="299" customWidth="1"/>
    <col min="11047" max="11047" width="15.5546875" style="299" customWidth="1"/>
    <col min="11048" max="11048" width="16" style="299" customWidth="1"/>
    <col min="11049" max="11049" width="4.33203125" style="299" customWidth="1"/>
    <col min="11050" max="11050" width="2.5546875" style="299" customWidth="1"/>
    <col min="11051" max="11051" width="8.6640625" style="299" customWidth="1"/>
    <col min="11052" max="11052" width="18.33203125" style="299" customWidth="1"/>
    <col min="11053" max="11053" width="18.6640625" style="299" customWidth="1"/>
    <col min="11054" max="11054" width="11.6640625" style="299" customWidth="1"/>
    <col min="11055" max="11055" width="26.33203125" style="299" customWidth="1"/>
    <col min="11056" max="11056" width="19.88671875" style="299" customWidth="1"/>
    <col min="11057" max="11057" width="19.33203125" style="299" customWidth="1"/>
    <col min="11058" max="11058" width="11.6640625" style="299" customWidth="1"/>
    <col min="11059" max="11059" width="12.5546875" style="299" customWidth="1"/>
    <col min="11060" max="11264" width="9.109375" style="299"/>
    <col min="11265" max="11265" width="15.5546875" style="299" customWidth="1"/>
    <col min="11266" max="11266" width="7" style="299" customWidth="1"/>
    <col min="11267" max="11267" width="16" style="299" customWidth="1"/>
    <col min="11268" max="11268" width="3.6640625" style="299" customWidth="1"/>
    <col min="11269" max="11269" width="8" style="299" customWidth="1"/>
    <col min="11270" max="11270" width="8.33203125" style="299" customWidth="1"/>
    <col min="11271" max="11271" width="9.109375" style="299" customWidth="1"/>
    <col min="11272" max="11272" width="2.5546875" style="299" customWidth="1"/>
    <col min="11273" max="11275" width="3.33203125" style="299" customWidth="1"/>
    <col min="11276" max="11280" width="8.109375" style="299" customWidth="1"/>
    <col min="11281" max="11282" width="2.109375" style="299" customWidth="1"/>
    <col min="11283" max="11283" width="9.88671875" style="299" customWidth="1"/>
    <col min="11284" max="11284" width="8.6640625" style="299" customWidth="1"/>
    <col min="11285" max="11285" width="19.5546875" style="299" customWidth="1"/>
    <col min="11286" max="11301" width="9" style="299" hidden="1" customWidth="1"/>
    <col min="11302" max="11302" width="9" style="299" customWidth="1"/>
    <col min="11303" max="11303" width="15.5546875" style="299" customWidth="1"/>
    <col min="11304" max="11304" width="16" style="299" customWidth="1"/>
    <col min="11305" max="11305" width="4.33203125" style="299" customWidth="1"/>
    <col min="11306" max="11306" width="2.5546875" style="299" customWidth="1"/>
    <col min="11307" max="11307" width="8.6640625" style="299" customWidth="1"/>
    <col min="11308" max="11308" width="18.33203125" style="299" customWidth="1"/>
    <col min="11309" max="11309" width="18.6640625" style="299" customWidth="1"/>
    <col min="11310" max="11310" width="11.6640625" style="299" customWidth="1"/>
    <col min="11311" max="11311" width="26.33203125" style="299" customWidth="1"/>
    <col min="11312" max="11312" width="19.88671875" style="299" customWidth="1"/>
    <col min="11313" max="11313" width="19.33203125" style="299" customWidth="1"/>
    <col min="11314" max="11314" width="11.6640625" style="299" customWidth="1"/>
    <col min="11315" max="11315" width="12.5546875" style="299" customWidth="1"/>
    <col min="11316" max="11520" width="9.109375" style="299"/>
    <col min="11521" max="11521" width="15.5546875" style="299" customWidth="1"/>
    <col min="11522" max="11522" width="7" style="299" customWidth="1"/>
    <col min="11523" max="11523" width="16" style="299" customWidth="1"/>
    <col min="11524" max="11524" width="3.6640625" style="299" customWidth="1"/>
    <col min="11525" max="11525" width="8" style="299" customWidth="1"/>
    <col min="11526" max="11526" width="8.33203125" style="299" customWidth="1"/>
    <col min="11527" max="11527" width="9.109375" style="299" customWidth="1"/>
    <col min="11528" max="11528" width="2.5546875" style="299" customWidth="1"/>
    <col min="11529" max="11531" width="3.33203125" style="299" customWidth="1"/>
    <col min="11532" max="11536" width="8.109375" style="299" customWidth="1"/>
    <col min="11537" max="11538" width="2.109375" style="299" customWidth="1"/>
    <col min="11539" max="11539" width="9.88671875" style="299" customWidth="1"/>
    <col min="11540" max="11540" width="8.6640625" style="299" customWidth="1"/>
    <col min="11541" max="11541" width="19.5546875" style="299" customWidth="1"/>
    <col min="11542" max="11557" width="9" style="299" hidden="1" customWidth="1"/>
    <col min="11558" max="11558" width="9" style="299" customWidth="1"/>
    <col min="11559" max="11559" width="15.5546875" style="299" customWidth="1"/>
    <col min="11560" max="11560" width="16" style="299" customWidth="1"/>
    <col min="11561" max="11561" width="4.33203125" style="299" customWidth="1"/>
    <col min="11562" max="11562" width="2.5546875" style="299" customWidth="1"/>
    <col min="11563" max="11563" width="8.6640625" style="299" customWidth="1"/>
    <col min="11564" max="11564" width="18.33203125" style="299" customWidth="1"/>
    <col min="11565" max="11565" width="18.6640625" style="299" customWidth="1"/>
    <col min="11566" max="11566" width="11.6640625" style="299" customWidth="1"/>
    <col min="11567" max="11567" width="26.33203125" style="299" customWidth="1"/>
    <col min="11568" max="11568" width="19.88671875" style="299" customWidth="1"/>
    <col min="11569" max="11569" width="19.33203125" style="299" customWidth="1"/>
    <col min="11570" max="11570" width="11.6640625" style="299" customWidth="1"/>
    <col min="11571" max="11571" width="12.5546875" style="299" customWidth="1"/>
    <col min="11572" max="11776" width="9.109375" style="299"/>
    <col min="11777" max="11777" width="15.5546875" style="299" customWidth="1"/>
    <col min="11778" max="11778" width="7" style="299" customWidth="1"/>
    <col min="11779" max="11779" width="16" style="299" customWidth="1"/>
    <col min="11780" max="11780" width="3.6640625" style="299" customWidth="1"/>
    <col min="11781" max="11781" width="8" style="299" customWidth="1"/>
    <col min="11782" max="11782" width="8.33203125" style="299" customWidth="1"/>
    <col min="11783" max="11783" width="9.109375" style="299" customWidth="1"/>
    <col min="11784" max="11784" width="2.5546875" style="299" customWidth="1"/>
    <col min="11785" max="11787" width="3.33203125" style="299" customWidth="1"/>
    <col min="11788" max="11792" width="8.109375" style="299" customWidth="1"/>
    <col min="11793" max="11794" width="2.109375" style="299" customWidth="1"/>
    <col min="11795" max="11795" width="9.88671875" style="299" customWidth="1"/>
    <col min="11796" max="11796" width="8.6640625" style="299" customWidth="1"/>
    <col min="11797" max="11797" width="19.5546875" style="299" customWidth="1"/>
    <col min="11798" max="11813" width="9" style="299" hidden="1" customWidth="1"/>
    <col min="11814" max="11814" width="9" style="299" customWidth="1"/>
    <col min="11815" max="11815" width="15.5546875" style="299" customWidth="1"/>
    <col min="11816" max="11816" width="16" style="299" customWidth="1"/>
    <col min="11817" max="11817" width="4.33203125" style="299" customWidth="1"/>
    <col min="11818" max="11818" width="2.5546875" style="299" customWidth="1"/>
    <col min="11819" max="11819" width="8.6640625" style="299" customWidth="1"/>
    <col min="11820" max="11820" width="18.33203125" style="299" customWidth="1"/>
    <col min="11821" max="11821" width="18.6640625" style="299" customWidth="1"/>
    <col min="11822" max="11822" width="11.6640625" style="299" customWidth="1"/>
    <col min="11823" max="11823" width="26.33203125" style="299" customWidth="1"/>
    <col min="11824" max="11824" width="19.88671875" style="299" customWidth="1"/>
    <col min="11825" max="11825" width="19.33203125" style="299" customWidth="1"/>
    <col min="11826" max="11826" width="11.6640625" style="299" customWidth="1"/>
    <col min="11827" max="11827" width="12.5546875" style="299" customWidth="1"/>
    <col min="11828" max="12032" width="9.109375" style="299"/>
    <col min="12033" max="12033" width="15.5546875" style="299" customWidth="1"/>
    <col min="12034" max="12034" width="7" style="299" customWidth="1"/>
    <col min="12035" max="12035" width="16" style="299" customWidth="1"/>
    <col min="12036" max="12036" width="3.6640625" style="299" customWidth="1"/>
    <col min="12037" max="12037" width="8" style="299" customWidth="1"/>
    <col min="12038" max="12038" width="8.33203125" style="299" customWidth="1"/>
    <col min="12039" max="12039" width="9.109375" style="299" customWidth="1"/>
    <col min="12040" max="12040" width="2.5546875" style="299" customWidth="1"/>
    <col min="12041" max="12043" width="3.33203125" style="299" customWidth="1"/>
    <col min="12044" max="12048" width="8.109375" style="299" customWidth="1"/>
    <col min="12049" max="12050" width="2.109375" style="299" customWidth="1"/>
    <col min="12051" max="12051" width="9.88671875" style="299" customWidth="1"/>
    <col min="12052" max="12052" width="8.6640625" style="299" customWidth="1"/>
    <col min="12053" max="12053" width="19.5546875" style="299" customWidth="1"/>
    <col min="12054" max="12069" width="9" style="299" hidden="1" customWidth="1"/>
    <col min="12070" max="12070" width="9" style="299" customWidth="1"/>
    <col min="12071" max="12071" width="15.5546875" style="299" customWidth="1"/>
    <col min="12072" max="12072" width="16" style="299" customWidth="1"/>
    <col min="12073" max="12073" width="4.33203125" style="299" customWidth="1"/>
    <col min="12074" max="12074" width="2.5546875" style="299" customWidth="1"/>
    <col min="12075" max="12075" width="8.6640625" style="299" customWidth="1"/>
    <col min="12076" max="12076" width="18.33203125" style="299" customWidth="1"/>
    <col min="12077" max="12077" width="18.6640625" style="299" customWidth="1"/>
    <col min="12078" max="12078" width="11.6640625" style="299" customWidth="1"/>
    <col min="12079" max="12079" width="26.33203125" style="299" customWidth="1"/>
    <col min="12080" max="12080" width="19.88671875" style="299" customWidth="1"/>
    <col min="12081" max="12081" width="19.33203125" style="299" customWidth="1"/>
    <col min="12082" max="12082" width="11.6640625" style="299" customWidth="1"/>
    <col min="12083" max="12083" width="12.5546875" style="299" customWidth="1"/>
    <col min="12084" max="12288" width="9.109375" style="299"/>
    <col min="12289" max="12289" width="15.5546875" style="299" customWidth="1"/>
    <col min="12290" max="12290" width="7" style="299" customWidth="1"/>
    <col min="12291" max="12291" width="16" style="299" customWidth="1"/>
    <col min="12292" max="12292" width="3.6640625" style="299" customWidth="1"/>
    <col min="12293" max="12293" width="8" style="299" customWidth="1"/>
    <col min="12294" max="12294" width="8.33203125" style="299" customWidth="1"/>
    <col min="12295" max="12295" width="9.109375" style="299" customWidth="1"/>
    <col min="12296" max="12296" width="2.5546875" style="299" customWidth="1"/>
    <col min="12297" max="12299" width="3.33203125" style="299" customWidth="1"/>
    <col min="12300" max="12304" width="8.109375" style="299" customWidth="1"/>
    <col min="12305" max="12306" width="2.109375" style="299" customWidth="1"/>
    <col min="12307" max="12307" width="9.88671875" style="299" customWidth="1"/>
    <col min="12308" max="12308" width="8.6640625" style="299" customWidth="1"/>
    <col min="12309" max="12309" width="19.5546875" style="299" customWidth="1"/>
    <col min="12310" max="12325" width="9" style="299" hidden="1" customWidth="1"/>
    <col min="12326" max="12326" width="9" style="299" customWidth="1"/>
    <col min="12327" max="12327" width="15.5546875" style="299" customWidth="1"/>
    <col min="12328" max="12328" width="16" style="299" customWidth="1"/>
    <col min="12329" max="12329" width="4.33203125" style="299" customWidth="1"/>
    <col min="12330" max="12330" width="2.5546875" style="299" customWidth="1"/>
    <col min="12331" max="12331" width="8.6640625" style="299" customWidth="1"/>
    <col min="12332" max="12332" width="18.33203125" style="299" customWidth="1"/>
    <col min="12333" max="12333" width="18.6640625" style="299" customWidth="1"/>
    <col min="12334" max="12334" width="11.6640625" style="299" customWidth="1"/>
    <col min="12335" max="12335" width="26.33203125" style="299" customWidth="1"/>
    <col min="12336" max="12336" width="19.88671875" style="299" customWidth="1"/>
    <col min="12337" max="12337" width="19.33203125" style="299" customWidth="1"/>
    <col min="12338" max="12338" width="11.6640625" style="299" customWidth="1"/>
    <col min="12339" max="12339" width="12.5546875" style="299" customWidth="1"/>
    <col min="12340" max="12544" width="9.109375" style="299"/>
    <col min="12545" max="12545" width="15.5546875" style="299" customWidth="1"/>
    <col min="12546" max="12546" width="7" style="299" customWidth="1"/>
    <col min="12547" max="12547" width="16" style="299" customWidth="1"/>
    <col min="12548" max="12548" width="3.6640625" style="299" customWidth="1"/>
    <col min="12549" max="12549" width="8" style="299" customWidth="1"/>
    <col min="12550" max="12550" width="8.33203125" style="299" customWidth="1"/>
    <col min="12551" max="12551" width="9.109375" style="299" customWidth="1"/>
    <col min="12552" max="12552" width="2.5546875" style="299" customWidth="1"/>
    <col min="12553" max="12555" width="3.33203125" style="299" customWidth="1"/>
    <col min="12556" max="12560" width="8.109375" style="299" customWidth="1"/>
    <col min="12561" max="12562" width="2.109375" style="299" customWidth="1"/>
    <col min="12563" max="12563" width="9.88671875" style="299" customWidth="1"/>
    <col min="12564" max="12564" width="8.6640625" style="299" customWidth="1"/>
    <col min="12565" max="12565" width="19.5546875" style="299" customWidth="1"/>
    <col min="12566" max="12581" width="9" style="299" hidden="1" customWidth="1"/>
    <col min="12582" max="12582" width="9" style="299" customWidth="1"/>
    <col min="12583" max="12583" width="15.5546875" style="299" customWidth="1"/>
    <col min="12584" max="12584" width="16" style="299" customWidth="1"/>
    <col min="12585" max="12585" width="4.33203125" style="299" customWidth="1"/>
    <col min="12586" max="12586" width="2.5546875" style="299" customWidth="1"/>
    <col min="12587" max="12587" width="8.6640625" style="299" customWidth="1"/>
    <col min="12588" max="12588" width="18.33203125" style="299" customWidth="1"/>
    <col min="12589" max="12589" width="18.6640625" style="299" customWidth="1"/>
    <col min="12590" max="12590" width="11.6640625" style="299" customWidth="1"/>
    <col min="12591" max="12591" width="26.33203125" style="299" customWidth="1"/>
    <col min="12592" max="12592" width="19.88671875" style="299" customWidth="1"/>
    <col min="12593" max="12593" width="19.33203125" style="299" customWidth="1"/>
    <col min="12594" max="12594" width="11.6640625" style="299" customWidth="1"/>
    <col min="12595" max="12595" width="12.5546875" style="299" customWidth="1"/>
    <col min="12596" max="12800" width="9.109375" style="299"/>
    <col min="12801" max="12801" width="15.5546875" style="299" customWidth="1"/>
    <col min="12802" max="12802" width="7" style="299" customWidth="1"/>
    <col min="12803" max="12803" width="16" style="299" customWidth="1"/>
    <col min="12804" max="12804" width="3.6640625" style="299" customWidth="1"/>
    <col min="12805" max="12805" width="8" style="299" customWidth="1"/>
    <col min="12806" max="12806" width="8.33203125" style="299" customWidth="1"/>
    <col min="12807" max="12807" width="9.109375" style="299" customWidth="1"/>
    <col min="12808" max="12808" width="2.5546875" style="299" customWidth="1"/>
    <col min="12809" max="12811" width="3.33203125" style="299" customWidth="1"/>
    <col min="12812" max="12816" width="8.109375" style="299" customWidth="1"/>
    <col min="12817" max="12818" width="2.109375" style="299" customWidth="1"/>
    <col min="12819" max="12819" width="9.88671875" style="299" customWidth="1"/>
    <col min="12820" max="12820" width="8.6640625" style="299" customWidth="1"/>
    <col min="12821" max="12821" width="19.5546875" style="299" customWidth="1"/>
    <col min="12822" max="12837" width="9" style="299" hidden="1" customWidth="1"/>
    <col min="12838" max="12838" width="9" style="299" customWidth="1"/>
    <col min="12839" max="12839" width="15.5546875" style="299" customWidth="1"/>
    <col min="12840" max="12840" width="16" style="299" customWidth="1"/>
    <col min="12841" max="12841" width="4.33203125" style="299" customWidth="1"/>
    <col min="12842" max="12842" width="2.5546875" style="299" customWidth="1"/>
    <col min="12843" max="12843" width="8.6640625" style="299" customWidth="1"/>
    <col min="12844" max="12844" width="18.33203125" style="299" customWidth="1"/>
    <col min="12845" max="12845" width="18.6640625" style="299" customWidth="1"/>
    <col min="12846" max="12846" width="11.6640625" style="299" customWidth="1"/>
    <col min="12847" max="12847" width="26.33203125" style="299" customWidth="1"/>
    <col min="12848" max="12848" width="19.88671875" style="299" customWidth="1"/>
    <col min="12849" max="12849" width="19.33203125" style="299" customWidth="1"/>
    <col min="12850" max="12850" width="11.6640625" style="299" customWidth="1"/>
    <col min="12851" max="12851" width="12.5546875" style="299" customWidth="1"/>
    <col min="12852" max="13056" width="9.109375" style="299"/>
    <col min="13057" max="13057" width="15.5546875" style="299" customWidth="1"/>
    <col min="13058" max="13058" width="7" style="299" customWidth="1"/>
    <col min="13059" max="13059" width="16" style="299" customWidth="1"/>
    <col min="13060" max="13060" width="3.6640625" style="299" customWidth="1"/>
    <col min="13061" max="13061" width="8" style="299" customWidth="1"/>
    <col min="13062" max="13062" width="8.33203125" style="299" customWidth="1"/>
    <col min="13063" max="13063" width="9.109375" style="299" customWidth="1"/>
    <col min="13064" max="13064" width="2.5546875" style="299" customWidth="1"/>
    <col min="13065" max="13067" width="3.33203125" style="299" customWidth="1"/>
    <col min="13068" max="13072" width="8.109375" style="299" customWidth="1"/>
    <col min="13073" max="13074" width="2.109375" style="299" customWidth="1"/>
    <col min="13075" max="13075" width="9.88671875" style="299" customWidth="1"/>
    <col min="13076" max="13076" width="8.6640625" style="299" customWidth="1"/>
    <col min="13077" max="13077" width="19.5546875" style="299" customWidth="1"/>
    <col min="13078" max="13093" width="9" style="299" hidden="1" customWidth="1"/>
    <col min="13094" max="13094" width="9" style="299" customWidth="1"/>
    <col min="13095" max="13095" width="15.5546875" style="299" customWidth="1"/>
    <col min="13096" max="13096" width="16" style="299" customWidth="1"/>
    <col min="13097" max="13097" width="4.33203125" style="299" customWidth="1"/>
    <col min="13098" max="13098" width="2.5546875" style="299" customWidth="1"/>
    <col min="13099" max="13099" width="8.6640625" style="299" customWidth="1"/>
    <col min="13100" max="13100" width="18.33203125" style="299" customWidth="1"/>
    <col min="13101" max="13101" width="18.6640625" style="299" customWidth="1"/>
    <col min="13102" max="13102" width="11.6640625" style="299" customWidth="1"/>
    <col min="13103" max="13103" width="26.33203125" style="299" customWidth="1"/>
    <col min="13104" max="13104" width="19.88671875" style="299" customWidth="1"/>
    <col min="13105" max="13105" width="19.33203125" style="299" customWidth="1"/>
    <col min="13106" max="13106" width="11.6640625" style="299" customWidth="1"/>
    <col min="13107" max="13107" width="12.5546875" style="299" customWidth="1"/>
    <col min="13108" max="13312" width="9.109375" style="299"/>
    <col min="13313" max="13313" width="15.5546875" style="299" customWidth="1"/>
    <col min="13314" max="13314" width="7" style="299" customWidth="1"/>
    <col min="13315" max="13315" width="16" style="299" customWidth="1"/>
    <col min="13316" max="13316" width="3.6640625" style="299" customWidth="1"/>
    <col min="13317" max="13317" width="8" style="299" customWidth="1"/>
    <col min="13318" max="13318" width="8.33203125" style="299" customWidth="1"/>
    <col min="13319" max="13319" width="9.109375" style="299" customWidth="1"/>
    <col min="13320" max="13320" width="2.5546875" style="299" customWidth="1"/>
    <col min="13321" max="13323" width="3.33203125" style="299" customWidth="1"/>
    <col min="13324" max="13328" width="8.109375" style="299" customWidth="1"/>
    <col min="13329" max="13330" width="2.109375" style="299" customWidth="1"/>
    <col min="13331" max="13331" width="9.88671875" style="299" customWidth="1"/>
    <col min="13332" max="13332" width="8.6640625" style="299" customWidth="1"/>
    <col min="13333" max="13333" width="19.5546875" style="299" customWidth="1"/>
    <col min="13334" max="13349" width="9" style="299" hidden="1" customWidth="1"/>
    <col min="13350" max="13350" width="9" style="299" customWidth="1"/>
    <col min="13351" max="13351" width="15.5546875" style="299" customWidth="1"/>
    <col min="13352" max="13352" width="16" style="299" customWidth="1"/>
    <col min="13353" max="13353" width="4.33203125" style="299" customWidth="1"/>
    <col min="13354" max="13354" width="2.5546875" style="299" customWidth="1"/>
    <col min="13355" max="13355" width="8.6640625" style="299" customWidth="1"/>
    <col min="13356" max="13356" width="18.33203125" style="299" customWidth="1"/>
    <col min="13357" max="13357" width="18.6640625" style="299" customWidth="1"/>
    <col min="13358" max="13358" width="11.6640625" style="299" customWidth="1"/>
    <col min="13359" max="13359" width="26.33203125" style="299" customWidth="1"/>
    <col min="13360" max="13360" width="19.88671875" style="299" customWidth="1"/>
    <col min="13361" max="13361" width="19.33203125" style="299" customWidth="1"/>
    <col min="13362" max="13362" width="11.6640625" style="299" customWidth="1"/>
    <col min="13363" max="13363" width="12.5546875" style="299" customWidth="1"/>
    <col min="13364" max="13568" width="9.109375" style="299"/>
    <col min="13569" max="13569" width="15.5546875" style="299" customWidth="1"/>
    <col min="13570" max="13570" width="7" style="299" customWidth="1"/>
    <col min="13571" max="13571" width="16" style="299" customWidth="1"/>
    <col min="13572" max="13572" width="3.6640625" style="299" customWidth="1"/>
    <col min="13573" max="13573" width="8" style="299" customWidth="1"/>
    <col min="13574" max="13574" width="8.33203125" style="299" customWidth="1"/>
    <col min="13575" max="13575" width="9.109375" style="299" customWidth="1"/>
    <col min="13576" max="13576" width="2.5546875" style="299" customWidth="1"/>
    <col min="13577" max="13579" width="3.33203125" style="299" customWidth="1"/>
    <col min="13580" max="13584" width="8.109375" style="299" customWidth="1"/>
    <col min="13585" max="13586" width="2.109375" style="299" customWidth="1"/>
    <col min="13587" max="13587" width="9.88671875" style="299" customWidth="1"/>
    <col min="13588" max="13588" width="8.6640625" style="299" customWidth="1"/>
    <col min="13589" max="13589" width="19.5546875" style="299" customWidth="1"/>
    <col min="13590" max="13605" width="9" style="299" hidden="1" customWidth="1"/>
    <col min="13606" max="13606" width="9" style="299" customWidth="1"/>
    <col min="13607" max="13607" width="15.5546875" style="299" customWidth="1"/>
    <col min="13608" max="13608" width="16" style="299" customWidth="1"/>
    <col min="13609" max="13609" width="4.33203125" style="299" customWidth="1"/>
    <col min="13610" max="13610" width="2.5546875" style="299" customWidth="1"/>
    <col min="13611" max="13611" width="8.6640625" style="299" customWidth="1"/>
    <col min="13612" max="13612" width="18.33203125" style="299" customWidth="1"/>
    <col min="13613" max="13613" width="18.6640625" style="299" customWidth="1"/>
    <col min="13614" max="13614" width="11.6640625" style="299" customWidth="1"/>
    <col min="13615" max="13615" width="26.33203125" style="299" customWidth="1"/>
    <col min="13616" max="13616" width="19.88671875" style="299" customWidth="1"/>
    <col min="13617" max="13617" width="19.33203125" style="299" customWidth="1"/>
    <col min="13618" max="13618" width="11.6640625" style="299" customWidth="1"/>
    <col min="13619" max="13619" width="12.5546875" style="299" customWidth="1"/>
    <col min="13620" max="13824" width="9.109375" style="299"/>
    <col min="13825" max="13825" width="15.5546875" style="299" customWidth="1"/>
    <col min="13826" max="13826" width="7" style="299" customWidth="1"/>
    <col min="13827" max="13827" width="16" style="299" customWidth="1"/>
    <col min="13828" max="13828" width="3.6640625" style="299" customWidth="1"/>
    <col min="13829" max="13829" width="8" style="299" customWidth="1"/>
    <col min="13830" max="13830" width="8.33203125" style="299" customWidth="1"/>
    <col min="13831" max="13831" width="9.109375" style="299" customWidth="1"/>
    <col min="13832" max="13832" width="2.5546875" style="299" customWidth="1"/>
    <col min="13833" max="13835" width="3.33203125" style="299" customWidth="1"/>
    <col min="13836" max="13840" width="8.109375" style="299" customWidth="1"/>
    <col min="13841" max="13842" width="2.109375" style="299" customWidth="1"/>
    <col min="13843" max="13843" width="9.88671875" style="299" customWidth="1"/>
    <col min="13844" max="13844" width="8.6640625" style="299" customWidth="1"/>
    <col min="13845" max="13845" width="19.5546875" style="299" customWidth="1"/>
    <col min="13846" max="13861" width="9" style="299" hidden="1" customWidth="1"/>
    <col min="13862" max="13862" width="9" style="299" customWidth="1"/>
    <col min="13863" max="13863" width="15.5546875" style="299" customWidth="1"/>
    <col min="13864" max="13864" width="16" style="299" customWidth="1"/>
    <col min="13865" max="13865" width="4.33203125" style="299" customWidth="1"/>
    <col min="13866" max="13866" width="2.5546875" style="299" customWidth="1"/>
    <col min="13867" max="13867" width="8.6640625" style="299" customWidth="1"/>
    <col min="13868" max="13868" width="18.33203125" style="299" customWidth="1"/>
    <col min="13869" max="13869" width="18.6640625" style="299" customWidth="1"/>
    <col min="13870" max="13870" width="11.6640625" style="299" customWidth="1"/>
    <col min="13871" max="13871" width="26.33203125" style="299" customWidth="1"/>
    <col min="13872" max="13872" width="19.88671875" style="299" customWidth="1"/>
    <col min="13873" max="13873" width="19.33203125" style="299" customWidth="1"/>
    <col min="13874" max="13874" width="11.6640625" style="299" customWidth="1"/>
    <col min="13875" max="13875" width="12.5546875" style="299" customWidth="1"/>
    <col min="13876" max="14080" width="9.109375" style="299"/>
    <col min="14081" max="14081" width="15.5546875" style="299" customWidth="1"/>
    <col min="14082" max="14082" width="7" style="299" customWidth="1"/>
    <col min="14083" max="14083" width="16" style="299" customWidth="1"/>
    <col min="14084" max="14084" width="3.6640625" style="299" customWidth="1"/>
    <col min="14085" max="14085" width="8" style="299" customWidth="1"/>
    <col min="14086" max="14086" width="8.33203125" style="299" customWidth="1"/>
    <col min="14087" max="14087" width="9.109375" style="299" customWidth="1"/>
    <col min="14088" max="14088" width="2.5546875" style="299" customWidth="1"/>
    <col min="14089" max="14091" width="3.33203125" style="299" customWidth="1"/>
    <col min="14092" max="14096" width="8.109375" style="299" customWidth="1"/>
    <col min="14097" max="14098" width="2.109375" style="299" customWidth="1"/>
    <col min="14099" max="14099" width="9.88671875" style="299" customWidth="1"/>
    <col min="14100" max="14100" width="8.6640625" style="299" customWidth="1"/>
    <col min="14101" max="14101" width="19.5546875" style="299" customWidth="1"/>
    <col min="14102" max="14117" width="9" style="299" hidden="1" customWidth="1"/>
    <col min="14118" max="14118" width="9" style="299" customWidth="1"/>
    <col min="14119" max="14119" width="15.5546875" style="299" customWidth="1"/>
    <col min="14120" max="14120" width="16" style="299" customWidth="1"/>
    <col min="14121" max="14121" width="4.33203125" style="299" customWidth="1"/>
    <col min="14122" max="14122" width="2.5546875" style="299" customWidth="1"/>
    <col min="14123" max="14123" width="8.6640625" style="299" customWidth="1"/>
    <col min="14124" max="14124" width="18.33203125" style="299" customWidth="1"/>
    <col min="14125" max="14125" width="18.6640625" style="299" customWidth="1"/>
    <col min="14126" max="14126" width="11.6640625" style="299" customWidth="1"/>
    <col min="14127" max="14127" width="26.33203125" style="299" customWidth="1"/>
    <col min="14128" max="14128" width="19.88671875" style="299" customWidth="1"/>
    <col min="14129" max="14129" width="19.33203125" style="299" customWidth="1"/>
    <col min="14130" max="14130" width="11.6640625" style="299" customWidth="1"/>
    <col min="14131" max="14131" width="12.5546875" style="299" customWidth="1"/>
    <col min="14132" max="14336" width="9.109375" style="299"/>
    <col min="14337" max="14337" width="15.5546875" style="299" customWidth="1"/>
    <col min="14338" max="14338" width="7" style="299" customWidth="1"/>
    <col min="14339" max="14339" width="16" style="299" customWidth="1"/>
    <col min="14340" max="14340" width="3.6640625" style="299" customWidth="1"/>
    <col min="14341" max="14341" width="8" style="299" customWidth="1"/>
    <col min="14342" max="14342" width="8.33203125" style="299" customWidth="1"/>
    <col min="14343" max="14343" width="9.109375" style="299" customWidth="1"/>
    <col min="14344" max="14344" width="2.5546875" style="299" customWidth="1"/>
    <col min="14345" max="14347" width="3.33203125" style="299" customWidth="1"/>
    <col min="14348" max="14352" width="8.109375" style="299" customWidth="1"/>
    <col min="14353" max="14354" width="2.109375" style="299" customWidth="1"/>
    <col min="14355" max="14355" width="9.88671875" style="299" customWidth="1"/>
    <col min="14356" max="14356" width="8.6640625" style="299" customWidth="1"/>
    <col min="14357" max="14357" width="19.5546875" style="299" customWidth="1"/>
    <col min="14358" max="14373" width="9" style="299" hidden="1" customWidth="1"/>
    <col min="14374" max="14374" width="9" style="299" customWidth="1"/>
    <col min="14375" max="14375" width="15.5546875" style="299" customWidth="1"/>
    <col min="14376" max="14376" width="16" style="299" customWidth="1"/>
    <col min="14377" max="14377" width="4.33203125" style="299" customWidth="1"/>
    <col min="14378" max="14378" width="2.5546875" style="299" customWidth="1"/>
    <col min="14379" max="14379" width="8.6640625" style="299" customWidth="1"/>
    <col min="14380" max="14380" width="18.33203125" style="299" customWidth="1"/>
    <col min="14381" max="14381" width="18.6640625" style="299" customWidth="1"/>
    <col min="14382" max="14382" width="11.6640625" style="299" customWidth="1"/>
    <col min="14383" max="14383" width="26.33203125" style="299" customWidth="1"/>
    <col min="14384" max="14384" width="19.88671875" style="299" customWidth="1"/>
    <col min="14385" max="14385" width="19.33203125" style="299" customWidth="1"/>
    <col min="14386" max="14386" width="11.6640625" style="299" customWidth="1"/>
    <col min="14387" max="14387" width="12.5546875" style="299" customWidth="1"/>
    <col min="14388" max="14592" width="9.109375" style="299"/>
    <col min="14593" max="14593" width="15.5546875" style="299" customWidth="1"/>
    <col min="14594" max="14594" width="7" style="299" customWidth="1"/>
    <col min="14595" max="14595" width="16" style="299" customWidth="1"/>
    <col min="14596" max="14596" width="3.6640625" style="299" customWidth="1"/>
    <col min="14597" max="14597" width="8" style="299" customWidth="1"/>
    <col min="14598" max="14598" width="8.33203125" style="299" customWidth="1"/>
    <col min="14599" max="14599" width="9.109375" style="299" customWidth="1"/>
    <col min="14600" max="14600" width="2.5546875" style="299" customWidth="1"/>
    <col min="14601" max="14603" width="3.33203125" style="299" customWidth="1"/>
    <col min="14604" max="14608" width="8.109375" style="299" customWidth="1"/>
    <col min="14609" max="14610" width="2.109375" style="299" customWidth="1"/>
    <col min="14611" max="14611" width="9.88671875" style="299" customWidth="1"/>
    <col min="14612" max="14612" width="8.6640625" style="299" customWidth="1"/>
    <col min="14613" max="14613" width="19.5546875" style="299" customWidth="1"/>
    <col min="14614" max="14629" width="9" style="299" hidden="1" customWidth="1"/>
    <col min="14630" max="14630" width="9" style="299" customWidth="1"/>
    <col min="14631" max="14631" width="15.5546875" style="299" customWidth="1"/>
    <col min="14632" max="14632" width="16" style="299" customWidth="1"/>
    <col min="14633" max="14633" width="4.33203125" style="299" customWidth="1"/>
    <col min="14634" max="14634" width="2.5546875" style="299" customWidth="1"/>
    <col min="14635" max="14635" width="8.6640625" style="299" customWidth="1"/>
    <col min="14636" max="14636" width="18.33203125" style="299" customWidth="1"/>
    <col min="14637" max="14637" width="18.6640625" style="299" customWidth="1"/>
    <col min="14638" max="14638" width="11.6640625" style="299" customWidth="1"/>
    <col min="14639" max="14639" width="26.33203125" style="299" customWidth="1"/>
    <col min="14640" max="14640" width="19.88671875" style="299" customWidth="1"/>
    <col min="14641" max="14641" width="19.33203125" style="299" customWidth="1"/>
    <col min="14642" max="14642" width="11.6640625" style="299" customWidth="1"/>
    <col min="14643" max="14643" width="12.5546875" style="299" customWidth="1"/>
    <col min="14644" max="14848" width="9.109375" style="299"/>
    <col min="14849" max="14849" width="15.5546875" style="299" customWidth="1"/>
    <col min="14850" max="14850" width="7" style="299" customWidth="1"/>
    <col min="14851" max="14851" width="16" style="299" customWidth="1"/>
    <col min="14852" max="14852" width="3.6640625" style="299" customWidth="1"/>
    <col min="14853" max="14853" width="8" style="299" customWidth="1"/>
    <col min="14854" max="14854" width="8.33203125" style="299" customWidth="1"/>
    <col min="14855" max="14855" width="9.109375" style="299" customWidth="1"/>
    <col min="14856" max="14856" width="2.5546875" style="299" customWidth="1"/>
    <col min="14857" max="14859" width="3.33203125" style="299" customWidth="1"/>
    <col min="14860" max="14864" width="8.109375" style="299" customWidth="1"/>
    <col min="14865" max="14866" width="2.109375" style="299" customWidth="1"/>
    <col min="14867" max="14867" width="9.88671875" style="299" customWidth="1"/>
    <col min="14868" max="14868" width="8.6640625" style="299" customWidth="1"/>
    <col min="14869" max="14869" width="19.5546875" style="299" customWidth="1"/>
    <col min="14870" max="14885" width="9" style="299" hidden="1" customWidth="1"/>
    <col min="14886" max="14886" width="9" style="299" customWidth="1"/>
    <col min="14887" max="14887" width="15.5546875" style="299" customWidth="1"/>
    <col min="14888" max="14888" width="16" style="299" customWidth="1"/>
    <col min="14889" max="14889" width="4.33203125" style="299" customWidth="1"/>
    <col min="14890" max="14890" width="2.5546875" style="299" customWidth="1"/>
    <col min="14891" max="14891" width="8.6640625" style="299" customWidth="1"/>
    <col min="14892" max="14892" width="18.33203125" style="299" customWidth="1"/>
    <col min="14893" max="14893" width="18.6640625" style="299" customWidth="1"/>
    <col min="14894" max="14894" width="11.6640625" style="299" customWidth="1"/>
    <col min="14895" max="14895" width="26.33203125" style="299" customWidth="1"/>
    <col min="14896" max="14896" width="19.88671875" style="299" customWidth="1"/>
    <col min="14897" max="14897" width="19.33203125" style="299" customWidth="1"/>
    <col min="14898" max="14898" width="11.6640625" style="299" customWidth="1"/>
    <col min="14899" max="14899" width="12.5546875" style="299" customWidth="1"/>
    <col min="14900" max="15104" width="9.109375" style="299"/>
    <col min="15105" max="15105" width="15.5546875" style="299" customWidth="1"/>
    <col min="15106" max="15106" width="7" style="299" customWidth="1"/>
    <col min="15107" max="15107" width="16" style="299" customWidth="1"/>
    <col min="15108" max="15108" width="3.6640625" style="299" customWidth="1"/>
    <col min="15109" max="15109" width="8" style="299" customWidth="1"/>
    <col min="15110" max="15110" width="8.33203125" style="299" customWidth="1"/>
    <col min="15111" max="15111" width="9.109375" style="299" customWidth="1"/>
    <col min="15112" max="15112" width="2.5546875" style="299" customWidth="1"/>
    <col min="15113" max="15115" width="3.33203125" style="299" customWidth="1"/>
    <col min="15116" max="15120" width="8.109375" style="299" customWidth="1"/>
    <col min="15121" max="15122" width="2.109375" style="299" customWidth="1"/>
    <col min="15123" max="15123" width="9.88671875" style="299" customWidth="1"/>
    <col min="15124" max="15124" width="8.6640625" style="299" customWidth="1"/>
    <col min="15125" max="15125" width="19.5546875" style="299" customWidth="1"/>
    <col min="15126" max="15141" width="9" style="299" hidden="1" customWidth="1"/>
    <col min="15142" max="15142" width="9" style="299" customWidth="1"/>
    <col min="15143" max="15143" width="15.5546875" style="299" customWidth="1"/>
    <col min="15144" max="15144" width="16" style="299" customWidth="1"/>
    <col min="15145" max="15145" width="4.33203125" style="299" customWidth="1"/>
    <col min="15146" max="15146" width="2.5546875" style="299" customWidth="1"/>
    <col min="15147" max="15147" width="8.6640625" style="299" customWidth="1"/>
    <col min="15148" max="15148" width="18.33203125" style="299" customWidth="1"/>
    <col min="15149" max="15149" width="18.6640625" style="299" customWidth="1"/>
    <col min="15150" max="15150" width="11.6640625" style="299" customWidth="1"/>
    <col min="15151" max="15151" width="26.33203125" style="299" customWidth="1"/>
    <col min="15152" max="15152" width="19.88671875" style="299" customWidth="1"/>
    <col min="15153" max="15153" width="19.33203125" style="299" customWidth="1"/>
    <col min="15154" max="15154" width="11.6640625" style="299" customWidth="1"/>
    <col min="15155" max="15155" width="12.5546875" style="299" customWidth="1"/>
    <col min="15156" max="15360" width="9.109375" style="299"/>
    <col min="15361" max="15361" width="15.5546875" style="299" customWidth="1"/>
    <col min="15362" max="15362" width="7" style="299" customWidth="1"/>
    <col min="15363" max="15363" width="16" style="299" customWidth="1"/>
    <col min="15364" max="15364" width="3.6640625" style="299" customWidth="1"/>
    <col min="15365" max="15365" width="8" style="299" customWidth="1"/>
    <col min="15366" max="15366" width="8.33203125" style="299" customWidth="1"/>
    <col min="15367" max="15367" width="9.109375" style="299" customWidth="1"/>
    <col min="15368" max="15368" width="2.5546875" style="299" customWidth="1"/>
    <col min="15369" max="15371" width="3.33203125" style="299" customWidth="1"/>
    <col min="15372" max="15376" width="8.109375" style="299" customWidth="1"/>
    <col min="15377" max="15378" width="2.109375" style="299" customWidth="1"/>
    <col min="15379" max="15379" width="9.88671875" style="299" customWidth="1"/>
    <col min="15380" max="15380" width="8.6640625" style="299" customWidth="1"/>
    <col min="15381" max="15381" width="19.5546875" style="299" customWidth="1"/>
    <col min="15382" max="15397" width="9" style="299" hidden="1" customWidth="1"/>
    <col min="15398" max="15398" width="9" style="299" customWidth="1"/>
    <col min="15399" max="15399" width="15.5546875" style="299" customWidth="1"/>
    <col min="15400" max="15400" width="16" style="299" customWidth="1"/>
    <col min="15401" max="15401" width="4.33203125" style="299" customWidth="1"/>
    <col min="15402" max="15402" width="2.5546875" style="299" customWidth="1"/>
    <col min="15403" max="15403" width="8.6640625" style="299" customWidth="1"/>
    <col min="15404" max="15404" width="18.33203125" style="299" customWidth="1"/>
    <col min="15405" max="15405" width="18.6640625" style="299" customWidth="1"/>
    <col min="15406" max="15406" width="11.6640625" style="299" customWidth="1"/>
    <col min="15407" max="15407" width="26.33203125" style="299" customWidth="1"/>
    <col min="15408" max="15408" width="19.88671875" style="299" customWidth="1"/>
    <col min="15409" max="15409" width="19.33203125" style="299" customWidth="1"/>
    <col min="15410" max="15410" width="11.6640625" style="299" customWidth="1"/>
    <col min="15411" max="15411" width="12.5546875" style="299" customWidth="1"/>
    <col min="15412" max="15616" width="9.109375" style="299"/>
    <col min="15617" max="15617" width="15.5546875" style="299" customWidth="1"/>
    <col min="15618" max="15618" width="7" style="299" customWidth="1"/>
    <col min="15619" max="15619" width="16" style="299" customWidth="1"/>
    <col min="15620" max="15620" width="3.6640625" style="299" customWidth="1"/>
    <col min="15621" max="15621" width="8" style="299" customWidth="1"/>
    <col min="15622" max="15622" width="8.33203125" style="299" customWidth="1"/>
    <col min="15623" max="15623" width="9.109375" style="299" customWidth="1"/>
    <col min="15624" max="15624" width="2.5546875" style="299" customWidth="1"/>
    <col min="15625" max="15627" width="3.33203125" style="299" customWidth="1"/>
    <col min="15628" max="15632" width="8.109375" style="299" customWidth="1"/>
    <col min="15633" max="15634" width="2.109375" style="299" customWidth="1"/>
    <col min="15635" max="15635" width="9.88671875" style="299" customWidth="1"/>
    <col min="15636" max="15636" width="8.6640625" style="299" customWidth="1"/>
    <col min="15637" max="15637" width="19.5546875" style="299" customWidth="1"/>
    <col min="15638" max="15653" width="9" style="299" hidden="1" customWidth="1"/>
    <col min="15654" max="15654" width="9" style="299" customWidth="1"/>
    <col min="15655" max="15655" width="15.5546875" style="299" customWidth="1"/>
    <col min="15656" max="15656" width="16" style="299" customWidth="1"/>
    <col min="15657" max="15657" width="4.33203125" style="299" customWidth="1"/>
    <col min="15658" max="15658" width="2.5546875" style="299" customWidth="1"/>
    <col min="15659" max="15659" width="8.6640625" style="299" customWidth="1"/>
    <col min="15660" max="15660" width="18.33203125" style="299" customWidth="1"/>
    <col min="15661" max="15661" width="18.6640625" style="299" customWidth="1"/>
    <col min="15662" max="15662" width="11.6640625" style="299" customWidth="1"/>
    <col min="15663" max="15663" width="26.33203125" style="299" customWidth="1"/>
    <col min="15664" max="15664" width="19.88671875" style="299" customWidth="1"/>
    <col min="15665" max="15665" width="19.33203125" style="299" customWidth="1"/>
    <col min="15666" max="15666" width="11.6640625" style="299" customWidth="1"/>
    <col min="15667" max="15667" width="12.5546875" style="299" customWidth="1"/>
    <col min="15668" max="15872" width="9.109375" style="299"/>
    <col min="15873" max="15873" width="15.5546875" style="299" customWidth="1"/>
    <col min="15874" max="15874" width="7" style="299" customWidth="1"/>
    <col min="15875" max="15875" width="16" style="299" customWidth="1"/>
    <col min="15876" max="15876" width="3.6640625" style="299" customWidth="1"/>
    <col min="15877" max="15877" width="8" style="299" customWidth="1"/>
    <col min="15878" max="15878" width="8.33203125" style="299" customWidth="1"/>
    <col min="15879" max="15879" width="9.109375" style="299" customWidth="1"/>
    <col min="15880" max="15880" width="2.5546875" style="299" customWidth="1"/>
    <col min="15881" max="15883" width="3.33203125" style="299" customWidth="1"/>
    <col min="15884" max="15888" width="8.109375" style="299" customWidth="1"/>
    <col min="15889" max="15890" width="2.109375" style="299" customWidth="1"/>
    <col min="15891" max="15891" width="9.88671875" style="299" customWidth="1"/>
    <col min="15892" max="15892" width="8.6640625" style="299" customWidth="1"/>
    <col min="15893" max="15893" width="19.5546875" style="299" customWidth="1"/>
    <col min="15894" max="15909" width="9" style="299" hidden="1" customWidth="1"/>
    <col min="15910" max="15910" width="9" style="299" customWidth="1"/>
    <col min="15911" max="15911" width="15.5546875" style="299" customWidth="1"/>
    <col min="15912" max="15912" width="16" style="299" customWidth="1"/>
    <col min="15913" max="15913" width="4.33203125" style="299" customWidth="1"/>
    <col min="15914" max="15914" width="2.5546875" style="299" customWidth="1"/>
    <col min="15915" max="15915" width="8.6640625" style="299" customWidth="1"/>
    <col min="15916" max="15916" width="18.33203125" style="299" customWidth="1"/>
    <col min="15917" max="15917" width="18.6640625" style="299" customWidth="1"/>
    <col min="15918" max="15918" width="11.6640625" style="299" customWidth="1"/>
    <col min="15919" max="15919" width="26.33203125" style="299" customWidth="1"/>
    <col min="15920" max="15920" width="19.88671875" style="299" customWidth="1"/>
    <col min="15921" max="15921" width="19.33203125" style="299" customWidth="1"/>
    <col min="15922" max="15922" width="11.6640625" style="299" customWidth="1"/>
    <col min="15923" max="15923" width="12.5546875" style="299" customWidth="1"/>
    <col min="15924" max="16128" width="9.109375" style="299"/>
    <col min="16129" max="16129" width="15.5546875" style="299" customWidth="1"/>
    <col min="16130" max="16130" width="7" style="299" customWidth="1"/>
    <col min="16131" max="16131" width="16" style="299" customWidth="1"/>
    <col min="16132" max="16132" width="3.6640625" style="299" customWidth="1"/>
    <col min="16133" max="16133" width="8" style="299" customWidth="1"/>
    <col min="16134" max="16134" width="8.33203125" style="299" customWidth="1"/>
    <col min="16135" max="16135" width="9.109375" style="299" customWidth="1"/>
    <col min="16136" max="16136" width="2.5546875" style="299" customWidth="1"/>
    <col min="16137" max="16139" width="3.33203125" style="299" customWidth="1"/>
    <col min="16140" max="16144" width="8.109375" style="299" customWidth="1"/>
    <col min="16145" max="16146" width="2.109375" style="299" customWidth="1"/>
    <col min="16147" max="16147" width="9.88671875" style="299" customWidth="1"/>
    <col min="16148" max="16148" width="8.6640625" style="299" customWidth="1"/>
    <col min="16149" max="16149" width="19.5546875" style="299" customWidth="1"/>
    <col min="16150" max="16165" width="9" style="299" hidden="1" customWidth="1"/>
    <col min="16166" max="16166" width="9" style="299" customWidth="1"/>
    <col min="16167" max="16167" width="15.5546875" style="299" customWidth="1"/>
    <col min="16168" max="16168" width="16" style="299" customWidth="1"/>
    <col min="16169" max="16169" width="4.33203125" style="299" customWidth="1"/>
    <col min="16170" max="16170" width="2.5546875" style="299" customWidth="1"/>
    <col min="16171" max="16171" width="8.6640625" style="299" customWidth="1"/>
    <col min="16172" max="16172" width="18.33203125" style="299" customWidth="1"/>
    <col min="16173" max="16173" width="18.6640625" style="299" customWidth="1"/>
    <col min="16174" max="16174" width="11.6640625" style="299" customWidth="1"/>
    <col min="16175" max="16175" width="26.33203125" style="299" customWidth="1"/>
    <col min="16176" max="16176" width="19.88671875" style="299" customWidth="1"/>
    <col min="16177" max="16177" width="19.33203125" style="299" customWidth="1"/>
    <col min="16178" max="16178" width="11.6640625" style="299" customWidth="1"/>
    <col min="16179" max="16179" width="12.5546875" style="299" customWidth="1"/>
    <col min="16180" max="16384" width="9.109375" style="299"/>
  </cols>
  <sheetData>
    <row r="1" spans="1:51" s="527" customFormat="1" ht="19.5" customHeight="1">
      <c r="A1" s="1047" t="s">
        <v>0</v>
      </c>
      <c r="B1" s="1048"/>
      <c r="C1" s="1047"/>
      <c r="D1" s="1047"/>
      <c r="E1" s="1048"/>
      <c r="F1" s="1048"/>
      <c r="G1" s="1048"/>
      <c r="H1" s="1047"/>
      <c r="I1" s="1048"/>
      <c r="J1" s="1048"/>
      <c r="K1" s="1048"/>
      <c r="L1" s="1048"/>
      <c r="M1" s="1048"/>
      <c r="N1" s="1048"/>
      <c r="O1" s="1048"/>
      <c r="P1" s="1048"/>
      <c r="Q1" s="1048"/>
      <c r="R1" s="1048"/>
      <c r="S1" s="1048"/>
      <c r="T1" s="1047"/>
      <c r="U1" s="1047"/>
      <c r="V1" s="1048"/>
      <c r="W1" s="1048"/>
      <c r="X1" s="1048"/>
      <c r="Y1" s="1048"/>
      <c r="Z1" s="1048"/>
      <c r="AA1" s="1048"/>
      <c r="AB1" s="1048"/>
      <c r="AC1" s="1048"/>
      <c r="AD1" s="1048"/>
      <c r="AE1" s="1048"/>
      <c r="AF1" s="1048"/>
      <c r="AG1" s="1048"/>
      <c r="AH1" s="1048"/>
      <c r="AI1" s="1048"/>
      <c r="AJ1" s="1048"/>
      <c r="AK1" s="1048"/>
      <c r="AL1" s="1047"/>
      <c r="AM1" s="1047"/>
      <c r="AN1" s="1047"/>
      <c r="AO1" s="1047"/>
      <c r="AP1" s="1047"/>
      <c r="AQ1" s="1047"/>
      <c r="AR1" s="1047"/>
      <c r="AS1" s="1047"/>
      <c r="AT1" s="1047"/>
      <c r="AU1" s="1047"/>
      <c r="AV1" s="1047"/>
      <c r="AW1" s="1047"/>
      <c r="AX1" s="1047"/>
      <c r="AY1" s="1047"/>
    </row>
    <row r="2" spans="1:51" ht="15" hidden="1" customHeight="1">
      <c r="A2" s="1049" t="s">
        <v>1</v>
      </c>
      <c r="B2" s="1050"/>
      <c r="C2" s="1049"/>
      <c r="D2" s="1049"/>
      <c r="E2" s="1050"/>
      <c r="F2" s="1050"/>
      <c r="G2" s="1050"/>
      <c r="H2" s="1049"/>
      <c r="I2" s="1050"/>
      <c r="J2" s="1050"/>
      <c r="K2" s="1050"/>
      <c r="L2" s="1050"/>
      <c r="M2" s="1050"/>
      <c r="N2" s="1050"/>
      <c r="O2" s="1050"/>
      <c r="P2" s="1050"/>
      <c r="Q2" s="1050"/>
      <c r="R2" s="1050"/>
      <c r="S2" s="1050"/>
      <c r="T2" s="1049"/>
      <c r="U2" s="1049"/>
      <c r="V2" s="1050"/>
      <c r="W2" s="1050"/>
      <c r="X2" s="1050"/>
      <c r="Y2" s="1050"/>
      <c r="Z2" s="1050"/>
      <c r="AA2" s="1050"/>
      <c r="AB2" s="1050"/>
      <c r="AC2" s="1050"/>
      <c r="AD2" s="1050"/>
      <c r="AE2" s="1050"/>
      <c r="AF2" s="1050"/>
      <c r="AG2" s="1050"/>
      <c r="AH2" s="1050"/>
      <c r="AI2" s="1050"/>
      <c r="AJ2" s="1050"/>
      <c r="AK2" s="1050"/>
      <c r="AL2" s="1049"/>
      <c r="AM2" s="1049"/>
      <c r="AN2" s="1049"/>
      <c r="AO2" s="1049"/>
      <c r="AP2" s="1049"/>
      <c r="AQ2" s="1049"/>
      <c r="AR2" s="1049"/>
      <c r="AS2" s="1049"/>
      <c r="AT2" s="1049"/>
      <c r="AU2" s="1049"/>
      <c r="AV2" s="1049"/>
      <c r="AW2" s="1049"/>
      <c r="AX2" s="1049"/>
      <c r="AY2" s="1049"/>
    </row>
    <row r="3" spans="1:51" ht="15" customHeight="1">
      <c r="A3" s="1049" t="s">
        <v>2</v>
      </c>
      <c r="B3" s="1049"/>
      <c r="C3" s="1049"/>
      <c r="D3" s="1049"/>
      <c r="E3" s="1049"/>
      <c r="F3" s="1049"/>
      <c r="G3" s="1049"/>
      <c r="H3" s="1049"/>
      <c r="I3" s="1049"/>
      <c r="J3" s="1049"/>
      <c r="K3" s="1049"/>
      <c r="L3" s="1049"/>
      <c r="M3" s="1049"/>
      <c r="N3" s="1049"/>
      <c r="O3" s="1049"/>
      <c r="P3" s="1049"/>
      <c r="Q3" s="1049"/>
      <c r="R3" s="1049"/>
      <c r="S3" s="1049"/>
      <c r="T3" s="1049"/>
      <c r="U3" s="1049"/>
      <c r="V3" s="1049"/>
      <c r="W3" s="1049"/>
      <c r="X3" s="1049"/>
      <c r="Y3" s="1049"/>
      <c r="Z3" s="1049"/>
      <c r="AA3" s="1049"/>
      <c r="AB3" s="1049"/>
      <c r="AC3" s="1049"/>
      <c r="AD3" s="1049"/>
      <c r="AE3" s="1049"/>
      <c r="AF3" s="1049"/>
      <c r="AG3" s="1049"/>
      <c r="AH3" s="1049"/>
      <c r="AI3" s="1049"/>
      <c r="AJ3" s="1049"/>
      <c r="AK3" s="1049"/>
      <c r="AL3" s="1049"/>
      <c r="AM3" s="1049"/>
      <c r="AN3" s="1049"/>
      <c r="AO3" s="1049"/>
      <c r="AP3" s="1049"/>
      <c r="AQ3" s="1049"/>
      <c r="AR3" s="1049"/>
      <c r="AS3" s="1049"/>
      <c r="AT3" s="1049"/>
      <c r="AU3" s="1049"/>
      <c r="AV3" s="1049"/>
      <c r="AW3" s="1049"/>
      <c r="AX3" s="1049"/>
      <c r="AY3" s="1049"/>
    </row>
    <row r="4" spans="1:51" ht="7.5" customHeight="1">
      <c r="A4" s="1051" t="s">
        <v>3</v>
      </c>
      <c r="B4" s="1052"/>
      <c r="C4" s="1051"/>
      <c r="D4" s="1051"/>
      <c r="E4" s="1052"/>
      <c r="F4" s="1052"/>
      <c r="G4" s="1052"/>
      <c r="H4" s="1051"/>
      <c r="I4" s="1052"/>
      <c r="J4" s="1052"/>
      <c r="K4" s="1052"/>
      <c r="L4" s="1052"/>
      <c r="M4" s="714"/>
      <c r="N4" s="761"/>
      <c r="O4" s="714"/>
      <c r="P4" s="714"/>
      <c r="Q4" s="714"/>
      <c r="R4" s="714"/>
      <c r="S4" s="714"/>
      <c r="T4" s="714"/>
      <c r="U4" s="1053"/>
      <c r="V4" s="1053"/>
      <c r="W4" s="1053"/>
      <c r="X4" s="1053"/>
      <c r="Y4" s="1053"/>
      <c r="Z4" s="1053"/>
      <c r="AA4" s="1053"/>
      <c r="AB4" s="1053"/>
      <c r="AC4" s="1053"/>
      <c r="AD4" s="1053"/>
      <c r="AE4" s="1053"/>
      <c r="AF4" s="787"/>
      <c r="AO4" s="299"/>
      <c r="AP4" s="299"/>
      <c r="AQ4" s="714"/>
    </row>
    <row r="5" spans="1:51" ht="16.5" customHeight="1">
      <c r="A5" s="1028" t="s">
        <v>4</v>
      </c>
      <c r="B5" s="1029"/>
      <c r="C5" s="1029"/>
      <c r="D5" s="1029"/>
      <c r="E5" s="1029"/>
      <c r="F5" s="1029"/>
      <c r="G5" s="1029"/>
      <c r="H5" s="1029"/>
      <c r="I5" s="1029"/>
      <c r="J5" s="1029"/>
      <c r="K5" s="1029"/>
      <c r="L5" s="1029"/>
      <c r="M5" s="1029"/>
      <c r="N5" s="1029"/>
      <c r="O5" s="1029"/>
      <c r="P5" s="1029"/>
      <c r="Q5" s="1029"/>
      <c r="R5" s="1029"/>
      <c r="S5" s="1029"/>
      <c r="T5" s="1029"/>
      <c r="U5" s="1029"/>
      <c r="V5" s="1029"/>
      <c r="W5" s="1029"/>
      <c r="X5" s="1029"/>
      <c r="Y5" s="1029"/>
      <c r="Z5" s="1029"/>
      <c r="AA5" s="1029"/>
      <c r="AB5" s="1029"/>
      <c r="AC5" s="1029"/>
      <c r="AD5" s="1029"/>
      <c r="AE5" s="1029"/>
      <c r="AF5" s="1029"/>
      <c r="AG5" s="1029"/>
      <c r="AH5" s="1029"/>
      <c r="AI5" s="1029"/>
      <c r="AJ5" s="1029"/>
      <c r="AK5" s="1029"/>
      <c r="AL5" s="1029"/>
      <c r="AM5" s="1029"/>
      <c r="AN5" s="1029"/>
      <c r="AO5" s="1029"/>
      <c r="AP5" s="1029"/>
      <c r="AQ5" s="1029"/>
      <c r="AR5" s="1029"/>
      <c r="AS5" s="1029"/>
      <c r="AT5" s="1029"/>
      <c r="AU5" s="1029"/>
      <c r="AV5" s="1029"/>
      <c r="AW5" s="1029"/>
      <c r="AX5" s="1029"/>
      <c r="AY5" s="1030"/>
    </row>
    <row r="6" spans="1:51" s="149" customFormat="1" ht="9" hidden="1" customHeight="1">
      <c r="A6" s="715" t="s">
        <v>5</v>
      </c>
      <c r="B6" s="716" t="s">
        <v>6</v>
      </c>
      <c r="C6" s="717" t="s">
        <v>7</v>
      </c>
      <c r="D6" s="718" t="s">
        <v>8</v>
      </c>
      <c r="E6" s="1031" t="s">
        <v>9</v>
      </c>
      <c r="F6" s="1032"/>
      <c r="G6" s="720"/>
      <c r="H6" s="721" t="s">
        <v>10</v>
      </c>
      <c r="I6" s="1031" t="s">
        <v>11</v>
      </c>
      <c r="J6" s="1033"/>
      <c r="K6" s="1032"/>
      <c r="L6" s="716" t="s">
        <v>12</v>
      </c>
      <c r="M6" s="763"/>
      <c r="N6" s="764"/>
      <c r="O6" s="763"/>
      <c r="P6" s="763"/>
      <c r="Q6" s="763"/>
      <c r="R6" s="763"/>
      <c r="S6" s="763"/>
      <c r="T6" s="763"/>
      <c r="U6" s="776" t="s">
        <v>13</v>
      </c>
      <c r="V6" s="1020" t="s">
        <v>14</v>
      </c>
      <c r="W6" s="1023" t="s">
        <v>15</v>
      </c>
      <c r="X6" s="777"/>
      <c r="Y6" s="1023" t="s">
        <v>16</v>
      </c>
      <c r="Z6" s="777"/>
      <c r="AA6" s="1024" t="s">
        <v>17</v>
      </c>
      <c r="AB6" s="1024" t="s">
        <v>18</v>
      </c>
      <c r="AC6" s="1020" t="s">
        <v>19</v>
      </c>
      <c r="AD6" s="1023" t="s">
        <v>20</v>
      </c>
      <c r="AE6" s="1023" t="s">
        <v>21</v>
      </c>
      <c r="AF6" s="762"/>
      <c r="AG6" s="720"/>
      <c r="AH6" s="720"/>
      <c r="AI6" s="720"/>
      <c r="AJ6" s="720"/>
      <c r="AK6" s="720"/>
      <c r="AL6" s="719"/>
      <c r="AM6" s="776" t="s">
        <v>5</v>
      </c>
      <c r="AN6" s="717" t="s">
        <v>22</v>
      </c>
      <c r="AO6" s="718" t="s">
        <v>8</v>
      </c>
      <c r="AP6" s="721" t="s">
        <v>10</v>
      </c>
      <c r="AQ6" s="763"/>
      <c r="AR6" s="776" t="s">
        <v>13</v>
      </c>
      <c r="AS6" s="818"/>
      <c r="AT6" s="720"/>
      <c r="AU6" s="720"/>
      <c r="AV6" s="720"/>
      <c r="AW6" s="720"/>
      <c r="AX6" s="720"/>
      <c r="AY6" s="834"/>
    </row>
    <row r="7" spans="1:51" s="326" customFormat="1" ht="18" customHeight="1">
      <c r="A7" s="1034" t="s">
        <v>23</v>
      </c>
      <c r="B7" s="1035"/>
      <c r="C7" s="1036"/>
      <c r="D7" s="1036"/>
      <c r="E7" s="1035"/>
      <c r="F7" s="1035"/>
      <c r="G7" s="1035"/>
      <c r="H7" s="1036"/>
      <c r="I7" s="1035"/>
      <c r="J7" s="1035"/>
      <c r="K7" s="1035"/>
      <c r="L7" s="1035"/>
      <c r="M7" s="1035"/>
      <c r="N7" s="1035"/>
      <c r="O7" s="1035"/>
      <c r="P7" s="1035"/>
      <c r="Q7" s="1035"/>
      <c r="R7" s="1035"/>
      <c r="S7" s="1035"/>
      <c r="T7" s="1036"/>
      <c r="U7" s="1037"/>
      <c r="V7" s="1021"/>
      <c r="W7" s="1022"/>
      <c r="X7" s="778"/>
      <c r="Y7" s="1022"/>
      <c r="Z7" s="778"/>
      <c r="AA7" s="1022"/>
      <c r="AB7" s="1022"/>
      <c r="AC7" s="1022"/>
      <c r="AD7" s="1022"/>
      <c r="AE7" s="1022"/>
      <c r="AF7" s="528"/>
      <c r="AL7" s="1026" t="s">
        <v>24</v>
      </c>
      <c r="AM7" s="1038" t="s">
        <v>25</v>
      </c>
      <c r="AN7" s="1039"/>
      <c r="AO7" s="1039"/>
      <c r="AP7" s="1039"/>
      <c r="AQ7" s="1039"/>
      <c r="AR7" s="1039"/>
      <c r="AS7" s="1039"/>
      <c r="AT7" s="1043" t="s">
        <v>26</v>
      </c>
      <c r="AU7" s="1040" t="s">
        <v>27</v>
      </c>
      <c r="AV7" s="1041"/>
      <c r="AW7" s="1041"/>
      <c r="AX7" s="1042"/>
      <c r="AY7" s="1045" t="s">
        <v>28</v>
      </c>
    </row>
    <row r="8" spans="1:51" s="529" customFormat="1" ht="39" customHeight="1">
      <c r="A8" s="722" t="s">
        <v>5</v>
      </c>
      <c r="B8" s="723" t="s">
        <v>6</v>
      </c>
      <c r="C8" s="724" t="s">
        <v>7</v>
      </c>
      <c r="D8" s="725" t="s">
        <v>8</v>
      </c>
      <c r="E8" s="726" t="s">
        <v>29</v>
      </c>
      <c r="F8" s="726" t="s">
        <v>30</v>
      </c>
      <c r="G8" s="727" t="s">
        <v>31</v>
      </c>
      <c r="H8" s="728" t="s">
        <v>10</v>
      </c>
      <c r="I8" s="765" t="s">
        <v>32</v>
      </c>
      <c r="J8" s="766" t="s">
        <v>33</v>
      </c>
      <c r="K8" s="766" t="s">
        <v>34</v>
      </c>
      <c r="L8" s="723" t="s">
        <v>12</v>
      </c>
      <c r="M8" s="726" t="s">
        <v>35</v>
      </c>
      <c r="N8" s="726"/>
      <c r="O8" s="726"/>
      <c r="P8" s="726"/>
      <c r="Q8" s="726"/>
      <c r="R8" s="726"/>
      <c r="S8" s="726"/>
      <c r="T8" s="726" t="s">
        <v>36</v>
      </c>
      <c r="U8" s="726" t="s">
        <v>13</v>
      </c>
      <c r="V8" s="1022"/>
      <c r="W8" s="1022"/>
      <c r="X8" s="779" t="s">
        <v>37</v>
      </c>
      <c r="Y8" s="1022"/>
      <c r="Z8" s="779" t="s">
        <v>38</v>
      </c>
      <c r="AA8" s="1022"/>
      <c r="AB8" s="1022"/>
      <c r="AC8" s="1022"/>
      <c r="AD8" s="1022"/>
      <c r="AE8" s="1022"/>
      <c r="AF8" s="506"/>
      <c r="AL8" s="1027"/>
      <c r="AM8" s="722" t="s">
        <v>7</v>
      </c>
      <c r="AN8" s="724" t="s">
        <v>22</v>
      </c>
      <c r="AO8" s="725" t="s">
        <v>8</v>
      </c>
      <c r="AP8" s="728" t="s">
        <v>10</v>
      </c>
      <c r="AQ8" s="726" t="s">
        <v>36</v>
      </c>
      <c r="AR8" s="726" t="s">
        <v>13</v>
      </c>
      <c r="AS8" s="819" t="s">
        <v>13</v>
      </c>
      <c r="AT8" s="1044"/>
      <c r="AU8" s="726" t="s">
        <v>39</v>
      </c>
      <c r="AV8" s="726" t="s">
        <v>40</v>
      </c>
      <c r="AW8" s="726" t="s">
        <v>41</v>
      </c>
      <c r="AX8" s="726" t="s">
        <v>20</v>
      </c>
      <c r="AY8" s="1046"/>
    </row>
    <row r="9" spans="1:51" ht="9.75" hidden="1" customHeight="1">
      <c r="A9" s="729">
        <v>1</v>
      </c>
      <c r="B9" s="730"/>
      <c r="C9" s="731">
        <v>2</v>
      </c>
      <c r="D9" s="732"/>
      <c r="E9" s="733">
        <v>3</v>
      </c>
      <c r="F9" s="733">
        <v>4</v>
      </c>
      <c r="G9" s="734"/>
      <c r="H9" s="735">
        <v>5</v>
      </c>
      <c r="I9" s="767">
        <v>6</v>
      </c>
      <c r="J9" s="733">
        <v>7</v>
      </c>
      <c r="K9" s="733">
        <v>8</v>
      </c>
      <c r="L9" s="735">
        <v>9</v>
      </c>
      <c r="M9" s="735"/>
      <c r="N9" s="768"/>
      <c r="O9" s="735"/>
      <c r="P9" s="735"/>
      <c r="Q9" s="735"/>
      <c r="R9" s="735"/>
      <c r="S9" s="735"/>
      <c r="T9" s="735"/>
      <c r="U9" s="733">
        <v>10</v>
      </c>
      <c r="V9" s="733">
        <v>11</v>
      </c>
      <c r="W9" s="733">
        <v>12</v>
      </c>
      <c r="X9" s="733"/>
      <c r="Y9" s="733">
        <v>13</v>
      </c>
      <c r="Z9" s="733"/>
      <c r="AA9" s="733">
        <v>14</v>
      </c>
      <c r="AB9" s="733">
        <v>15</v>
      </c>
      <c r="AC9" s="733">
        <v>16</v>
      </c>
      <c r="AD9" s="733">
        <v>17</v>
      </c>
      <c r="AE9" s="1025"/>
      <c r="AF9" s="788"/>
      <c r="AG9" s="734"/>
      <c r="AH9" s="734" t="s">
        <v>42</v>
      </c>
      <c r="AI9" s="734"/>
      <c r="AJ9" s="734"/>
      <c r="AK9" s="734"/>
      <c r="AL9" s="730"/>
      <c r="AM9" s="797"/>
      <c r="AN9" s="734"/>
      <c r="AO9" s="732"/>
      <c r="AP9" s="735">
        <v>5</v>
      </c>
      <c r="AQ9" s="735"/>
      <c r="AR9" s="733">
        <v>10</v>
      </c>
      <c r="AS9" s="797"/>
      <c r="AT9" s="734"/>
      <c r="AU9" s="734"/>
      <c r="AV9" s="734"/>
      <c r="AW9" s="734"/>
      <c r="AX9" s="734"/>
      <c r="AY9" s="835"/>
    </row>
    <row r="10" spans="1:51" s="149" customFormat="1" ht="22.5" customHeight="1">
      <c r="A10" s="736" t="s">
        <v>43</v>
      </c>
      <c r="B10" s="737" t="s">
        <v>44</v>
      </c>
      <c r="C10" s="738"/>
      <c r="D10" s="739"/>
      <c r="E10" s="509"/>
      <c r="F10" s="511"/>
      <c r="G10" s="740"/>
      <c r="H10" s="511"/>
      <c r="I10" s="511"/>
      <c r="J10" s="511"/>
      <c r="K10" s="511"/>
      <c r="L10" s="511"/>
      <c r="M10" s="511"/>
      <c r="N10" s="769"/>
      <c r="O10" s="511"/>
      <c r="P10" s="511"/>
      <c r="Q10" s="511"/>
      <c r="R10" s="511"/>
      <c r="S10" s="511"/>
      <c r="T10" s="511"/>
      <c r="U10" s="511"/>
      <c r="V10" s="511"/>
      <c r="W10" s="511"/>
      <c r="X10" s="511"/>
      <c r="Y10" s="511"/>
      <c r="Z10" s="511"/>
      <c r="AA10" s="511"/>
      <c r="AB10" s="511"/>
      <c r="AC10" s="511"/>
      <c r="AD10" s="511"/>
      <c r="AE10" s="789"/>
      <c r="AF10" s="790" t="s">
        <v>45</v>
      </c>
      <c r="AG10" s="720" t="s">
        <v>46</v>
      </c>
      <c r="AH10" s="720" t="s">
        <v>47</v>
      </c>
      <c r="AI10" s="720" t="s">
        <v>48</v>
      </c>
      <c r="AJ10" s="720" t="s">
        <v>49</v>
      </c>
      <c r="AK10" s="720"/>
      <c r="AL10" s="798" t="s">
        <v>43</v>
      </c>
      <c r="AM10" s="737"/>
      <c r="AN10" s="799"/>
      <c r="AO10" s="739"/>
      <c r="AP10" s="304"/>
      <c r="AQ10" s="304"/>
      <c r="AR10" s="304"/>
      <c r="AS10" s="304"/>
      <c r="AT10" s="799"/>
      <c r="AU10" s="820"/>
      <c r="AV10" s="417"/>
      <c r="AW10" s="417"/>
      <c r="AX10" s="836"/>
      <c r="AY10" s="836"/>
    </row>
    <row r="11" spans="1:51" s="531" customFormat="1" ht="22.5" customHeight="1">
      <c r="A11" s="741" t="s">
        <v>50</v>
      </c>
      <c r="B11" s="742" t="s">
        <v>51</v>
      </c>
      <c r="C11" s="423" t="s">
        <v>52</v>
      </c>
      <c r="D11" s="743">
        <v>28</v>
      </c>
      <c r="E11" s="448">
        <f>AF11*12</f>
        <v>582948</v>
      </c>
      <c r="F11" s="448">
        <f>+AH11*12</f>
        <v>610092</v>
      </c>
      <c r="G11" s="448">
        <v>346262</v>
      </c>
      <c r="H11" s="447">
        <v>4</v>
      </c>
      <c r="I11" s="770" t="s">
        <v>53</v>
      </c>
      <c r="J11" s="447" t="s">
        <v>54</v>
      </c>
      <c r="K11" s="447" t="s">
        <v>55</v>
      </c>
      <c r="L11" s="447" t="s">
        <v>56</v>
      </c>
      <c r="M11" s="447" t="s">
        <v>57</v>
      </c>
      <c r="N11" s="545" t="s">
        <v>58</v>
      </c>
      <c r="O11" s="447" t="s">
        <v>59</v>
      </c>
      <c r="P11" s="447" t="str">
        <f t="shared" ref="P11:P22" si="0">UPPER(O11)</f>
        <v>PATRICK</v>
      </c>
      <c r="Q11" s="447"/>
      <c r="R11" s="447" t="s">
        <v>60</v>
      </c>
      <c r="S11" s="534" t="str">
        <f>P11&amp;" "&amp;R11&amp;"."&amp;" "&amp;N11&amp;" "&amp;Q11</f>
        <v xml:space="preserve">PATRICK D. ONUS </v>
      </c>
      <c r="T11" s="780">
        <v>50841</v>
      </c>
      <c r="U11" s="305" t="s">
        <v>61</v>
      </c>
      <c r="V11" s="447" t="s">
        <v>62</v>
      </c>
      <c r="W11" s="472">
        <v>16644</v>
      </c>
      <c r="X11" s="498">
        <f t="shared" ref="X11:X19" ca="1" si="1">(NOW()-W11)</f>
        <v>29461.538043287037</v>
      </c>
      <c r="Y11" s="447" t="s">
        <v>63</v>
      </c>
      <c r="Z11" s="447"/>
      <c r="AA11" s="493">
        <v>25345</v>
      </c>
      <c r="AB11" s="493">
        <v>39398</v>
      </c>
      <c r="AC11" s="447" t="s">
        <v>64</v>
      </c>
      <c r="AD11" s="512" t="s">
        <v>65</v>
      </c>
      <c r="AE11" s="512"/>
      <c r="AF11" s="791">
        <v>48579</v>
      </c>
      <c r="AG11" s="530">
        <v>41291</v>
      </c>
      <c r="AH11" s="530">
        <v>50841</v>
      </c>
      <c r="AI11" s="530"/>
      <c r="AJ11" s="530">
        <f t="shared" ref="AJ11:AJ22" si="2">AH11-AG11</f>
        <v>9550</v>
      </c>
      <c r="AK11" s="530"/>
      <c r="AL11" s="800" t="s">
        <v>66</v>
      </c>
      <c r="AM11" s="305" t="s">
        <v>50</v>
      </c>
      <c r="AN11" s="423" t="s">
        <v>52</v>
      </c>
      <c r="AO11" s="743">
        <v>28</v>
      </c>
      <c r="AP11" s="447">
        <v>4</v>
      </c>
      <c r="AQ11" s="780">
        <v>50841</v>
      </c>
      <c r="AR11" s="305" t="s">
        <v>61</v>
      </c>
      <c r="AS11" s="821" t="str">
        <f>IF(AR11="(Vacant)",AR11,IF(AR11="",AR11,"With Incumbent"))</f>
        <v>With Incumbent</v>
      </c>
      <c r="AT11" s="534"/>
      <c r="AU11" s="822"/>
      <c r="AV11" s="534"/>
      <c r="AW11" s="534"/>
      <c r="AX11" s="837"/>
      <c r="AY11" s="838"/>
    </row>
    <row r="12" spans="1:51" s="531" customFormat="1" ht="22.5" customHeight="1">
      <c r="A12" s="741" t="s">
        <v>67</v>
      </c>
      <c r="B12" s="742" t="s">
        <v>51</v>
      </c>
      <c r="C12" s="423" t="s">
        <v>68</v>
      </c>
      <c r="D12" s="743">
        <v>27</v>
      </c>
      <c r="E12" s="448">
        <f t="shared" ref="E12:E22" si="3">AF12*12</f>
        <v>546060</v>
      </c>
      <c r="F12" s="448">
        <f t="shared" ref="F12:F86" si="4">+AH12*12</f>
        <v>608088</v>
      </c>
      <c r="G12" s="448">
        <f>29878*12</f>
        <v>358536</v>
      </c>
      <c r="H12" s="447">
        <v>8</v>
      </c>
      <c r="I12" s="770" t="s">
        <v>53</v>
      </c>
      <c r="J12" s="447" t="s">
        <v>54</v>
      </c>
      <c r="K12" s="447" t="s">
        <v>55</v>
      </c>
      <c r="L12" s="447" t="s">
        <v>56</v>
      </c>
      <c r="M12" s="447" t="s">
        <v>57</v>
      </c>
      <c r="N12" s="545" t="s">
        <v>69</v>
      </c>
      <c r="O12" s="447" t="s">
        <v>70</v>
      </c>
      <c r="P12" s="447" t="str">
        <f t="shared" si="0"/>
        <v>ROBERT</v>
      </c>
      <c r="Q12" s="447" t="s">
        <v>71</v>
      </c>
      <c r="R12" s="447" t="s">
        <v>72</v>
      </c>
      <c r="S12" s="534" t="str">
        <f>P12&amp;" "&amp;R12&amp;"."&amp;" "&amp;N12&amp;" "&amp;Q12</f>
        <v>ROBERT L. MANGANGEY Sr.</v>
      </c>
      <c r="T12" s="780">
        <f>608088/12</f>
        <v>50674</v>
      </c>
      <c r="U12" s="305" t="s">
        <v>73</v>
      </c>
      <c r="V12" s="447" t="s">
        <v>62</v>
      </c>
      <c r="W12" s="472">
        <v>16870</v>
      </c>
      <c r="X12" s="498">
        <f t="shared" ca="1" si="1"/>
        <v>29235.538043402776</v>
      </c>
      <c r="Y12" s="447" t="s">
        <v>74</v>
      </c>
      <c r="Z12" s="472">
        <v>27204</v>
      </c>
      <c r="AA12" s="493">
        <v>27204</v>
      </c>
      <c r="AB12" s="493">
        <v>39979</v>
      </c>
      <c r="AC12" s="447" t="s">
        <v>64</v>
      </c>
      <c r="AD12" s="512" t="s">
        <v>65</v>
      </c>
      <c r="AE12" s="512"/>
      <c r="AF12" s="792">
        <v>45505</v>
      </c>
      <c r="AG12" s="801">
        <f>506172/12</f>
        <v>42181</v>
      </c>
      <c r="AH12" s="801">
        <f>608088/12</f>
        <v>50674</v>
      </c>
      <c r="AI12" s="802"/>
      <c r="AJ12" s="801">
        <f t="shared" si="2"/>
        <v>8493</v>
      </c>
      <c r="AK12" s="801"/>
      <c r="AL12" s="800" t="s">
        <v>66</v>
      </c>
      <c r="AM12" s="305" t="s">
        <v>67</v>
      </c>
      <c r="AN12" s="423" t="s">
        <v>68</v>
      </c>
      <c r="AO12" s="743">
        <v>27</v>
      </c>
      <c r="AP12" s="447">
        <v>8</v>
      </c>
      <c r="AQ12" s="780">
        <f>608088/12</f>
        <v>50674</v>
      </c>
      <c r="AR12" s="305" t="s">
        <v>73</v>
      </c>
      <c r="AS12" s="821" t="str">
        <f>IF(AR12="(Vacant)",AR12,IF(AR12="",AR12,"With Incumbent"))</f>
        <v>With Incumbent</v>
      </c>
      <c r="AT12" s="534"/>
      <c r="AU12" s="822"/>
      <c r="AV12" s="534"/>
      <c r="AW12" s="534"/>
      <c r="AX12" s="837"/>
      <c r="AY12" s="838"/>
    </row>
    <row r="13" spans="1:51" s="531" customFormat="1" ht="22.5" customHeight="1">
      <c r="A13" s="741" t="s">
        <v>75</v>
      </c>
      <c r="B13" s="742" t="s">
        <v>51</v>
      </c>
      <c r="C13" s="423" t="s">
        <v>76</v>
      </c>
      <c r="D13" s="743">
        <v>23</v>
      </c>
      <c r="E13" s="448">
        <f t="shared" si="3"/>
        <v>421728</v>
      </c>
      <c r="F13" s="448">
        <f t="shared" si="4"/>
        <v>442140</v>
      </c>
      <c r="G13" s="448">
        <v>277668</v>
      </c>
      <c r="H13" s="447">
        <v>4</v>
      </c>
      <c r="I13" s="770" t="s">
        <v>53</v>
      </c>
      <c r="J13" s="447" t="s">
        <v>54</v>
      </c>
      <c r="K13" s="447" t="s">
        <v>77</v>
      </c>
      <c r="L13" s="447" t="s">
        <v>56</v>
      </c>
      <c r="M13" s="447" t="s">
        <v>57</v>
      </c>
      <c r="N13" s="545" t="s">
        <v>78</v>
      </c>
      <c r="O13" s="447" t="s">
        <v>79</v>
      </c>
      <c r="P13" s="447" t="str">
        <f t="shared" si="0"/>
        <v>TOMAS</v>
      </c>
      <c r="Q13" s="447" t="s">
        <v>80</v>
      </c>
      <c r="R13" s="447" t="s">
        <v>81</v>
      </c>
      <c r="S13" s="534" t="str">
        <f t="shared" ref="S13:S22" si="5">P13&amp;" "&amp;R13&amp;"."&amp;" "&amp;N13&amp;" "&amp;Q13</f>
        <v>TOMAS A. KIWANG Jr.</v>
      </c>
      <c r="T13" s="780">
        <v>36845</v>
      </c>
      <c r="U13" s="305" t="s">
        <v>82</v>
      </c>
      <c r="V13" s="447" t="s">
        <v>62</v>
      </c>
      <c r="W13" s="472">
        <v>26444</v>
      </c>
      <c r="X13" s="498">
        <f t="shared" ca="1" si="1"/>
        <v>19661.538043287037</v>
      </c>
      <c r="Y13" s="447" t="s">
        <v>83</v>
      </c>
      <c r="Z13" s="472">
        <v>35916</v>
      </c>
      <c r="AA13" s="493">
        <v>35262</v>
      </c>
      <c r="AB13" s="493">
        <v>37039</v>
      </c>
      <c r="AC13" s="447" t="s">
        <v>64</v>
      </c>
      <c r="AD13" s="512" t="s">
        <v>84</v>
      </c>
      <c r="AE13" s="512"/>
      <c r="AF13" s="791">
        <v>35144</v>
      </c>
      <c r="AG13" s="530">
        <v>31467</v>
      </c>
      <c r="AH13" s="530">
        <v>36845</v>
      </c>
      <c r="AI13" s="530"/>
      <c r="AJ13" s="530">
        <f t="shared" si="2"/>
        <v>5378</v>
      </c>
      <c r="AK13" s="530"/>
      <c r="AL13" s="800" t="s">
        <v>66</v>
      </c>
      <c r="AM13" s="305" t="s">
        <v>75</v>
      </c>
      <c r="AN13" s="423" t="s">
        <v>76</v>
      </c>
      <c r="AO13" s="743">
        <v>23</v>
      </c>
      <c r="AP13" s="447">
        <v>4</v>
      </c>
      <c r="AQ13" s="780">
        <v>36845</v>
      </c>
      <c r="AR13" s="305" t="s">
        <v>82</v>
      </c>
      <c r="AS13" s="821" t="str">
        <f>IF(AR13="(Vacant)",AR13,IF(AR13="",AR13,"With Incumbent"))</f>
        <v>With Incumbent</v>
      </c>
      <c r="AT13" s="534"/>
      <c r="AU13" s="822"/>
      <c r="AV13" s="534"/>
      <c r="AW13" s="534"/>
      <c r="AX13" s="837"/>
      <c r="AY13" s="838"/>
    </row>
    <row r="14" spans="1:51" s="531" customFormat="1" ht="22.5" hidden="1" customHeight="1">
      <c r="A14" s="741"/>
      <c r="B14" s="742"/>
      <c r="C14" s="423"/>
      <c r="D14" s="743"/>
      <c r="E14" s="448"/>
      <c r="F14" s="448"/>
      <c r="G14" s="448"/>
      <c r="H14" s="447"/>
      <c r="I14" s="770"/>
      <c r="J14" s="447"/>
      <c r="K14" s="447"/>
      <c r="L14" s="447"/>
      <c r="M14" s="447"/>
      <c r="N14" s="545"/>
      <c r="O14" s="447"/>
      <c r="P14" s="447"/>
      <c r="Q14" s="447"/>
      <c r="R14" s="447"/>
      <c r="S14" s="534"/>
      <c r="T14" s="780"/>
      <c r="U14" s="305"/>
      <c r="V14" s="447"/>
      <c r="W14" s="472"/>
      <c r="X14" s="498"/>
      <c r="Y14" s="447"/>
      <c r="Z14" s="447"/>
      <c r="AA14" s="493"/>
      <c r="AB14" s="493"/>
      <c r="AC14" s="447"/>
      <c r="AD14" s="512"/>
      <c r="AE14" s="512"/>
      <c r="AF14" s="791"/>
      <c r="AG14" s="530"/>
      <c r="AH14" s="530"/>
      <c r="AI14" s="530"/>
      <c r="AJ14" s="530"/>
      <c r="AK14" s="530"/>
      <c r="AL14" s="803" t="s">
        <v>85</v>
      </c>
      <c r="AM14" s="305" t="s">
        <v>86</v>
      </c>
      <c r="AN14" s="423" t="s">
        <v>87</v>
      </c>
      <c r="AO14" s="424">
        <v>18</v>
      </c>
      <c r="AP14" s="447">
        <v>1</v>
      </c>
      <c r="AQ14" s="780">
        <v>25259</v>
      </c>
      <c r="AR14" s="781" t="s">
        <v>88</v>
      </c>
      <c r="AS14" s="823" t="str">
        <f>IF(AR14="(Vacant)",AR14,IF(AR14="",AR14,"With Incumbent"))</f>
        <v>(Vacant)</v>
      </c>
      <c r="AT14" s="534"/>
      <c r="AU14" s="822" t="s">
        <v>89</v>
      </c>
      <c r="AV14" s="534" t="s">
        <v>90</v>
      </c>
      <c r="AW14" s="534" t="s">
        <v>91</v>
      </c>
      <c r="AX14" s="837" t="s">
        <v>92</v>
      </c>
      <c r="AY14" s="838" t="s">
        <v>93</v>
      </c>
    </row>
    <row r="15" spans="1:51" s="531" customFormat="1" ht="22.5" hidden="1" customHeight="1">
      <c r="A15" s="741"/>
      <c r="B15" s="742"/>
      <c r="C15" s="423"/>
      <c r="D15" s="743"/>
      <c r="E15" s="448"/>
      <c r="F15" s="448"/>
      <c r="G15" s="448"/>
      <c r="H15" s="447"/>
      <c r="I15" s="770"/>
      <c r="J15" s="447"/>
      <c r="K15" s="447"/>
      <c r="L15" s="447"/>
      <c r="M15" s="447"/>
      <c r="N15" s="545"/>
      <c r="O15" s="447"/>
      <c r="P15" s="447"/>
      <c r="Q15" s="447"/>
      <c r="R15" s="447"/>
      <c r="S15" s="534"/>
      <c r="T15" s="780"/>
      <c r="U15" s="305"/>
      <c r="V15" s="447"/>
      <c r="W15" s="472"/>
      <c r="X15" s="498"/>
      <c r="Y15" s="447"/>
      <c r="Z15" s="447"/>
      <c r="AA15" s="493"/>
      <c r="AB15" s="493"/>
      <c r="AC15" s="447"/>
      <c r="AD15" s="512"/>
      <c r="AE15" s="512"/>
      <c r="AF15" s="791"/>
      <c r="AG15" s="530"/>
      <c r="AH15" s="530"/>
      <c r="AI15" s="530"/>
      <c r="AJ15" s="530"/>
      <c r="AK15" s="530"/>
      <c r="AL15" s="803" t="s">
        <v>85</v>
      </c>
      <c r="AM15" s="305" t="s">
        <v>86</v>
      </c>
      <c r="AN15" s="423" t="s">
        <v>94</v>
      </c>
      <c r="AO15" s="424">
        <v>19</v>
      </c>
      <c r="AP15" s="447">
        <v>1</v>
      </c>
      <c r="AQ15" s="780">
        <v>27088</v>
      </c>
      <c r="AR15" s="781" t="s">
        <v>88</v>
      </c>
      <c r="AS15" s="823" t="str">
        <f>IF(AR15="(Vacant)",AR15,IF(AR15="",AR15,"With Incumbent"))</f>
        <v>(Vacant)</v>
      </c>
      <c r="AT15" s="534"/>
      <c r="AU15" s="822" t="s">
        <v>89</v>
      </c>
      <c r="AV15" s="534" t="s">
        <v>90</v>
      </c>
      <c r="AW15" s="534" t="s">
        <v>91</v>
      </c>
      <c r="AX15" s="837" t="s">
        <v>92</v>
      </c>
      <c r="AY15" s="838" t="s">
        <v>93</v>
      </c>
    </row>
    <row r="16" spans="1:51" s="531" customFormat="1" ht="22.5" hidden="1" customHeight="1">
      <c r="A16" s="741" t="s">
        <v>95</v>
      </c>
      <c r="B16" s="742" t="s">
        <v>51</v>
      </c>
      <c r="C16" s="423" t="s">
        <v>96</v>
      </c>
      <c r="D16" s="743">
        <v>15</v>
      </c>
      <c r="E16" s="448">
        <f t="shared" si="3"/>
        <v>245880</v>
      </c>
      <c r="F16" s="448">
        <f t="shared" si="4"/>
        <v>254064</v>
      </c>
      <c r="G16" s="448">
        <v>179940</v>
      </c>
      <c r="H16" s="447">
        <v>3</v>
      </c>
      <c r="I16" s="770" t="s">
        <v>53</v>
      </c>
      <c r="J16" s="447" t="s">
        <v>54</v>
      </c>
      <c r="K16" s="447" t="s">
        <v>81</v>
      </c>
      <c r="L16" s="447" t="s">
        <v>56</v>
      </c>
      <c r="M16" s="447" t="s">
        <v>57</v>
      </c>
      <c r="N16" s="545" t="s">
        <v>97</v>
      </c>
      <c r="O16" s="447" t="s">
        <v>98</v>
      </c>
      <c r="P16" s="447" t="str">
        <f t="shared" si="0"/>
        <v>MARIE CRIS</v>
      </c>
      <c r="Q16" s="447"/>
      <c r="R16" s="447" t="s">
        <v>72</v>
      </c>
      <c r="S16" s="534" t="str">
        <f t="shared" si="5"/>
        <v xml:space="preserve">MARIE CRIS L. RIMANDO </v>
      </c>
      <c r="T16" s="780">
        <v>21172</v>
      </c>
      <c r="U16" s="306" t="s">
        <v>99</v>
      </c>
      <c r="V16" s="447" t="s">
        <v>100</v>
      </c>
      <c r="W16" s="472">
        <v>24278</v>
      </c>
      <c r="X16" s="498">
        <f t="shared" ca="1" si="1"/>
        <v>21827.538043402776</v>
      </c>
      <c r="Y16" s="447" t="s">
        <v>101</v>
      </c>
      <c r="Z16" s="447"/>
      <c r="AA16" s="493">
        <v>36374</v>
      </c>
      <c r="AB16" s="493">
        <v>37809</v>
      </c>
      <c r="AC16" s="447" t="s">
        <v>64</v>
      </c>
      <c r="AD16" s="512" t="s">
        <v>102</v>
      </c>
      <c r="AE16" s="512"/>
      <c r="AF16" s="791">
        <v>20490</v>
      </c>
      <c r="AG16" s="530">
        <v>19040</v>
      </c>
      <c r="AH16" s="530">
        <v>21172</v>
      </c>
      <c r="AI16" s="530"/>
      <c r="AJ16" s="530">
        <f t="shared" si="2"/>
        <v>2132</v>
      </c>
      <c r="AK16" s="530"/>
      <c r="AL16" s="804" t="s">
        <v>103</v>
      </c>
      <c r="AM16" s="424"/>
      <c r="AN16" s="805"/>
      <c r="AO16" s="743"/>
      <c r="AP16" s="447"/>
      <c r="AQ16" s="780"/>
      <c r="AR16" s="305"/>
      <c r="AS16" s="305"/>
      <c r="AT16" s="742"/>
      <c r="AU16" s="824"/>
      <c r="AV16" s="742"/>
      <c r="AW16" s="742"/>
      <c r="AX16" s="839"/>
      <c r="AY16" s="840"/>
    </row>
    <row r="17" spans="1:51" s="531" customFormat="1" ht="22.5" hidden="1" customHeight="1">
      <c r="A17" s="741" t="s">
        <v>104</v>
      </c>
      <c r="B17" s="742" t="s">
        <v>51</v>
      </c>
      <c r="C17" s="423" t="s">
        <v>105</v>
      </c>
      <c r="D17" s="743">
        <v>15</v>
      </c>
      <c r="E17" s="448">
        <f t="shared" si="3"/>
        <v>245880</v>
      </c>
      <c r="F17" s="448">
        <f t="shared" si="4"/>
        <v>254064</v>
      </c>
      <c r="G17" s="448">
        <v>179940</v>
      </c>
      <c r="H17" s="447">
        <v>3</v>
      </c>
      <c r="I17" s="770" t="s">
        <v>53</v>
      </c>
      <c r="J17" s="447" t="s">
        <v>54</v>
      </c>
      <c r="K17" s="447" t="s">
        <v>77</v>
      </c>
      <c r="L17" s="447" t="s">
        <v>56</v>
      </c>
      <c r="M17" s="447" t="s">
        <v>57</v>
      </c>
      <c r="N17" s="545" t="s">
        <v>106</v>
      </c>
      <c r="O17" s="447" t="s">
        <v>107</v>
      </c>
      <c r="P17" s="447" t="str">
        <f t="shared" si="0"/>
        <v>MARLON</v>
      </c>
      <c r="Q17" s="447"/>
      <c r="R17" s="447" t="s">
        <v>77</v>
      </c>
      <c r="S17" s="534" t="str">
        <f t="shared" si="5"/>
        <v xml:space="preserve">MARLON S. WALANG </v>
      </c>
      <c r="T17" s="780">
        <v>21172</v>
      </c>
      <c r="U17" s="305" t="s">
        <v>108</v>
      </c>
      <c r="V17" s="447" t="s">
        <v>62</v>
      </c>
      <c r="W17" s="472">
        <v>27738</v>
      </c>
      <c r="X17" s="498">
        <f t="shared" ca="1" si="1"/>
        <v>18367.538043402776</v>
      </c>
      <c r="Y17" s="447" t="s">
        <v>109</v>
      </c>
      <c r="Z17" s="447"/>
      <c r="AA17" s="493">
        <v>36461</v>
      </c>
      <c r="AB17" s="493">
        <v>37355</v>
      </c>
      <c r="AC17" s="447" t="s">
        <v>64</v>
      </c>
      <c r="AD17" s="512" t="s">
        <v>84</v>
      </c>
      <c r="AE17" s="512"/>
      <c r="AF17" s="791">
        <v>20490</v>
      </c>
      <c r="AG17" s="530">
        <v>19040</v>
      </c>
      <c r="AH17" s="530">
        <v>21172</v>
      </c>
      <c r="AI17" s="530"/>
      <c r="AJ17" s="530">
        <f t="shared" si="2"/>
        <v>2132</v>
      </c>
      <c r="AK17" s="530"/>
      <c r="AL17" s="804" t="s">
        <v>110</v>
      </c>
      <c r="AM17" s="424"/>
      <c r="AN17" s="805"/>
      <c r="AO17" s="743"/>
      <c r="AP17" s="447"/>
      <c r="AQ17" s="780"/>
      <c r="AR17" s="305"/>
      <c r="AS17" s="305"/>
      <c r="AT17" s="742"/>
      <c r="AU17" s="824"/>
      <c r="AV17" s="742"/>
      <c r="AW17" s="742"/>
      <c r="AX17" s="839"/>
      <c r="AY17" s="840"/>
    </row>
    <row r="18" spans="1:51" s="531" customFormat="1" ht="22.5" customHeight="1">
      <c r="A18" s="741" t="s">
        <v>111</v>
      </c>
      <c r="B18" s="742" t="s">
        <v>51</v>
      </c>
      <c r="C18" s="423" t="s">
        <v>112</v>
      </c>
      <c r="D18" s="743">
        <v>9</v>
      </c>
      <c r="E18" s="448">
        <f t="shared" si="3"/>
        <v>163956</v>
      </c>
      <c r="F18" s="448">
        <f t="shared" si="4"/>
        <v>172080</v>
      </c>
      <c r="G18" s="448">
        <v>132468</v>
      </c>
      <c r="H18" s="447">
        <v>4</v>
      </c>
      <c r="I18" s="770" t="s">
        <v>53</v>
      </c>
      <c r="J18" s="447" t="s">
        <v>54</v>
      </c>
      <c r="K18" s="447" t="s">
        <v>81</v>
      </c>
      <c r="L18" s="447" t="s">
        <v>56</v>
      </c>
      <c r="M18" s="447" t="s">
        <v>57</v>
      </c>
      <c r="N18" s="545" t="s">
        <v>113</v>
      </c>
      <c r="O18" s="447" t="s">
        <v>114</v>
      </c>
      <c r="P18" s="447" t="str">
        <f t="shared" si="0"/>
        <v>MARIAN</v>
      </c>
      <c r="Q18" s="447"/>
      <c r="R18" s="447" t="s">
        <v>115</v>
      </c>
      <c r="S18" s="534" t="str">
        <f t="shared" si="5"/>
        <v xml:space="preserve">MARIAN B. DAOAS </v>
      </c>
      <c r="T18" s="780">
        <v>14340</v>
      </c>
      <c r="U18" s="305" t="s">
        <v>116</v>
      </c>
      <c r="V18" s="447" t="s">
        <v>100</v>
      </c>
      <c r="W18" s="472">
        <v>23697</v>
      </c>
      <c r="X18" s="498">
        <f t="shared" ca="1" si="1"/>
        <v>22408.538043287037</v>
      </c>
      <c r="Y18" s="447" t="s">
        <v>117</v>
      </c>
      <c r="Z18" s="447"/>
      <c r="AA18" s="493">
        <v>35037</v>
      </c>
      <c r="AB18" s="493">
        <v>36069</v>
      </c>
      <c r="AC18" s="447" t="s">
        <v>64</v>
      </c>
      <c r="AD18" s="512" t="s">
        <v>102</v>
      </c>
      <c r="AE18" s="512"/>
      <c r="AF18" s="791">
        <v>13663</v>
      </c>
      <c r="AG18" s="530">
        <v>13242</v>
      </c>
      <c r="AH18" s="530">
        <v>14340</v>
      </c>
      <c r="AI18" s="530"/>
      <c r="AJ18" s="530">
        <f t="shared" si="2"/>
        <v>1098</v>
      </c>
      <c r="AK18" s="530"/>
      <c r="AL18" s="800" t="s">
        <v>66</v>
      </c>
      <c r="AM18" s="305" t="s">
        <v>111</v>
      </c>
      <c r="AN18" s="423" t="s">
        <v>112</v>
      </c>
      <c r="AO18" s="743">
        <v>9</v>
      </c>
      <c r="AP18" s="447">
        <v>4</v>
      </c>
      <c r="AQ18" s="780">
        <v>14340</v>
      </c>
      <c r="AR18" s="305" t="s">
        <v>116</v>
      </c>
      <c r="AS18" s="821" t="str">
        <f>IF(AR18="(Vacant)",AR18,IF(AR18="",AR18,"With Incumbent"))</f>
        <v>With Incumbent</v>
      </c>
      <c r="AT18" s="534"/>
      <c r="AU18" s="822"/>
      <c r="AV18" s="534"/>
      <c r="AW18" s="534"/>
      <c r="AX18" s="837"/>
      <c r="AY18" s="838"/>
    </row>
    <row r="19" spans="1:51" s="531" customFormat="1" ht="22.5" hidden="1" customHeight="1">
      <c r="A19" s="741" t="s">
        <v>118</v>
      </c>
      <c r="B19" s="742" t="s">
        <v>51</v>
      </c>
      <c r="C19" s="423" t="s">
        <v>119</v>
      </c>
      <c r="D19" s="743">
        <v>6</v>
      </c>
      <c r="E19" s="448">
        <f t="shared" si="3"/>
        <v>132744</v>
      </c>
      <c r="F19" s="448">
        <f t="shared" si="4"/>
        <v>148764</v>
      </c>
      <c r="G19" s="448">
        <v>116436</v>
      </c>
      <c r="H19" s="447">
        <v>8</v>
      </c>
      <c r="I19" s="770" t="s">
        <v>53</v>
      </c>
      <c r="J19" s="447" t="s">
        <v>54</v>
      </c>
      <c r="K19" s="447" t="s">
        <v>81</v>
      </c>
      <c r="L19" s="447" t="s">
        <v>56</v>
      </c>
      <c r="M19" s="447" t="s">
        <v>57</v>
      </c>
      <c r="N19" s="545" t="s">
        <v>120</v>
      </c>
      <c r="O19" s="447" t="s">
        <v>121</v>
      </c>
      <c r="P19" s="447" t="str">
        <f t="shared" si="0"/>
        <v>MARLENE</v>
      </c>
      <c r="Q19" s="447"/>
      <c r="R19" s="447" t="s">
        <v>122</v>
      </c>
      <c r="S19" s="534" t="str">
        <f t="shared" si="5"/>
        <v xml:space="preserve">MARLENE C. GONZALES </v>
      </c>
      <c r="T19" s="780">
        <v>12397</v>
      </c>
      <c r="U19" s="305" t="s">
        <v>123</v>
      </c>
      <c r="V19" s="447" t="s">
        <v>100</v>
      </c>
      <c r="W19" s="472">
        <v>25348</v>
      </c>
      <c r="X19" s="498">
        <f t="shared" ca="1" si="1"/>
        <v>20757.538043402776</v>
      </c>
      <c r="Y19" s="447" t="s">
        <v>124</v>
      </c>
      <c r="Z19" s="447"/>
      <c r="AA19" s="493">
        <v>32672</v>
      </c>
      <c r="AB19" s="493">
        <v>32672</v>
      </c>
      <c r="AC19" s="447" t="s">
        <v>64</v>
      </c>
      <c r="AD19" s="512" t="s">
        <v>125</v>
      </c>
      <c r="AE19" s="512"/>
      <c r="AF19" s="791">
        <v>11062</v>
      </c>
      <c r="AG19" s="530">
        <v>11669</v>
      </c>
      <c r="AH19" s="530">
        <v>12397</v>
      </c>
      <c r="AI19" s="530"/>
      <c r="AJ19" s="530">
        <f t="shared" si="2"/>
        <v>728</v>
      </c>
      <c r="AK19" s="530"/>
      <c r="AL19" s="806" t="s">
        <v>126</v>
      </c>
      <c r="AM19" s="424"/>
      <c r="AN19" s="805"/>
      <c r="AO19" s="757"/>
      <c r="AP19" s="447"/>
      <c r="AQ19" s="780"/>
      <c r="AR19" s="305"/>
      <c r="AS19" s="305"/>
      <c r="AT19" s="534" t="s">
        <v>127</v>
      </c>
      <c r="AU19" s="822"/>
      <c r="AV19" s="534"/>
      <c r="AW19" s="534"/>
      <c r="AX19" s="837"/>
      <c r="AY19" s="838" t="s">
        <v>128</v>
      </c>
    </row>
    <row r="20" spans="1:51" s="531" customFormat="1" ht="22.5" hidden="1" customHeight="1">
      <c r="A20" s="741" t="s">
        <v>129</v>
      </c>
      <c r="B20" s="742" t="s">
        <v>51</v>
      </c>
      <c r="C20" s="423" t="s">
        <v>130</v>
      </c>
      <c r="D20" s="743">
        <v>6</v>
      </c>
      <c r="E20" s="448">
        <f t="shared" si="3"/>
        <v>132744</v>
      </c>
      <c r="F20" s="448">
        <f t="shared" si="4"/>
        <v>132744</v>
      </c>
      <c r="G20" s="448" t="s">
        <v>131</v>
      </c>
      <c r="H20" s="447">
        <v>1</v>
      </c>
      <c r="I20" s="770" t="s">
        <v>53</v>
      </c>
      <c r="J20" s="447" t="s">
        <v>54</v>
      </c>
      <c r="K20" s="447" t="s">
        <v>81</v>
      </c>
      <c r="L20" s="447" t="s">
        <v>56</v>
      </c>
      <c r="M20" s="447"/>
      <c r="N20" s="545"/>
      <c r="O20" s="447"/>
      <c r="P20" s="447" t="str">
        <f t="shared" si="0"/>
        <v/>
      </c>
      <c r="Q20" s="447"/>
      <c r="R20" s="447"/>
      <c r="S20" s="534" t="str">
        <f t="shared" si="5"/>
        <v xml:space="preserve"> .  </v>
      </c>
      <c r="T20" s="780">
        <v>11062</v>
      </c>
      <c r="U20" s="781" t="s">
        <v>88</v>
      </c>
      <c r="V20" s="447"/>
      <c r="W20" s="472"/>
      <c r="X20" s="447"/>
      <c r="Y20" s="447"/>
      <c r="Z20" s="447"/>
      <c r="AA20" s="493"/>
      <c r="AB20" s="493"/>
      <c r="AC20" s="447"/>
      <c r="AD20" s="512"/>
      <c r="AE20" s="512"/>
      <c r="AF20" s="791">
        <v>11062</v>
      </c>
      <c r="AG20" s="530">
        <v>10133</v>
      </c>
      <c r="AH20" s="530">
        <v>11062</v>
      </c>
      <c r="AI20" s="530"/>
      <c r="AJ20" s="530">
        <f t="shared" si="2"/>
        <v>929</v>
      </c>
      <c r="AK20" s="530"/>
      <c r="AL20" s="806" t="s">
        <v>126</v>
      </c>
      <c r="AM20" s="424"/>
      <c r="AN20" s="805"/>
      <c r="AO20" s="757"/>
      <c r="AP20" s="447"/>
      <c r="AQ20" s="780"/>
      <c r="AR20" s="781"/>
      <c r="AS20" s="781"/>
      <c r="AT20" s="534"/>
      <c r="AU20" s="822"/>
      <c r="AV20" s="534"/>
      <c r="AW20" s="534"/>
      <c r="AX20" s="837"/>
      <c r="AY20" s="838"/>
    </row>
    <row r="21" spans="1:51" s="531" customFormat="1" ht="22.5" customHeight="1">
      <c r="A21" s="741" t="s">
        <v>132</v>
      </c>
      <c r="B21" s="742" t="s">
        <v>51</v>
      </c>
      <c r="C21" s="423" t="s">
        <v>133</v>
      </c>
      <c r="D21" s="743">
        <v>4</v>
      </c>
      <c r="E21" s="448">
        <f t="shared" si="3"/>
        <v>114432</v>
      </c>
      <c r="F21" s="448">
        <f t="shared" si="4"/>
        <v>120096</v>
      </c>
      <c r="G21" s="448">
        <v>90432</v>
      </c>
      <c r="H21" s="447">
        <v>4</v>
      </c>
      <c r="I21" s="770" t="s">
        <v>53</v>
      </c>
      <c r="J21" s="447" t="s">
        <v>54</v>
      </c>
      <c r="K21" s="447" t="s">
        <v>81</v>
      </c>
      <c r="L21" s="447" t="s">
        <v>56</v>
      </c>
      <c r="M21" s="447" t="s">
        <v>57</v>
      </c>
      <c r="N21" s="545" t="s">
        <v>134</v>
      </c>
      <c r="O21" s="447" t="s">
        <v>135</v>
      </c>
      <c r="P21" s="447" t="str">
        <f t="shared" si="0"/>
        <v>MARK ANTHONY</v>
      </c>
      <c r="Q21" s="447"/>
      <c r="R21" s="447" t="s">
        <v>60</v>
      </c>
      <c r="S21" s="534" t="str">
        <f t="shared" si="5"/>
        <v xml:space="preserve">MARK ANTHONY D. TICBAEN </v>
      </c>
      <c r="T21" s="780">
        <v>10008</v>
      </c>
      <c r="U21" s="305" t="s">
        <v>136</v>
      </c>
      <c r="V21" s="447" t="s">
        <v>62</v>
      </c>
      <c r="W21" s="472">
        <v>27822</v>
      </c>
      <c r="X21" s="498">
        <f ca="1">(NOW()-W21)</f>
        <v>18283.538043287037</v>
      </c>
      <c r="Y21" s="447" t="s">
        <v>137</v>
      </c>
      <c r="Z21" s="447"/>
      <c r="AA21" s="493">
        <v>36168</v>
      </c>
      <c r="AB21" s="493">
        <v>36168</v>
      </c>
      <c r="AC21" s="447" t="s">
        <v>64</v>
      </c>
      <c r="AD21" s="512" t="s">
        <v>138</v>
      </c>
      <c r="AE21" s="512"/>
      <c r="AF21" s="791">
        <v>9536</v>
      </c>
      <c r="AG21" s="530">
        <v>9252</v>
      </c>
      <c r="AH21" s="530">
        <v>10008</v>
      </c>
      <c r="AI21" s="530"/>
      <c r="AJ21" s="530">
        <f t="shared" si="2"/>
        <v>756</v>
      </c>
      <c r="AK21" s="530"/>
      <c r="AL21" s="800" t="s">
        <v>66</v>
      </c>
      <c r="AM21" s="305" t="s">
        <v>132</v>
      </c>
      <c r="AN21" s="423" t="s">
        <v>133</v>
      </c>
      <c r="AO21" s="743">
        <v>4</v>
      </c>
      <c r="AP21" s="447">
        <v>4</v>
      </c>
      <c r="AQ21" s="780">
        <v>10008</v>
      </c>
      <c r="AR21" s="305" t="s">
        <v>136</v>
      </c>
      <c r="AS21" s="821" t="str">
        <f>IF(AR21="(Vacant)",AR21,IF(AR21="",AR21,"With Incumbent"))</f>
        <v>With Incumbent</v>
      </c>
      <c r="AT21" s="534"/>
      <c r="AU21" s="822"/>
      <c r="AV21" s="534"/>
      <c r="AW21" s="534"/>
      <c r="AX21" s="837"/>
      <c r="AY21" s="838"/>
    </row>
    <row r="22" spans="1:51" s="531" customFormat="1" ht="22.5" hidden="1" customHeight="1">
      <c r="A22" s="741" t="s">
        <v>139</v>
      </c>
      <c r="B22" s="742" t="s">
        <v>51</v>
      </c>
      <c r="C22" s="423" t="s">
        <v>140</v>
      </c>
      <c r="D22" s="743">
        <v>3</v>
      </c>
      <c r="E22" s="448">
        <f t="shared" si="3"/>
        <v>106248</v>
      </c>
      <c r="F22" s="448">
        <f t="shared" si="4"/>
        <v>111504</v>
      </c>
      <c r="G22" s="448">
        <v>85836</v>
      </c>
      <c r="H22" s="447">
        <v>4</v>
      </c>
      <c r="I22" s="770" t="s">
        <v>53</v>
      </c>
      <c r="J22" s="447" t="s">
        <v>54</v>
      </c>
      <c r="K22" s="447" t="s">
        <v>81</v>
      </c>
      <c r="L22" s="447" t="s">
        <v>56</v>
      </c>
      <c r="M22" s="447" t="s">
        <v>57</v>
      </c>
      <c r="N22" s="545" t="s">
        <v>141</v>
      </c>
      <c r="O22" s="447" t="s">
        <v>142</v>
      </c>
      <c r="P22" s="447" t="str">
        <f t="shared" si="0"/>
        <v>JONATHAN</v>
      </c>
      <c r="Q22" s="447"/>
      <c r="R22" s="447" t="s">
        <v>81</v>
      </c>
      <c r="S22" s="534" t="str">
        <f t="shared" si="5"/>
        <v xml:space="preserve">JONATHAN A. TAMONDONG </v>
      </c>
      <c r="T22" s="780">
        <v>9292</v>
      </c>
      <c r="U22" s="305" t="s">
        <v>143</v>
      </c>
      <c r="V22" s="447" t="s">
        <v>62</v>
      </c>
      <c r="W22" s="472">
        <v>24419</v>
      </c>
      <c r="X22" s="498">
        <f ca="1">(NOW()-W22)</f>
        <v>21686.538043402776</v>
      </c>
      <c r="Y22" s="447" t="s">
        <v>144</v>
      </c>
      <c r="Z22" s="447"/>
      <c r="AA22" s="493">
        <v>34808</v>
      </c>
      <c r="AB22" s="493">
        <v>36054</v>
      </c>
      <c r="AC22" s="447" t="s">
        <v>64</v>
      </c>
      <c r="AD22" s="512" t="s">
        <v>145</v>
      </c>
      <c r="AE22" s="512"/>
      <c r="AF22" s="791">
        <v>8854</v>
      </c>
      <c r="AG22" s="530">
        <v>8580</v>
      </c>
      <c r="AH22" s="530">
        <v>9292</v>
      </c>
      <c r="AI22" s="530"/>
      <c r="AJ22" s="530">
        <f t="shared" si="2"/>
        <v>712</v>
      </c>
      <c r="AK22" s="530"/>
      <c r="AL22" s="804" t="s">
        <v>146</v>
      </c>
      <c r="AM22" s="424"/>
      <c r="AN22" s="805"/>
      <c r="AO22" s="757"/>
      <c r="AP22" s="447"/>
      <c r="AQ22" s="780"/>
      <c r="AR22" s="305"/>
      <c r="AS22" s="305"/>
      <c r="AT22" s="742"/>
      <c r="AU22" s="824"/>
      <c r="AV22" s="742"/>
      <c r="AW22" s="742"/>
      <c r="AX22" s="839"/>
      <c r="AY22" s="838"/>
    </row>
    <row r="23" spans="1:51" s="531" customFormat="1" ht="22.5" hidden="1" customHeight="1">
      <c r="A23" s="744" t="s">
        <v>147</v>
      </c>
      <c r="B23" s="745"/>
      <c r="C23" s="746"/>
      <c r="D23" s="747">
        <f>COUNTIF(D11:D22,"&gt;.01")</f>
        <v>10</v>
      </c>
      <c r="E23" s="748"/>
      <c r="F23" s="749"/>
      <c r="G23" s="750"/>
      <c r="H23" s="745"/>
      <c r="I23" s="771"/>
      <c r="J23" s="745"/>
      <c r="K23" s="745"/>
      <c r="L23" s="745"/>
      <c r="M23" s="745"/>
      <c r="N23" s="772"/>
      <c r="O23" s="745"/>
      <c r="P23" s="745"/>
      <c r="Q23" s="745"/>
      <c r="R23" s="745"/>
      <c r="S23" s="772"/>
      <c r="T23" s="780"/>
      <c r="U23" s="772"/>
      <c r="V23" s="745"/>
      <c r="W23" s="782"/>
      <c r="X23" s="783"/>
      <c r="Y23" s="745"/>
      <c r="Z23" s="745"/>
      <c r="AA23" s="793"/>
      <c r="AB23" s="793"/>
      <c r="AC23" s="745"/>
      <c r="AD23" s="517"/>
      <c r="AE23" s="516"/>
      <c r="AF23" s="791"/>
      <c r="AG23" s="530"/>
      <c r="AH23" s="530"/>
      <c r="AI23" s="530"/>
      <c r="AJ23" s="530"/>
      <c r="AK23" s="530"/>
      <c r="AL23" s="807"/>
      <c r="AM23" s="808" t="s">
        <v>147</v>
      </c>
      <c r="AN23" s="746"/>
      <c r="AO23" s="747">
        <f>COUNTIF(AO11:AO22,"&gt;.01")</f>
        <v>7</v>
      </c>
      <c r="AP23" s="825"/>
      <c r="AQ23" s="825"/>
      <c r="AR23" s="826">
        <f>COUNTIF(AR11:AR22,"&gt;.01")</f>
        <v>0</v>
      </c>
      <c r="AS23" s="772"/>
      <c r="AT23" s="742"/>
      <c r="AU23" s="824"/>
      <c r="AV23" s="745"/>
      <c r="AW23" s="745"/>
      <c r="AX23" s="840"/>
      <c r="AY23" s="838"/>
    </row>
    <row r="24" spans="1:51" s="149" customFormat="1" ht="22.5" hidden="1" customHeight="1">
      <c r="A24" s="751" t="s">
        <v>148</v>
      </c>
      <c r="B24" s="752"/>
      <c r="C24" s="752"/>
      <c r="D24" s="753"/>
      <c r="E24" s="754"/>
      <c r="F24" s="755"/>
      <c r="G24" s="756"/>
      <c r="H24" s="755"/>
      <c r="I24" s="755"/>
      <c r="J24" s="755"/>
      <c r="K24" s="755"/>
      <c r="L24" s="755"/>
      <c r="M24" s="755"/>
      <c r="N24" s="773"/>
      <c r="O24" s="755"/>
      <c r="P24" s="755"/>
      <c r="Q24" s="755"/>
      <c r="R24" s="755"/>
      <c r="S24" s="755"/>
      <c r="T24" s="784"/>
      <c r="U24" s="755"/>
      <c r="V24" s="755"/>
      <c r="W24" s="755"/>
      <c r="X24" s="755"/>
      <c r="Y24" s="755"/>
      <c r="Z24" s="755"/>
      <c r="AA24" s="755"/>
      <c r="AB24" s="755"/>
      <c r="AC24" s="755"/>
      <c r="AD24" s="755"/>
      <c r="AE24" s="315"/>
      <c r="AF24" s="794"/>
      <c r="AG24" s="756"/>
      <c r="AH24" s="756"/>
      <c r="AI24" s="756"/>
      <c r="AJ24" s="756"/>
      <c r="AK24" s="756"/>
      <c r="AL24" s="809" t="s">
        <v>149</v>
      </c>
      <c r="AM24" s="810"/>
      <c r="AN24" s="811"/>
      <c r="AO24" s="827"/>
      <c r="AP24" s="828"/>
      <c r="AQ24" s="784"/>
      <c r="AR24" s="755"/>
      <c r="AS24" s="755"/>
      <c r="AT24" s="811"/>
      <c r="AU24" s="829"/>
      <c r="AV24" s="752"/>
      <c r="AW24" s="752"/>
      <c r="AX24" s="841"/>
      <c r="AY24" s="842"/>
    </row>
    <row r="25" spans="1:51" s="531" customFormat="1" ht="22.5" customHeight="1">
      <c r="A25" s="741" t="s">
        <v>150</v>
      </c>
      <c r="B25" s="742" t="s">
        <v>51</v>
      </c>
      <c r="C25" s="423" t="s">
        <v>151</v>
      </c>
      <c r="D25" s="743">
        <v>24</v>
      </c>
      <c r="E25" s="448">
        <f t="shared" ref="E25:E35" si="6">AF25*12</f>
        <v>449676</v>
      </c>
      <c r="F25" s="448">
        <f t="shared" si="4"/>
        <v>449676</v>
      </c>
      <c r="G25" s="448">
        <v>274860</v>
      </c>
      <c r="H25" s="447">
        <v>1</v>
      </c>
      <c r="I25" s="770" t="s">
        <v>53</v>
      </c>
      <c r="J25" s="447" t="s">
        <v>64</v>
      </c>
      <c r="K25" s="447" t="s">
        <v>55</v>
      </c>
      <c r="L25" s="447" t="s">
        <v>56</v>
      </c>
      <c r="M25" s="774" t="s">
        <v>57</v>
      </c>
      <c r="N25" s="545" t="s">
        <v>152</v>
      </c>
      <c r="O25" s="447" t="s">
        <v>153</v>
      </c>
      <c r="P25" s="447" t="str">
        <f>UPPER(O25)</f>
        <v>ROSARIO</v>
      </c>
      <c r="Q25" s="447"/>
      <c r="R25" s="447" t="s">
        <v>115</v>
      </c>
      <c r="S25" s="534" t="str">
        <f>P25&amp;" "&amp;R25&amp;"."&amp;" "&amp;N25&amp;" "&amp;Q25</f>
        <v xml:space="preserve">ROSARIO B. DUMELOD </v>
      </c>
      <c r="T25" s="780">
        <v>37473</v>
      </c>
      <c r="U25" s="306" t="s">
        <v>154</v>
      </c>
      <c r="V25" s="447" t="s">
        <v>100</v>
      </c>
      <c r="W25" s="472">
        <v>23285</v>
      </c>
      <c r="X25" s="498">
        <f t="shared" ref="X25:X31" ca="1" si="7">(NOW()-W25)</f>
        <v>22820.538043287037</v>
      </c>
      <c r="Y25" s="447" t="s">
        <v>155</v>
      </c>
      <c r="Z25" s="447"/>
      <c r="AA25" s="493">
        <v>32687</v>
      </c>
      <c r="AB25" s="493">
        <v>40261</v>
      </c>
      <c r="AC25" s="447" t="s">
        <v>64</v>
      </c>
      <c r="AD25" s="512" t="s">
        <v>102</v>
      </c>
      <c r="AE25" s="512"/>
      <c r="AF25" s="791">
        <v>37473</v>
      </c>
      <c r="AG25" s="530">
        <v>31334</v>
      </c>
      <c r="AH25" s="530">
        <v>37473</v>
      </c>
      <c r="AI25" s="530"/>
      <c r="AJ25" s="530">
        <f t="shared" ref="AJ25:AJ35" si="8">AH25-AG25</f>
        <v>6139</v>
      </c>
      <c r="AK25" s="530"/>
      <c r="AL25" s="800" t="s">
        <v>66</v>
      </c>
      <c r="AM25" s="305" t="s">
        <v>150</v>
      </c>
      <c r="AN25" s="423" t="s">
        <v>151</v>
      </c>
      <c r="AO25" s="743">
        <v>24</v>
      </c>
      <c r="AP25" s="447">
        <v>1</v>
      </c>
      <c r="AQ25" s="780">
        <v>37473</v>
      </c>
      <c r="AR25" s="306" t="s">
        <v>154</v>
      </c>
      <c r="AS25" s="821" t="str">
        <f>IF(AR25="(Vacant)",AR25,IF(AR25="",AR25,"With Incumbent"))</f>
        <v>With Incumbent</v>
      </c>
      <c r="AT25" s="534"/>
      <c r="AU25" s="822"/>
      <c r="AV25" s="534"/>
      <c r="AW25" s="534"/>
      <c r="AX25" s="837"/>
      <c r="AY25" s="838"/>
    </row>
    <row r="26" spans="1:51" s="531" customFormat="1" ht="22.5" customHeight="1">
      <c r="A26" s="741" t="s">
        <v>156</v>
      </c>
      <c r="B26" s="742" t="s">
        <v>51</v>
      </c>
      <c r="C26" s="423" t="s">
        <v>157</v>
      </c>
      <c r="D26" s="743">
        <v>22</v>
      </c>
      <c r="E26" s="448">
        <f t="shared" si="6"/>
        <v>395676</v>
      </c>
      <c r="F26" s="448">
        <f t="shared" si="4"/>
        <v>395676</v>
      </c>
      <c r="G26" s="448" t="s">
        <v>131</v>
      </c>
      <c r="H26" s="447">
        <v>1</v>
      </c>
      <c r="I26" s="770" t="s">
        <v>53</v>
      </c>
      <c r="J26" s="447" t="s">
        <v>54</v>
      </c>
      <c r="K26" s="447" t="s">
        <v>158</v>
      </c>
      <c r="L26" s="447" t="s">
        <v>56</v>
      </c>
      <c r="M26" s="774" t="s">
        <v>57</v>
      </c>
      <c r="N26" s="545" t="s">
        <v>159</v>
      </c>
      <c r="O26" s="774" t="s">
        <v>160</v>
      </c>
      <c r="P26" s="774" t="str">
        <f t="shared" ref="P26:P35" si="9">UPPER(O26)</f>
        <v>OFELIA</v>
      </c>
      <c r="Q26" s="774"/>
      <c r="R26" s="774" t="s">
        <v>161</v>
      </c>
      <c r="S26" s="785" t="str">
        <f t="shared" ref="S26:S35" si="10">P26&amp;" "&amp;R26&amp;"."&amp;" "&amp;N26&amp;" "&amp;Q26</f>
        <v xml:space="preserve">OFELIA O. CLAUDIO </v>
      </c>
      <c r="T26" s="780">
        <v>32973</v>
      </c>
      <c r="U26" s="306" t="s">
        <v>162</v>
      </c>
      <c r="V26" s="774" t="s">
        <v>100</v>
      </c>
      <c r="W26" s="472">
        <v>21997</v>
      </c>
      <c r="X26" s="786">
        <f t="shared" ca="1" si="7"/>
        <v>24108.538043402776</v>
      </c>
      <c r="Y26" s="774" t="s">
        <v>163</v>
      </c>
      <c r="Z26" s="774"/>
      <c r="AA26" s="795">
        <v>32687</v>
      </c>
      <c r="AB26" s="795">
        <v>39510</v>
      </c>
      <c r="AC26" s="774" t="s">
        <v>64</v>
      </c>
      <c r="AD26" s="796" t="s">
        <v>102</v>
      </c>
      <c r="AE26" s="512"/>
      <c r="AF26" s="791">
        <v>32973</v>
      </c>
      <c r="AG26" s="530">
        <v>28134</v>
      </c>
      <c r="AH26" s="530">
        <v>32973</v>
      </c>
      <c r="AI26" s="530"/>
      <c r="AJ26" s="530">
        <f t="shared" si="8"/>
        <v>4839</v>
      </c>
      <c r="AK26" s="530"/>
      <c r="AL26" s="800" t="s">
        <v>66</v>
      </c>
      <c r="AM26" s="305" t="s">
        <v>156</v>
      </c>
      <c r="AN26" s="423" t="s">
        <v>157</v>
      </c>
      <c r="AO26" s="743">
        <v>22</v>
      </c>
      <c r="AP26" s="447">
        <v>1</v>
      </c>
      <c r="AQ26" s="780">
        <v>32973</v>
      </c>
      <c r="AR26" s="306" t="s">
        <v>162</v>
      </c>
      <c r="AS26" s="821" t="str">
        <f>IF(AR26="(Vacant)",AR26,IF(AR26="",AR26,"With Incumbent"))</f>
        <v>With Incumbent</v>
      </c>
      <c r="AT26" s="534"/>
      <c r="AU26" s="822"/>
      <c r="AV26" s="534"/>
      <c r="AW26" s="534"/>
      <c r="AX26" s="837"/>
      <c r="AY26" s="838"/>
    </row>
    <row r="27" spans="1:51" s="531" customFormat="1" ht="22.5" customHeight="1">
      <c r="A27" s="741" t="s">
        <v>164</v>
      </c>
      <c r="B27" s="742" t="s">
        <v>51</v>
      </c>
      <c r="C27" s="423" t="s">
        <v>165</v>
      </c>
      <c r="D27" s="743">
        <v>20</v>
      </c>
      <c r="E27" s="448">
        <f t="shared" si="6"/>
        <v>348624</v>
      </c>
      <c r="F27" s="448">
        <f t="shared" si="4"/>
        <v>360012</v>
      </c>
      <c r="G27" s="448">
        <v>240816</v>
      </c>
      <c r="H27" s="447">
        <v>3</v>
      </c>
      <c r="I27" s="770" t="s">
        <v>166</v>
      </c>
      <c r="J27" s="447" t="s">
        <v>62</v>
      </c>
      <c r="K27" s="447" t="s">
        <v>158</v>
      </c>
      <c r="L27" s="447" t="s">
        <v>56</v>
      </c>
      <c r="M27" s="616" t="s">
        <v>167</v>
      </c>
      <c r="N27" s="545" t="s">
        <v>168</v>
      </c>
      <c r="O27" s="447" t="s">
        <v>169</v>
      </c>
      <c r="P27" s="447" t="str">
        <f t="shared" si="9"/>
        <v>RENE VINCENT</v>
      </c>
      <c r="Q27" s="447"/>
      <c r="R27" s="447" t="s">
        <v>170</v>
      </c>
      <c r="S27" s="534" t="str">
        <f t="shared" si="10"/>
        <v xml:space="preserve">RENE VINCENT I. BALLUG </v>
      </c>
      <c r="T27" s="780">
        <v>30001</v>
      </c>
      <c r="U27" s="305" t="s">
        <v>171</v>
      </c>
      <c r="V27" s="447" t="s">
        <v>62</v>
      </c>
      <c r="W27" s="472">
        <v>25501</v>
      </c>
      <c r="X27" s="498">
        <f t="shared" ca="1" si="7"/>
        <v>20604.538043402776</v>
      </c>
      <c r="Y27" s="447" t="s">
        <v>172</v>
      </c>
      <c r="Z27" s="447"/>
      <c r="AA27" s="493">
        <v>35487</v>
      </c>
      <c r="AB27" s="493">
        <v>37561</v>
      </c>
      <c r="AC27" s="447" t="s">
        <v>64</v>
      </c>
      <c r="AD27" s="512" t="s">
        <v>102</v>
      </c>
      <c r="AE27" s="512"/>
      <c r="AF27" s="791">
        <v>29052</v>
      </c>
      <c r="AG27" s="530">
        <v>26314</v>
      </c>
      <c r="AH27" s="530">
        <v>30001</v>
      </c>
      <c r="AI27" s="530"/>
      <c r="AJ27" s="530">
        <f t="shared" si="8"/>
        <v>3687</v>
      </c>
      <c r="AK27" s="530"/>
      <c r="AL27" s="800" t="s">
        <v>66</v>
      </c>
      <c r="AM27" s="305" t="s">
        <v>164</v>
      </c>
      <c r="AN27" s="423" t="s">
        <v>165</v>
      </c>
      <c r="AO27" s="743">
        <v>20</v>
      </c>
      <c r="AP27" s="447">
        <v>3</v>
      </c>
      <c r="AQ27" s="780">
        <v>30001</v>
      </c>
      <c r="AR27" s="305" t="s">
        <v>171</v>
      </c>
      <c r="AS27" s="821" t="str">
        <f>IF(AR27="(Vacant)",AR27,IF(AR27="",AR27,"With Incumbent"))</f>
        <v>With Incumbent</v>
      </c>
      <c r="AT27" s="534"/>
      <c r="AU27" s="822"/>
      <c r="AV27" s="534"/>
      <c r="AW27" s="534"/>
      <c r="AX27" s="837"/>
      <c r="AY27" s="838"/>
    </row>
    <row r="28" spans="1:51" s="531" customFormat="1" ht="22.5" customHeight="1">
      <c r="A28" s="741" t="s">
        <v>173</v>
      </c>
      <c r="B28" s="742" t="s">
        <v>51</v>
      </c>
      <c r="C28" s="423" t="s">
        <v>165</v>
      </c>
      <c r="D28" s="743">
        <v>20</v>
      </c>
      <c r="E28" s="448">
        <f t="shared" si="6"/>
        <v>348624</v>
      </c>
      <c r="F28" s="448">
        <f t="shared" si="4"/>
        <v>354264</v>
      </c>
      <c r="G28" s="448">
        <v>240816</v>
      </c>
      <c r="H28" s="447">
        <v>2</v>
      </c>
      <c r="I28" s="770" t="s">
        <v>53</v>
      </c>
      <c r="J28" s="447" t="s">
        <v>54</v>
      </c>
      <c r="K28" s="447" t="s">
        <v>158</v>
      </c>
      <c r="L28" s="447" t="s">
        <v>56</v>
      </c>
      <c r="M28" s="616" t="s">
        <v>174</v>
      </c>
      <c r="N28" s="545" t="s">
        <v>175</v>
      </c>
      <c r="O28" s="447" t="s">
        <v>176</v>
      </c>
      <c r="P28" s="447" t="str">
        <f t="shared" si="9"/>
        <v>MELCHOR ANTHONY</v>
      </c>
      <c r="Q28" s="447"/>
      <c r="R28" s="447" t="s">
        <v>177</v>
      </c>
      <c r="S28" s="534" t="str">
        <f t="shared" si="10"/>
        <v xml:space="preserve">MELCHOR ANTHONY G. CORTEZ </v>
      </c>
      <c r="T28" s="780">
        <v>29522</v>
      </c>
      <c r="U28" s="305" t="s">
        <v>178</v>
      </c>
      <c r="V28" s="447" t="s">
        <v>62</v>
      </c>
      <c r="W28" s="472">
        <v>25574</v>
      </c>
      <c r="X28" s="498">
        <f t="shared" ca="1" si="7"/>
        <v>20531.538043287037</v>
      </c>
      <c r="Y28" s="447" t="s">
        <v>179</v>
      </c>
      <c r="Z28" s="447"/>
      <c r="AA28" s="493">
        <v>35100</v>
      </c>
      <c r="AB28" s="493">
        <v>38322</v>
      </c>
      <c r="AC28" s="447" t="s">
        <v>64</v>
      </c>
      <c r="AD28" s="512" t="s">
        <v>102</v>
      </c>
      <c r="AE28" s="512"/>
      <c r="AF28" s="791">
        <v>29052</v>
      </c>
      <c r="AG28" s="530">
        <v>25799</v>
      </c>
      <c r="AH28" s="530">
        <v>29522</v>
      </c>
      <c r="AI28" s="530"/>
      <c r="AJ28" s="530">
        <f t="shared" si="8"/>
        <v>3723</v>
      </c>
      <c r="AK28" s="530"/>
      <c r="AL28" s="800" t="s">
        <v>66</v>
      </c>
      <c r="AM28" s="305" t="s">
        <v>173</v>
      </c>
      <c r="AN28" s="423" t="s">
        <v>165</v>
      </c>
      <c r="AO28" s="743">
        <v>20</v>
      </c>
      <c r="AP28" s="447">
        <v>2</v>
      </c>
      <c r="AQ28" s="780">
        <v>29522</v>
      </c>
      <c r="AR28" s="305" t="s">
        <v>178</v>
      </c>
      <c r="AS28" s="821" t="str">
        <f>IF(AR28="(Vacant)",AR28,IF(AR28="",AR28,"With Incumbent"))</f>
        <v>With Incumbent</v>
      </c>
      <c r="AT28" s="534"/>
      <c r="AU28" s="822"/>
      <c r="AV28" s="534"/>
      <c r="AW28" s="534"/>
      <c r="AX28" s="837"/>
      <c r="AY28" s="838"/>
    </row>
    <row r="29" spans="1:51" s="531" customFormat="1" ht="22.5" customHeight="1">
      <c r="A29" s="741" t="s">
        <v>180</v>
      </c>
      <c r="B29" s="742" t="s">
        <v>51</v>
      </c>
      <c r="C29" s="423" t="s">
        <v>165</v>
      </c>
      <c r="D29" s="743">
        <v>20</v>
      </c>
      <c r="E29" s="448">
        <f t="shared" si="6"/>
        <v>348624</v>
      </c>
      <c r="F29" s="448">
        <f t="shared" si="4"/>
        <v>348624</v>
      </c>
      <c r="G29" s="448" t="s">
        <v>131</v>
      </c>
      <c r="H29" s="447">
        <v>1</v>
      </c>
      <c r="I29" s="770" t="s">
        <v>53</v>
      </c>
      <c r="J29" s="447" t="s">
        <v>54</v>
      </c>
      <c r="K29" s="447" t="s">
        <v>158</v>
      </c>
      <c r="L29" s="447" t="s">
        <v>56</v>
      </c>
      <c r="M29" s="616" t="s">
        <v>181</v>
      </c>
      <c r="N29" s="545" t="s">
        <v>182</v>
      </c>
      <c r="O29" s="447" t="s">
        <v>183</v>
      </c>
      <c r="P29" s="447" t="str">
        <f t="shared" si="9"/>
        <v>MERINA</v>
      </c>
      <c r="Q29" s="447"/>
      <c r="R29" s="447" t="s">
        <v>115</v>
      </c>
      <c r="S29" s="534" t="str">
        <f t="shared" si="10"/>
        <v xml:space="preserve">MERINA B. CENU </v>
      </c>
      <c r="T29" s="780">
        <v>29052</v>
      </c>
      <c r="U29" s="305" t="s">
        <v>184</v>
      </c>
      <c r="V29" s="447" t="s">
        <v>100</v>
      </c>
      <c r="W29" s="472">
        <v>28132</v>
      </c>
      <c r="X29" s="498">
        <f t="shared" ca="1" si="7"/>
        <v>17973.538043402776</v>
      </c>
      <c r="Y29" s="447" t="s">
        <v>185</v>
      </c>
      <c r="Z29" s="447"/>
      <c r="AA29" s="493">
        <v>36299</v>
      </c>
      <c r="AB29" s="493">
        <v>39510</v>
      </c>
      <c r="AC29" s="447" t="s">
        <v>64</v>
      </c>
      <c r="AD29" s="512" t="s">
        <v>102</v>
      </c>
      <c r="AE29" s="512"/>
      <c r="AF29" s="791">
        <v>29052</v>
      </c>
      <c r="AG29" s="530">
        <v>25295</v>
      </c>
      <c r="AH29" s="530">
        <v>29052</v>
      </c>
      <c r="AI29" s="530"/>
      <c r="AJ29" s="530">
        <f t="shared" si="8"/>
        <v>3757</v>
      </c>
      <c r="AK29" s="530"/>
      <c r="AL29" s="800" t="s">
        <v>66</v>
      </c>
      <c r="AM29" s="305" t="s">
        <v>180</v>
      </c>
      <c r="AN29" s="423" t="s">
        <v>165</v>
      </c>
      <c r="AO29" s="743">
        <v>20</v>
      </c>
      <c r="AP29" s="447">
        <v>1</v>
      </c>
      <c r="AQ29" s="780">
        <v>29052</v>
      </c>
      <c r="AR29" s="305" t="s">
        <v>184</v>
      </c>
      <c r="AS29" s="821" t="str">
        <f>IF(AR29="(Vacant)",AR29,IF(AR29="",AR29,"With Incumbent"))</f>
        <v>With Incumbent</v>
      </c>
      <c r="AT29" s="534"/>
      <c r="AU29" s="822"/>
      <c r="AV29" s="534"/>
      <c r="AW29" s="534"/>
      <c r="AX29" s="837"/>
      <c r="AY29" s="838"/>
    </row>
    <row r="30" spans="1:51" s="531" customFormat="1" ht="22.5" hidden="1" customHeight="1">
      <c r="A30" s="741" t="s">
        <v>186</v>
      </c>
      <c r="B30" s="742" t="s">
        <v>51</v>
      </c>
      <c r="C30" s="423" t="s">
        <v>187</v>
      </c>
      <c r="D30" s="743">
        <v>18</v>
      </c>
      <c r="E30" s="448">
        <f t="shared" si="6"/>
        <v>303108</v>
      </c>
      <c r="F30" s="448">
        <f t="shared" si="4"/>
        <v>313092</v>
      </c>
      <c r="G30" s="448">
        <v>219684</v>
      </c>
      <c r="H30" s="447">
        <v>3</v>
      </c>
      <c r="I30" s="770" t="s">
        <v>188</v>
      </c>
      <c r="J30" s="447" t="s">
        <v>62</v>
      </c>
      <c r="K30" s="447" t="s">
        <v>158</v>
      </c>
      <c r="L30" s="447" t="s">
        <v>56</v>
      </c>
      <c r="M30" s="616" t="s">
        <v>189</v>
      </c>
      <c r="N30" s="545" t="s">
        <v>190</v>
      </c>
      <c r="O30" s="447" t="s">
        <v>191</v>
      </c>
      <c r="P30" s="447" t="str">
        <f t="shared" si="9"/>
        <v>JULIE</v>
      </c>
      <c r="Q30" s="447"/>
      <c r="R30" s="447" t="s">
        <v>122</v>
      </c>
      <c r="S30" s="534" t="str">
        <f t="shared" si="10"/>
        <v xml:space="preserve">JULIE C. MALIG </v>
      </c>
      <c r="T30" s="780">
        <v>26091</v>
      </c>
      <c r="U30" s="305" t="s">
        <v>192</v>
      </c>
      <c r="V30" s="447" t="s">
        <v>100</v>
      </c>
      <c r="W30" s="472">
        <v>25394</v>
      </c>
      <c r="X30" s="498">
        <f t="shared" ca="1" si="7"/>
        <v>20711.538043402776</v>
      </c>
      <c r="Y30" s="447" t="s">
        <v>193</v>
      </c>
      <c r="Z30" s="447"/>
      <c r="AA30" s="493">
        <v>35107</v>
      </c>
      <c r="AB30" s="493">
        <v>37235</v>
      </c>
      <c r="AC30" s="447" t="s">
        <v>194</v>
      </c>
      <c r="AD30" s="512" t="s">
        <v>102</v>
      </c>
      <c r="AE30" s="512"/>
      <c r="AF30" s="791">
        <v>25259</v>
      </c>
      <c r="AG30" s="530">
        <v>23115</v>
      </c>
      <c r="AH30" s="530">
        <v>26091</v>
      </c>
      <c r="AI30" s="530"/>
      <c r="AJ30" s="530">
        <f t="shared" si="8"/>
        <v>2976</v>
      </c>
      <c r="AK30" s="530"/>
      <c r="AL30" s="804" t="s">
        <v>195</v>
      </c>
      <c r="AM30" s="745"/>
      <c r="AN30" s="742"/>
      <c r="AO30" s="743"/>
      <c r="AP30" s="447"/>
      <c r="AQ30" s="780"/>
      <c r="AR30" s="305"/>
      <c r="AS30" s="305"/>
      <c r="AT30" s="534"/>
      <c r="AU30" s="822"/>
      <c r="AV30" s="534"/>
      <c r="AW30" s="534"/>
      <c r="AX30" s="837"/>
      <c r="AY30" s="840"/>
    </row>
    <row r="31" spans="1:51" s="531" customFormat="1" ht="22.5" customHeight="1">
      <c r="A31" s="741" t="s">
        <v>196</v>
      </c>
      <c r="B31" s="742" t="s">
        <v>51</v>
      </c>
      <c r="C31" s="423" t="s">
        <v>187</v>
      </c>
      <c r="D31" s="743">
        <v>18</v>
      </c>
      <c r="E31" s="448">
        <f t="shared" si="6"/>
        <v>303108</v>
      </c>
      <c r="F31" s="448">
        <f t="shared" si="4"/>
        <v>303108</v>
      </c>
      <c r="G31" s="448" t="s">
        <v>131</v>
      </c>
      <c r="H31" s="447">
        <v>1</v>
      </c>
      <c r="I31" s="770" t="s">
        <v>197</v>
      </c>
      <c r="J31" s="447" t="s">
        <v>54</v>
      </c>
      <c r="K31" s="447" t="s">
        <v>81</v>
      </c>
      <c r="L31" s="447" t="s">
        <v>56</v>
      </c>
      <c r="M31" s="774" t="s">
        <v>57</v>
      </c>
      <c r="N31" s="545" t="s">
        <v>198</v>
      </c>
      <c r="O31" s="447" t="s">
        <v>199</v>
      </c>
      <c r="P31" s="447" t="str">
        <f t="shared" si="9"/>
        <v>ODEMAR</v>
      </c>
      <c r="Q31" s="447"/>
      <c r="R31" s="447" t="s">
        <v>62</v>
      </c>
      <c r="S31" s="534" t="str">
        <f t="shared" si="10"/>
        <v xml:space="preserve">ODEMAR M. CAWIS </v>
      </c>
      <c r="T31" s="780">
        <v>25259</v>
      </c>
      <c r="U31" s="305" t="s">
        <v>200</v>
      </c>
      <c r="V31" s="447" t="s">
        <v>62</v>
      </c>
      <c r="W31" s="472">
        <v>25761</v>
      </c>
      <c r="X31" s="498">
        <f t="shared" ca="1" si="7"/>
        <v>20344.538043287037</v>
      </c>
      <c r="Y31" s="447" t="s">
        <v>201</v>
      </c>
      <c r="Z31" s="447"/>
      <c r="AA31" s="493">
        <v>36434</v>
      </c>
      <c r="AB31" s="493">
        <v>40262</v>
      </c>
      <c r="AC31" s="447" t="s">
        <v>64</v>
      </c>
      <c r="AD31" s="512" t="s">
        <v>102</v>
      </c>
      <c r="AE31" s="512"/>
      <c r="AF31" s="791">
        <v>25259</v>
      </c>
      <c r="AG31" s="530">
        <v>22214</v>
      </c>
      <c r="AH31" s="530">
        <v>25259</v>
      </c>
      <c r="AI31" s="530"/>
      <c r="AJ31" s="530">
        <f t="shared" si="8"/>
        <v>3045</v>
      </c>
      <c r="AK31" s="530"/>
      <c r="AL31" s="800" t="s">
        <v>66</v>
      </c>
      <c r="AM31" s="305" t="s">
        <v>196</v>
      </c>
      <c r="AN31" s="423" t="s">
        <v>187</v>
      </c>
      <c r="AO31" s="743">
        <v>18</v>
      </c>
      <c r="AP31" s="447">
        <v>1</v>
      </c>
      <c r="AQ31" s="780">
        <v>25259</v>
      </c>
      <c r="AR31" s="305" t="s">
        <v>200</v>
      </c>
      <c r="AS31" s="821" t="str">
        <f>IF(AR31="(Vacant)",AR31,IF(AR31="",AR31,"With Incumbent"))</f>
        <v>With Incumbent</v>
      </c>
      <c r="AT31" s="534"/>
      <c r="AU31" s="822"/>
      <c r="AV31" s="534"/>
      <c r="AW31" s="534"/>
      <c r="AX31" s="837"/>
      <c r="AY31" s="838"/>
    </row>
    <row r="32" spans="1:51" s="531" customFormat="1" ht="22.5" hidden="1" customHeight="1">
      <c r="A32" s="741" t="s">
        <v>202</v>
      </c>
      <c r="B32" s="742" t="s">
        <v>51</v>
      </c>
      <c r="C32" s="423" t="s">
        <v>187</v>
      </c>
      <c r="D32" s="743">
        <v>18</v>
      </c>
      <c r="E32" s="448">
        <f t="shared" si="6"/>
        <v>303108</v>
      </c>
      <c r="F32" s="448">
        <f t="shared" si="4"/>
        <v>303108</v>
      </c>
      <c r="G32" s="448">
        <v>214332</v>
      </c>
      <c r="H32" s="447">
        <v>1</v>
      </c>
      <c r="I32" s="770" t="s">
        <v>53</v>
      </c>
      <c r="J32" s="447" t="s">
        <v>54</v>
      </c>
      <c r="K32" s="447" t="s">
        <v>81</v>
      </c>
      <c r="L32" s="447" t="s">
        <v>56</v>
      </c>
      <c r="M32" s="447"/>
      <c r="N32" s="545"/>
      <c r="O32" s="447"/>
      <c r="P32" s="447"/>
      <c r="Q32" s="447"/>
      <c r="R32" s="447"/>
      <c r="S32" s="534" t="s">
        <v>203</v>
      </c>
      <c r="T32" s="780">
        <v>25259</v>
      </c>
      <c r="U32" s="781" t="s">
        <v>88</v>
      </c>
      <c r="V32" s="447"/>
      <c r="W32" s="472"/>
      <c r="X32" s="498"/>
      <c r="Y32" s="447"/>
      <c r="Z32" s="447"/>
      <c r="AA32" s="493"/>
      <c r="AB32" s="493"/>
      <c r="AC32" s="447"/>
      <c r="AD32" s="512"/>
      <c r="AE32" s="512"/>
      <c r="AF32" s="791">
        <v>25259</v>
      </c>
      <c r="AG32" s="530">
        <v>22214</v>
      </c>
      <c r="AH32" s="530">
        <v>25259</v>
      </c>
      <c r="AI32" s="530"/>
      <c r="AJ32" s="530">
        <f t="shared" si="8"/>
        <v>3045</v>
      </c>
      <c r="AK32" s="530"/>
      <c r="AL32" s="804" t="s">
        <v>195</v>
      </c>
      <c r="AM32" s="745"/>
      <c r="AN32" s="742"/>
      <c r="AO32" s="743"/>
      <c r="AP32" s="447"/>
      <c r="AQ32" s="780"/>
      <c r="AR32" s="781"/>
      <c r="AS32" s="781"/>
      <c r="AT32" s="534"/>
      <c r="AU32" s="822"/>
      <c r="AV32" s="534"/>
      <c r="AW32" s="534"/>
      <c r="AX32" s="837"/>
      <c r="AY32" s="838"/>
    </row>
    <row r="33" spans="1:51" s="531" customFormat="1" ht="22.5" customHeight="1">
      <c r="A33" s="741" t="s">
        <v>204</v>
      </c>
      <c r="B33" s="742" t="s">
        <v>51</v>
      </c>
      <c r="C33" s="423" t="s">
        <v>187</v>
      </c>
      <c r="D33" s="743">
        <v>18</v>
      </c>
      <c r="E33" s="448">
        <f t="shared" si="6"/>
        <v>303108</v>
      </c>
      <c r="F33" s="448">
        <f t="shared" si="4"/>
        <v>303108</v>
      </c>
      <c r="G33" s="448">
        <v>214332</v>
      </c>
      <c r="H33" s="447">
        <v>1</v>
      </c>
      <c r="I33" s="770" t="s">
        <v>53</v>
      </c>
      <c r="J33" s="447" t="s">
        <v>54</v>
      </c>
      <c r="K33" s="447" t="s">
        <v>81</v>
      </c>
      <c r="L33" s="447" t="s">
        <v>56</v>
      </c>
      <c r="M33" s="774" t="s">
        <v>57</v>
      </c>
      <c r="N33" s="545" t="s">
        <v>205</v>
      </c>
      <c r="O33" s="447" t="s">
        <v>206</v>
      </c>
      <c r="P33" s="447" t="str">
        <f>UPPER(O33)</f>
        <v>FLORINDA</v>
      </c>
      <c r="Q33" s="447"/>
      <c r="R33" s="447" t="s">
        <v>62</v>
      </c>
      <c r="S33" s="534" t="str">
        <f>P33&amp;" "&amp;R33&amp;"."&amp;" "&amp;N33&amp;" "&amp;Q33</f>
        <v xml:space="preserve">FLORINDA M. GARCIA </v>
      </c>
      <c r="T33" s="780">
        <v>25259</v>
      </c>
      <c r="U33" s="305" t="s">
        <v>207</v>
      </c>
      <c r="V33" s="447" t="s">
        <v>100</v>
      </c>
      <c r="W33" s="472">
        <v>22504</v>
      </c>
      <c r="X33" s="498">
        <f ca="1">(NOW()-W33)</f>
        <v>23601.538043402776</v>
      </c>
      <c r="Y33" s="447" t="s">
        <v>208</v>
      </c>
      <c r="Z33" s="447"/>
      <c r="AA33" s="493">
        <v>36100</v>
      </c>
      <c r="AB33" s="493">
        <v>40262</v>
      </c>
      <c r="AC33" s="447" t="s">
        <v>64</v>
      </c>
      <c r="AD33" s="512" t="s">
        <v>102</v>
      </c>
      <c r="AE33" s="512"/>
      <c r="AF33" s="791">
        <v>25259</v>
      </c>
      <c r="AG33" s="530">
        <v>22214</v>
      </c>
      <c r="AH33" s="530">
        <v>25259</v>
      </c>
      <c r="AI33" s="530"/>
      <c r="AJ33" s="530">
        <f t="shared" si="8"/>
        <v>3045</v>
      </c>
      <c r="AK33" s="530"/>
      <c r="AL33" s="800" t="s">
        <v>66</v>
      </c>
      <c r="AM33" s="305" t="s">
        <v>204</v>
      </c>
      <c r="AN33" s="423" t="s">
        <v>187</v>
      </c>
      <c r="AO33" s="743">
        <v>18</v>
      </c>
      <c r="AP33" s="447">
        <v>1</v>
      </c>
      <c r="AQ33" s="780">
        <v>25259</v>
      </c>
      <c r="AR33" s="305" t="s">
        <v>207</v>
      </c>
      <c r="AS33" s="821" t="str">
        <f>IF(AR33="(Vacant)",AR33,IF(AR33="",AR33,"With Incumbent"))</f>
        <v>With Incumbent</v>
      </c>
      <c r="AT33" s="534"/>
      <c r="AU33" s="822"/>
      <c r="AV33" s="534"/>
      <c r="AW33" s="534"/>
      <c r="AX33" s="837"/>
      <c r="AY33" s="838"/>
    </row>
    <row r="34" spans="1:51" s="531" customFormat="1" ht="22.5" hidden="1" customHeight="1">
      <c r="A34" s="741" t="s">
        <v>209</v>
      </c>
      <c r="B34" s="742" t="s">
        <v>51</v>
      </c>
      <c r="C34" s="423" t="s">
        <v>210</v>
      </c>
      <c r="D34" s="743">
        <v>7</v>
      </c>
      <c r="E34" s="448">
        <f t="shared" si="6"/>
        <v>130296</v>
      </c>
      <c r="F34" s="448">
        <f t="shared" si="4"/>
        <v>142428</v>
      </c>
      <c r="G34" s="448" t="s">
        <v>131</v>
      </c>
      <c r="H34" s="447">
        <v>1</v>
      </c>
      <c r="I34" s="770" t="s">
        <v>53</v>
      </c>
      <c r="J34" s="447" t="s">
        <v>54</v>
      </c>
      <c r="K34" s="447" t="s">
        <v>81</v>
      </c>
      <c r="L34" s="447" t="s">
        <v>56</v>
      </c>
      <c r="M34" s="447"/>
      <c r="N34" s="545"/>
      <c r="O34" s="447"/>
      <c r="P34" s="447" t="str">
        <f t="shared" si="9"/>
        <v/>
      </c>
      <c r="Q34" s="447"/>
      <c r="R34" s="447"/>
      <c r="S34" s="534" t="str">
        <f t="shared" si="10"/>
        <v xml:space="preserve"> .  </v>
      </c>
      <c r="T34" s="780">
        <v>11869</v>
      </c>
      <c r="U34" s="781" t="s">
        <v>88</v>
      </c>
      <c r="V34" s="447"/>
      <c r="W34" s="472"/>
      <c r="X34" s="447"/>
      <c r="Y34" s="447"/>
      <c r="Z34" s="447"/>
      <c r="AA34" s="493"/>
      <c r="AB34" s="493"/>
      <c r="AC34" s="447"/>
      <c r="AD34" s="512"/>
      <c r="AE34" s="512"/>
      <c r="AF34" s="791">
        <v>10858</v>
      </c>
      <c r="AG34" s="530">
        <v>10858</v>
      </c>
      <c r="AH34" s="530">
        <v>11869</v>
      </c>
      <c r="AI34" s="530"/>
      <c r="AJ34" s="530">
        <f t="shared" si="8"/>
        <v>1011</v>
      </c>
      <c r="AK34" s="530"/>
      <c r="AL34" s="806" t="s">
        <v>126</v>
      </c>
      <c r="AM34" s="745"/>
      <c r="AN34" s="742"/>
      <c r="AO34" s="743"/>
      <c r="AP34" s="447"/>
      <c r="AQ34" s="780"/>
      <c r="AR34" s="781"/>
      <c r="AS34" s="781"/>
      <c r="AT34" s="534"/>
      <c r="AU34" s="822"/>
      <c r="AV34" s="534"/>
      <c r="AW34" s="534"/>
      <c r="AX34" s="837"/>
      <c r="AY34" s="838"/>
    </row>
    <row r="35" spans="1:51" s="531" customFormat="1" ht="22.5" hidden="1" customHeight="1">
      <c r="A35" s="741"/>
      <c r="B35" s="742"/>
      <c r="C35" s="423"/>
      <c r="D35" s="757"/>
      <c r="E35" s="448">
        <f t="shared" si="6"/>
        <v>132744</v>
      </c>
      <c r="F35" s="448">
        <f t="shared" si="4"/>
        <v>137100</v>
      </c>
      <c r="G35" s="448">
        <v>102912</v>
      </c>
      <c r="H35" s="447"/>
      <c r="I35" s="770" t="s">
        <v>53</v>
      </c>
      <c r="J35" s="447" t="s">
        <v>54</v>
      </c>
      <c r="K35" s="447" t="s">
        <v>81</v>
      </c>
      <c r="L35" s="447" t="s">
        <v>56</v>
      </c>
      <c r="M35" s="616" t="s">
        <v>211</v>
      </c>
      <c r="N35" s="545" t="s">
        <v>212</v>
      </c>
      <c r="O35" s="447" t="s">
        <v>213</v>
      </c>
      <c r="P35" s="447" t="str">
        <f t="shared" si="9"/>
        <v>CARMELITA</v>
      </c>
      <c r="Q35" s="447"/>
      <c r="R35" s="447" t="s">
        <v>122</v>
      </c>
      <c r="S35" s="534" t="str">
        <f t="shared" si="10"/>
        <v xml:space="preserve">CARMELITA C. MAGO </v>
      </c>
      <c r="T35" s="780"/>
      <c r="U35" s="305"/>
      <c r="V35" s="447" t="s">
        <v>100</v>
      </c>
      <c r="W35" s="472">
        <v>20401</v>
      </c>
      <c r="X35" s="498">
        <f ca="1">(NOW()-W35)</f>
        <v>25704.538043402776</v>
      </c>
      <c r="Y35" s="447" t="s">
        <v>214</v>
      </c>
      <c r="Z35" s="447"/>
      <c r="AA35" s="493">
        <v>30769</v>
      </c>
      <c r="AB35" s="493">
        <v>37288</v>
      </c>
      <c r="AC35" s="447" t="s">
        <v>64</v>
      </c>
      <c r="AD35" s="512" t="s">
        <v>215</v>
      </c>
      <c r="AE35" s="512"/>
      <c r="AF35" s="791">
        <v>11062</v>
      </c>
      <c r="AG35" s="530">
        <v>10548</v>
      </c>
      <c r="AH35" s="530">
        <v>11425</v>
      </c>
      <c r="AI35" s="530"/>
      <c r="AJ35" s="530">
        <f t="shared" si="8"/>
        <v>877</v>
      </c>
      <c r="AK35" s="530"/>
      <c r="AL35" s="812" t="s">
        <v>216</v>
      </c>
      <c r="AM35" s="305" t="s">
        <v>217</v>
      </c>
      <c r="AN35" s="423" t="s">
        <v>218</v>
      </c>
      <c r="AO35" s="743">
        <v>6</v>
      </c>
      <c r="AP35" s="447">
        <v>3</v>
      </c>
      <c r="AQ35" s="780">
        <v>11425</v>
      </c>
      <c r="AR35" s="305" t="s">
        <v>219</v>
      </c>
      <c r="AS35" s="821" t="str">
        <f>IF(AR35="(Vacant)",AR35,IF(AR35="",AR35,"With Incumbent"))</f>
        <v>With Incumbent</v>
      </c>
      <c r="AT35" s="534"/>
      <c r="AU35" s="822"/>
      <c r="AV35" s="534"/>
      <c r="AW35" s="534"/>
      <c r="AX35" s="837"/>
      <c r="AY35" s="838"/>
    </row>
    <row r="36" spans="1:51" s="531" customFormat="1" ht="22.5" hidden="1" customHeight="1">
      <c r="A36" s="744" t="s">
        <v>147</v>
      </c>
      <c r="B36" s="533"/>
      <c r="C36" s="746"/>
      <c r="D36" s="747">
        <f>COUNTIF(D25:D35,"&gt;.01")</f>
        <v>10</v>
      </c>
      <c r="E36" s="748"/>
      <c r="F36" s="749"/>
      <c r="G36" s="750"/>
      <c r="H36" s="745"/>
      <c r="I36" s="771"/>
      <c r="J36" s="745"/>
      <c r="K36" s="745"/>
      <c r="L36" s="745"/>
      <c r="M36" s="775"/>
      <c r="N36" s="772"/>
      <c r="O36" s="745"/>
      <c r="P36" s="745"/>
      <c r="Q36" s="745"/>
      <c r="R36" s="745"/>
      <c r="S36" s="772"/>
      <c r="T36" s="780"/>
      <c r="U36" s="772"/>
      <c r="V36" s="745"/>
      <c r="W36" s="782"/>
      <c r="X36" s="783"/>
      <c r="Y36" s="745"/>
      <c r="Z36" s="745"/>
      <c r="AA36" s="793"/>
      <c r="AB36" s="793"/>
      <c r="AC36" s="745"/>
      <c r="AD36" s="517"/>
      <c r="AE36" s="516"/>
      <c r="AF36" s="791"/>
      <c r="AG36" s="530"/>
      <c r="AH36" s="530"/>
      <c r="AI36" s="530"/>
      <c r="AJ36" s="530"/>
      <c r="AK36" s="530"/>
      <c r="AL36" s="813"/>
      <c r="AM36" s="808" t="s">
        <v>147</v>
      </c>
      <c r="AN36" s="746"/>
      <c r="AO36" s="747">
        <f>COUNTIF(AO25:AO35,"&gt;.01")</f>
        <v>8</v>
      </c>
      <c r="AP36" s="745"/>
      <c r="AQ36" s="830"/>
      <c r="AR36" s="305"/>
      <c r="AS36" s="781"/>
      <c r="AT36" s="772"/>
      <c r="AU36" s="822"/>
      <c r="AV36" s="772"/>
      <c r="AW36" s="772"/>
      <c r="AX36" s="838"/>
      <c r="AY36" s="838"/>
    </row>
    <row r="37" spans="1:51" s="149" customFormat="1" ht="22.5" hidden="1" customHeight="1">
      <c r="A37" s="751" t="s">
        <v>220</v>
      </c>
      <c r="B37" s="758"/>
      <c r="C37" s="758"/>
      <c r="D37" s="759"/>
      <c r="E37" s="754"/>
      <c r="F37" s="755"/>
      <c r="G37" s="756"/>
      <c r="H37" s="755"/>
      <c r="I37" s="755"/>
      <c r="J37" s="755"/>
      <c r="K37" s="755"/>
      <c r="L37" s="755"/>
      <c r="M37" s="755"/>
      <c r="N37" s="773"/>
      <c r="O37" s="755"/>
      <c r="P37" s="755"/>
      <c r="Q37" s="755"/>
      <c r="R37" s="755"/>
      <c r="S37" s="755"/>
      <c r="T37" s="784"/>
      <c r="U37" s="755"/>
      <c r="V37" s="755"/>
      <c r="W37" s="755"/>
      <c r="X37" s="755"/>
      <c r="Y37" s="755"/>
      <c r="Z37" s="755"/>
      <c r="AA37" s="755"/>
      <c r="AB37" s="755"/>
      <c r="AC37" s="755"/>
      <c r="AD37" s="755"/>
      <c r="AE37" s="315"/>
      <c r="AF37" s="794"/>
      <c r="AG37" s="756"/>
      <c r="AH37" s="756"/>
      <c r="AI37" s="756"/>
      <c r="AJ37" s="756"/>
      <c r="AK37" s="756"/>
      <c r="AL37" s="809" t="s">
        <v>221</v>
      </c>
      <c r="AM37" s="814"/>
      <c r="AN37" s="811"/>
      <c r="AO37" s="831"/>
      <c r="AP37" s="755"/>
      <c r="AQ37" s="832"/>
      <c r="AR37" s="828"/>
      <c r="AS37" s="828"/>
      <c r="AT37" s="752"/>
      <c r="AU37" s="829"/>
      <c r="AV37" s="752"/>
      <c r="AW37" s="752"/>
      <c r="AX37" s="841"/>
      <c r="AY37" s="842"/>
    </row>
    <row r="38" spans="1:51" s="531" customFormat="1" ht="22.5" customHeight="1">
      <c r="A38" s="741" t="s">
        <v>222</v>
      </c>
      <c r="B38" s="742" t="s">
        <v>51</v>
      </c>
      <c r="C38" s="423" t="s">
        <v>151</v>
      </c>
      <c r="D38" s="743">
        <v>24</v>
      </c>
      <c r="E38" s="448">
        <f t="shared" ref="E38:E48" si="11">AF38*12</f>
        <v>449676</v>
      </c>
      <c r="F38" s="448">
        <f t="shared" si="4"/>
        <v>449676</v>
      </c>
      <c r="G38" s="448" t="s">
        <v>131</v>
      </c>
      <c r="H38" s="447">
        <v>1</v>
      </c>
      <c r="I38" s="770" t="s">
        <v>223</v>
      </c>
      <c r="J38" s="447" t="s">
        <v>64</v>
      </c>
      <c r="K38" s="447" t="s">
        <v>55</v>
      </c>
      <c r="L38" s="447" t="s">
        <v>56</v>
      </c>
      <c r="M38" s="774" t="s">
        <v>57</v>
      </c>
      <c r="N38" s="545" t="s">
        <v>224</v>
      </c>
      <c r="O38" s="774" t="s">
        <v>225</v>
      </c>
      <c r="P38" s="774" t="str">
        <f t="shared" ref="P38:P48" si="12">UPPER(O38)</f>
        <v>BENJAMIN</v>
      </c>
      <c r="Q38" s="774"/>
      <c r="R38" s="774" t="s">
        <v>81</v>
      </c>
      <c r="S38" s="785" t="str">
        <f t="shared" ref="S38:S48" si="13">P38&amp;" "&amp;R38&amp;"."&amp;" "&amp;N38&amp;" "&amp;Q38</f>
        <v xml:space="preserve">BENJAMIN A. MADARIAGA </v>
      </c>
      <c r="T38" s="780">
        <v>37473</v>
      </c>
      <c r="U38" s="306" t="s">
        <v>226</v>
      </c>
      <c r="V38" s="774" t="s">
        <v>62</v>
      </c>
      <c r="W38" s="472">
        <v>16816</v>
      </c>
      <c r="X38" s="786">
        <f ca="1">(NOW()-W38)</f>
        <v>29289.538043402776</v>
      </c>
      <c r="Y38" s="774" t="s">
        <v>227</v>
      </c>
      <c r="Z38" s="774"/>
      <c r="AA38" s="795">
        <v>25520</v>
      </c>
      <c r="AB38" s="795">
        <v>39525</v>
      </c>
      <c r="AC38" s="774" t="s">
        <v>64</v>
      </c>
      <c r="AD38" s="796" t="s">
        <v>228</v>
      </c>
      <c r="AE38" s="512"/>
      <c r="AF38" s="791">
        <v>37473</v>
      </c>
      <c r="AG38" s="530">
        <v>31334</v>
      </c>
      <c r="AH38" s="530">
        <v>37473</v>
      </c>
      <c r="AI38" s="530"/>
      <c r="AJ38" s="530">
        <f t="shared" ref="AJ38:AJ48" si="14">AH38-AG38</f>
        <v>6139</v>
      </c>
      <c r="AK38" s="530"/>
      <c r="AL38" s="800" t="s">
        <v>66</v>
      </c>
      <c r="AM38" s="305" t="s">
        <v>222</v>
      </c>
      <c r="AN38" s="423" t="s">
        <v>151</v>
      </c>
      <c r="AO38" s="743">
        <v>24</v>
      </c>
      <c r="AP38" s="447">
        <v>1</v>
      </c>
      <c r="AQ38" s="780">
        <v>37473</v>
      </c>
      <c r="AR38" s="306" t="s">
        <v>226</v>
      </c>
      <c r="AS38" s="821" t="str">
        <f t="shared" ref="AS38:AS44" si="15">IF(AR38="(Vacant)",AR38,IF(AR38="",AR38,"With Incumbent"))</f>
        <v>With Incumbent</v>
      </c>
      <c r="AT38" s="534"/>
      <c r="AU38" s="822"/>
      <c r="AV38" s="534"/>
      <c r="AW38" s="534"/>
      <c r="AX38" s="837"/>
      <c r="AY38" s="838"/>
    </row>
    <row r="39" spans="1:51" s="531" customFormat="1" ht="22.5" customHeight="1">
      <c r="A39" s="741" t="s">
        <v>229</v>
      </c>
      <c r="B39" s="742" t="s">
        <v>51</v>
      </c>
      <c r="C39" s="423" t="s">
        <v>157</v>
      </c>
      <c r="D39" s="743">
        <v>22</v>
      </c>
      <c r="E39" s="448">
        <f>23294*12</f>
        <v>279528</v>
      </c>
      <c r="F39" s="448">
        <f t="shared" si="4"/>
        <v>395676</v>
      </c>
      <c r="G39" s="448">
        <v>260460</v>
      </c>
      <c r="H39" s="447">
        <v>1</v>
      </c>
      <c r="I39" s="770" t="s">
        <v>53</v>
      </c>
      <c r="J39" s="447" t="s">
        <v>54</v>
      </c>
      <c r="K39" s="447" t="s">
        <v>158</v>
      </c>
      <c r="L39" s="447" t="s">
        <v>56</v>
      </c>
      <c r="M39" s="774" t="s">
        <v>57</v>
      </c>
      <c r="N39" s="545" t="s">
        <v>230</v>
      </c>
      <c r="O39" s="447" t="s">
        <v>231</v>
      </c>
      <c r="P39" s="447" t="str">
        <f t="shared" si="12"/>
        <v>BABLE</v>
      </c>
      <c r="Q39" s="447"/>
      <c r="R39" s="447" t="s">
        <v>177</v>
      </c>
      <c r="S39" s="534" t="str">
        <f t="shared" si="13"/>
        <v xml:space="preserve">BABLE G. ADNOL </v>
      </c>
      <c r="T39" s="780">
        <v>32973</v>
      </c>
      <c r="U39" s="305" t="s">
        <v>232</v>
      </c>
      <c r="V39" s="447" t="s">
        <v>100</v>
      </c>
      <c r="W39" s="472">
        <v>25374</v>
      </c>
      <c r="X39" s="498">
        <f ca="1">(NOW()-W39)</f>
        <v>20731.538043287037</v>
      </c>
      <c r="Y39" s="447" t="s">
        <v>233</v>
      </c>
      <c r="Z39" s="447"/>
      <c r="AA39" s="493">
        <v>34808</v>
      </c>
      <c r="AB39" s="493">
        <v>40262</v>
      </c>
      <c r="AC39" s="447" t="s">
        <v>64</v>
      </c>
      <c r="AD39" s="512" t="s">
        <v>102</v>
      </c>
      <c r="AE39" s="512"/>
      <c r="AF39" s="791">
        <v>32973</v>
      </c>
      <c r="AG39" s="530">
        <v>28134</v>
      </c>
      <c r="AH39" s="530">
        <v>32973</v>
      </c>
      <c r="AI39" s="530"/>
      <c r="AJ39" s="530">
        <f t="shared" si="14"/>
        <v>4839</v>
      </c>
      <c r="AK39" s="530"/>
      <c r="AL39" s="800" t="s">
        <v>66</v>
      </c>
      <c r="AM39" s="305" t="s">
        <v>229</v>
      </c>
      <c r="AN39" s="423" t="s">
        <v>157</v>
      </c>
      <c r="AO39" s="743">
        <v>22</v>
      </c>
      <c r="AP39" s="447">
        <v>1</v>
      </c>
      <c r="AQ39" s="780">
        <v>32973</v>
      </c>
      <c r="AR39" s="305" t="s">
        <v>232</v>
      </c>
      <c r="AS39" s="821" t="str">
        <f t="shared" si="15"/>
        <v>With Incumbent</v>
      </c>
      <c r="AT39" s="534"/>
      <c r="AU39" s="822"/>
      <c r="AV39" s="534"/>
      <c r="AW39" s="534"/>
      <c r="AX39" s="837"/>
      <c r="AY39" s="838"/>
    </row>
    <row r="40" spans="1:51" s="531" customFormat="1" ht="22.5" customHeight="1">
      <c r="A40" s="741" t="s">
        <v>234</v>
      </c>
      <c r="B40" s="742" t="s">
        <v>51</v>
      </c>
      <c r="C40" s="423" t="s">
        <v>165</v>
      </c>
      <c r="D40" s="743">
        <v>20</v>
      </c>
      <c r="E40" s="448">
        <f>21537*12</f>
        <v>258444</v>
      </c>
      <c r="F40" s="448">
        <f t="shared" si="4"/>
        <v>348624</v>
      </c>
      <c r="G40" s="448">
        <v>253020</v>
      </c>
      <c r="H40" s="447">
        <v>1</v>
      </c>
      <c r="I40" s="770" t="s">
        <v>53</v>
      </c>
      <c r="J40" s="447" t="s">
        <v>54</v>
      </c>
      <c r="K40" s="447" t="s">
        <v>158</v>
      </c>
      <c r="L40" s="447" t="s">
        <v>56</v>
      </c>
      <c r="M40" s="616" t="s">
        <v>181</v>
      </c>
      <c r="N40" s="545" t="s">
        <v>235</v>
      </c>
      <c r="O40" s="447" t="s">
        <v>236</v>
      </c>
      <c r="P40" s="447" t="str">
        <f t="shared" si="12"/>
        <v>WILNELIA</v>
      </c>
      <c r="Q40" s="447"/>
      <c r="R40" s="447" t="s">
        <v>62</v>
      </c>
      <c r="S40" s="534" t="str">
        <f t="shared" si="13"/>
        <v xml:space="preserve">WILNELIA M. ACERET </v>
      </c>
      <c r="T40" s="780">
        <v>29052</v>
      </c>
      <c r="U40" s="305" t="s">
        <v>237</v>
      </c>
      <c r="V40" s="447" t="s">
        <v>100</v>
      </c>
      <c r="W40" s="472">
        <v>28103</v>
      </c>
      <c r="X40" s="498">
        <f ca="1">(NOW()-W40)</f>
        <v>18002.538043402776</v>
      </c>
      <c r="Y40" s="447" t="s">
        <v>238</v>
      </c>
      <c r="Z40" s="447"/>
      <c r="AA40" s="493">
        <v>36024</v>
      </c>
      <c r="AB40" s="493">
        <v>39874</v>
      </c>
      <c r="AC40" s="447" t="s">
        <v>64</v>
      </c>
      <c r="AD40" s="512" t="s">
        <v>102</v>
      </c>
      <c r="AE40" s="512"/>
      <c r="AF40" s="791">
        <v>29052</v>
      </c>
      <c r="AG40" s="530">
        <v>25295</v>
      </c>
      <c r="AH40" s="530">
        <v>29052</v>
      </c>
      <c r="AI40" s="530"/>
      <c r="AJ40" s="530">
        <f t="shared" si="14"/>
        <v>3757</v>
      </c>
      <c r="AK40" s="530"/>
      <c r="AL40" s="800" t="s">
        <v>66</v>
      </c>
      <c r="AM40" s="305" t="s">
        <v>234</v>
      </c>
      <c r="AN40" s="423" t="s">
        <v>165</v>
      </c>
      <c r="AO40" s="743">
        <v>20</v>
      </c>
      <c r="AP40" s="447">
        <v>1</v>
      </c>
      <c r="AQ40" s="780">
        <v>29052</v>
      </c>
      <c r="AR40" s="305" t="s">
        <v>237</v>
      </c>
      <c r="AS40" s="821" t="str">
        <f t="shared" si="15"/>
        <v>With Incumbent</v>
      </c>
      <c r="AT40" s="534"/>
      <c r="AU40" s="822"/>
      <c r="AV40" s="534"/>
      <c r="AW40" s="534"/>
      <c r="AX40" s="837"/>
      <c r="AY40" s="838"/>
    </row>
    <row r="41" spans="1:51" s="531" customFormat="1" ht="22.5" customHeight="1">
      <c r="A41" s="741" t="s">
        <v>239</v>
      </c>
      <c r="B41" s="742" t="s">
        <v>51</v>
      </c>
      <c r="C41" s="423" t="s">
        <v>165</v>
      </c>
      <c r="D41" s="743">
        <v>20</v>
      </c>
      <c r="E41" s="448">
        <f t="shared" si="11"/>
        <v>348624</v>
      </c>
      <c r="F41" s="448">
        <f t="shared" si="4"/>
        <v>360012</v>
      </c>
      <c r="G41" s="448">
        <v>240816</v>
      </c>
      <c r="H41" s="447">
        <v>3</v>
      </c>
      <c r="I41" s="770" t="s">
        <v>53</v>
      </c>
      <c r="J41" s="447" t="s">
        <v>54</v>
      </c>
      <c r="K41" s="447" t="s">
        <v>158</v>
      </c>
      <c r="L41" s="447" t="s">
        <v>56</v>
      </c>
      <c r="M41" s="616" t="s">
        <v>181</v>
      </c>
      <c r="N41" s="545" t="s">
        <v>240</v>
      </c>
      <c r="O41" s="447" t="s">
        <v>241</v>
      </c>
      <c r="P41" s="447" t="str">
        <f t="shared" si="12"/>
        <v>ANTONIO</v>
      </c>
      <c r="Q41" s="447"/>
      <c r="R41" s="447" t="s">
        <v>122</v>
      </c>
      <c r="S41" s="534" t="str">
        <f t="shared" si="13"/>
        <v xml:space="preserve">ANTONIO C. BALDERAMA </v>
      </c>
      <c r="T41" s="780">
        <v>30001</v>
      </c>
      <c r="U41" s="305" t="s">
        <v>242</v>
      </c>
      <c r="V41" s="447" t="s">
        <v>62</v>
      </c>
      <c r="W41" s="472">
        <v>17986</v>
      </c>
      <c r="X41" s="498">
        <f ca="1">(NOW()-W41)</f>
        <v>28119.538043287037</v>
      </c>
      <c r="Y41" s="447" t="s">
        <v>243</v>
      </c>
      <c r="Z41" s="472">
        <v>31371</v>
      </c>
      <c r="AA41" s="493">
        <v>25385</v>
      </c>
      <c r="AB41" s="493">
        <v>37987</v>
      </c>
      <c r="AC41" s="447" t="s">
        <v>64</v>
      </c>
      <c r="AD41" s="512" t="s">
        <v>102</v>
      </c>
      <c r="AE41" s="512"/>
      <c r="AF41" s="791">
        <v>29052</v>
      </c>
      <c r="AG41" s="530">
        <v>26314</v>
      </c>
      <c r="AH41" s="530">
        <v>30001</v>
      </c>
      <c r="AI41" s="530"/>
      <c r="AJ41" s="530">
        <f t="shared" si="14"/>
        <v>3687</v>
      </c>
      <c r="AK41" s="530"/>
      <c r="AL41" s="800" t="s">
        <v>66</v>
      </c>
      <c r="AM41" s="305" t="s">
        <v>239</v>
      </c>
      <c r="AN41" s="423" t="s">
        <v>165</v>
      </c>
      <c r="AO41" s="743">
        <v>20</v>
      </c>
      <c r="AP41" s="447">
        <v>3</v>
      </c>
      <c r="AQ41" s="780">
        <v>30001</v>
      </c>
      <c r="AR41" s="305" t="s">
        <v>242</v>
      </c>
      <c r="AS41" s="821" t="str">
        <f t="shared" si="15"/>
        <v>With Incumbent</v>
      </c>
      <c r="AT41" s="534"/>
      <c r="AU41" s="822"/>
      <c r="AV41" s="534"/>
      <c r="AW41" s="534"/>
      <c r="AX41" s="837"/>
      <c r="AY41" s="838"/>
    </row>
    <row r="42" spans="1:51" s="531" customFormat="1" ht="22.5" hidden="1" customHeight="1">
      <c r="A42" s="741" t="s">
        <v>244</v>
      </c>
      <c r="B42" s="742" t="s">
        <v>51</v>
      </c>
      <c r="C42" s="423" t="s">
        <v>187</v>
      </c>
      <c r="D42" s="743">
        <v>18</v>
      </c>
      <c r="E42" s="448">
        <f t="shared" si="11"/>
        <v>303108</v>
      </c>
      <c r="F42" s="448">
        <f t="shared" si="4"/>
        <v>303108</v>
      </c>
      <c r="G42" s="448" t="s">
        <v>131</v>
      </c>
      <c r="H42" s="447">
        <v>1</v>
      </c>
      <c r="I42" s="770" t="s">
        <v>53</v>
      </c>
      <c r="J42" s="447" t="s">
        <v>54</v>
      </c>
      <c r="K42" s="447" t="s">
        <v>158</v>
      </c>
      <c r="L42" s="447" t="s">
        <v>56</v>
      </c>
      <c r="M42" s="447"/>
      <c r="N42" s="545"/>
      <c r="O42" s="447"/>
      <c r="P42" s="447" t="str">
        <f t="shared" si="12"/>
        <v/>
      </c>
      <c r="Q42" s="447"/>
      <c r="R42" s="447"/>
      <c r="S42" s="534" t="str">
        <f t="shared" si="13"/>
        <v xml:space="preserve"> .  </v>
      </c>
      <c r="T42" s="780">
        <v>25259</v>
      </c>
      <c r="U42" s="781" t="s">
        <v>88</v>
      </c>
      <c r="V42" s="424"/>
      <c r="W42" s="472"/>
      <c r="X42" s="424"/>
      <c r="Y42" s="424"/>
      <c r="Z42" s="424"/>
      <c r="AA42" s="495"/>
      <c r="AB42" s="495"/>
      <c r="AC42" s="424"/>
      <c r="AD42" s="516"/>
      <c r="AE42" s="512"/>
      <c r="AF42" s="791">
        <v>25259</v>
      </c>
      <c r="AG42" s="530">
        <v>22214</v>
      </c>
      <c r="AH42" s="530">
        <v>25259</v>
      </c>
      <c r="AI42" s="530"/>
      <c r="AJ42" s="530">
        <f t="shared" si="14"/>
        <v>3045</v>
      </c>
      <c r="AK42" s="530"/>
      <c r="AL42" s="803" t="s">
        <v>245</v>
      </c>
      <c r="AM42" s="305" t="s">
        <v>244</v>
      </c>
      <c r="AN42" s="423" t="s">
        <v>165</v>
      </c>
      <c r="AO42" s="743">
        <v>20</v>
      </c>
      <c r="AP42" s="447">
        <v>1</v>
      </c>
      <c r="AQ42" s="780">
        <v>29052</v>
      </c>
      <c r="AR42" s="781" t="s">
        <v>88</v>
      </c>
      <c r="AS42" s="823" t="str">
        <f t="shared" si="15"/>
        <v>(Vacant)</v>
      </c>
      <c r="AT42" s="534"/>
      <c r="AU42" s="822" t="s">
        <v>246</v>
      </c>
      <c r="AV42" s="534" t="s">
        <v>90</v>
      </c>
      <c r="AW42" s="534" t="s">
        <v>247</v>
      </c>
      <c r="AX42" s="837" t="s">
        <v>92</v>
      </c>
      <c r="AY42" s="838" t="s">
        <v>93</v>
      </c>
    </row>
    <row r="43" spans="1:51" s="531" customFormat="1" ht="22.5" customHeight="1">
      <c r="A43" s="741" t="s">
        <v>248</v>
      </c>
      <c r="B43" s="742" t="s">
        <v>51</v>
      </c>
      <c r="C43" s="423" t="s">
        <v>187</v>
      </c>
      <c r="D43" s="743">
        <v>18</v>
      </c>
      <c r="E43" s="448">
        <f t="shared" si="11"/>
        <v>303108</v>
      </c>
      <c r="F43" s="448">
        <f t="shared" si="4"/>
        <v>303108</v>
      </c>
      <c r="G43" s="448" t="s">
        <v>131</v>
      </c>
      <c r="H43" s="447">
        <v>1</v>
      </c>
      <c r="I43" s="770" t="s">
        <v>53</v>
      </c>
      <c r="J43" s="447" t="s">
        <v>54</v>
      </c>
      <c r="K43" s="447" t="s">
        <v>158</v>
      </c>
      <c r="L43" s="447" t="s">
        <v>56</v>
      </c>
      <c r="M43" s="774" t="s">
        <v>57</v>
      </c>
      <c r="N43" s="545" t="s">
        <v>249</v>
      </c>
      <c r="O43" s="447" t="s">
        <v>250</v>
      </c>
      <c r="P43" s="447" t="str">
        <f t="shared" si="12"/>
        <v>MARY ANN</v>
      </c>
      <c r="Q43" s="447"/>
      <c r="R43" s="447" t="s">
        <v>251</v>
      </c>
      <c r="S43" s="534" t="str">
        <f t="shared" si="13"/>
        <v xml:space="preserve">MARY ANN J. GRIBA </v>
      </c>
      <c r="T43" s="780">
        <v>25259</v>
      </c>
      <c r="U43" s="305" t="s">
        <v>252</v>
      </c>
      <c r="V43" s="447" t="s">
        <v>100</v>
      </c>
      <c r="W43" s="472">
        <v>25230</v>
      </c>
      <c r="X43" s="498">
        <f ca="1">(NOW()-W43)</f>
        <v>20875.538043402776</v>
      </c>
      <c r="Y43" s="447" t="s">
        <v>253</v>
      </c>
      <c r="Z43" s="447"/>
      <c r="AA43" s="493">
        <v>36074</v>
      </c>
      <c r="AB43" s="493">
        <v>40262</v>
      </c>
      <c r="AC43" s="447" t="s">
        <v>64</v>
      </c>
      <c r="AD43" s="512" t="s">
        <v>102</v>
      </c>
      <c r="AE43" s="512"/>
      <c r="AF43" s="791">
        <v>25259</v>
      </c>
      <c r="AG43" s="530">
        <v>22214</v>
      </c>
      <c r="AH43" s="530">
        <v>25259</v>
      </c>
      <c r="AI43" s="530"/>
      <c r="AJ43" s="530">
        <f t="shared" si="14"/>
        <v>3045</v>
      </c>
      <c r="AK43" s="530"/>
      <c r="AL43" s="800" t="s">
        <v>66</v>
      </c>
      <c r="AM43" s="305" t="s">
        <v>248</v>
      </c>
      <c r="AN43" s="423" t="s">
        <v>187</v>
      </c>
      <c r="AO43" s="743">
        <v>18</v>
      </c>
      <c r="AP43" s="447">
        <v>1</v>
      </c>
      <c r="AQ43" s="780">
        <v>25259</v>
      </c>
      <c r="AR43" s="305" t="s">
        <v>252</v>
      </c>
      <c r="AS43" s="821" t="str">
        <f t="shared" si="15"/>
        <v>With Incumbent</v>
      </c>
      <c r="AT43" s="534"/>
      <c r="AU43" s="822"/>
      <c r="AV43" s="534"/>
      <c r="AW43" s="534"/>
      <c r="AX43" s="837"/>
      <c r="AY43" s="838"/>
    </row>
    <row r="44" spans="1:51" s="531" customFormat="1" ht="22.5" customHeight="1">
      <c r="A44" s="741" t="s">
        <v>254</v>
      </c>
      <c r="B44" s="742" t="s">
        <v>51</v>
      </c>
      <c r="C44" s="423" t="s">
        <v>187</v>
      </c>
      <c r="D44" s="743">
        <v>18</v>
      </c>
      <c r="E44" s="448">
        <f t="shared" si="11"/>
        <v>303108</v>
      </c>
      <c r="F44" s="448">
        <f t="shared" si="4"/>
        <v>303108</v>
      </c>
      <c r="G44" s="448" t="s">
        <v>131</v>
      </c>
      <c r="H44" s="447">
        <v>1</v>
      </c>
      <c r="I44" s="770" t="s">
        <v>53</v>
      </c>
      <c r="J44" s="447" t="s">
        <v>54</v>
      </c>
      <c r="K44" s="447" t="s">
        <v>158</v>
      </c>
      <c r="L44" s="447" t="s">
        <v>56</v>
      </c>
      <c r="M44" s="447" t="s">
        <v>57</v>
      </c>
      <c r="N44" s="545" t="s">
        <v>255</v>
      </c>
      <c r="O44" s="447" t="s">
        <v>256</v>
      </c>
      <c r="P44" s="447" t="str">
        <f t="shared" si="12"/>
        <v>CHERYL ROSE</v>
      </c>
      <c r="Q44" s="447"/>
      <c r="R44" s="447" t="s">
        <v>100</v>
      </c>
      <c r="S44" s="534" t="str">
        <f t="shared" si="13"/>
        <v xml:space="preserve">CHERYL ROSE F. CARDENAS </v>
      </c>
      <c r="T44" s="780">
        <v>25259</v>
      </c>
      <c r="U44" s="305" t="s">
        <v>257</v>
      </c>
      <c r="V44" s="447" t="s">
        <v>100</v>
      </c>
      <c r="W44" s="472">
        <v>22338</v>
      </c>
      <c r="X44" s="498">
        <f ca="1">(NOW()-W44)</f>
        <v>23767.538043287037</v>
      </c>
      <c r="Y44" s="447" t="s">
        <v>258</v>
      </c>
      <c r="Z44" s="472">
        <v>35096</v>
      </c>
      <c r="AA44" s="493">
        <v>31719</v>
      </c>
      <c r="AB44" s="493">
        <v>40262</v>
      </c>
      <c r="AC44" s="447" t="s">
        <v>64</v>
      </c>
      <c r="AD44" s="512" t="s">
        <v>102</v>
      </c>
      <c r="AE44" s="512"/>
      <c r="AF44" s="791">
        <v>25259</v>
      </c>
      <c r="AG44" s="530">
        <v>22214</v>
      </c>
      <c r="AH44" s="530">
        <v>25259</v>
      </c>
      <c r="AI44" s="530"/>
      <c r="AJ44" s="530">
        <f t="shared" si="14"/>
        <v>3045</v>
      </c>
      <c r="AK44" s="530"/>
      <c r="AL44" s="800" t="s">
        <v>66</v>
      </c>
      <c r="AM44" s="305" t="s">
        <v>254</v>
      </c>
      <c r="AN44" s="423" t="s">
        <v>187</v>
      </c>
      <c r="AO44" s="743">
        <v>18</v>
      </c>
      <c r="AP44" s="447">
        <v>1</v>
      </c>
      <c r="AQ44" s="780">
        <v>25259</v>
      </c>
      <c r="AR44" s="305" t="s">
        <v>257</v>
      </c>
      <c r="AS44" s="821" t="str">
        <f t="shared" si="15"/>
        <v>With Incumbent</v>
      </c>
      <c r="AT44" s="534"/>
      <c r="AU44" s="822"/>
      <c r="AV44" s="534"/>
      <c r="AW44" s="534"/>
      <c r="AX44" s="837"/>
      <c r="AY44" s="838"/>
    </row>
    <row r="45" spans="1:51" s="531" customFormat="1" ht="22.5" hidden="1" customHeight="1">
      <c r="A45" s="741" t="s">
        <v>259</v>
      </c>
      <c r="B45" s="742" t="s">
        <v>51</v>
      </c>
      <c r="C45" s="423" t="s">
        <v>187</v>
      </c>
      <c r="D45" s="743">
        <v>18</v>
      </c>
      <c r="E45" s="448">
        <f t="shared" si="11"/>
        <v>303108</v>
      </c>
      <c r="F45" s="448">
        <f t="shared" si="4"/>
        <v>303108</v>
      </c>
      <c r="G45" s="448" t="s">
        <v>131</v>
      </c>
      <c r="H45" s="447">
        <v>1</v>
      </c>
      <c r="I45" s="770" t="s">
        <v>260</v>
      </c>
      <c r="J45" s="447" t="s">
        <v>62</v>
      </c>
      <c r="K45" s="447" t="s">
        <v>158</v>
      </c>
      <c r="L45" s="447" t="s">
        <v>56</v>
      </c>
      <c r="M45" s="447"/>
      <c r="N45" s="545"/>
      <c r="O45" s="447"/>
      <c r="P45" s="447" t="str">
        <f t="shared" si="12"/>
        <v/>
      </c>
      <c r="Q45" s="447"/>
      <c r="R45" s="447"/>
      <c r="S45" s="534" t="str">
        <f t="shared" si="13"/>
        <v xml:space="preserve"> .  </v>
      </c>
      <c r="T45" s="780">
        <v>25259</v>
      </c>
      <c r="U45" s="781" t="s">
        <v>88</v>
      </c>
      <c r="V45" s="447"/>
      <c r="W45" s="472"/>
      <c r="X45" s="447"/>
      <c r="Y45" s="447"/>
      <c r="Z45" s="447"/>
      <c r="AA45" s="493"/>
      <c r="AB45" s="493"/>
      <c r="AC45" s="447"/>
      <c r="AD45" s="512"/>
      <c r="AE45" s="512"/>
      <c r="AF45" s="791">
        <v>25259</v>
      </c>
      <c r="AG45" s="530">
        <v>22214</v>
      </c>
      <c r="AH45" s="530">
        <v>25259</v>
      </c>
      <c r="AI45" s="530"/>
      <c r="AJ45" s="530">
        <f t="shared" si="14"/>
        <v>3045</v>
      </c>
      <c r="AK45" s="530"/>
      <c r="AL45" s="806" t="s">
        <v>126</v>
      </c>
      <c r="AM45" s="305"/>
      <c r="AN45" s="742"/>
      <c r="AO45" s="743"/>
      <c r="AP45" s="447"/>
      <c r="AQ45" s="780"/>
      <c r="AR45" s="781"/>
      <c r="AS45" s="781"/>
      <c r="AT45" s="534"/>
      <c r="AU45" s="822"/>
      <c r="AV45" s="534"/>
      <c r="AW45" s="534"/>
      <c r="AX45" s="837"/>
      <c r="AY45" s="838"/>
    </row>
    <row r="46" spans="1:51" s="531" customFormat="1" ht="22.5" hidden="1" customHeight="1">
      <c r="A46" s="741"/>
      <c r="B46" s="742"/>
      <c r="C46" s="423"/>
      <c r="D46" s="743"/>
      <c r="E46" s="448">
        <f t="shared" si="11"/>
        <v>245880</v>
      </c>
      <c r="F46" s="448">
        <f t="shared" si="4"/>
        <v>254064</v>
      </c>
      <c r="G46" s="448">
        <v>179940</v>
      </c>
      <c r="H46" s="447"/>
      <c r="I46" s="770" t="s">
        <v>53</v>
      </c>
      <c r="J46" s="447" t="s">
        <v>54</v>
      </c>
      <c r="K46" s="447" t="s">
        <v>77</v>
      </c>
      <c r="L46" s="447" t="s">
        <v>56</v>
      </c>
      <c r="M46" s="447" t="s">
        <v>57</v>
      </c>
      <c r="N46" s="545" t="s">
        <v>106</v>
      </c>
      <c r="O46" s="447" t="s">
        <v>107</v>
      </c>
      <c r="P46" s="447" t="str">
        <f t="shared" si="12"/>
        <v>MARLON</v>
      </c>
      <c r="Q46" s="447"/>
      <c r="R46" s="447" t="s">
        <v>77</v>
      </c>
      <c r="S46" s="534" t="str">
        <f t="shared" si="13"/>
        <v xml:space="preserve">MARLON S. WALANG </v>
      </c>
      <c r="T46" s="780"/>
      <c r="U46" s="305"/>
      <c r="V46" s="447" t="s">
        <v>62</v>
      </c>
      <c r="W46" s="472">
        <v>27738</v>
      </c>
      <c r="X46" s="498">
        <f ca="1">(NOW()-W46)</f>
        <v>18367.538043402776</v>
      </c>
      <c r="Y46" s="447" t="s">
        <v>109</v>
      </c>
      <c r="Z46" s="447"/>
      <c r="AA46" s="493">
        <v>36461</v>
      </c>
      <c r="AB46" s="493">
        <v>37355</v>
      </c>
      <c r="AC46" s="447" t="s">
        <v>64</v>
      </c>
      <c r="AD46" s="512" t="s">
        <v>84</v>
      </c>
      <c r="AE46" s="512"/>
      <c r="AF46" s="791">
        <v>20490</v>
      </c>
      <c r="AG46" s="530">
        <v>19040</v>
      </c>
      <c r="AH46" s="530">
        <v>21172</v>
      </c>
      <c r="AI46" s="530"/>
      <c r="AJ46" s="530">
        <f t="shared" si="14"/>
        <v>2132</v>
      </c>
      <c r="AK46" s="530"/>
      <c r="AL46" s="803" t="s">
        <v>261</v>
      </c>
      <c r="AM46" s="305" t="s">
        <v>104</v>
      </c>
      <c r="AN46" s="423" t="s">
        <v>262</v>
      </c>
      <c r="AO46" s="743">
        <v>15</v>
      </c>
      <c r="AP46" s="447">
        <v>3</v>
      </c>
      <c r="AQ46" s="780">
        <v>21172</v>
      </c>
      <c r="AR46" s="305" t="s">
        <v>108</v>
      </c>
      <c r="AS46" s="821" t="str">
        <f>IF(AR46="(Vacant)",AR46,IF(AR46="",AR46,"With Incumbent"))</f>
        <v>With Incumbent</v>
      </c>
      <c r="AT46" s="534"/>
      <c r="AU46" s="822"/>
      <c r="AV46" s="534"/>
      <c r="AW46" s="534"/>
      <c r="AX46" s="837"/>
      <c r="AY46" s="838"/>
    </row>
    <row r="47" spans="1:51" s="531" customFormat="1" ht="22.5" customHeight="1">
      <c r="A47" s="741" t="s">
        <v>263</v>
      </c>
      <c r="B47" s="742" t="s">
        <v>51</v>
      </c>
      <c r="C47" s="423" t="s">
        <v>264</v>
      </c>
      <c r="D47" s="743">
        <v>11</v>
      </c>
      <c r="E47" s="448">
        <f t="shared" si="11"/>
        <v>187788</v>
      </c>
      <c r="F47" s="448">
        <f t="shared" si="4"/>
        <v>187788</v>
      </c>
      <c r="G47" s="448" t="s">
        <v>131</v>
      </c>
      <c r="H47" s="447">
        <v>1</v>
      </c>
      <c r="I47" s="770" t="s">
        <v>53</v>
      </c>
      <c r="J47" s="447" t="s">
        <v>54</v>
      </c>
      <c r="K47" s="447" t="s">
        <v>77</v>
      </c>
      <c r="L47" s="447" t="s">
        <v>56</v>
      </c>
      <c r="M47" s="447"/>
      <c r="N47" s="545"/>
      <c r="O47" s="447"/>
      <c r="P47" s="447" t="str">
        <f t="shared" si="12"/>
        <v/>
      </c>
      <c r="Q47" s="447"/>
      <c r="R47" s="447"/>
      <c r="S47" s="534" t="str">
        <f t="shared" si="13"/>
        <v xml:space="preserve"> .  </v>
      </c>
      <c r="T47" s="780">
        <v>15649</v>
      </c>
      <c r="U47" s="781" t="s">
        <v>88</v>
      </c>
      <c r="V47" s="447"/>
      <c r="W47" s="472"/>
      <c r="X47" s="447"/>
      <c r="Y47" s="447"/>
      <c r="Z47" s="447"/>
      <c r="AA47" s="493"/>
      <c r="AB47" s="493"/>
      <c r="AC47" s="447"/>
      <c r="AD47" s="512"/>
      <c r="AE47" s="512"/>
      <c r="AF47" s="791">
        <v>15649</v>
      </c>
      <c r="AG47" s="530">
        <v>14198</v>
      </c>
      <c r="AH47" s="530">
        <v>15649</v>
      </c>
      <c r="AI47" s="530"/>
      <c r="AJ47" s="530">
        <f t="shared" si="14"/>
        <v>1451</v>
      </c>
      <c r="AK47" s="530"/>
      <c r="AL47" s="800" t="s">
        <v>66</v>
      </c>
      <c r="AM47" s="305" t="s">
        <v>263</v>
      </c>
      <c r="AN47" s="423" t="s">
        <v>264</v>
      </c>
      <c r="AO47" s="743">
        <v>11</v>
      </c>
      <c r="AP47" s="447">
        <v>1</v>
      </c>
      <c r="AQ47" s="780">
        <v>15649</v>
      </c>
      <c r="AR47" s="781" t="s">
        <v>88</v>
      </c>
      <c r="AS47" s="823" t="str">
        <f>IF(AR47="(Vacant)",AR47,IF(AR47="",AR47,"With Incumbent"))</f>
        <v>(Vacant)</v>
      </c>
      <c r="AT47" s="534"/>
      <c r="AU47" s="822" t="s">
        <v>89</v>
      </c>
      <c r="AV47" s="534" t="s">
        <v>265</v>
      </c>
      <c r="AW47" s="534" t="s">
        <v>265</v>
      </c>
      <c r="AX47" s="837" t="s">
        <v>92</v>
      </c>
      <c r="AY47" s="838" t="s">
        <v>93</v>
      </c>
    </row>
    <row r="48" spans="1:51" s="531" customFormat="1" ht="22.5" hidden="1" customHeight="1">
      <c r="A48" s="741" t="s">
        <v>266</v>
      </c>
      <c r="B48" s="742" t="s">
        <v>51</v>
      </c>
      <c r="C48" s="423" t="s">
        <v>267</v>
      </c>
      <c r="D48" s="743">
        <v>4</v>
      </c>
      <c r="E48" s="448">
        <f t="shared" si="11"/>
        <v>114432</v>
      </c>
      <c r="F48" s="448">
        <f t="shared" si="4"/>
        <v>116280</v>
      </c>
      <c r="G48" s="448">
        <v>88224</v>
      </c>
      <c r="H48" s="447">
        <v>2</v>
      </c>
      <c r="I48" s="770" t="s">
        <v>53</v>
      </c>
      <c r="J48" s="447" t="s">
        <v>54</v>
      </c>
      <c r="K48" s="447" t="s">
        <v>81</v>
      </c>
      <c r="L48" s="447" t="s">
        <v>56</v>
      </c>
      <c r="M48" s="616" t="s">
        <v>268</v>
      </c>
      <c r="N48" s="545" t="s">
        <v>269</v>
      </c>
      <c r="O48" s="447" t="s">
        <v>270</v>
      </c>
      <c r="P48" s="447" t="str">
        <f t="shared" si="12"/>
        <v>RAYMUNDO JACINTO</v>
      </c>
      <c r="Q48" s="447"/>
      <c r="R48" s="447" t="s">
        <v>64</v>
      </c>
      <c r="S48" s="534" t="str">
        <f t="shared" si="13"/>
        <v xml:space="preserve">RAYMUNDO JACINTO P. BASCO </v>
      </c>
      <c r="T48" s="780">
        <v>9690</v>
      </c>
      <c r="U48" s="305" t="s">
        <v>271</v>
      </c>
      <c r="V48" s="447" t="s">
        <v>62</v>
      </c>
      <c r="W48" s="472">
        <v>28517</v>
      </c>
      <c r="X48" s="498">
        <f ca="1">(NOW()-W48)</f>
        <v>17588.538043402776</v>
      </c>
      <c r="Y48" s="447" t="s">
        <v>272</v>
      </c>
      <c r="Z48" s="447"/>
      <c r="AA48" s="493">
        <v>38231</v>
      </c>
      <c r="AB48" s="493">
        <v>38231</v>
      </c>
      <c r="AC48" s="447" t="s">
        <v>64</v>
      </c>
      <c r="AD48" s="512" t="s">
        <v>102</v>
      </c>
      <c r="AE48" s="512"/>
      <c r="AF48" s="791">
        <v>9536</v>
      </c>
      <c r="AG48" s="530">
        <v>8888</v>
      </c>
      <c r="AH48" s="530">
        <v>9690</v>
      </c>
      <c r="AI48" s="530"/>
      <c r="AJ48" s="530">
        <f t="shared" si="14"/>
        <v>802</v>
      </c>
      <c r="AK48" s="530"/>
      <c r="AL48" s="803" t="s">
        <v>245</v>
      </c>
      <c r="AM48" s="305" t="s">
        <v>266</v>
      </c>
      <c r="AN48" s="423" t="s">
        <v>273</v>
      </c>
      <c r="AO48" s="743">
        <v>6</v>
      </c>
      <c r="AP48" s="447">
        <v>1</v>
      </c>
      <c r="AQ48" s="780">
        <v>11062</v>
      </c>
      <c r="AR48" s="305" t="s">
        <v>271</v>
      </c>
      <c r="AS48" s="821" t="str">
        <f>IF(AR48="(Vacant)",AR48,IF(AR48="",AR48,"With Incumbent"))</f>
        <v>With Incumbent</v>
      </c>
      <c r="AT48" s="534"/>
      <c r="AU48" s="822"/>
      <c r="AV48" s="534"/>
      <c r="AW48" s="534"/>
      <c r="AX48" s="837"/>
      <c r="AY48" s="838"/>
    </row>
    <row r="49" spans="1:51" s="531" customFormat="1" ht="22.5" hidden="1" customHeight="1">
      <c r="A49" s="744" t="s">
        <v>147</v>
      </c>
      <c r="B49" s="533"/>
      <c r="C49" s="746"/>
      <c r="D49" s="747">
        <f>COUNTIF(D38:D48,"&gt;.01")</f>
        <v>10</v>
      </c>
      <c r="E49" s="448"/>
      <c r="F49" s="749"/>
      <c r="G49" s="750"/>
      <c r="H49" s="745"/>
      <c r="I49" s="771"/>
      <c r="J49" s="745"/>
      <c r="K49" s="745"/>
      <c r="L49" s="745"/>
      <c r="M49" s="775"/>
      <c r="N49" s="772"/>
      <c r="O49" s="745"/>
      <c r="P49" s="745"/>
      <c r="Q49" s="745"/>
      <c r="R49" s="745"/>
      <c r="S49" s="772"/>
      <c r="T49" s="780"/>
      <c r="U49" s="772"/>
      <c r="V49" s="745"/>
      <c r="W49" s="782"/>
      <c r="X49" s="783"/>
      <c r="Y49" s="745"/>
      <c r="Z49" s="745"/>
      <c r="AA49" s="793"/>
      <c r="AB49" s="793"/>
      <c r="AC49" s="745"/>
      <c r="AD49" s="517"/>
      <c r="AE49" s="516"/>
      <c r="AF49" s="791"/>
      <c r="AG49" s="530"/>
      <c r="AH49" s="530"/>
      <c r="AI49" s="530"/>
      <c r="AJ49" s="530"/>
      <c r="AK49" s="530"/>
      <c r="AL49" s="807"/>
      <c r="AM49" s="808" t="s">
        <v>147</v>
      </c>
      <c r="AN49" s="746"/>
      <c r="AO49" s="747">
        <f>COUNTIF(AO38:AO48,"&gt;.01")</f>
        <v>10</v>
      </c>
      <c r="AP49" s="745"/>
      <c r="AQ49" s="830"/>
      <c r="AR49" s="305"/>
      <c r="AS49" s="833"/>
      <c r="AT49" s="772"/>
      <c r="AU49" s="822"/>
      <c r="AV49" s="772"/>
      <c r="AW49" s="772"/>
      <c r="AX49" s="838"/>
      <c r="AY49" s="838"/>
    </row>
    <row r="50" spans="1:51" s="149" customFormat="1" ht="22.5" hidden="1" customHeight="1">
      <c r="A50" s="751" t="s">
        <v>274</v>
      </c>
      <c r="B50" s="758"/>
      <c r="C50" s="758"/>
      <c r="D50" s="759"/>
      <c r="E50" s="760"/>
      <c r="F50" s="755"/>
      <c r="G50" s="756"/>
      <c r="H50" s="755"/>
      <c r="I50" s="755"/>
      <c r="J50" s="755"/>
      <c r="K50" s="755"/>
      <c r="L50" s="755"/>
      <c r="M50" s="755"/>
      <c r="N50" s="773"/>
      <c r="O50" s="755"/>
      <c r="P50" s="755"/>
      <c r="Q50" s="755"/>
      <c r="R50" s="755"/>
      <c r="S50" s="755"/>
      <c r="T50" s="784"/>
      <c r="U50" s="755"/>
      <c r="V50" s="755"/>
      <c r="W50" s="755"/>
      <c r="X50" s="755"/>
      <c r="Y50" s="755"/>
      <c r="Z50" s="755"/>
      <c r="AA50" s="755"/>
      <c r="AB50" s="755"/>
      <c r="AC50" s="755"/>
      <c r="AD50" s="755"/>
      <c r="AE50" s="315"/>
      <c r="AF50" s="794"/>
      <c r="AG50" s="756"/>
      <c r="AH50" s="756"/>
      <c r="AI50" s="756"/>
      <c r="AJ50" s="756"/>
      <c r="AK50" s="756"/>
      <c r="AL50" s="815" t="s">
        <v>275</v>
      </c>
      <c r="AM50" s="816"/>
      <c r="AN50" s="811"/>
      <c r="AO50" s="831"/>
      <c r="AP50" s="755"/>
      <c r="AQ50" s="832"/>
      <c r="AR50" s="828"/>
      <c r="AS50" s="755"/>
      <c r="AT50" s="752"/>
      <c r="AU50" s="829"/>
      <c r="AV50" s="752"/>
      <c r="AW50" s="752"/>
      <c r="AX50" s="841"/>
      <c r="AY50" s="842"/>
    </row>
    <row r="51" spans="1:51" s="531" customFormat="1" ht="22.5" customHeight="1">
      <c r="A51" s="741" t="s">
        <v>276</v>
      </c>
      <c r="B51" s="742" t="s">
        <v>51</v>
      </c>
      <c r="C51" s="423" t="s">
        <v>277</v>
      </c>
      <c r="D51" s="757" t="s">
        <v>278</v>
      </c>
      <c r="E51" s="448">
        <f t="shared" ref="E51:E83" si="16">AF51*12</f>
        <v>449676</v>
      </c>
      <c r="F51" s="448">
        <f t="shared" si="4"/>
        <v>449676</v>
      </c>
      <c r="G51" s="448" t="s">
        <v>131</v>
      </c>
      <c r="H51" s="447">
        <v>1</v>
      </c>
      <c r="I51" s="770" t="s">
        <v>53</v>
      </c>
      <c r="J51" s="447" t="s">
        <v>54</v>
      </c>
      <c r="K51" s="447" t="s">
        <v>55</v>
      </c>
      <c r="L51" s="447" t="s">
        <v>56</v>
      </c>
      <c r="M51" s="447"/>
      <c r="N51" s="545"/>
      <c r="O51" s="447"/>
      <c r="P51" s="447" t="str">
        <f t="shared" ref="P51:P83" si="17">UPPER(O51)</f>
        <v/>
      </c>
      <c r="Q51" s="447"/>
      <c r="R51" s="447"/>
      <c r="S51" s="534" t="s">
        <v>279</v>
      </c>
      <c r="T51" s="780">
        <v>37473</v>
      </c>
      <c r="U51" s="781" t="s">
        <v>88</v>
      </c>
      <c r="V51" s="447"/>
      <c r="W51" s="472"/>
      <c r="X51" s="447"/>
      <c r="Y51" s="447"/>
      <c r="Z51" s="447"/>
      <c r="AA51" s="493"/>
      <c r="AB51" s="493"/>
      <c r="AC51" s="447"/>
      <c r="AD51" s="512"/>
      <c r="AE51" s="512"/>
      <c r="AF51" s="791">
        <v>37473</v>
      </c>
      <c r="AG51" s="530">
        <v>31334</v>
      </c>
      <c r="AH51" s="530">
        <v>37473</v>
      </c>
      <c r="AI51" s="530"/>
      <c r="AJ51" s="530">
        <f t="shared" ref="AJ51:AJ83" si="18">AH51-AG51</f>
        <v>6139</v>
      </c>
      <c r="AK51" s="530"/>
      <c r="AL51" s="800" t="s">
        <v>66</v>
      </c>
      <c r="AM51" s="305" t="s">
        <v>276</v>
      </c>
      <c r="AN51" s="423" t="s">
        <v>277</v>
      </c>
      <c r="AO51" s="757" t="s">
        <v>278</v>
      </c>
      <c r="AP51" s="447">
        <v>1</v>
      </c>
      <c r="AQ51" s="780">
        <v>37473</v>
      </c>
      <c r="AR51" s="781" t="s">
        <v>88</v>
      </c>
      <c r="AS51" s="823" t="str">
        <f t="shared" ref="AS51:AS64" si="19">IF(AR51="(Vacant)",AR51,IF(AR51="",AR51,"With Incumbent"))</f>
        <v>(Vacant)</v>
      </c>
      <c r="AT51" s="534"/>
      <c r="AU51" s="822" t="s">
        <v>280</v>
      </c>
      <c r="AV51" s="534" t="s">
        <v>281</v>
      </c>
      <c r="AW51" s="534" t="s">
        <v>282</v>
      </c>
      <c r="AX51" s="837" t="s">
        <v>92</v>
      </c>
      <c r="AY51" s="838" t="s">
        <v>93</v>
      </c>
    </row>
    <row r="52" spans="1:51" s="531" customFormat="1" ht="22.5" customHeight="1">
      <c r="A52" s="741" t="s">
        <v>283</v>
      </c>
      <c r="B52" s="742" t="s">
        <v>51</v>
      </c>
      <c r="C52" s="423" t="s">
        <v>284</v>
      </c>
      <c r="D52" s="757" t="s">
        <v>285</v>
      </c>
      <c r="E52" s="448">
        <f t="shared" si="16"/>
        <v>395676</v>
      </c>
      <c r="F52" s="448">
        <f t="shared" si="4"/>
        <v>408408</v>
      </c>
      <c r="G52" s="448">
        <v>260460</v>
      </c>
      <c r="H52" s="447">
        <v>3</v>
      </c>
      <c r="I52" s="770" t="s">
        <v>53</v>
      </c>
      <c r="J52" s="447" t="s">
        <v>54</v>
      </c>
      <c r="K52" s="447" t="s">
        <v>55</v>
      </c>
      <c r="L52" s="447" t="s">
        <v>56</v>
      </c>
      <c r="M52" s="447" t="s">
        <v>57</v>
      </c>
      <c r="N52" s="545" t="s">
        <v>286</v>
      </c>
      <c r="O52" s="447" t="s">
        <v>287</v>
      </c>
      <c r="P52" s="447" t="str">
        <f t="shared" si="17"/>
        <v>SHIRLEY</v>
      </c>
      <c r="Q52" s="447"/>
      <c r="R52" s="447" t="s">
        <v>288</v>
      </c>
      <c r="S52" s="534" t="str">
        <f t="shared" ref="S52:S83" si="20">P52&amp;" "&amp;R52&amp;"."&amp;" "&amp;N52&amp;" "&amp;Q52</f>
        <v xml:space="preserve">SHIRLEY V. MON </v>
      </c>
      <c r="T52" s="780">
        <v>34034</v>
      </c>
      <c r="U52" s="305" t="s">
        <v>289</v>
      </c>
      <c r="V52" s="447" t="s">
        <v>100</v>
      </c>
      <c r="W52" s="472">
        <v>23201</v>
      </c>
      <c r="X52" s="498">
        <f t="shared" ref="X52:X64" ca="1" si="21">(NOW()-W52)</f>
        <v>22904.538043287037</v>
      </c>
      <c r="Y52" s="447" t="s">
        <v>290</v>
      </c>
      <c r="Z52" s="472">
        <v>32629</v>
      </c>
      <c r="AA52" s="493">
        <v>31719</v>
      </c>
      <c r="AB52" s="493">
        <v>37834</v>
      </c>
      <c r="AC52" s="447" t="s">
        <v>64</v>
      </c>
      <c r="AD52" s="512" t="s">
        <v>102</v>
      </c>
      <c r="AE52" s="512"/>
      <c r="AF52" s="791">
        <v>32973</v>
      </c>
      <c r="AG52" s="530">
        <v>29254</v>
      </c>
      <c r="AH52" s="530">
        <v>34034</v>
      </c>
      <c r="AI52" s="530"/>
      <c r="AJ52" s="530">
        <f t="shared" si="18"/>
        <v>4780</v>
      </c>
      <c r="AK52" s="530"/>
      <c r="AL52" s="800" t="s">
        <v>66</v>
      </c>
      <c r="AM52" s="305" t="s">
        <v>283</v>
      </c>
      <c r="AN52" s="423" t="s">
        <v>284</v>
      </c>
      <c r="AO52" s="757" t="s">
        <v>285</v>
      </c>
      <c r="AP52" s="447">
        <v>3</v>
      </c>
      <c r="AQ52" s="780">
        <v>34034</v>
      </c>
      <c r="AR52" s="305" t="s">
        <v>289</v>
      </c>
      <c r="AS52" s="821" t="str">
        <f t="shared" si="19"/>
        <v>With Incumbent</v>
      </c>
      <c r="AT52" s="534"/>
      <c r="AU52" s="822"/>
      <c r="AV52" s="534"/>
      <c r="AW52" s="534"/>
      <c r="AX52" s="837"/>
      <c r="AY52" s="838"/>
    </row>
    <row r="53" spans="1:51" s="531" customFormat="1" ht="22.5" customHeight="1">
      <c r="A53" s="741" t="s">
        <v>291</v>
      </c>
      <c r="B53" s="742" t="s">
        <v>51</v>
      </c>
      <c r="C53" s="423" t="s">
        <v>292</v>
      </c>
      <c r="D53" s="757" t="s">
        <v>293</v>
      </c>
      <c r="E53" s="448">
        <f t="shared" si="16"/>
        <v>325056</v>
      </c>
      <c r="F53" s="448">
        <f t="shared" si="4"/>
        <v>325056</v>
      </c>
      <c r="G53" s="448">
        <v>219684</v>
      </c>
      <c r="H53" s="447">
        <v>1</v>
      </c>
      <c r="I53" s="770" t="s">
        <v>53</v>
      </c>
      <c r="J53" s="447" t="s">
        <v>54</v>
      </c>
      <c r="K53" s="447" t="s">
        <v>77</v>
      </c>
      <c r="L53" s="447" t="s">
        <v>56</v>
      </c>
      <c r="M53" s="447" t="s">
        <v>57</v>
      </c>
      <c r="N53" s="545" t="s">
        <v>294</v>
      </c>
      <c r="O53" s="447" t="s">
        <v>295</v>
      </c>
      <c r="P53" s="447" t="str">
        <f t="shared" si="17"/>
        <v>JENNIFER</v>
      </c>
      <c r="Q53" s="447"/>
      <c r="R53" s="447" t="s">
        <v>77</v>
      </c>
      <c r="S53" s="534" t="str">
        <f t="shared" si="20"/>
        <v xml:space="preserve">JENNIFER S. CHAOKAS </v>
      </c>
      <c r="T53" s="780">
        <v>27088</v>
      </c>
      <c r="U53" s="305" t="s">
        <v>296</v>
      </c>
      <c r="V53" s="447" t="s">
        <v>100</v>
      </c>
      <c r="W53" s="472">
        <v>28334</v>
      </c>
      <c r="X53" s="498">
        <f t="shared" ca="1" si="21"/>
        <v>17771.538043402776</v>
      </c>
      <c r="Y53" s="447" t="s">
        <v>297</v>
      </c>
      <c r="Z53" s="472">
        <v>40256</v>
      </c>
      <c r="AA53" s="493">
        <v>36955</v>
      </c>
      <c r="AB53" s="472">
        <v>40256</v>
      </c>
      <c r="AC53" s="447" t="s">
        <v>64</v>
      </c>
      <c r="AD53" s="512" t="s">
        <v>102</v>
      </c>
      <c r="AE53" s="512"/>
      <c r="AF53" s="791">
        <v>27088</v>
      </c>
      <c r="AG53" s="530">
        <v>23703</v>
      </c>
      <c r="AH53" s="530">
        <v>27088</v>
      </c>
      <c r="AI53" s="530"/>
      <c r="AJ53" s="530">
        <f t="shared" si="18"/>
        <v>3385</v>
      </c>
      <c r="AK53" s="530"/>
      <c r="AL53" s="800" t="s">
        <v>66</v>
      </c>
      <c r="AM53" s="305" t="s">
        <v>291</v>
      </c>
      <c r="AN53" s="423" t="s">
        <v>292</v>
      </c>
      <c r="AO53" s="757" t="s">
        <v>293</v>
      </c>
      <c r="AP53" s="447">
        <v>1</v>
      </c>
      <c r="AQ53" s="780">
        <v>27088</v>
      </c>
      <c r="AR53" s="305" t="s">
        <v>296</v>
      </c>
      <c r="AS53" s="821" t="str">
        <f t="shared" si="19"/>
        <v>With Incumbent</v>
      </c>
      <c r="AT53" s="534"/>
      <c r="AU53" s="822"/>
      <c r="AV53" s="534"/>
      <c r="AW53" s="534"/>
      <c r="AX53" s="837"/>
      <c r="AY53" s="838"/>
    </row>
    <row r="54" spans="1:51" s="531" customFormat="1" ht="22.5" customHeight="1">
      <c r="A54" s="741" t="s">
        <v>298</v>
      </c>
      <c r="B54" s="742" t="s">
        <v>51</v>
      </c>
      <c r="C54" s="423" t="s">
        <v>299</v>
      </c>
      <c r="D54" s="757" t="s">
        <v>300</v>
      </c>
      <c r="E54" s="448">
        <f t="shared" si="16"/>
        <v>303108</v>
      </c>
      <c r="F54" s="448">
        <f t="shared" si="4"/>
        <v>313092</v>
      </c>
      <c r="G54" s="448">
        <v>214332</v>
      </c>
      <c r="H54" s="447">
        <v>3</v>
      </c>
      <c r="I54" s="770" t="s">
        <v>53</v>
      </c>
      <c r="J54" s="447" t="s">
        <v>54</v>
      </c>
      <c r="K54" s="447" t="s">
        <v>77</v>
      </c>
      <c r="L54" s="447" t="s">
        <v>56</v>
      </c>
      <c r="M54" s="447" t="s">
        <v>57</v>
      </c>
      <c r="N54" s="545" t="s">
        <v>301</v>
      </c>
      <c r="O54" s="447" t="s">
        <v>302</v>
      </c>
      <c r="P54" s="447" t="str">
        <f t="shared" si="17"/>
        <v>GERRY</v>
      </c>
      <c r="Q54" s="447"/>
      <c r="R54" s="447" t="s">
        <v>122</v>
      </c>
      <c r="S54" s="534" t="str">
        <f t="shared" si="20"/>
        <v xml:space="preserve">GERRY C. BALANG </v>
      </c>
      <c r="T54" s="780">
        <v>26091</v>
      </c>
      <c r="U54" s="305" t="s">
        <v>303</v>
      </c>
      <c r="V54" s="447" t="s">
        <v>62</v>
      </c>
      <c r="W54" s="472">
        <v>25301</v>
      </c>
      <c r="X54" s="498">
        <f t="shared" ca="1" si="21"/>
        <v>20804.538043287037</v>
      </c>
      <c r="Y54" s="447" t="s">
        <v>304</v>
      </c>
      <c r="Z54" s="472">
        <v>36632</v>
      </c>
      <c r="AA54" s="493">
        <v>35515</v>
      </c>
      <c r="AB54" s="493">
        <v>37834</v>
      </c>
      <c r="AC54" s="447" t="s">
        <v>64</v>
      </c>
      <c r="AD54" s="512" t="s">
        <v>102</v>
      </c>
      <c r="AE54" s="512"/>
      <c r="AF54" s="791">
        <v>25259</v>
      </c>
      <c r="AG54" s="530">
        <v>23115</v>
      </c>
      <c r="AH54" s="530">
        <v>26091</v>
      </c>
      <c r="AI54" s="530"/>
      <c r="AJ54" s="530">
        <f t="shared" si="18"/>
        <v>2976</v>
      </c>
      <c r="AK54" s="530"/>
      <c r="AL54" s="800" t="s">
        <v>66</v>
      </c>
      <c r="AM54" s="305" t="s">
        <v>298</v>
      </c>
      <c r="AN54" s="423" t="s">
        <v>299</v>
      </c>
      <c r="AO54" s="757" t="s">
        <v>300</v>
      </c>
      <c r="AP54" s="447">
        <v>3</v>
      </c>
      <c r="AQ54" s="780">
        <v>26091</v>
      </c>
      <c r="AR54" s="305" t="s">
        <v>303</v>
      </c>
      <c r="AS54" s="821" t="str">
        <f t="shared" si="19"/>
        <v>With Incumbent</v>
      </c>
      <c r="AT54" s="534"/>
      <c r="AU54" s="822"/>
      <c r="AV54" s="534"/>
      <c r="AW54" s="534"/>
      <c r="AX54" s="837"/>
      <c r="AY54" s="838"/>
    </row>
    <row r="55" spans="1:51" s="531" customFormat="1" ht="22.5" customHeight="1">
      <c r="A55" s="741" t="s">
        <v>305</v>
      </c>
      <c r="B55" s="742" t="s">
        <v>51</v>
      </c>
      <c r="C55" s="423" t="s">
        <v>306</v>
      </c>
      <c r="D55" s="757" t="s">
        <v>300</v>
      </c>
      <c r="E55" s="448">
        <f t="shared" si="16"/>
        <v>303108</v>
      </c>
      <c r="F55" s="448">
        <f t="shared" si="4"/>
        <v>313092</v>
      </c>
      <c r="G55" s="448">
        <v>214332</v>
      </c>
      <c r="H55" s="447">
        <v>3</v>
      </c>
      <c r="I55" s="770" t="s">
        <v>53</v>
      </c>
      <c r="J55" s="447" t="s">
        <v>54</v>
      </c>
      <c r="K55" s="447" t="s">
        <v>81</v>
      </c>
      <c r="L55" s="447" t="s">
        <v>56</v>
      </c>
      <c r="M55" s="447" t="s">
        <v>57</v>
      </c>
      <c r="N55" s="545" t="s">
        <v>307</v>
      </c>
      <c r="O55" s="447" t="s">
        <v>308</v>
      </c>
      <c r="P55" s="447" t="str">
        <f t="shared" si="17"/>
        <v>EVELYN</v>
      </c>
      <c r="Q55" s="447"/>
      <c r="R55" s="447" t="s">
        <v>62</v>
      </c>
      <c r="S55" s="534" t="str">
        <f t="shared" si="20"/>
        <v xml:space="preserve">EVELYN M. SAINGAN </v>
      </c>
      <c r="T55" s="780">
        <v>26091</v>
      </c>
      <c r="U55" s="305" t="s">
        <v>309</v>
      </c>
      <c r="V55" s="447" t="s">
        <v>100</v>
      </c>
      <c r="W55" s="472">
        <v>23843</v>
      </c>
      <c r="X55" s="498">
        <f t="shared" ca="1" si="21"/>
        <v>22262.538043402776</v>
      </c>
      <c r="Y55" s="447" t="s">
        <v>310</v>
      </c>
      <c r="Z55" s="447"/>
      <c r="AA55" s="493">
        <v>33233</v>
      </c>
      <c r="AB55" s="493">
        <v>37293</v>
      </c>
      <c r="AC55" s="447" t="s">
        <v>64</v>
      </c>
      <c r="AD55" s="512" t="s">
        <v>102</v>
      </c>
      <c r="AE55" s="512"/>
      <c r="AF55" s="791">
        <v>25259</v>
      </c>
      <c r="AG55" s="530">
        <v>23115</v>
      </c>
      <c r="AH55" s="530">
        <v>26091</v>
      </c>
      <c r="AI55" s="530"/>
      <c r="AJ55" s="530">
        <f t="shared" si="18"/>
        <v>2976</v>
      </c>
      <c r="AK55" s="530"/>
      <c r="AL55" s="800" t="s">
        <v>66</v>
      </c>
      <c r="AM55" s="305" t="s">
        <v>305</v>
      </c>
      <c r="AN55" s="423" t="s">
        <v>306</v>
      </c>
      <c r="AO55" s="757" t="s">
        <v>300</v>
      </c>
      <c r="AP55" s="447">
        <v>3</v>
      </c>
      <c r="AQ55" s="780">
        <v>26091</v>
      </c>
      <c r="AR55" s="305" t="s">
        <v>309</v>
      </c>
      <c r="AS55" s="821" t="str">
        <f t="shared" si="19"/>
        <v>With Incumbent</v>
      </c>
      <c r="AT55" s="534"/>
      <c r="AU55" s="822"/>
      <c r="AV55" s="534"/>
      <c r="AW55" s="534"/>
      <c r="AX55" s="837"/>
      <c r="AY55" s="838"/>
    </row>
    <row r="56" spans="1:51" s="531" customFormat="1" ht="22.5" customHeight="1">
      <c r="A56" s="741" t="s">
        <v>311</v>
      </c>
      <c r="B56" s="742" t="s">
        <v>51</v>
      </c>
      <c r="C56" s="423" t="s">
        <v>312</v>
      </c>
      <c r="D56" s="757" t="s">
        <v>300</v>
      </c>
      <c r="E56" s="448">
        <f t="shared" si="16"/>
        <v>303108</v>
      </c>
      <c r="F56" s="448">
        <f t="shared" si="4"/>
        <v>308052</v>
      </c>
      <c r="G56" s="448">
        <v>209100</v>
      </c>
      <c r="H56" s="447">
        <v>2</v>
      </c>
      <c r="I56" s="770" t="s">
        <v>53</v>
      </c>
      <c r="J56" s="447" t="s">
        <v>54</v>
      </c>
      <c r="K56" s="447" t="s">
        <v>81</v>
      </c>
      <c r="L56" s="447" t="s">
        <v>56</v>
      </c>
      <c r="M56" s="447" t="s">
        <v>57</v>
      </c>
      <c r="N56" s="545" t="s">
        <v>313</v>
      </c>
      <c r="O56" s="447" t="s">
        <v>314</v>
      </c>
      <c r="P56" s="447" t="str">
        <f t="shared" si="17"/>
        <v>NORMAN</v>
      </c>
      <c r="Q56" s="447"/>
      <c r="R56" s="447" t="s">
        <v>170</v>
      </c>
      <c r="S56" s="534" t="str">
        <f t="shared" si="20"/>
        <v xml:space="preserve">NORMAN I. BARNACHEA </v>
      </c>
      <c r="T56" s="780">
        <v>25671</v>
      </c>
      <c r="U56" s="305" t="s">
        <v>315</v>
      </c>
      <c r="V56" s="447" t="s">
        <v>62</v>
      </c>
      <c r="W56" s="472">
        <v>27936</v>
      </c>
      <c r="X56" s="498">
        <f t="shared" ca="1" si="21"/>
        <v>18169.538043402776</v>
      </c>
      <c r="Y56" s="447" t="s">
        <v>316</v>
      </c>
      <c r="Z56" s="472">
        <v>37956</v>
      </c>
      <c r="AA56" s="493">
        <v>37375</v>
      </c>
      <c r="AB56" s="493">
        <v>38607</v>
      </c>
      <c r="AC56" s="447" t="s">
        <v>64</v>
      </c>
      <c r="AD56" s="512" t="s">
        <v>102</v>
      </c>
      <c r="AE56" s="512"/>
      <c r="AF56" s="791">
        <v>25259</v>
      </c>
      <c r="AG56" s="530">
        <v>22659</v>
      </c>
      <c r="AH56" s="530">
        <v>25671</v>
      </c>
      <c r="AI56" s="530"/>
      <c r="AJ56" s="530">
        <f t="shared" si="18"/>
        <v>3012</v>
      </c>
      <c r="AK56" s="530"/>
      <c r="AL56" s="800" t="s">
        <v>66</v>
      </c>
      <c r="AM56" s="305" t="s">
        <v>311</v>
      </c>
      <c r="AN56" s="423" t="s">
        <v>312</v>
      </c>
      <c r="AO56" s="757" t="s">
        <v>300</v>
      </c>
      <c r="AP56" s="447">
        <v>2</v>
      </c>
      <c r="AQ56" s="780">
        <v>25671</v>
      </c>
      <c r="AR56" s="305" t="s">
        <v>315</v>
      </c>
      <c r="AS56" s="821" t="str">
        <f t="shared" si="19"/>
        <v>With Incumbent</v>
      </c>
      <c r="AT56" s="534"/>
      <c r="AU56" s="822"/>
      <c r="AV56" s="534"/>
      <c r="AW56" s="534"/>
      <c r="AX56" s="837"/>
      <c r="AY56" s="838"/>
    </row>
    <row r="57" spans="1:51" s="531" customFormat="1" ht="22.5" customHeight="1">
      <c r="A57" s="741" t="s">
        <v>317</v>
      </c>
      <c r="B57" s="742" t="s">
        <v>51</v>
      </c>
      <c r="C57" s="423" t="s">
        <v>318</v>
      </c>
      <c r="D57" s="757" t="s">
        <v>319</v>
      </c>
      <c r="E57" s="448">
        <f t="shared" si="16"/>
        <v>234168</v>
      </c>
      <c r="F57" s="448">
        <f t="shared" si="4"/>
        <v>263628</v>
      </c>
      <c r="G57" s="448" t="s">
        <v>131</v>
      </c>
      <c r="H57" s="447">
        <v>1</v>
      </c>
      <c r="I57" s="770" t="s">
        <v>53</v>
      </c>
      <c r="J57" s="447" t="s">
        <v>54</v>
      </c>
      <c r="K57" s="447" t="s">
        <v>81</v>
      </c>
      <c r="L57" s="447" t="s">
        <v>56</v>
      </c>
      <c r="M57" s="447" t="s">
        <v>57</v>
      </c>
      <c r="N57" s="545" t="s">
        <v>320</v>
      </c>
      <c r="O57" s="447" t="s">
        <v>321</v>
      </c>
      <c r="P57" s="447" t="str">
        <f t="shared" si="17"/>
        <v>IRIS</v>
      </c>
      <c r="Q57" s="447"/>
      <c r="R57" s="447" t="s">
        <v>72</v>
      </c>
      <c r="S57" s="534" t="str">
        <f t="shared" si="20"/>
        <v xml:space="preserve">IRIS L. BALABAG </v>
      </c>
      <c r="T57" s="780">
        <v>21969</v>
      </c>
      <c r="U57" s="305" t="s">
        <v>322</v>
      </c>
      <c r="V57" s="447" t="s">
        <v>100</v>
      </c>
      <c r="W57" s="472">
        <v>29897</v>
      </c>
      <c r="X57" s="498">
        <f t="shared" ca="1" si="21"/>
        <v>16208.538043287037</v>
      </c>
      <c r="Y57" s="447" t="s">
        <v>323</v>
      </c>
      <c r="Z57" s="447"/>
      <c r="AA57" s="493">
        <v>40252</v>
      </c>
      <c r="AB57" s="493">
        <v>40252</v>
      </c>
      <c r="AC57" s="447" t="s">
        <v>64</v>
      </c>
      <c r="AD57" s="512" t="s">
        <v>84</v>
      </c>
      <c r="AE57" s="512"/>
      <c r="AF57" s="791">
        <v>19514</v>
      </c>
      <c r="AG57" s="530">
        <v>19514</v>
      </c>
      <c r="AH57" s="530">
        <v>21969</v>
      </c>
      <c r="AI57" s="530"/>
      <c r="AJ57" s="530">
        <f t="shared" si="18"/>
        <v>2455</v>
      </c>
      <c r="AK57" s="530"/>
      <c r="AL57" s="800" t="s">
        <v>66</v>
      </c>
      <c r="AM57" s="305" t="s">
        <v>317</v>
      </c>
      <c r="AN57" s="423" t="s">
        <v>318</v>
      </c>
      <c r="AO57" s="757" t="s">
        <v>319</v>
      </c>
      <c r="AP57" s="447">
        <v>1</v>
      </c>
      <c r="AQ57" s="780">
        <v>21969</v>
      </c>
      <c r="AR57" s="305" t="s">
        <v>322</v>
      </c>
      <c r="AS57" s="821" t="str">
        <f t="shared" si="19"/>
        <v>With Incumbent</v>
      </c>
      <c r="AT57" s="534"/>
      <c r="AU57" s="822"/>
      <c r="AV57" s="534"/>
      <c r="AW57" s="534"/>
      <c r="AX57" s="837"/>
      <c r="AY57" s="838"/>
    </row>
    <row r="58" spans="1:51" s="531" customFormat="1" ht="22.5" customHeight="1">
      <c r="A58" s="741" t="s">
        <v>324</v>
      </c>
      <c r="B58" s="742" t="s">
        <v>51</v>
      </c>
      <c r="C58" s="423" t="s">
        <v>325</v>
      </c>
      <c r="D58" s="757" t="s">
        <v>326</v>
      </c>
      <c r="E58" s="448">
        <f t="shared" si="16"/>
        <v>245880</v>
      </c>
      <c r="F58" s="448">
        <f t="shared" si="4"/>
        <v>254064</v>
      </c>
      <c r="G58" s="448">
        <v>179940</v>
      </c>
      <c r="H58" s="447">
        <v>3</v>
      </c>
      <c r="I58" s="770" t="s">
        <v>53</v>
      </c>
      <c r="J58" s="447" t="s">
        <v>62</v>
      </c>
      <c r="K58" s="447" t="s">
        <v>158</v>
      </c>
      <c r="L58" s="447" t="s">
        <v>56</v>
      </c>
      <c r="M58" s="447" t="s">
        <v>57</v>
      </c>
      <c r="N58" s="545" t="s">
        <v>327</v>
      </c>
      <c r="O58" s="447" t="s">
        <v>328</v>
      </c>
      <c r="P58" s="447" t="str">
        <f t="shared" si="17"/>
        <v>ROLLY</v>
      </c>
      <c r="Q58" s="447"/>
      <c r="R58" s="447" t="s">
        <v>115</v>
      </c>
      <c r="S58" s="534" t="str">
        <f t="shared" si="20"/>
        <v xml:space="preserve">ROLLY B. BRIONES </v>
      </c>
      <c r="T58" s="780">
        <v>21172</v>
      </c>
      <c r="U58" s="305" t="s">
        <v>329</v>
      </c>
      <c r="V58" s="447" t="s">
        <v>62</v>
      </c>
      <c r="W58" s="472">
        <v>27951</v>
      </c>
      <c r="X58" s="498">
        <f t="shared" ca="1" si="21"/>
        <v>18154.538043402776</v>
      </c>
      <c r="Y58" s="447" t="s">
        <v>330</v>
      </c>
      <c r="AA58" s="493">
        <v>37293</v>
      </c>
      <c r="AB58" s="493">
        <v>37834</v>
      </c>
      <c r="AC58" s="447" t="s">
        <v>64</v>
      </c>
      <c r="AD58" s="512" t="s">
        <v>102</v>
      </c>
      <c r="AE58" s="512"/>
      <c r="AF58" s="791">
        <v>20490</v>
      </c>
      <c r="AG58" s="530">
        <v>19040</v>
      </c>
      <c r="AH58" s="530">
        <v>21172</v>
      </c>
      <c r="AI58" s="530"/>
      <c r="AJ58" s="530">
        <f t="shared" si="18"/>
        <v>2132</v>
      </c>
      <c r="AK58" s="530"/>
      <c r="AL58" s="800" t="s">
        <v>66</v>
      </c>
      <c r="AM58" s="305" t="s">
        <v>324</v>
      </c>
      <c r="AN58" s="423" t="s">
        <v>325</v>
      </c>
      <c r="AO58" s="757" t="s">
        <v>326</v>
      </c>
      <c r="AP58" s="447">
        <v>3</v>
      </c>
      <c r="AQ58" s="780">
        <v>21172</v>
      </c>
      <c r="AR58" s="305" t="s">
        <v>329</v>
      </c>
      <c r="AS58" s="821" t="str">
        <f t="shared" si="19"/>
        <v>With Incumbent</v>
      </c>
      <c r="AT58" s="534"/>
      <c r="AU58" s="822"/>
      <c r="AV58" s="534"/>
      <c r="AW58" s="534"/>
      <c r="AX58" s="837"/>
      <c r="AY58" s="838"/>
    </row>
    <row r="59" spans="1:51" s="531" customFormat="1" ht="22.5" hidden="1" customHeight="1">
      <c r="A59" s="741"/>
      <c r="B59" s="742"/>
      <c r="C59" s="423"/>
      <c r="D59" s="757"/>
      <c r="E59" s="448"/>
      <c r="F59" s="448"/>
      <c r="G59" s="448"/>
      <c r="H59" s="447"/>
      <c r="I59" s="770"/>
      <c r="J59" s="447"/>
      <c r="K59" s="447"/>
      <c r="L59" s="447"/>
      <c r="M59" s="447"/>
      <c r="N59" s="545"/>
      <c r="O59" s="447"/>
      <c r="P59" s="447"/>
      <c r="Q59" s="447"/>
      <c r="R59" s="447"/>
      <c r="S59" s="534"/>
      <c r="T59" s="780"/>
      <c r="U59" s="305"/>
      <c r="V59" s="447"/>
      <c r="W59" s="472"/>
      <c r="X59" s="498"/>
      <c r="Y59" s="447"/>
      <c r="AA59" s="493"/>
      <c r="AB59" s="493"/>
      <c r="AC59" s="447"/>
      <c r="AD59" s="512"/>
      <c r="AE59" s="512"/>
      <c r="AF59" s="791"/>
      <c r="AG59" s="530"/>
      <c r="AH59" s="530"/>
      <c r="AI59" s="530"/>
      <c r="AJ59" s="530"/>
      <c r="AK59" s="530"/>
      <c r="AL59" s="800" t="s">
        <v>331</v>
      </c>
      <c r="AM59" s="305"/>
      <c r="AN59" s="423" t="s">
        <v>332</v>
      </c>
      <c r="AO59" s="757">
        <v>15</v>
      </c>
      <c r="AP59" s="447">
        <v>1</v>
      </c>
      <c r="AQ59" s="780">
        <v>20490</v>
      </c>
      <c r="AR59" s="781" t="s">
        <v>88</v>
      </c>
      <c r="AS59" s="823" t="str">
        <f t="shared" si="19"/>
        <v>(Vacant)</v>
      </c>
      <c r="AT59" s="534"/>
      <c r="AU59" s="822" t="s">
        <v>246</v>
      </c>
      <c r="AV59" s="534" t="s">
        <v>333</v>
      </c>
      <c r="AW59" s="534" t="s">
        <v>334</v>
      </c>
      <c r="AX59" s="837" t="s">
        <v>92</v>
      </c>
      <c r="AY59" s="838" t="s">
        <v>93</v>
      </c>
    </row>
    <row r="60" spans="1:51" s="531" customFormat="1" ht="22.5" hidden="1" customHeight="1">
      <c r="A60" s="741"/>
      <c r="B60" s="742"/>
      <c r="C60" s="423"/>
      <c r="D60" s="757"/>
      <c r="E60" s="448">
        <f>AF60*12</f>
        <v>245880</v>
      </c>
      <c r="F60" s="448">
        <f>+AH60*12</f>
        <v>254064</v>
      </c>
      <c r="G60" s="448">
        <v>179940</v>
      </c>
      <c r="H60" s="447"/>
      <c r="I60" s="770" t="s">
        <v>53</v>
      </c>
      <c r="J60" s="447" t="s">
        <v>54</v>
      </c>
      <c r="K60" s="447" t="s">
        <v>81</v>
      </c>
      <c r="L60" s="447" t="s">
        <v>56</v>
      </c>
      <c r="M60" s="447" t="s">
        <v>57</v>
      </c>
      <c r="N60" s="545" t="s">
        <v>97</v>
      </c>
      <c r="O60" s="447" t="s">
        <v>98</v>
      </c>
      <c r="P60" s="447" t="str">
        <f>UPPER(O60)</f>
        <v>MARIE CRIS</v>
      </c>
      <c r="Q60" s="447"/>
      <c r="R60" s="447" t="s">
        <v>72</v>
      </c>
      <c r="S60" s="534" t="str">
        <f>P60&amp;" "&amp;R60&amp;"."&amp;" "&amp;N60&amp;" "&amp;Q60</f>
        <v xml:space="preserve">MARIE CRIS L. RIMANDO </v>
      </c>
      <c r="T60" s="780"/>
      <c r="U60" s="305"/>
      <c r="V60" s="447" t="s">
        <v>100</v>
      </c>
      <c r="W60" s="472">
        <v>24278</v>
      </c>
      <c r="X60" s="498">
        <f ca="1">(NOW()-W60)</f>
        <v>21827.538043287037</v>
      </c>
      <c r="Y60" s="447" t="s">
        <v>101</v>
      </c>
      <c r="Z60" s="447"/>
      <c r="AA60" s="493">
        <v>36374</v>
      </c>
      <c r="AB60" s="493">
        <v>37809</v>
      </c>
      <c r="AC60" s="447" t="s">
        <v>64</v>
      </c>
      <c r="AD60" s="512" t="s">
        <v>102</v>
      </c>
      <c r="AE60" s="512"/>
      <c r="AF60" s="791">
        <v>20490</v>
      </c>
      <c r="AG60" s="530">
        <v>19040</v>
      </c>
      <c r="AH60" s="530">
        <v>21172</v>
      </c>
      <c r="AI60" s="530"/>
      <c r="AJ60" s="530">
        <f>AH60-AG60</f>
        <v>2132</v>
      </c>
      <c r="AK60" s="530"/>
      <c r="AL60" s="817" t="s">
        <v>335</v>
      </c>
      <c r="AM60" s="305" t="s">
        <v>95</v>
      </c>
      <c r="AN60" s="423" t="s">
        <v>336</v>
      </c>
      <c r="AO60" s="757">
        <v>15</v>
      </c>
      <c r="AP60" s="447">
        <v>3</v>
      </c>
      <c r="AQ60" s="780">
        <v>21172</v>
      </c>
      <c r="AR60" s="305" t="s">
        <v>99</v>
      </c>
      <c r="AS60" s="821" t="str">
        <f t="shared" si="19"/>
        <v>With Incumbent</v>
      </c>
      <c r="AT60" s="534"/>
      <c r="AU60" s="822"/>
      <c r="AV60" s="534"/>
      <c r="AW60" s="534"/>
      <c r="AX60" s="837"/>
      <c r="AY60" s="838"/>
    </row>
    <row r="61" spans="1:51" s="531" customFormat="1" ht="22.5" customHeight="1">
      <c r="A61" s="741" t="s">
        <v>337</v>
      </c>
      <c r="B61" s="742" t="s">
        <v>51</v>
      </c>
      <c r="C61" s="423" t="s">
        <v>338</v>
      </c>
      <c r="D61" s="757" t="s">
        <v>339</v>
      </c>
      <c r="E61" s="448">
        <f t="shared" si="16"/>
        <v>229344</v>
      </c>
      <c r="F61" s="448">
        <f t="shared" si="4"/>
        <v>236736</v>
      </c>
      <c r="G61" s="448">
        <v>169764</v>
      </c>
      <c r="H61" s="447">
        <v>3</v>
      </c>
      <c r="I61" s="770" t="s">
        <v>53</v>
      </c>
      <c r="J61" s="447" t="s">
        <v>54</v>
      </c>
      <c r="K61" s="447" t="s">
        <v>77</v>
      </c>
      <c r="L61" s="447" t="s">
        <v>56</v>
      </c>
      <c r="M61" s="447" t="s">
        <v>57</v>
      </c>
      <c r="N61" s="545" t="s">
        <v>340</v>
      </c>
      <c r="O61" s="447" t="s">
        <v>341</v>
      </c>
      <c r="P61" s="447" t="str">
        <f t="shared" si="17"/>
        <v>LUZVIMINDA</v>
      </c>
      <c r="Q61" s="447"/>
      <c r="R61" s="447" t="s">
        <v>62</v>
      </c>
      <c r="S61" s="534" t="str">
        <f t="shared" si="20"/>
        <v xml:space="preserve">LUZVIMINDA M. GABOT </v>
      </c>
      <c r="T61" s="780">
        <v>19728</v>
      </c>
      <c r="U61" s="305" t="s">
        <v>342</v>
      </c>
      <c r="V61" s="447" t="s">
        <v>100</v>
      </c>
      <c r="W61" s="472">
        <v>21451</v>
      </c>
      <c r="X61" s="498">
        <f t="shared" ca="1" si="21"/>
        <v>24654.538043402776</v>
      </c>
      <c r="Y61" s="447" t="s">
        <v>343</v>
      </c>
      <c r="Z61" s="447"/>
      <c r="AA61" s="493">
        <v>30082</v>
      </c>
      <c r="AB61" s="493">
        <v>37378</v>
      </c>
      <c r="AC61" s="447" t="s">
        <v>64</v>
      </c>
      <c r="AD61" s="512" t="s">
        <v>102</v>
      </c>
      <c r="AE61" s="512"/>
      <c r="AF61" s="791">
        <v>19112</v>
      </c>
      <c r="AG61" s="530">
        <v>17839</v>
      </c>
      <c r="AH61" s="530">
        <v>19728</v>
      </c>
      <c r="AI61" s="530"/>
      <c r="AJ61" s="530">
        <f t="shared" si="18"/>
        <v>1889</v>
      </c>
      <c r="AK61" s="530"/>
      <c r="AL61" s="800" t="s">
        <v>66</v>
      </c>
      <c r="AM61" s="305" t="s">
        <v>337</v>
      </c>
      <c r="AN61" s="423" t="s">
        <v>338</v>
      </c>
      <c r="AO61" s="757" t="s">
        <v>339</v>
      </c>
      <c r="AP61" s="447">
        <v>3</v>
      </c>
      <c r="AQ61" s="780">
        <v>19728</v>
      </c>
      <c r="AR61" s="305" t="s">
        <v>342</v>
      </c>
      <c r="AS61" s="821" t="str">
        <f t="shared" si="19"/>
        <v>With Incumbent</v>
      </c>
      <c r="AT61" s="534"/>
      <c r="AU61" s="822"/>
      <c r="AV61" s="534"/>
      <c r="AW61" s="534"/>
      <c r="AX61" s="837"/>
      <c r="AY61" s="838"/>
    </row>
    <row r="62" spans="1:51" s="531" customFormat="1" ht="22.5" customHeight="1">
      <c r="A62" s="741" t="s">
        <v>344</v>
      </c>
      <c r="B62" s="742" t="s">
        <v>51</v>
      </c>
      <c r="C62" s="423" t="s">
        <v>345</v>
      </c>
      <c r="D62" s="757" t="s">
        <v>339</v>
      </c>
      <c r="E62" s="448">
        <f t="shared" si="16"/>
        <v>229344</v>
      </c>
      <c r="F62" s="448">
        <f t="shared" si="4"/>
        <v>233016</v>
      </c>
      <c r="G62" s="448">
        <v>165612</v>
      </c>
      <c r="H62" s="447">
        <v>2</v>
      </c>
      <c r="I62" s="770" t="s">
        <v>53</v>
      </c>
      <c r="J62" s="447" t="s">
        <v>54</v>
      </c>
      <c r="K62" s="447" t="s">
        <v>81</v>
      </c>
      <c r="L62" s="447" t="s">
        <v>56</v>
      </c>
      <c r="M62" s="447" t="s">
        <v>57</v>
      </c>
      <c r="N62" s="545" t="s">
        <v>346</v>
      </c>
      <c r="O62" s="447" t="s">
        <v>347</v>
      </c>
      <c r="P62" s="447" t="str">
        <f t="shared" si="17"/>
        <v>CHRYSANTINE</v>
      </c>
      <c r="Q62" s="447"/>
      <c r="R62" s="447" t="s">
        <v>122</v>
      </c>
      <c r="S62" s="534" t="str">
        <f t="shared" si="20"/>
        <v xml:space="preserve">CHRYSANTINE C. GED-ANG </v>
      </c>
      <c r="T62" s="780">
        <v>19418</v>
      </c>
      <c r="U62" s="305" t="s">
        <v>348</v>
      </c>
      <c r="V62" s="447" t="s">
        <v>100</v>
      </c>
      <c r="W62" s="472">
        <v>28900</v>
      </c>
      <c r="X62" s="498">
        <f t="shared" ca="1" si="21"/>
        <v>17205.538043402776</v>
      </c>
      <c r="Y62" s="447" t="s">
        <v>349</v>
      </c>
      <c r="Z62" s="447"/>
      <c r="AA62" s="493">
        <v>37564</v>
      </c>
      <c r="AB62" s="493">
        <v>38607</v>
      </c>
      <c r="AC62" s="447" t="s">
        <v>64</v>
      </c>
      <c r="AD62" s="512" t="s">
        <v>102</v>
      </c>
      <c r="AE62" s="512"/>
      <c r="AF62" s="791">
        <v>19112</v>
      </c>
      <c r="AG62" s="530">
        <v>17490</v>
      </c>
      <c r="AH62" s="530">
        <v>19418</v>
      </c>
      <c r="AI62" s="530"/>
      <c r="AJ62" s="530">
        <f t="shared" si="18"/>
        <v>1928</v>
      </c>
      <c r="AK62" s="530"/>
      <c r="AL62" s="800" t="s">
        <v>66</v>
      </c>
      <c r="AM62" s="305" t="s">
        <v>344</v>
      </c>
      <c r="AN62" s="423" t="s">
        <v>345</v>
      </c>
      <c r="AO62" s="757" t="s">
        <v>339</v>
      </c>
      <c r="AP62" s="447">
        <v>2</v>
      </c>
      <c r="AQ62" s="780">
        <v>19418</v>
      </c>
      <c r="AR62" s="305" t="s">
        <v>348</v>
      </c>
      <c r="AS62" s="821" t="str">
        <f t="shared" si="19"/>
        <v>With Incumbent</v>
      </c>
      <c r="AT62" s="534"/>
      <c r="AU62" s="822"/>
      <c r="AV62" s="534"/>
      <c r="AW62" s="534"/>
      <c r="AX62" s="837"/>
      <c r="AY62" s="838"/>
    </row>
    <row r="63" spans="1:51" s="531" customFormat="1" ht="22.5" customHeight="1">
      <c r="A63" s="741" t="s">
        <v>350</v>
      </c>
      <c r="B63" s="742" t="s">
        <v>51</v>
      </c>
      <c r="C63" s="423" t="s">
        <v>351</v>
      </c>
      <c r="D63" s="757" t="s">
        <v>352</v>
      </c>
      <c r="E63" s="448">
        <f t="shared" si="16"/>
        <v>163956</v>
      </c>
      <c r="F63" s="448">
        <f t="shared" si="4"/>
        <v>169320</v>
      </c>
      <c r="G63" s="448">
        <v>126072</v>
      </c>
      <c r="H63" s="447">
        <v>3</v>
      </c>
      <c r="I63" s="770" t="s">
        <v>53</v>
      </c>
      <c r="J63" s="447" t="s">
        <v>54</v>
      </c>
      <c r="K63" s="447" t="s">
        <v>81</v>
      </c>
      <c r="L63" s="447" t="s">
        <v>56</v>
      </c>
      <c r="M63" s="447" t="s">
        <v>57</v>
      </c>
      <c r="N63" s="545" t="s">
        <v>353</v>
      </c>
      <c r="O63" s="447" t="s">
        <v>354</v>
      </c>
      <c r="P63" s="447" t="str">
        <f t="shared" si="17"/>
        <v>ANGELITO</v>
      </c>
      <c r="Q63" s="447"/>
      <c r="R63" s="447" t="s">
        <v>177</v>
      </c>
      <c r="S63" s="534" t="str">
        <f t="shared" si="20"/>
        <v xml:space="preserve">ANGELITO G. CASTRO </v>
      </c>
      <c r="T63" s="780">
        <v>14110</v>
      </c>
      <c r="U63" s="305" t="s">
        <v>355</v>
      </c>
      <c r="V63" s="447" t="s">
        <v>62</v>
      </c>
      <c r="W63" s="472">
        <v>26800</v>
      </c>
      <c r="X63" s="498">
        <f t="shared" ca="1" si="21"/>
        <v>19305.538043287037</v>
      </c>
      <c r="Y63" s="447" t="s">
        <v>356</v>
      </c>
      <c r="Z63" s="447"/>
      <c r="AA63" s="493">
        <v>35827</v>
      </c>
      <c r="AB63" s="493">
        <v>37658</v>
      </c>
      <c r="AC63" s="447" t="s">
        <v>64</v>
      </c>
      <c r="AD63" s="512" t="s">
        <v>215</v>
      </c>
      <c r="AE63" s="512"/>
      <c r="AF63" s="791">
        <v>13663</v>
      </c>
      <c r="AG63" s="530">
        <v>12978</v>
      </c>
      <c r="AH63" s="530">
        <v>14110</v>
      </c>
      <c r="AI63" s="530"/>
      <c r="AJ63" s="530">
        <f t="shared" si="18"/>
        <v>1132</v>
      </c>
      <c r="AK63" s="530"/>
      <c r="AL63" s="800" t="s">
        <v>66</v>
      </c>
      <c r="AM63" s="305" t="s">
        <v>350</v>
      </c>
      <c r="AN63" s="423" t="s">
        <v>351</v>
      </c>
      <c r="AO63" s="757" t="s">
        <v>352</v>
      </c>
      <c r="AP63" s="447">
        <v>3</v>
      </c>
      <c r="AQ63" s="780">
        <v>14110</v>
      </c>
      <c r="AR63" s="305" t="s">
        <v>355</v>
      </c>
      <c r="AS63" s="821" t="str">
        <f t="shared" si="19"/>
        <v>With Incumbent</v>
      </c>
      <c r="AT63" s="534"/>
      <c r="AU63" s="822"/>
      <c r="AV63" s="534"/>
      <c r="AW63" s="534"/>
      <c r="AX63" s="837"/>
      <c r="AY63" s="838"/>
    </row>
    <row r="64" spans="1:51" s="531" customFormat="1" ht="22.5" customHeight="1">
      <c r="A64" s="741" t="s">
        <v>357</v>
      </c>
      <c r="B64" s="742" t="s">
        <v>51</v>
      </c>
      <c r="C64" s="423" t="s">
        <v>358</v>
      </c>
      <c r="D64" s="757" t="s">
        <v>223</v>
      </c>
      <c r="E64" s="448">
        <f t="shared" si="16"/>
        <v>152820</v>
      </c>
      <c r="F64" s="448">
        <f t="shared" si="4"/>
        <v>157812</v>
      </c>
      <c r="G64" s="448">
        <v>117828</v>
      </c>
      <c r="H64" s="447">
        <v>3</v>
      </c>
      <c r="I64" s="770" t="s">
        <v>53</v>
      </c>
      <c r="J64" s="447" t="s">
        <v>54</v>
      </c>
      <c r="K64" s="447" t="s">
        <v>81</v>
      </c>
      <c r="L64" s="447" t="s">
        <v>56</v>
      </c>
      <c r="M64" s="616" t="s">
        <v>167</v>
      </c>
      <c r="N64" s="545" t="s">
        <v>359</v>
      </c>
      <c r="O64" s="447" t="s">
        <v>360</v>
      </c>
      <c r="P64" s="447" t="str">
        <f t="shared" si="17"/>
        <v>PRECILLA</v>
      </c>
      <c r="Q64" s="447"/>
      <c r="R64" s="447" t="s">
        <v>55</v>
      </c>
      <c r="S64" s="534" t="str">
        <f t="shared" si="20"/>
        <v xml:space="preserve">PRECILLA K. TOMAS </v>
      </c>
      <c r="T64" s="780">
        <v>13151</v>
      </c>
      <c r="U64" s="305" t="s">
        <v>361</v>
      </c>
      <c r="V64" s="447" t="s">
        <v>100</v>
      </c>
      <c r="W64" s="472">
        <v>24329</v>
      </c>
      <c r="X64" s="498">
        <f t="shared" ca="1" si="21"/>
        <v>21776.538043402776</v>
      </c>
      <c r="Y64" s="447" t="s">
        <v>362</v>
      </c>
      <c r="Z64" s="447"/>
      <c r="AA64" s="493">
        <v>36145</v>
      </c>
      <c r="AB64" s="493">
        <v>37655</v>
      </c>
      <c r="AC64" s="447" t="s">
        <v>64</v>
      </c>
      <c r="AD64" s="512" t="s">
        <v>215</v>
      </c>
      <c r="AE64" s="512"/>
      <c r="AF64" s="791">
        <v>12735</v>
      </c>
      <c r="AG64" s="530">
        <v>12110</v>
      </c>
      <c r="AH64" s="530">
        <v>13151</v>
      </c>
      <c r="AI64" s="530"/>
      <c r="AJ64" s="530">
        <f t="shared" si="18"/>
        <v>1041</v>
      </c>
      <c r="AK64" s="530"/>
      <c r="AL64" s="800" t="s">
        <v>66</v>
      </c>
      <c r="AM64" s="305" t="s">
        <v>357</v>
      </c>
      <c r="AN64" s="423" t="s">
        <v>358</v>
      </c>
      <c r="AO64" s="757" t="s">
        <v>223</v>
      </c>
      <c r="AP64" s="447">
        <v>3</v>
      </c>
      <c r="AQ64" s="780">
        <v>13151</v>
      </c>
      <c r="AR64" s="305" t="s">
        <v>361</v>
      </c>
      <c r="AS64" s="821" t="str">
        <f t="shared" si="19"/>
        <v>With Incumbent</v>
      </c>
      <c r="AT64" s="534"/>
      <c r="AU64" s="822"/>
      <c r="AV64" s="534"/>
      <c r="AW64" s="534"/>
      <c r="AX64" s="837"/>
      <c r="AY64" s="838"/>
    </row>
    <row r="65" spans="1:51" s="531" customFormat="1" ht="22.5" hidden="1" customHeight="1">
      <c r="A65" s="741" t="s">
        <v>363</v>
      </c>
      <c r="B65" s="742" t="s">
        <v>51</v>
      </c>
      <c r="C65" s="423" t="s">
        <v>364</v>
      </c>
      <c r="D65" s="757" t="s">
        <v>223</v>
      </c>
      <c r="E65" s="448">
        <f t="shared" si="16"/>
        <v>152820</v>
      </c>
      <c r="F65" s="448">
        <f t="shared" si="4"/>
        <v>152820</v>
      </c>
      <c r="G65" s="448" t="s">
        <v>131</v>
      </c>
      <c r="H65" s="447">
        <v>1</v>
      </c>
      <c r="I65" s="770" t="s">
        <v>53</v>
      </c>
      <c r="J65" s="447" t="s">
        <v>54</v>
      </c>
      <c r="K65" s="447" t="s">
        <v>81</v>
      </c>
      <c r="L65" s="447" t="s">
        <v>56</v>
      </c>
      <c r="M65" s="447"/>
      <c r="N65" s="545"/>
      <c r="O65" s="447"/>
      <c r="P65" s="447" t="str">
        <f t="shared" si="17"/>
        <v/>
      </c>
      <c r="Q65" s="447"/>
      <c r="R65" s="447"/>
      <c r="S65" s="534" t="str">
        <f t="shared" si="20"/>
        <v xml:space="preserve"> .  </v>
      </c>
      <c r="T65" s="780">
        <v>12735</v>
      </c>
      <c r="U65" s="781" t="s">
        <v>88</v>
      </c>
      <c r="V65" s="447"/>
      <c r="W65" s="472"/>
      <c r="X65" s="447"/>
      <c r="Y65" s="447"/>
      <c r="Z65" s="447"/>
      <c r="AA65" s="493"/>
      <c r="AB65" s="493"/>
      <c r="AC65" s="447"/>
      <c r="AD65" s="512"/>
      <c r="AE65" s="512"/>
      <c r="AF65" s="791">
        <v>12735</v>
      </c>
      <c r="AG65" s="530">
        <v>11636</v>
      </c>
      <c r="AH65" s="530">
        <v>12735</v>
      </c>
      <c r="AI65" s="530"/>
      <c r="AJ65" s="530">
        <f t="shared" si="18"/>
        <v>1099</v>
      </c>
      <c r="AK65" s="530"/>
      <c r="AL65" s="806" t="s">
        <v>126</v>
      </c>
      <c r="AM65" s="517"/>
      <c r="AN65" s="742"/>
      <c r="AO65" s="757"/>
      <c r="AP65" s="447"/>
      <c r="AQ65" s="780"/>
      <c r="AR65" s="781"/>
      <c r="AS65" s="781"/>
      <c r="AT65" s="534"/>
      <c r="AU65" s="822"/>
      <c r="AV65" s="534"/>
      <c r="AW65" s="534"/>
      <c r="AX65" s="837"/>
      <c r="AY65" s="838"/>
    </row>
    <row r="66" spans="1:51" s="531" customFormat="1" ht="22.5" hidden="1" customHeight="1">
      <c r="A66" s="741" t="s">
        <v>365</v>
      </c>
      <c r="B66" s="742" t="s">
        <v>51</v>
      </c>
      <c r="C66" s="423" t="s">
        <v>366</v>
      </c>
      <c r="D66" s="757" t="s">
        <v>223</v>
      </c>
      <c r="E66" s="448">
        <f t="shared" si="16"/>
        <v>152820</v>
      </c>
      <c r="F66" s="448">
        <f t="shared" si="4"/>
        <v>155292</v>
      </c>
      <c r="G66" s="448">
        <v>117828</v>
      </c>
      <c r="H66" s="447">
        <v>2</v>
      </c>
      <c r="I66" s="770" t="s">
        <v>53</v>
      </c>
      <c r="J66" s="447" t="s">
        <v>54</v>
      </c>
      <c r="K66" s="447" t="s">
        <v>81</v>
      </c>
      <c r="L66" s="447" t="s">
        <v>56</v>
      </c>
      <c r="M66" s="447" t="s">
        <v>57</v>
      </c>
      <c r="N66" s="545" t="s">
        <v>367</v>
      </c>
      <c r="O66" s="447" t="s">
        <v>368</v>
      </c>
      <c r="P66" s="447" t="str">
        <f t="shared" si="17"/>
        <v>ARLENE</v>
      </c>
      <c r="Q66" s="447"/>
      <c r="R66" s="447" t="s">
        <v>288</v>
      </c>
      <c r="S66" s="534" t="str">
        <f t="shared" si="20"/>
        <v xml:space="preserve">ARLENE V. EUSTAQUIO </v>
      </c>
      <c r="T66" s="780">
        <v>12941</v>
      </c>
      <c r="U66" s="305" t="s">
        <v>369</v>
      </c>
      <c r="V66" s="447" t="s">
        <v>100</v>
      </c>
      <c r="W66" s="472">
        <v>30026</v>
      </c>
      <c r="X66" s="498">
        <f t="shared" ref="X66:X74" ca="1" si="22">(NOW()-W66)</f>
        <v>16079.538043287037</v>
      </c>
      <c r="Y66" s="447"/>
      <c r="Z66" s="447"/>
      <c r="AA66" s="493">
        <v>38047</v>
      </c>
      <c r="AB66" s="493">
        <v>38226</v>
      </c>
      <c r="AC66" s="447" t="s">
        <v>64</v>
      </c>
      <c r="AD66" s="512" t="s">
        <v>102</v>
      </c>
      <c r="AE66" s="512"/>
      <c r="AF66" s="791">
        <v>12735</v>
      </c>
      <c r="AG66" s="530">
        <v>11871</v>
      </c>
      <c r="AH66" s="530">
        <v>12941</v>
      </c>
      <c r="AI66" s="530"/>
      <c r="AJ66" s="530">
        <f t="shared" si="18"/>
        <v>1070</v>
      </c>
      <c r="AK66" s="530"/>
      <c r="AL66" s="803" t="s">
        <v>245</v>
      </c>
      <c r="AM66" s="305" t="s">
        <v>365</v>
      </c>
      <c r="AN66" s="423" t="s">
        <v>370</v>
      </c>
      <c r="AO66" s="757" t="s">
        <v>352</v>
      </c>
      <c r="AP66" s="447">
        <v>1</v>
      </c>
      <c r="AQ66" s="780">
        <v>13663</v>
      </c>
      <c r="AR66" s="305" t="s">
        <v>369</v>
      </c>
      <c r="AS66" s="821" t="str">
        <f>IF(AR66="(Vacant)",AR66,IF(AR66="",AR66,"With Incumbent"))</f>
        <v>With Incumbent</v>
      </c>
      <c r="AT66" s="534"/>
      <c r="AU66" s="822"/>
      <c r="AV66" s="534"/>
      <c r="AW66" s="534"/>
      <c r="AX66" s="837"/>
      <c r="AY66" s="838"/>
    </row>
    <row r="67" spans="1:51" s="531" customFormat="1" ht="22.5" customHeight="1">
      <c r="A67" s="741" t="s">
        <v>371</v>
      </c>
      <c r="B67" s="742" t="s">
        <v>51</v>
      </c>
      <c r="C67" s="423" t="s">
        <v>372</v>
      </c>
      <c r="D67" s="757" t="s">
        <v>223</v>
      </c>
      <c r="E67" s="448">
        <f t="shared" si="16"/>
        <v>152820</v>
      </c>
      <c r="F67" s="448">
        <f t="shared" si="4"/>
        <v>160392</v>
      </c>
      <c r="G67" s="448">
        <v>120768</v>
      </c>
      <c r="H67" s="447">
        <v>4</v>
      </c>
      <c r="I67" s="770" t="s">
        <v>53</v>
      </c>
      <c r="J67" s="447" t="s">
        <v>54</v>
      </c>
      <c r="K67" s="447" t="s">
        <v>81</v>
      </c>
      <c r="L67" s="447" t="s">
        <v>56</v>
      </c>
      <c r="M67" s="447" t="s">
        <v>57</v>
      </c>
      <c r="N67" s="545" t="s">
        <v>373</v>
      </c>
      <c r="O67" s="447" t="s">
        <v>374</v>
      </c>
      <c r="P67" s="447" t="str">
        <f t="shared" si="17"/>
        <v>JESSICA KIM</v>
      </c>
      <c r="Q67" s="447"/>
      <c r="R67" s="447" t="s">
        <v>81</v>
      </c>
      <c r="S67" s="534" t="str">
        <f t="shared" si="20"/>
        <v xml:space="preserve">JESSICA KIM A. LOPEZ </v>
      </c>
      <c r="T67" s="780">
        <v>13366</v>
      </c>
      <c r="U67" s="305" t="s">
        <v>375</v>
      </c>
      <c r="V67" s="447" t="s">
        <v>100</v>
      </c>
      <c r="W67" s="472">
        <v>25390</v>
      </c>
      <c r="X67" s="498">
        <f t="shared" ca="1" si="22"/>
        <v>20715.538043402776</v>
      </c>
      <c r="Y67" s="447" t="s">
        <v>376</v>
      </c>
      <c r="Z67" s="447"/>
      <c r="AA67" s="493">
        <v>36007</v>
      </c>
      <c r="AB67" s="493">
        <v>36325</v>
      </c>
      <c r="AC67" s="447" t="s">
        <v>64</v>
      </c>
      <c r="AD67" s="512" t="s">
        <v>215</v>
      </c>
      <c r="AE67" s="512"/>
      <c r="AF67" s="791">
        <v>12735</v>
      </c>
      <c r="AG67" s="530">
        <v>12357</v>
      </c>
      <c r="AH67" s="530">
        <v>13366</v>
      </c>
      <c r="AI67" s="530"/>
      <c r="AJ67" s="530">
        <f t="shared" si="18"/>
        <v>1009</v>
      </c>
      <c r="AK67" s="530"/>
      <c r="AL67" s="800" t="s">
        <v>66</v>
      </c>
      <c r="AM67" s="305" t="s">
        <v>371</v>
      </c>
      <c r="AN67" s="423" t="s">
        <v>372</v>
      </c>
      <c r="AO67" s="757" t="s">
        <v>223</v>
      </c>
      <c r="AP67" s="447">
        <v>4</v>
      </c>
      <c r="AQ67" s="780">
        <v>13366</v>
      </c>
      <c r="AR67" s="305" t="s">
        <v>375</v>
      </c>
      <c r="AS67" s="821" t="str">
        <f>IF(AR67="(Vacant)",AR67,IF(AR67="",AR67,"With Incumbent"))</f>
        <v>With Incumbent</v>
      </c>
      <c r="AT67" s="534"/>
      <c r="AU67" s="822"/>
      <c r="AV67" s="534"/>
      <c r="AW67" s="534"/>
      <c r="AX67" s="837"/>
      <c r="AY67" s="838"/>
    </row>
    <row r="68" spans="1:51" s="531" customFormat="1" ht="22.5" hidden="1" customHeight="1">
      <c r="A68" s="741" t="s">
        <v>377</v>
      </c>
      <c r="B68" s="742" t="s">
        <v>51</v>
      </c>
      <c r="C68" s="423" t="s">
        <v>378</v>
      </c>
      <c r="D68" s="757" t="s">
        <v>223</v>
      </c>
      <c r="E68" s="448">
        <f t="shared" si="16"/>
        <v>152820</v>
      </c>
      <c r="F68" s="448">
        <f t="shared" si="4"/>
        <v>155292</v>
      </c>
      <c r="G68" s="448">
        <v>114960</v>
      </c>
      <c r="H68" s="447">
        <v>2</v>
      </c>
      <c r="I68" s="770" t="s">
        <v>53</v>
      </c>
      <c r="J68" s="447" t="s">
        <v>54</v>
      </c>
      <c r="K68" s="447" t="s">
        <v>81</v>
      </c>
      <c r="L68" s="447" t="s">
        <v>56</v>
      </c>
      <c r="M68" s="447" t="s">
        <v>57</v>
      </c>
      <c r="N68" s="545" t="s">
        <v>379</v>
      </c>
      <c r="O68" s="447" t="s">
        <v>380</v>
      </c>
      <c r="P68" s="447" t="str">
        <f t="shared" si="17"/>
        <v>ZALDY</v>
      </c>
      <c r="Q68" s="447"/>
      <c r="R68" s="447" t="s">
        <v>115</v>
      </c>
      <c r="S68" s="534" t="str">
        <f t="shared" si="20"/>
        <v xml:space="preserve">ZALDY B. PAPAT-IW </v>
      </c>
      <c r="T68" s="780">
        <v>12941</v>
      </c>
      <c r="U68" s="305" t="s">
        <v>381</v>
      </c>
      <c r="V68" s="424" t="s">
        <v>62</v>
      </c>
      <c r="W68" s="472">
        <v>27757</v>
      </c>
      <c r="X68" s="498">
        <f t="shared" ca="1" si="22"/>
        <v>18348.538043287037</v>
      </c>
      <c r="Y68" s="424" t="s">
        <v>382</v>
      </c>
      <c r="Z68" s="424"/>
      <c r="AA68" s="495">
        <v>37655</v>
      </c>
      <c r="AB68" s="495">
        <v>38607</v>
      </c>
      <c r="AC68" s="424" t="s">
        <v>64</v>
      </c>
      <c r="AD68" s="516" t="s">
        <v>215</v>
      </c>
      <c r="AE68" s="512"/>
      <c r="AF68" s="791">
        <v>12735</v>
      </c>
      <c r="AG68" s="530">
        <v>11871</v>
      </c>
      <c r="AH68" s="530">
        <v>12941</v>
      </c>
      <c r="AI68" s="530"/>
      <c r="AJ68" s="530">
        <f t="shared" si="18"/>
        <v>1070</v>
      </c>
      <c r="AK68" s="530"/>
      <c r="AL68" s="804" t="s">
        <v>383</v>
      </c>
      <c r="AM68" s="745"/>
      <c r="AN68" s="742"/>
      <c r="AO68" s="757"/>
      <c r="AP68" s="447"/>
      <c r="AQ68" s="780"/>
      <c r="AR68" s="305"/>
      <c r="AS68" s="305"/>
      <c r="AT68" s="534"/>
      <c r="AU68" s="822"/>
      <c r="AV68" s="534"/>
      <c r="AW68" s="534"/>
      <c r="AX68" s="837"/>
      <c r="AY68" s="838"/>
    </row>
    <row r="69" spans="1:51" s="531" customFormat="1" ht="22.5" hidden="1" customHeight="1">
      <c r="A69" s="741" t="s">
        <v>384</v>
      </c>
      <c r="B69" s="742" t="s">
        <v>51</v>
      </c>
      <c r="C69" s="423" t="s">
        <v>119</v>
      </c>
      <c r="D69" s="757" t="s">
        <v>197</v>
      </c>
      <c r="E69" s="448">
        <f t="shared" si="16"/>
        <v>132744</v>
      </c>
      <c r="F69" s="448">
        <f t="shared" si="4"/>
        <v>148764</v>
      </c>
      <c r="G69" s="448">
        <v>119352</v>
      </c>
      <c r="H69" s="447">
        <v>8</v>
      </c>
      <c r="I69" s="770" t="s">
        <v>53</v>
      </c>
      <c r="J69" s="447" t="s">
        <v>54</v>
      </c>
      <c r="K69" s="447" t="s">
        <v>81</v>
      </c>
      <c r="L69" s="447" t="s">
        <v>56</v>
      </c>
      <c r="M69" s="447" t="s">
        <v>57</v>
      </c>
      <c r="N69" s="545" t="s">
        <v>385</v>
      </c>
      <c r="O69" s="447" t="s">
        <v>386</v>
      </c>
      <c r="P69" s="447" t="str">
        <f t="shared" si="17"/>
        <v>KATHERINE</v>
      </c>
      <c r="Q69" s="447"/>
      <c r="R69" s="447" t="s">
        <v>64</v>
      </c>
      <c r="S69" s="534" t="str">
        <f t="shared" si="20"/>
        <v xml:space="preserve">KATHERINE P. DEDUQUE </v>
      </c>
      <c r="T69" s="780">
        <v>12397</v>
      </c>
      <c r="U69" s="305" t="s">
        <v>387</v>
      </c>
      <c r="V69" s="447" t="s">
        <v>100</v>
      </c>
      <c r="W69" s="472">
        <v>20640</v>
      </c>
      <c r="X69" s="498">
        <f t="shared" ca="1" si="22"/>
        <v>25465.538043402776</v>
      </c>
      <c r="Y69" s="447" t="s">
        <v>388</v>
      </c>
      <c r="Z69" s="447"/>
      <c r="AA69" s="493">
        <v>27442</v>
      </c>
      <c r="AB69" s="493">
        <v>27442</v>
      </c>
      <c r="AC69" s="447" t="s">
        <v>64</v>
      </c>
      <c r="AD69" s="512" t="s">
        <v>138</v>
      </c>
      <c r="AE69" s="512"/>
      <c r="AF69" s="791">
        <v>11062</v>
      </c>
      <c r="AG69" s="530">
        <v>11669</v>
      </c>
      <c r="AH69" s="530">
        <v>12397</v>
      </c>
      <c r="AI69" s="530"/>
      <c r="AJ69" s="530">
        <f t="shared" si="18"/>
        <v>728</v>
      </c>
      <c r="AK69" s="530"/>
      <c r="AL69" s="806" t="s">
        <v>126</v>
      </c>
      <c r="AM69" s="745"/>
      <c r="AN69" s="742"/>
      <c r="AO69" s="757"/>
      <c r="AP69" s="447"/>
      <c r="AQ69" s="780"/>
      <c r="AR69" s="305"/>
      <c r="AS69" s="305"/>
      <c r="AT69" s="534" t="s">
        <v>127</v>
      </c>
      <c r="AU69" s="822"/>
      <c r="AV69" s="534"/>
      <c r="AW69" s="534"/>
      <c r="AX69" s="837"/>
      <c r="AY69" s="838" t="s">
        <v>389</v>
      </c>
    </row>
    <row r="70" spans="1:51" s="531" customFormat="1" ht="22.5" hidden="1" customHeight="1">
      <c r="A70" s="741" t="s">
        <v>390</v>
      </c>
      <c r="B70" s="742" t="s">
        <v>51</v>
      </c>
      <c r="C70" s="423" t="s">
        <v>391</v>
      </c>
      <c r="D70" s="757" t="s">
        <v>197</v>
      </c>
      <c r="E70" s="448">
        <f t="shared" si="16"/>
        <v>132744</v>
      </c>
      <c r="F70" s="448">
        <f t="shared" si="4"/>
        <v>132744</v>
      </c>
      <c r="G70" s="448">
        <v>102912</v>
      </c>
      <c r="H70" s="447">
        <v>1</v>
      </c>
      <c r="I70" s="770" t="s">
        <v>53</v>
      </c>
      <c r="J70" s="447" t="s">
        <v>54</v>
      </c>
      <c r="K70" s="447" t="s">
        <v>81</v>
      </c>
      <c r="L70" s="447" t="s">
        <v>56</v>
      </c>
      <c r="M70" s="447"/>
      <c r="N70" s="545"/>
      <c r="O70" s="447"/>
      <c r="P70" s="447"/>
      <c r="Q70" s="447"/>
      <c r="R70" s="447"/>
      <c r="S70" s="534" t="s">
        <v>392</v>
      </c>
      <c r="T70" s="780">
        <v>11062</v>
      </c>
      <c r="U70" s="781" t="s">
        <v>88</v>
      </c>
      <c r="V70" s="447"/>
      <c r="W70" s="472"/>
      <c r="X70" s="498"/>
      <c r="Y70" s="447"/>
      <c r="Z70" s="447"/>
      <c r="AA70" s="493"/>
      <c r="AB70" s="493"/>
      <c r="AC70" s="447"/>
      <c r="AD70" s="512"/>
      <c r="AE70" s="512"/>
      <c r="AF70" s="791">
        <v>11062</v>
      </c>
      <c r="AG70" s="530">
        <v>10133</v>
      </c>
      <c r="AH70" s="530">
        <v>11062</v>
      </c>
      <c r="AI70" s="530"/>
      <c r="AJ70" s="530">
        <f t="shared" si="18"/>
        <v>929</v>
      </c>
      <c r="AK70" s="530"/>
      <c r="AL70" s="804" t="s">
        <v>393</v>
      </c>
      <c r="AM70" s="745"/>
      <c r="AN70" s="742"/>
      <c r="AO70" s="757"/>
      <c r="AP70" s="447"/>
      <c r="AQ70" s="780"/>
      <c r="AR70" s="781"/>
      <c r="AS70" s="781"/>
      <c r="AT70" s="534"/>
      <c r="AU70" s="822"/>
      <c r="AV70" s="534"/>
      <c r="AW70" s="534"/>
      <c r="AX70" s="837"/>
      <c r="AY70" s="838"/>
    </row>
    <row r="71" spans="1:51" s="531" customFormat="1" ht="22.5" customHeight="1">
      <c r="A71" s="741" t="s">
        <v>394</v>
      </c>
      <c r="B71" s="742" t="s">
        <v>51</v>
      </c>
      <c r="C71" s="423" t="s">
        <v>218</v>
      </c>
      <c r="D71" s="757" t="s">
        <v>197</v>
      </c>
      <c r="E71" s="448">
        <f t="shared" si="16"/>
        <v>132744</v>
      </c>
      <c r="F71" s="448">
        <f t="shared" si="4"/>
        <v>132744</v>
      </c>
      <c r="G71" s="448">
        <v>102912</v>
      </c>
      <c r="H71" s="447">
        <v>1</v>
      </c>
      <c r="I71" s="770" t="s">
        <v>53</v>
      </c>
      <c r="J71" s="447" t="s">
        <v>54</v>
      </c>
      <c r="K71" s="447" t="s">
        <v>81</v>
      </c>
      <c r="L71" s="447" t="s">
        <v>56</v>
      </c>
      <c r="M71" s="447"/>
      <c r="N71" s="545"/>
      <c r="O71" s="447"/>
      <c r="P71" s="447"/>
      <c r="Q71" s="447"/>
      <c r="R71" s="447"/>
      <c r="S71" s="534" t="s">
        <v>395</v>
      </c>
      <c r="T71" s="780">
        <v>11062</v>
      </c>
      <c r="U71" s="781" t="s">
        <v>88</v>
      </c>
      <c r="V71" s="447"/>
      <c r="W71" s="472"/>
      <c r="X71" s="498"/>
      <c r="Y71" s="447"/>
      <c r="Z71" s="447"/>
      <c r="AA71" s="493"/>
      <c r="AB71" s="493"/>
      <c r="AC71" s="447"/>
      <c r="AD71" s="512"/>
      <c r="AE71" s="512"/>
      <c r="AF71" s="791">
        <v>11062</v>
      </c>
      <c r="AG71" s="530">
        <v>10133</v>
      </c>
      <c r="AH71" s="530">
        <v>11062</v>
      </c>
      <c r="AI71" s="530"/>
      <c r="AJ71" s="530">
        <f t="shared" si="18"/>
        <v>929</v>
      </c>
      <c r="AK71" s="530"/>
      <c r="AL71" s="817" t="s">
        <v>66</v>
      </c>
      <c r="AM71" s="305" t="s">
        <v>394</v>
      </c>
      <c r="AN71" s="423" t="s">
        <v>396</v>
      </c>
      <c r="AO71" s="757" t="s">
        <v>197</v>
      </c>
      <c r="AP71" s="447">
        <v>1</v>
      </c>
      <c r="AQ71" s="780">
        <v>11062</v>
      </c>
      <c r="AR71" s="781" t="s">
        <v>397</v>
      </c>
      <c r="AS71" s="853" t="str">
        <f>IF(AR71="(Vacant)",AR71,IF(AR71="",AR71,IF(AR71="To be Abolished",AR71,"With Incumbent")))</f>
        <v>To be Abolished</v>
      </c>
      <c r="AT71" s="534"/>
      <c r="AU71" s="822"/>
      <c r="AV71" s="534"/>
      <c r="AW71" s="534"/>
      <c r="AX71" s="837"/>
      <c r="AY71" s="838"/>
    </row>
    <row r="72" spans="1:51" s="531" customFormat="1" ht="22.5" hidden="1" customHeight="1">
      <c r="A72" s="741" t="s">
        <v>217</v>
      </c>
      <c r="B72" s="742" t="s">
        <v>51</v>
      </c>
      <c r="C72" s="423" t="s">
        <v>218</v>
      </c>
      <c r="D72" s="757" t="s">
        <v>197</v>
      </c>
      <c r="E72" s="448">
        <f t="shared" si="16"/>
        <v>132744</v>
      </c>
      <c r="F72" s="448">
        <f t="shared" si="4"/>
        <v>137100</v>
      </c>
      <c r="G72" s="448">
        <v>102912</v>
      </c>
      <c r="H72" s="447">
        <v>3</v>
      </c>
      <c r="I72" s="770" t="s">
        <v>53</v>
      </c>
      <c r="J72" s="447" t="s">
        <v>54</v>
      </c>
      <c r="K72" s="447" t="s">
        <v>81</v>
      </c>
      <c r="L72" s="447" t="s">
        <v>56</v>
      </c>
      <c r="M72" s="616" t="s">
        <v>211</v>
      </c>
      <c r="N72" s="545" t="s">
        <v>212</v>
      </c>
      <c r="O72" s="447" t="s">
        <v>213</v>
      </c>
      <c r="P72" s="447" t="str">
        <f t="shared" si="17"/>
        <v>CARMELITA</v>
      </c>
      <c r="Q72" s="447"/>
      <c r="R72" s="447" t="s">
        <v>122</v>
      </c>
      <c r="S72" s="534" t="str">
        <f t="shared" si="20"/>
        <v xml:space="preserve">CARMELITA C. MAGO </v>
      </c>
      <c r="T72" s="780">
        <v>11425</v>
      </c>
      <c r="U72" s="305" t="s">
        <v>219</v>
      </c>
      <c r="V72" s="447" t="s">
        <v>100</v>
      </c>
      <c r="W72" s="472">
        <v>20401</v>
      </c>
      <c r="X72" s="498">
        <f t="shared" ca="1" si="22"/>
        <v>25704.538043287037</v>
      </c>
      <c r="Y72" s="447" t="s">
        <v>214</v>
      </c>
      <c r="Z72" s="447"/>
      <c r="AA72" s="493">
        <v>30769</v>
      </c>
      <c r="AB72" s="493">
        <v>37288</v>
      </c>
      <c r="AC72" s="447" t="s">
        <v>64</v>
      </c>
      <c r="AD72" s="512" t="s">
        <v>215</v>
      </c>
      <c r="AE72" s="512"/>
      <c r="AF72" s="791">
        <v>11062</v>
      </c>
      <c r="AG72" s="530">
        <v>10548</v>
      </c>
      <c r="AH72" s="530">
        <v>11425</v>
      </c>
      <c r="AI72" s="530"/>
      <c r="AJ72" s="530">
        <f t="shared" si="18"/>
        <v>877</v>
      </c>
      <c r="AK72" s="530"/>
      <c r="AL72" s="804" t="s">
        <v>398</v>
      </c>
      <c r="AM72" s="745"/>
      <c r="AN72" s="742"/>
      <c r="AO72" s="854"/>
      <c r="AP72" s="447"/>
      <c r="AQ72" s="780"/>
      <c r="AR72" s="305"/>
      <c r="AS72" s="305"/>
      <c r="AT72" s="534"/>
      <c r="AU72" s="822"/>
      <c r="AV72" s="534"/>
      <c r="AW72" s="534"/>
      <c r="AX72" s="837"/>
      <c r="AY72" s="838"/>
    </row>
    <row r="73" spans="1:51" s="531" customFormat="1" ht="22.5" hidden="1" customHeight="1">
      <c r="A73" s="741" t="s">
        <v>399</v>
      </c>
      <c r="B73" s="742" t="s">
        <v>51</v>
      </c>
      <c r="C73" s="423" t="s">
        <v>400</v>
      </c>
      <c r="D73" s="757" t="s">
        <v>197</v>
      </c>
      <c r="E73" s="448">
        <f t="shared" si="16"/>
        <v>132744</v>
      </c>
      <c r="F73" s="448">
        <f t="shared" si="4"/>
        <v>134904</v>
      </c>
      <c r="G73" s="448">
        <v>100404</v>
      </c>
      <c r="H73" s="447">
        <v>2</v>
      </c>
      <c r="I73" s="770" t="s">
        <v>53</v>
      </c>
      <c r="J73" s="447" t="s">
        <v>54</v>
      </c>
      <c r="K73" s="447" t="s">
        <v>81</v>
      </c>
      <c r="L73" s="447" t="s">
        <v>56</v>
      </c>
      <c r="M73" s="447" t="s">
        <v>57</v>
      </c>
      <c r="N73" s="545" t="s">
        <v>401</v>
      </c>
      <c r="O73" s="447" t="s">
        <v>402</v>
      </c>
      <c r="P73" s="447" t="str">
        <f t="shared" si="17"/>
        <v>DEXTER</v>
      </c>
      <c r="Q73" s="447"/>
      <c r="R73" s="447" t="s">
        <v>72</v>
      </c>
      <c r="S73" s="534" t="str">
        <f t="shared" si="20"/>
        <v xml:space="preserve">DEXTER L. IDOS </v>
      </c>
      <c r="T73" s="780">
        <v>11242</v>
      </c>
      <c r="U73" s="305" t="s">
        <v>403</v>
      </c>
      <c r="V73" s="447" t="s">
        <v>62</v>
      </c>
      <c r="W73" s="472">
        <v>29647</v>
      </c>
      <c r="X73" s="498">
        <f t="shared" ca="1" si="22"/>
        <v>16458.538043402776</v>
      </c>
      <c r="Y73" s="447" t="s">
        <v>404</v>
      </c>
      <c r="Z73" s="447"/>
      <c r="AA73" s="493">
        <v>38215</v>
      </c>
      <c r="AB73" s="493">
        <v>38384</v>
      </c>
      <c r="AC73" s="447" t="s">
        <v>64</v>
      </c>
      <c r="AD73" s="512" t="s">
        <v>102</v>
      </c>
      <c r="AE73" s="512"/>
      <c r="AF73" s="791">
        <v>11062</v>
      </c>
      <c r="AG73" s="530">
        <v>10338</v>
      </c>
      <c r="AH73" s="530">
        <v>11242</v>
      </c>
      <c r="AI73" s="530"/>
      <c r="AJ73" s="530">
        <f t="shared" si="18"/>
        <v>904</v>
      </c>
      <c r="AK73" s="530"/>
      <c r="AL73" s="806" t="s">
        <v>126</v>
      </c>
      <c r="AM73" s="745"/>
      <c r="AN73" s="742"/>
      <c r="AO73" s="757"/>
      <c r="AP73" s="447"/>
      <c r="AQ73" s="780"/>
      <c r="AR73" s="305"/>
      <c r="AS73" s="305"/>
      <c r="AT73" s="534" t="s">
        <v>127</v>
      </c>
      <c r="AU73" s="855"/>
      <c r="AV73" s="519"/>
      <c r="AW73" s="519"/>
      <c r="AX73" s="860"/>
      <c r="AY73" s="861" t="s">
        <v>405</v>
      </c>
    </row>
    <row r="74" spans="1:51" s="531" customFormat="1" ht="22.5" customHeight="1">
      <c r="A74" s="741" t="s">
        <v>406</v>
      </c>
      <c r="B74" s="742" t="s">
        <v>51</v>
      </c>
      <c r="C74" s="423" t="s">
        <v>267</v>
      </c>
      <c r="D74" s="757" t="s">
        <v>407</v>
      </c>
      <c r="E74" s="448">
        <f t="shared" si="16"/>
        <v>114432</v>
      </c>
      <c r="F74" s="448">
        <f t="shared" si="4"/>
        <v>116280</v>
      </c>
      <c r="G74" s="448">
        <v>88224</v>
      </c>
      <c r="H74" s="447">
        <v>2</v>
      </c>
      <c r="I74" s="770" t="s">
        <v>53</v>
      </c>
      <c r="J74" s="447" t="s">
        <v>54</v>
      </c>
      <c r="K74" s="447" t="s">
        <v>81</v>
      </c>
      <c r="L74" s="447" t="s">
        <v>56</v>
      </c>
      <c r="M74" s="616" t="s">
        <v>408</v>
      </c>
      <c r="N74" s="545" t="s">
        <v>409</v>
      </c>
      <c r="O74" s="447" t="s">
        <v>410</v>
      </c>
      <c r="P74" s="447" t="str">
        <f t="shared" si="17"/>
        <v>JOANNA RUTH</v>
      </c>
      <c r="Q74" s="447"/>
      <c r="R74" s="447" t="s">
        <v>158</v>
      </c>
      <c r="S74" s="534" t="str">
        <f t="shared" si="20"/>
        <v xml:space="preserve">JOANNA RUTH T. GUINABAN </v>
      </c>
      <c r="T74" s="780">
        <v>9690</v>
      </c>
      <c r="U74" s="305" t="s">
        <v>411</v>
      </c>
      <c r="V74" s="447" t="s">
        <v>100</v>
      </c>
      <c r="W74" s="472">
        <v>27558</v>
      </c>
      <c r="X74" s="498">
        <f t="shared" ca="1" si="22"/>
        <v>18547.538043402776</v>
      </c>
      <c r="Y74" s="447" t="s">
        <v>412</v>
      </c>
      <c r="Z74" s="447"/>
      <c r="AA74" s="493">
        <v>38226</v>
      </c>
      <c r="AB74" s="493">
        <v>38226</v>
      </c>
      <c r="AC74" s="447" t="s">
        <v>64</v>
      </c>
      <c r="AD74" s="512" t="s">
        <v>102</v>
      </c>
      <c r="AE74" s="512"/>
      <c r="AF74" s="791">
        <v>9536</v>
      </c>
      <c r="AG74" s="530">
        <v>8888</v>
      </c>
      <c r="AH74" s="530">
        <v>9690</v>
      </c>
      <c r="AI74" s="530"/>
      <c r="AJ74" s="530">
        <f t="shared" si="18"/>
        <v>802</v>
      </c>
      <c r="AK74" s="530"/>
      <c r="AL74" s="800" t="s">
        <v>66</v>
      </c>
      <c r="AM74" s="305" t="s">
        <v>406</v>
      </c>
      <c r="AN74" s="423" t="s">
        <v>267</v>
      </c>
      <c r="AO74" s="757" t="s">
        <v>407</v>
      </c>
      <c r="AP74" s="447">
        <v>2</v>
      </c>
      <c r="AQ74" s="780">
        <v>9690</v>
      </c>
      <c r="AR74" s="305" t="s">
        <v>411</v>
      </c>
      <c r="AS74" s="821" t="str">
        <f t="shared" ref="AS74:AS80" si="23">IF(AR74="(Vacant)",AR74,IF(AR74="",AR74,"With Incumbent"))</f>
        <v>With Incumbent</v>
      </c>
      <c r="AT74" s="534"/>
      <c r="AU74" s="822"/>
      <c r="AV74" s="534"/>
      <c r="AW74" s="534"/>
      <c r="AX74" s="837"/>
      <c r="AY74" s="838"/>
    </row>
    <row r="75" spans="1:51" s="531" customFormat="1" ht="22.5" customHeight="1">
      <c r="A75" s="741" t="s">
        <v>413</v>
      </c>
      <c r="B75" s="742" t="s">
        <v>51</v>
      </c>
      <c r="C75" s="423" t="s">
        <v>267</v>
      </c>
      <c r="D75" s="757" t="s">
        <v>407</v>
      </c>
      <c r="E75" s="448">
        <f t="shared" si="16"/>
        <v>114432</v>
      </c>
      <c r="F75" s="448">
        <f t="shared" si="4"/>
        <v>114432</v>
      </c>
      <c r="G75" s="448" t="s">
        <v>131</v>
      </c>
      <c r="H75" s="447">
        <v>1</v>
      </c>
      <c r="I75" s="770" t="s">
        <v>53</v>
      </c>
      <c r="J75" s="447" t="s">
        <v>54</v>
      </c>
      <c r="K75" s="447" t="s">
        <v>81</v>
      </c>
      <c r="L75" s="447" t="s">
        <v>56</v>
      </c>
      <c r="M75" s="447"/>
      <c r="N75" s="545"/>
      <c r="O75" s="447"/>
      <c r="P75" s="447" t="str">
        <f t="shared" si="17"/>
        <v/>
      </c>
      <c r="Q75" s="447"/>
      <c r="R75" s="447"/>
      <c r="S75" s="534" t="str">
        <f t="shared" si="20"/>
        <v xml:space="preserve"> .  </v>
      </c>
      <c r="T75" s="780">
        <v>9536</v>
      </c>
      <c r="U75" s="781" t="s">
        <v>88</v>
      </c>
      <c r="V75" s="447"/>
      <c r="W75" s="472"/>
      <c r="X75" s="447"/>
      <c r="Y75" s="447"/>
      <c r="Z75" s="447"/>
      <c r="AA75" s="493"/>
      <c r="AB75" s="493"/>
      <c r="AC75" s="447"/>
      <c r="AD75" s="512"/>
      <c r="AE75" s="512"/>
      <c r="AF75" s="791">
        <v>9536</v>
      </c>
      <c r="AG75" s="530">
        <v>8713</v>
      </c>
      <c r="AH75" s="530">
        <v>9536</v>
      </c>
      <c r="AI75" s="530"/>
      <c r="AJ75" s="530">
        <f t="shared" si="18"/>
        <v>823</v>
      </c>
      <c r="AK75" s="530"/>
      <c r="AL75" s="800" t="s">
        <v>66</v>
      </c>
      <c r="AM75" s="305" t="s">
        <v>413</v>
      </c>
      <c r="AN75" s="423" t="s">
        <v>267</v>
      </c>
      <c r="AO75" s="757" t="s">
        <v>407</v>
      </c>
      <c r="AP75" s="447">
        <v>1</v>
      </c>
      <c r="AQ75" s="780">
        <v>9536</v>
      </c>
      <c r="AR75" s="781" t="s">
        <v>88</v>
      </c>
      <c r="AS75" s="823" t="str">
        <f t="shared" si="23"/>
        <v>(Vacant)</v>
      </c>
      <c r="AT75" s="534"/>
      <c r="AU75" s="822" t="s">
        <v>414</v>
      </c>
      <c r="AV75" s="534" t="s">
        <v>265</v>
      </c>
      <c r="AW75" s="534" t="s">
        <v>265</v>
      </c>
      <c r="AX75" s="837" t="s">
        <v>415</v>
      </c>
      <c r="AY75" s="838" t="s">
        <v>93</v>
      </c>
    </row>
    <row r="76" spans="1:51" s="531" customFormat="1" ht="22.5" customHeight="1">
      <c r="A76" s="741" t="s">
        <v>416</v>
      </c>
      <c r="B76" s="742" t="s">
        <v>51</v>
      </c>
      <c r="C76" s="423" t="s">
        <v>417</v>
      </c>
      <c r="D76" s="757" t="s">
        <v>407</v>
      </c>
      <c r="E76" s="448">
        <f t="shared" si="16"/>
        <v>114432</v>
      </c>
      <c r="F76" s="448">
        <f t="shared" si="4"/>
        <v>114432</v>
      </c>
      <c r="G76" s="448">
        <v>102312</v>
      </c>
      <c r="H76" s="447">
        <v>1</v>
      </c>
      <c r="I76" s="770" t="s">
        <v>53</v>
      </c>
      <c r="J76" s="447" t="s">
        <v>54</v>
      </c>
      <c r="K76" s="447" t="s">
        <v>81</v>
      </c>
      <c r="L76" s="447" t="s">
        <v>56</v>
      </c>
      <c r="M76" s="447"/>
      <c r="N76" s="545" t="s">
        <v>134</v>
      </c>
      <c r="O76" s="447" t="s">
        <v>241</v>
      </c>
      <c r="P76" s="447" t="str">
        <f t="shared" si="17"/>
        <v>ANTONIO</v>
      </c>
      <c r="Q76" s="447"/>
      <c r="R76" s="447" t="s">
        <v>62</v>
      </c>
      <c r="S76" s="534" t="str">
        <f t="shared" si="20"/>
        <v xml:space="preserve">ANTONIO M. TICBAEN </v>
      </c>
      <c r="T76" s="780">
        <v>9536</v>
      </c>
      <c r="U76" s="781" t="s">
        <v>88</v>
      </c>
      <c r="V76" s="424"/>
      <c r="W76" s="472"/>
      <c r="X76" s="498"/>
      <c r="Y76" s="424"/>
      <c r="Z76" s="424"/>
      <c r="AA76" s="495"/>
      <c r="AB76" s="495"/>
      <c r="AC76" s="424"/>
      <c r="AD76" s="516"/>
      <c r="AE76" s="512"/>
      <c r="AF76" s="791">
        <v>9536</v>
      </c>
      <c r="AG76" s="530">
        <v>8713</v>
      </c>
      <c r="AH76" s="530">
        <v>9536</v>
      </c>
      <c r="AI76" s="530"/>
      <c r="AJ76" s="530">
        <f t="shared" si="18"/>
        <v>823</v>
      </c>
      <c r="AK76" s="530"/>
      <c r="AL76" s="800" t="s">
        <v>66</v>
      </c>
      <c r="AM76" s="305" t="s">
        <v>416</v>
      </c>
      <c r="AN76" s="423" t="s">
        <v>267</v>
      </c>
      <c r="AO76" s="757" t="s">
        <v>407</v>
      </c>
      <c r="AP76" s="447">
        <v>1</v>
      </c>
      <c r="AQ76" s="780">
        <v>9536</v>
      </c>
      <c r="AR76" s="781" t="s">
        <v>88</v>
      </c>
      <c r="AS76" s="823" t="str">
        <f t="shared" si="23"/>
        <v>(Vacant)</v>
      </c>
      <c r="AT76" s="534"/>
      <c r="AU76" s="822" t="s">
        <v>414</v>
      </c>
      <c r="AV76" s="534" t="s">
        <v>265</v>
      </c>
      <c r="AW76" s="534" t="s">
        <v>265</v>
      </c>
      <c r="AX76" s="837" t="s">
        <v>415</v>
      </c>
      <c r="AY76" s="838" t="s">
        <v>93</v>
      </c>
    </row>
    <row r="77" spans="1:51" s="531" customFormat="1" ht="22.5" hidden="1" customHeight="1">
      <c r="A77" s="741"/>
      <c r="B77" s="742"/>
      <c r="C77" s="423"/>
      <c r="D77" s="757"/>
      <c r="E77" s="448">
        <f t="shared" si="16"/>
        <v>106248</v>
      </c>
      <c r="F77" s="448">
        <f t="shared" si="4"/>
        <v>111504</v>
      </c>
      <c r="G77" s="448">
        <v>85836</v>
      </c>
      <c r="H77" s="447"/>
      <c r="I77" s="770" t="s">
        <v>53</v>
      </c>
      <c r="J77" s="447" t="s">
        <v>54</v>
      </c>
      <c r="K77" s="447" t="s">
        <v>81</v>
      </c>
      <c r="L77" s="447" t="s">
        <v>56</v>
      </c>
      <c r="M77" s="447" t="s">
        <v>57</v>
      </c>
      <c r="N77" s="545" t="s">
        <v>141</v>
      </c>
      <c r="O77" s="447" t="s">
        <v>142</v>
      </c>
      <c r="P77" s="447" t="str">
        <f t="shared" si="17"/>
        <v>JONATHAN</v>
      </c>
      <c r="Q77" s="447"/>
      <c r="R77" s="447" t="s">
        <v>81</v>
      </c>
      <c r="S77" s="534" t="str">
        <f t="shared" si="20"/>
        <v xml:space="preserve">JONATHAN A. TAMONDONG </v>
      </c>
      <c r="T77" s="780"/>
      <c r="U77" s="305"/>
      <c r="V77" s="447" t="s">
        <v>62</v>
      </c>
      <c r="W77" s="472">
        <v>24419</v>
      </c>
      <c r="X77" s="498">
        <f t="shared" ref="X77:X82" ca="1" si="24">(NOW()-W77)</f>
        <v>21686.538043402776</v>
      </c>
      <c r="Y77" s="447" t="s">
        <v>144</v>
      </c>
      <c r="Z77" s="447"/>
      <c r="AA77" s="493">
        <v>34808</v>
      </c>
      <c r="AB77" s="493">
        <v>36054</v>
      </c>
      <c r="AC77" s="447" t="s">
        <v>64</v>
      </c>
      <c r="AD77" s="512" t="s">
        <v>145</v>
      </c>
      <c r="AE77" s="512"/>
      <c r="AF77" s="791">
        <v>8854</v>
      </c>
      <c r="AG77" s="530">
        <v>8580</v>
      </c>
      <c r="AH77" s="530">
        <v>9292</v>
      </c>
      <c r="AI77" s="530"/>
      <c r="AJ77" s="530">
        <f t="shared" si="18"/>
        <v>712</v>
      </c>
      <c r="AK77" s="530"/>
      <c r="AL77" s="817" t="s">
        <v>418</v>
      </c>
      <c r="AM77" s="305" t="s">
        <v>139</v>
      </c>
      <c r="AN77" s="423" t="s">
        <v>419</v>
      </c>
      <c r="AO77" s="757" t="s">
        <v>420</v>
      </c>
      <c r="AP77" s="447">
        <v>4</v>
      </c>
      <c r="AQ77" s="780">
        <v>9292</v>
      </c>
      <c r="AR77" s="305" t="s">
        <v>143</v>
      </c>
      <c r="AS77" s="821" t="str">
        <f t="shared" si="23"/>
        <v>With Incumbent</v>
      </c>
      <c r="AT77" s="534"/>
      <c r="AU77" s="822"/>
      <c r="AV77" s="534"/>
      <c r="AW77" s="534"/>
      <c r="AX77" s="837"/>
      <c r="AY77" s="838"/>
    </row>
    <row r="78" spans="1:51" s="531" customFormat="1" ht="22.5" customHeight="1">
      <c r="A78" s="741" t="s">
        <v>421</v>
      </c>
      <c r="B78" s="742" t="s">
        <v>51</v>
      </c>
      <c r="C78" s="423" t="s">
        <v>422</v>
      </c>
      <c r="D78" s="757" t="s">
        <v>420</v>
      </c>
      <c r="E78" s="448">
        <f t="shared" si="16"/>
        <v>106248</v>
      </c>
      <c r="F78" s="448">
        <f t="shared" si="4"/>
        <v>119004</v>
      </c>
      <c r="G78" s="448">
        <v>92412</v>
      </c>
      <c r="H78" s="447">
        <v>8</v>
      </c>
      <c r="I78" s="770" t="s">
        <v>53</v>
      </c>
      <c r="J78" s="447" t="s">
        <v>54</v>
      </c>
      <c r="K78" s="447" t="s">
        <v>81</v>
      </c>
      <c r="L78" s="447" t="s">
        <v>56</v>
      </c>
      <c r="M78" s="447" t="s">
        <v>57</v>
      </c>
      <c r="N78" s="545" t="s">
        <v>423</v>
      </c>
      <c r="O78" s="447" t="s">
        <v>424</v>
      </c>
      <c r="P78" s="447" t="str">
        <f t="shared" si="17"/>
        <v>GERARDO</v>
      </c>
      <c r="Q78" s="447"/>
      <c r="R78" s="447" t="s">
        <v>54</v>
      </c>
      <c r="S78" s="534" t="str">
        <f t="shared" si="20"/>
        <v xml:space="preserve">GERARDO R. ROJO </v>
      </c>
      <c r="T78" s="780">
        <v>9917</v>
      </c>
      <c r="U78" s="305" t="s">
        <v>425</v>
      </c>
      <c r="V78" s="447" t="s">
        <v>62</v>
      </c>
      <c r="W78" s="472">
        <v>22132</v>
      </c>
      <c r="X78" s="498">
        <f t="shared" ca="1" si="24"/>
        <v>23973.538043287037</v>
      </c>
      <c r="Y78" s="447" t="s">
        <v>426</v>
      </c>
      <c r="Z78" s="447"/>
      <c r="AA78" s="493">
        <v>32371</v>
      </c>
      <c r="AB78" s="493">
        <v>32371</v>
      </c>
      <c r="AC78" s="447" t="s">
        <v>64</v>
      </c>
      <c r="AD78" s="512" t="s">
        <v>125</v>
      </c>
      <c r="AE78" s="512"/>
      <c r="AF78" s="791">
        <v>8854</v>
      </c>
      <c r="AG78" s="530">
        <v>9301</v>
      </c>
      <c r="AH78" s="530">
        <v>9917</v>
      </c>
      <c r="AI78" s="530"/>
      <c r="AJ78" s="530">
        <f t="shared" si="18"/>
        <v>616</v>
      </c>
      <c r="AK78" s="530"/>
      <c r="AL78" s="817" t="s">
        <v>66</v>
      </c>
      <c r="AM78" s="305" t="s">
        <v>421</v>
      </c>
      <c r="AN78" s="423" t="s">
        <v>427</v>
      </c>
      <c r="AO78" s="757" t="s">
        <v>420</v>
      </c>
      <c r="AP78" s="447">
        <v>8</v>
      </c>
      <c r="AQ78" s="780">
        <v>9917</v>
      </c>
      <c r="AR78" s="305" t="s">
        <v>425</v>
      </c>
      <c r="AS78" s="821" t="str">
        <f t="shared" si="23"/>
        <v>With Incumbent</v>
      </c>
      <c r="AT78" s="534"/>
      <c r="AU78" s="822"/>
      <c r="AV78" s="534"/>
      <c r="AW78" s="534"/>
      <c r="AX78" s="837"/>
      <c r="AY78" s="838"/>
    </row>
    <row r="79" spans="1:51" s="531" customFormat="1" ht="22.5" customHeight="1">
      <c r="A79" s="741" t="s">
        <v>428</v>
      </c>
      <c r="B79" s="742" t="s">
        <v>51</v>
      </c>
      <c r="C79" s="423" t="s">
        <v>422</v>
      </c>
      <c r="D79" s="757" t="s">
        <v>420</v>
      </c>
      <c r="E79" s="448">
        <f t="shared" si="16"/>
        <v>106248</v>
      </c>
      <c r="F79" s="448">
        <f t="shared" si="4"/>
        <v>109704</v>
      </c>
      <c r="G79" s="448">
        <v>81696</v>
      </c>
      <c r="H79" s="447">
        <v>3</v>
      </c>
      <c r="I79" s="770" t="s">
        <v>53</v>
      </c>
      <c r="J79" s="447" t="s">
        <v>54</v>
      </c>
      <c r="K79" s="447" t="s">
        <v>81</v>
      </c>
      <c r="L79" s="447" t="s">
        <v>56</v>
      </c>
      <c r="M79" s="447" t="s">
        <v>57</v>
      </c>
      <c r="N79" s="545" t="s">
        <v>429</v>
      </c>
      <c r="O79" s="447" t="s">
        <v>430</v>
      </c>
      <c r="P79" s="447" t="str">
        <f t="shared" si="17"/>
        <v>ROBERTO</v>
      </c>
      <c r="Q79" s="447"/>
      <c r="R79" s="447" t="s">
        <v>81</v>
      </c>
      <c r="S79" s="534" t="str">
        <f t="shared" si="20"/>
        <v xml:space="preserve">ROBERTO A. PEREZ </v>
      </c>
      <c r="T79" s="780">
        <v>9142</v>
      </c>
      <c r="U79" s="305" t="s">
        <v>431</v>
      </c>
      <c r="V79" s="447" t="s">
        <v>62</v>
      </c>
      <c r="W79" s="472">
        <v>26124</v>
      </c>
      <c r="X79" s="498">
        <f t="shared" ca="1" si="24"/>
        <v>19981.538043402776</v>
      </c>
      <c r="Y79" s="447" t="s">
        <v>432</v>
      </c>
      <c r="Z79" s="447"/>
      <c r="AA79" s="493">
        <v>35878</v>
      </c>
      <c r="AB79" s="493">
        <v>38018</v>
      </c>
      <c r="AC79" s="447" t="s">
        <v>64</v>
      </c>
      <c r="AD79" s="512" t="s">
        <v>138</v>
      </c>
      <c r="AE79" s="512"/>
      <c r="AF79" s="791">
        <v>8854</v>
      </c>
      <c r="AG79" s="530">
        <v>8409</v>
      </c>
      <c r="AH79" s="530">
        <v>9142</v>
      </c>
      <c r="AI79" s="530"/>
      <c r="AJ79" s="530">
        <f t="shared" si="18"/>
        <v>733</v>
      </c>
      <c r="AK79" s="530"/>
      <c r="AL79" s="817" t="s">
        <v>66</v>
      </c>
      <c r="AM79" s="305" t="s">
        <v>428</v>
      </c>
      <c r="AN79" s="423" t="s">
        <v>427</v>
      </c>
      <c r="AO79" s="757" t="s">
        <v>420</v>
      </c>
      <c r="AP79" s="447">
        <v>3</v>
      </c>
      <c r="AQ79" s="780">
        <v>9142</v>
      </c>
      <c r="AR79" s="305" t="s">
        <v>431</v>
      </c>
      <c r="AS79" s="821" t="str">
        <f t="shared" si="23"/>
        <v>With Incumbent</v>
      </c>
      <c r="AT79" s="534"/>
      <c r="AU79" s="822"/>
      <c r="AV79" s="534"/>
      <c r="AW79" s="534"/>
      <c r="AX79" s="837"/>
      <c r="AY79" s="838"/>
    </row>
    <row r="80" spans="1:51" s="531" customFormat="1" ht="22.5" customHeight="1">
      <c r="A80" s="741" t="s">
        <v>433</v>
      </c>
      <c r="B80" s="742" t="s">
        <v>51</v>
      </c>
      <c r="C80" s="423" t="s">
        <v>422</v>
      </c>
      <c r="D80" s="757" t="s">
        <v>420</v>
      </c>
      <c r="E80" s="448">
        <f t="shared" si="16"/>
        <v>106248</v>
      </c>
      <c r="F80" s="448">
        <f t="shared" si="4"/>
        <v>109704</v>
      </c>
      <c r="G80" s="448">
        <v>83724</v>
      </c>
      <c r="H80" s="447">
        <v>3</v>
      </c>
      <c r="I80" s="770" t="s">
        <v>53</v>
      </c>
      <c r="J80" s="447" t="s">
        <v>54</v>
      </c>
      <c r="K80" s="447" t="s">
        <v>81</v>
      </c>
      <c r="L80" s="447" t="s">
        <v>56</v>
      </c>
      <c r="M80" s="447" t="s">
        <v>57</v>
      </c>
      <c r="N80" s="545" t="s">
        <v>434</v>
      </c>
      <c r="O80" s="447" t="s">
        <v>435</v>
      </c>
      <c r="P80" s="447" t="str">
        <f t="shared" si="17"/>
        <v>EDWARD</v>
      </c>
      <c r="Q80" s="447"/>
      <c r="R80" s="447" t="s">
        <v>115</v>
      </c>
      <c r="S80" s="534" t="str">
        <f t="shared" si="20"/>
        <v xml:space="preserve">EDWARD B. NONOG </v>
      </c>
      <c r="T80" s="780">
        <v>9142</v>
      </c>
      <c r="U80" s="305" t="s">
        <v>436</v>
      </c>
      <c r="V80" s="447" t="s">
        <v>62</v>
      </c>
      <c r="W80" s="472">
        <v>28191</v>
      </c>
      <c r="X80" s="498">
        <f t="shared" ca="1" si="24"/>
        <v>17914.538043402776</v>
      </c>
      <c r="Y80" s="447" t="s">
        <v>437</v>
      </c>
      <c r="Z80" s="447"/>
      <c r="AA80" s="493">
        <v>37173</v>
      </c>
      <c r="AB80" s="493">
        <v>37173</v>
      </c>
      <c r="AC80" s="447" t="s">
        <v>64</v>
      </c>
      <c r="AD80" s="512" t="s">
        <v>138</v>
      </c>
      <c r="AE80" s="512"/>
      <c r="AF80" s="791">
        <v>8854</v>
      </c>
      <c r="AG80" s="530">
        <v>8409</v>
      </c>
      <c r="AH80" s="530">
        <v>9142</v>
      </c>
      <c r="AI80" s="530"/>
      <c r="AJ80" s="530">
        <f t="shared" si="18"/>
        <v>733</v>
      </c>
      <c r="AK80" s="530"/>
      <c r="AL80" s="817" t="s">
        <v>66</v>
      </c>
      <c r="AM80" s="305" t="s">
        <v>433</v>
      </c>
      <c r="AN80" s="423" t="s">
        <v>427</v>
      </c>
      <c r="AO80" s="757" t="s">
        <v>420</v>
      </c>
      <c r="AP80" s="447">
        <v>3</v>
      </c>
      <c r="AQ80" s="780">
        <v>9142</v>
      </c>
      <c r="AR80" s="305" t="s">
        <v>436</v>
      </c>
      <c r="AS80" s="821" t="str">
        <f t="shared" si="23"/>
        <v>With Incumbent</v>
      </c>
      <c r="AT80" s="534"/>
      <c r="AU80" s="822"/>
      <c r="AV80" s="534"/>
      <c r="AW80" s="534"/>
      <c r="AX80" s="837"/>
      <c r="AY80" s="838"/>
    </row>
    <row r="81" spans="1:51" s="531" customFormat="1" ht="22.5" customHeight="1">
      <c r="A81" s="741" t="s">
        <v>438</v>
      </c>
      <c r="B81" s="742" t="s">
        <v>51</v>
      </c>
      <c r="C81" s="423" t="s">
        <v>439</v>
      </c>
      <c r="D81" s="757" t="s">
        <v>440</v>
      </c>
      <c r="E81" s="448">
        <f t="shared" si="16"/>
        <v>98268</v>
      </c>
      <c r="F81" s="448">
        <f t="shared" si="4"/>
        <v>110040</v>
      </c>
      <c r="G81" s="448">
        <v>84792</v>
      </c>
      <c r="H81" s="447">
        <v>8</v>
      </c>
      <c r="I81" s="770" t="s">
        <v>53</v>
      </c>
      <c r="J81" s="447" t="s">
        <v>54</v>
      </c>
      <c r="K81" s="447" t="s">
        <v>81</v>
      </c>
      <c r="L81" s="447" t="s">
        <v>56</v>
      </c>
      <c r="M81" s="447" t="s">
        <v>57</v>
      </c>
      <c r="N81" s="545" t="s">
        <v>441</v>
      </c>
      <c r="O81" s="447" t="s">
        <v>442</v>
      </c>
      <c r="P81" s="447" t="str">
        <f t="shared" si="17"/>
        <v>ORLANDO</v>
      </c>
      <c r="Q81" s="447"/>
      <c r="R81" s="447" t="s">
        <v>122</v>
      </c>
      <c r="S81" s="534" t="str">
        <f t="shared" si="20"/>
        <v xml:space="preserve">ORLANDO C. PUMARES </v>
      </c>
      <c r="T81" s="780">
        <v>9170</v>
      </c>
      <c r="U81" s="305" t="s">
        <v>443</v>
      </c>
      <c r="V81" s="447" t="s">
        <v>62</v>
      </c>
      <c r="W81" s="472">
        <v>18445</v>
      </c>
      <c r="X81" s="498">
        <f t="shared" ca="1" si="24"/>
        <v>27660.538043287037</v>
      </c>
      <c r="Y81" s="447" t="s">
        <v>444</v>
      </c>
      <c r="Z81" s="447"/>
      <c r="AA81" s="493">
        <v>32371</v>
      </c>
      <c r="AB81" s="493">
        <v>32371</v>
      </c>
      <c r="AC81" s="447" t="s">
        <v>64</v>
      </c>
      <c r="AD81" s="512" t="s">
        <v>138</v>
      </c>
      <c r="AE81" s="512"/>
      <c r="AF81" s="791">
        <v>8189</v>
      </c>
      <c r="AG81" s="530">
        <v>8569</v>
      </c>
      <c r="AH81" s="530">
        <v>9170</v>
      </c>
      <c r="AI81" s="530"/>
      <c r="AJ81" s="530">
        <f t="shared" si="18"/>
        <v>601</v>
      </c>
      <c r="AK81" s="530"/>
      <c r="AL81" s="817" t="s">
        <v>66</v>
      </c>
      <c r="AM81" s="305" t="s">
        <v>438</v>
      </c>
      <c r="AN81" s="423" t="s">
        <v>445</v>
      </c>
      <c r="AO81" s="757" t="s">
        <v>440</v>
      </c>
      <c r="AP81" s="447">
        <v>8</v>
      </c>
      <c r="AQ81" s="780">
        <v>9170</v>
      </c>
      <c r="AR81" s="305" t="s">
        <v>443</v>
      </c>
      <c r="AS81" s="853" t="str">
        <f>IF(AR81="(Vacant)",AR81,IF(AR81="",AR81,IF(AR81="To be Abolished",AR81,"With Incumbent")))</f>
        <v>With Incumbent</v>
      </c>
      <c r="AT81" s="856" t="s">
        <v>446</v>
      </c>
      <c r="AU81" s="857"/>
      <c r="AV81" s="856"/>
      <c r="AW81" s="856"/>
      <c r="AX81" s="862"/>
      <c r="AY81" s="921" t="s">
        <v>447</v>
      </c>
    </row>
    <row r="82" spans="1:51" s="531" customFormat="1" ht="22.5" hidden="1" customHeight="1">
      <c r="A82" s="741" t="s">
        <v>448</v>
      </c>
      <c r="B82" s="742" t="s">
        <v>51</v>
      </c>
      <c r="C82" s="423" t="s">
        <v>449</v>
      </c>
      <c r="D82" s="757" t="s">
        <v>440</v>
      </c>
      <c r="E82" s="448">
        <f t="shared" si="16"/>
        <v>98268</v>
      </c>
      <c r="F82" s="448">
        <f t="shared" si="4"/>
        <v>110040</v>
      </c>
      <c r="G82" s="448">
        <v>84792</v>
      </c>
      <c r="H82" s="447">
        <v>8</v>
      </c>
      <c r="I82" s="770" t="s">
        <v>53</v>
      </c>
      <c r="J82" s="447" t="s">
        <v>54</v>
      </c>
      <c r="K82" s="447" t="s">
        <v>81</v>
      </c>
      <c r="L82" s="447" t="s">
        <v>56</v>
      </c>
      <c r="M82" s="447" t="s">
        <v>57</v>
      </c>
      <c r="N82" s="545" t="s">
        <v>450</v>
      </c>
      <c r="O82" s="447" t="s">
        <v>451</v>
      </c>
      <c r="P82" s="447" t="str">
        <f t="shared" si="17"/>
        <v>DIOSDADO</v>
      </c>
      <c r="Q82" s="447"/>
      <c r="R82" s="447" t="s">
        <v>81</v>
      </c>
      <c r="S82" s="534" t="str">
        <f t="shared" si="20"/>
        <v xml:space="preserve">DIOSDADO A. PASCUA </v>
      </c>
      <c r="T82" s="780">
        <v>9170</v>
      </c>
      <c r="U82" s="305" t="s">
        <v>452</v>
      </c>
      <c r="V82" s="447" t="s">
        <v>62</v>
      </c>
      <c r="W82" s="472" t="s">
        <v>453</v>
      </c>
      <c r="X82" s="498" t="e">
        <f t="shared" ca="1" si="24"/>
        <v>#VALUE!</v>
      </c>
      <c r="Y82" s="447" t="s">
        <v>454</v>
      </c>
      <c r="AA82" s="493">
        <v>32371</v>
      </c>
      <c r="AB82" s="493">
        <v>32371</v>
      </c>
      <c r="AC82" s="447" t="s">
        <v>64</v>
      </c>
      <c r="AD82" s="512" t="s">
        <v>125</v>
      </c>
      <c r="AE82" s="512"/>
      <c r="AF82" s="791">
        <v>8189</v>
      </c>
      <c r="AG82" s="530">
        <v>8569</v>
      </c>
      <c r="AH82" s="530">
        <v>9170</v>
      </c>
      <c r="AI82" s="530"/>
      <c r="AJ82" s="530">
        <f t="shared" si="18"/>
        <v>601</v>
      </c>
      <c r="AK82" s="530"/>
      <c r="AL82" s="803" t="s">
        <v>245</v>
      </c>
      <c r="AM82" s="305" t="s">
        <v>448</v>
      </c>
      <c r="AN82" s="423" t="s">
        <v>455</v>
      </c>
      <c r="AO82" s="757" t="s">
        <v>407</v>
      </c>
      <c r="AP82" s="447">
        <v>1</v>
      </c>
      <c r="AQ82" s="780">
        <v>9536</v>
      </c>
      <c r="AR82" s="305" t="s">
        <v>452</v>
      </c>
      <c r="AS82" s="821" t="str">
        <f>IF(AR82="(Vacant)",AR82,IF(AR82="",AR82,"With Incumbent"))</f>
        <v>With Incumbent</v>
      </c>
      <c r="AT82" s="534"/>
      <c r="AU82" s="822"/>
      <c r="AV82" s="534"/>
      <c r="AW82" s="534"/>
      <c r="AX82" s="837"/>
      <c r="AY82" s="838"/>
    </row>
    <row r="83" spans="1:51" s="531" customFormat="1" ht="22.5" customHeight="1">
      <c r="A83" s="741" t="s">
        <v>456</v>
      </c>
      <c r="B83" s="742" t="s">
        <v>51</v>
      </c>
      <c r="C83" s="423" t="s">
        <v>457</v>
      </c>
      <c r="D83" s="757" t="s">
        <v>458</v>
      </c>
      <c r="E83" s="448">
        <f t="shared" si="16"/>
        <v>90900</v>
      </c>
      <c r="F83" s="448">
        <f t="shared" si="4"/>
        <v>90900</v>
      </c>
      <c r="G83" s="448" t="s">
        <v>131</v>
      </c>
      <c r="H83" s="447">
        <v>1</v>
      </c>
      <c r="I83" s="770" t="s">
        <v>53</v>
      </c>
      <c r="J83" s="447" t="s">
        <v>54</v>
      </c>
      <c r="K83" s="447" t="s">
        <v>81</v>
      </c>
      <c r="L83" s="447" t="s">
        <v>56</v>
      </c>
      <c r="M83" s="447"/>
      <c r="N83" s="545"/>
      <c r="O83" s="447"/>
      <c r="P83" s="447" t="str">
        <f t="shared" si="17"/>
        <v/>
      </c>
      <c r="Q83" s="447"/>
      <c r="R83" s="447"/>
      <c r="S83" s="534" t="str">
        <f t="shared" si="20"/>
        <v xml:space="preserve"> .  </v>
      </c>
      <c r="T83" s="780">
        <v>7575</v>
      </c>
      <c r="U83" s="781" t="s">
        <v>88</v>
      </c>
      <c r="V83" s="447"/>
      <c r="W83" s="447"/>
      <c r="X83" s="447"/>
      <c r="Y83" s="447"/>
      <c r="Z83" s="447"/>
      <c r="AA83" s="493"/>
      <c r="AB83" s="493"/>
      <c r="AC83" s="447"/>
      <c r="AD83" s="512"/>
      <c r="AE83" s="512"/>
      <c r="AF83" s="791">
        <v>7575</v>
      </c>
      <c r="AG83" s="530">
        <v>6862</v>
      </c>
      <c r="AH83" s="530">
        <v>7575</v>
      </c>
      <c r="AI83" s="530"/>
      <c r="AJ83" s="530">
        <f t="shared" si="18"/>
        <v>713</v>
      </c>
      <c r="AK83" s="530"/>
      <c r="AL83" s="817" t="s">
        <v>66</v>
      </c>
      <c r="AM83" s="305" t="s">
        <v>456</v>
      </c>
      <c r="AN83" s="423" t="s">
        <v>459</v>
      </c>
      <c r="AO83" s="757" t="s">
        <v>458</v>
      </c>
      <c r="AP83" s="447">
        <v>1</v>
      </c>
      <c r="AQ83" s="780">
        <v>7575</v>
      </c>
      <c r="AR83" s="781" t="s">
        <v>397</v>
      </c>
      <c r="AS83" s="853" t="str">
        <f>IF(AR83="(Vacant)",AR83,IF(AR83="",AR83,IF(AR83="To be Abolished",AR83,"With Incumbent")))</f>
        <v>To be Abolished</v>
      </c>
      <c r="AT83" s="534"/>
      <c r="AU83" s="822"/>
      <c r="AV83" s="534"/>
      <c r="AW83" s="534"/>
      <c r="AX83" s="837"/>
      <c r="AY83" s="838"/>
    </row>
    <row r="84" spans="1:51" s="531" customFormat="1" ht="22.5" hidden="1" customHeight="1">
      <c r="A84" s="744" t="s">
        <v>147</v>
      </c>
      <c r="B84" s="533"/>
      <c r="C84" s="746"/>
      <c r="D84" s="747">
        <f>COUNTIF(D51:D83,"&lt;&gt;")</f>
        <v>30</v>
      </c>
      <c r="E84" s="748"/>
      <c r="F84" s="448"/>
      <c r="G84" s="750"/>
      <c r="H84" s="745"/>
      <c r="I84" s="771"/>
      <c r="J84" s="745"/>
      <c r="K84" s="745"/>
      <c r="L84" s="745"/>
      <c r="M84" s="745"/>
      <c r="N84" s="772"/>
      <c r="O84" s="745"/>
      <c r="P84" s="745"/>
      <c r="Q84" s="745"/>
      <c r="R84" s="745"/>
      <c r="S84" s="772"/>
      <c r="T84" s="780"/>
      <c r="U84" s="833"/>
      <c r="V84" s="745"/>
      <c r="W84" s="745"/>
      <c r="X84" s="745"/>
      <c r="Y84" s="745"/>
      <c r="Z84" s="745"/>
      <c r="AA84" s="793"/>
      <c r="AB84" s="793"/>
      <c r="AC84" s="745"/>
      <c r="AD84" s="517"/>
      <c r="AE84" s="516"/>
      <c r="AF84" s="532"/>
      <c r="AG84" s="549"/>
      <c r="AH84" s="549"/>
      <c r="AI84" s="549"/>
      <c r="AJ84" s="549"/>
      <c r="AK84" s="549"/>
      <c r="AL84" s="807"/>
      <c r="AM84" s="808" t="s">
        <v>147</v>
      </c>
      <c r="AN84" s="746"/>
      <c r="AO84" s="747">
        <f>COUNTIF(AO51:AO83,"&lt;&gt;")</f>
        <v>27</v>
      </c>
      <c r="AP84" s="745"/>
      <c r="AQ84" s="780"/>
      <c r="AR84" s="833"/>
      <c r="AS84" s="833"/>
      <c r="AT84" s="534"/>
      <c r="AU84" s="822"/>
      <c r="AV84" s="534"/>
      <c r="AW84" s="534"/>
      <c r="AX84" s="837"/>
      <c r="AY84" s="838"/>
    </row>
    <row r="85" spans="1:51" s="544" customFormat="1" ht="22.5" hidden="1" customHeight="1">
      <c r="A85" s="751" t="s">
        <v>460</v>
      </c>
      <c r="B85" s="758"/>
      <c r="C85" s="758"/>
      <c r="D85" s="759"/>
      <c r="E85" s="843"/>
      <c r="F85" s="844">
        <f t="shared" si="4"/>
        <v>0</v>
      </c>
      <c r="G85" s="845">
        <v>12</v>
      </c>
      <c r="H85" s="846"/>
      <c r="I85" s="846"/>
      <c r="J85" s="846"/>
      <c r="K85" s="846"/>
      <c r="L85" s="846"/>
      <c r="M85" s="846"/>
      <c r="N85" s="847"/>
      <c r="O85" s="846"/>
      <c r="P85" s="846"/>
      <c r="Q85" s="846"/>
      <c r="R85" s="846"/>
      <c r="S85" s="846"/>
      <c r="T85" s="784"/>
      <c r="U85" s="846"/>
      <c r="V85" s="846"/>
      <c r="W85" s="846"/>
      <c r="X85" s="846"/>
      <c r="Y85" s="846"/>
      <c r="Z85" s="846"/>
      <c r="AA85" s="846"/>
      <c r="AB85" s="846"/>
      <c r="AC85" s="846"/>
      <c r="AD85" s="846"/>
      <c r="AE85" s="316"/>
      <c r="AF85" s="848"/>
      <c r="AG85" s="845"/>
      <c r="AH85" s="845"/>
      <c r="AI85" s="845"/>
      <c r="AJ85" s="845"/>
      <c r="AK85" s="845"/>
      <c r="AL85" s="809" t="s">
        <v>461</v>
      </c>
      <c r="AM85" s="816"/>
      <c r="AN85" s="851"/>
      <c r="AO85" s="831"/>
      <c r="AP85" s="846"/>
      <c r="AQ85" s="784"/>
      <c r="AR85" s="846"/>
      <c r="AS85" s="846"/>
      <c r="AT85" s="858"/>
      <c r="AU85" s="859"/>
      <c r="AV85" s="858"/>
      <c r="AW85" s="858"/>
      <c r="AX85" s="863"/>
      <c r="AY85" s="864"/>
    </row>
    <row r="86" spans="1:51" s="531" customFormat="1" ht="22.5" customHeight="1">
      <c r="A86" s="741" t="s">
        <v>462</v>
      </c>
      <c r="B86" s="742" t="s">
        <v>189</v>
      </c>
      <c r="C86" s="423" t="s">
        <v>463</v>
      </c>
      <c r="D86" s="757" t="s">
        <v>464</v>
      </c>
      <c r="E86" s="448">
        <f t="shared" ref="E86:E98" si="25">AF86*12</f>
        <v>511668</v>
      </c>
      <c r="F86" s="448">
        <f t="shared" si="4"/>
        <v>535860</v>
      </c>
      <c r="G86" s="448">
        <v>312336</v>
      </c>
      <c r="H86" s="447">
        <v>4</v>
      </c>
      <c r="I86" s="770" t="s">
        <v>465</v>
      </c>
      <c r="J86" s="447" t="s">
        <v>64</v>
      </c>
      <c r="K86" s="447" t="s">
        <v>55</v>
      </c>
      <c r="L86" s="447" t="s">
        <v>56</v>
      </c>
      <c r="M86" s="616" t="s">
        <v>466</v>
      </c>
      <c r="N86" s="545" t="s">
        <v>467</v>
      </c>
      <c r="O86" s="447" t="s">
        <v>468</v>
      </c>
      <c r="P86" s="447" t="str">
        <f t="shared" ref="P86:P156" si="26">UPPER(O86)</f>
        <v>CRESCENCIO</v>
      </c>
      <c r="Q86" s="447" t="s">
        <v>80</v>
      </c>
      <c r="R86" s="447" t="s">
        <v>251</v>
      </c>
      <c r="S86" s="534" t="str">
        <f t="shared" ref="S86:S156" si="27">P86&amp;" "&amp;R86&amp;"."&amp;" "&amp;N86&amp;" "&amp;Q86</f>
        <v>CRESCENCIO J. CALINA Jr.</v>
      </c>
      <c r="T86" s="780">
        <v>44655</v>
      </c>
      <c r="U86" s="305" t="s">
        <v>469</v>
      </c>
      <c r="V86" s="447" t="s">
        <v>62</v>
      </c>
      <c r="W86" s="472">
        <v>18188</v>
      </c>
      <c r="X86" s="498">
        <f t="shared" ref="X86:X94" ca="1" si="28">(NOW()-W86)</f>
        <v>27917.538043402776</v>
      </c>
      <c r="Y86" s="447" t="s">
        <v>470</v>
      </c>
      <c r="Z86" s="472">
        <v>32687</v>
      </c>
      <c r="AA86" s="493">
        <v>27820</v>
      </c>
      <c r="AB86" s="493">
        <v>37519</v>
      </c>
      <c r="AC86" s="447" t="s">
        <v>64</v>
      </c>
      <c r="AD86" s="512" t="s">
        <v>471</v>
      </c>
      <c r="AE86" s="512"/>
      <c r="AF86" s="791">
        <v>42639</v>
      </c>
      <c r="AG86" s="530">
        <v>37001</v>
      </c>
      <c r="AH86" s="530">
        <v>44655</v>
      </c>
      <c r="AI86" s="530"/>
      <c r="AJ86" s="530">
        <f t="shared" ref="AJ86:AJ156" si="29">AH86-AG86</f>
        <v>7654</v>
      </c>
      <c r="AK86" s="530"/>
      <c r="AL86" s="800" t="s">
        <v>66</v>
      </c>
      <c r="AM86" s="305" t="s">
        <v>462</v>
      </c>
      <c r="AN86" s="423" t="s">
        <v>463</v>
      </c>
      <c r="AO86" s="757" t="s">
        <v>464</v>
      </c>
      <c r="AP86" s="447">
        <v>4</v>
      </c>
      <c r="AQ86" s="780">
        <v>44655</v>
      </c>
      <c r="AR86" s="305" t="s">
        <v>469</v>
      </c>
      <c r="AS86" s="821" t="str">
        <f t="shared" ref="AS86:AS92" si="30">IF(AR86="(Vacant)",AR86,IF(AR86="",AR86,"With Incumbent"))</f>
        <v>With Incumbent</v>
      </c>
      <c r="AT86" s="534"/>
      <c r="AU86" s="822"/>
      <c r="AV86" s="534"/>
      <c r="AW86" s="534"/>
      <c r="AX86" s="837"/>
      <c r="AY86" s="838"/>
    </row>
    <row r="87" spans="1:51" s="531" customFormat="1" ht="22.5" customHeight="1">
      <c r="A87" s="741" t="s">
        <v>472</v>
      </c>
      <c r="B87" s="742" t="s">
        <v>408</v>
      </c>
      <c r="C87" s="423" t="s">
        <v>463</v>
      </c>
      <c r="D87" s="757" t="s">
        <v>464</v>
      </c>
      <c r="E87" s="448">
        <f t="shared" si="25"/>
        <v>511668</v>
      </c>
      <c r="F87" s="448">
        <f t="shared" ref="F87:F98" si="31">+AH87*12</f>
        <v>519588</v>
      </c>
      <c r="G87" s="448">
        <v>297276</v>
      </c>
      <c r="H87" s="447">
        <v>2</v>
      </c>
      <c r="I87" s="770" t="s">
        <v>465</v>
      </c>
      <c r="J87" s="447" t="s">
        <v>64</v>
      </c>
      <c r="K87" s="447" t="s">
        <v>55</v>
      </c>
      <c r="L87" s="447" t="s">
        <v>56</v>
      </c>
      <c r="M87" s="616" t="s">
        <v>174</v>
      </c>
      <c r="N87" s="545" t="s">
        <v>168</v>
      </c>
      <c r="O87" s="447" t="s">
        <v>473</v>
      </c>
      <c r="P87" s="447" t="str">
        <f t="shared" si="26"/>
        <v>ANTHONY</v>
      </c>
      <c r="Q87" s="447"/>
      <c r="R87" s="447" t="s">
        <v>170</v>
      </c>
      <c r="S87" s="534" t="str">
        <f t="shared" si="27"/>
        <v xml:space="preserve">ANTHONY I. BALLUG </v>
      </c>
      <c r="T87" s="780">
        <v>43299</v>
      </c>
      <c r="U87" s="305" t="s">
        <v>474</v>
      </c>
      <c r="V87" s="447" t="s">
        <v>62</v>
      </c>
      <c r="W87" s="472">
        <v>24640</v>
      </c>
      <c r="X87" s="498">
        <f t="shared" ca="1" si="28"/>
        <v>21465.538043287037</v>
      </c>
      <c r="Y87" s="447" t="s">
        <v>475</v>
      </c>
      <c r="Z87" s="447"/>
      <c r="AA87" s="493">
        <v>34808</v>
      </c>
      <c r="AB87" s="493">
        <v>39230</v>
      </c>
      <c r="AC87" s="447" t="s">
        <v>64</v>
      </c>
      <c r="AD87" s="512" t="s">
        <v>476</v>
      </c>
      <c r="AE87" s="512"/>
      <c r="AF87" s="791">
        <v>42639</v>
      </c>
      <c r="AG87" s="530">
        <v>35615</v>
      </c>
      <c r="AH87" s="530">
        <v>43299</v>
      </c>
      <c r="AI87" s="530"/>
      <c r="AJ87" s="530">
        <f t="shared" si="29"/>
        <v>7684</v>
      </c>
      <c r="AK87" s="530"/>
      <c r="AL87" s="800" t="s">
        <v>66</v>
      </c>
      <c r="AM87" s="305" t="s">
        <v>472</v>
      </c>
      <c r="AN87" s="423" t="s">
        <v>463</v>
      </c>
      <c r="AO87" s="757" t="s">
        <v>464</v>
      </c>
      <c r="AP87" s="447">
        <v>2</v>
      </c>
      <c r="AQ87" s="780">
        <v>43299</v>
      </c>
      <c r="AR87" s="305" t="s">
        <v>474</v>
      </c>
      <c r="AS87" s="821" t="str">
        <f t="shared" si="30"/>
        <v>With Incumbent</v>
      </c>
      <c r="AT87" s="534"/>
      <c r="AU87" s="822"/>
      <c r="AV87" s="534"/>
      <c r="AW87" s="534"/>
      <c r="AX87" s="837"/>
      <c r="AY87" s="838"/>
    </row>
    <row r="88" spans="1:51" s="531" customFormat="1" ht="22.5" customHeight="1">
      <c r="A88" s="741" t="s">
        <v>477</v>
      </c>
      <c r="B88" s="742" t="s">
        <v>167</v>
      </c>
      <c r="C88" s="423" t="s">
        <v>463</v>
      </c>
      <c r="D88" s="757" t="s">
        <v>464</v>
      </c>
      <c r="E88" s="448">
        <f t="shared" si="25"/>
        <v>511668</v>
      </c>
      <c r="F88" s="448">
        <f t="shared" si="31"/>
        <v>519588</v>
      </c>
      <c r="G88" s="448">
        <v>297276</v>
      </c>
      <c r="H88" s="447">
        <v>2</v>
      </c>
      <c r="I88" s="770" t="s">
        <v>197</v>
      </c>
      <c r="J88" s="447" t="s">
        <v>64</v>
      </c>
      <c r="K88" s="447" t="s">
        <v>55</v>
      </c>
      <c r="L88" s="447" t="s">
        <v>56</v>
      </c>
      <c r="M88" s="616" t="s">
        <v>268</v>
      </c>
      <c r="N88" s="545" t="s">
        <v>478</v>
      </c>
      <c r="O88" s="447" t="s">
        <v>479</v>
      </c>
      <c r="P88" s="447" t="str">
        <f t="shared" si="26"/>
        <v>RUFINA</v>
      </c>
      <c r="Q88" s="447"/>
      <c r="R88" s="447" t="s">
        <v>158</v>
      </c>
      <c r="S88" s="534" t="str">
        <f t="shared" si="27"/>
        <v xml:space="preserve">RUFINA T. FEGCAN </v>
      </c>
      <c r="T88" s="780">
        <v>43299</v>
      </c>
      <c r="U88" s="305" t="s">
        <v>480</v>
      </c>
      <c r="V88" s="447" t="s">
        <v>100</v>
      </c>
      <c r="W88" s="472">
        <v>23658</v>
      </c>
      <c r="X88" s="498">
        <f t="shared" ca="1" si="28"/>
        <v>22447.538043402776</v>
      </c>
      <c r="Y88" s="447" t="s">
        <v>481</v>
      </c>
      <c r="Z88" s="447"/>
      <c r="AA88" s="493">
        <v>32687</v>
      </c>
      <c r="AB88" s="493">
        <v>39230</v>
      </c>
      <c r="AC88" s="447" t="s">
        <v>64</v>
      </c>
      <c r="AD88" s="512" t="s">
        <v>476</v>
      </c>
      <c r="AE88" s="512"/>
      <c r="AF88" s="791">
        <v>42639</v>
      </c>
      <c r="AG88" s="530">
        <v>35615</v>
      </c>
      <c r="AH88" s="530">
        <v>43299</v>
      </c>
      <c r="AI88" s="530"/>
      <c r="AJ88" s="530">
        <f t="shared" si="29"/>
        <v>7684</v>
      </c>
      <c r="AK88" s="530"/>
      <c r="AL88" s="800" t="s">
        <v>66</v>
      </c>
      <c r="AM88" s="305" t="s">
        <v>477</v>
      </c>
      <c r="AN88" s="423" t="s">
        <v>463</v>
      </c>
      <c r="AO88" s="757" t="s">
        <v>464</v>
      </c>
      <c r="AP88" s="447">
        <v>2</v>
      </c>
      <c r="AQ88" s="780">
        <v>43299</v>
      </c>
      <c r="AR88" s="305" t="s">
        <v>480</v>
      </c>
      <c r="AS88" s="821" t="str">
        <f t="shared" si="30"/>
        <v>With Incumbent</v>
      </c>
      <c r="AT88" s="534"/>
      <c r="AU88" s="822"/>
      <c r="AV88" s="534"/>
      <c r="AW88" s="534"/>
      <c r="AX88" s="837"/>
      <c r="AY88" s="838"/>
    </row>
    <row r="89" spans="1:51" s="531" customFormat="1" ht="22.5" customHeight="1">
      <c r="A89" s="741" t="s">
        <v>482</v>
      </c>
      <c r="B89" s="742" t="s">
        <v>268</v>
      </c>
      <c r="C89" s="423" t="s">
        <v>463</v>
      </c>
      <c r="D89" s="757" t="s">
        <v>464</v>
      </c>
      <c r="E89" s="448">
        <f t="shared" si="25"/>
        <v>511668</v>
      </c>
      <c r="F89" s="448">
        <f t="shared" si="31"/>
        <v>511668</v>
      </c>
      <c r="G89" s="448">
        <v>353376</v>
      </c>
      <c r="H89" s="447">
        <v>1</v>
      </c>
      <c r="I89" s="770" t="s">
        <v>352</v>
      </c>
      <c r="J89" s="447" t="s">
        <v>64</v>
      </c>
      <c r="K89" s="447" t="s">
        <v>55</v>
      </c>
      <c r="L89" s="447" t="s">
        <v>56</v>
      </c>
      <c r="M89" s="616" t="s">
        <v>189</v>
      </c>
      <c r="N89" s="545" t="s">
        <v>483</v>
      </c>
      <c r="O89" s="447" t="s">
        <v>308</v>
      </c>
      <c r="P89" s="447" t="str">
        <f t="shared" si="26"/>
        <v>EVELYN</v>
      </c>
      <c r="Q89" s="447"/>
      <c r="R89" s="447" t="s">
        <v>115</v>
      </c>
      <c r="S89" s="534" t="str">
        <f t="shared" si="27"/>
        <v xml:space="preserve">EVELYN B. TRINIDAD </v>
      </c>
      <c r="T89" s="780">
        <v>42639</v>
      </c>
      <c r="U89" s="305" t="s">
        <v>484</v>
      </c>
      <c r="V89" s="447" t="s">
        <v>100</v>
      </c>
      <c r="W89" s="472">
        <v>22001</v>
      </c>
      <c r="X89" s="498">
        <f t="shared" ca="1" si="28"/>
        <v>24104.538043402776</v>
      </c>
      <c r="Y89" s="447" t="s">
        <v>485</v>
      </c>
      <c r="Z89" s="447"/>
      <c r="AA89" s="493">
        <v>32615</v>
      </c>
      <c r="AB89" s="493">
        <v>40112</v>
      </c>
      <c r="AC89" s="447"/>
      <c r="AD89" s="512"/>
      <c r="AE89" s="512"/>
      <c r="AF89" s="791">
        <v>42639</v>
      </c>
      <c r="AG89" s="530">
        <v>34945</v>
      </c>
      <c r="AH89" s="530">
        <v>42639</v>
      </c>
      <c r="AI89" s="530"/>
      <c r="AJ89" s="530">
        <f t="shared" si="29"/>
        <v>7694</v>
      </c>
      <c r="AK89" s="530"/>
      <c r="AL89" s="800" t="s">
        <v>66</v>
      </c>
      <c r="AM89" s="305" t="s">
        <v>482</v>
      </c>
      <c r="AN89" s="423" t="s">
        <v>463</v>
      </c>
      <c r="AO89" s="757" t="s">
        <v>464</v>
      </c>
      <c r="AP89" s="447">
        <v>1</v>
      </c>
      <c r="AQ89" s="780">
        <v>42639</v>
      </c>
      <c r="AR89" s="305" t="s">
        <v>484</v>
      </c>
      <c r="AS89" s="821" t="str">
        <f t="shared" si="30"/>
        <v>With Incumbent</v>
      </c>
      <c r="AT89" s="534"/>
      <c r="AU89" s="822"/>
      <c r="AV89" s="534"/>
      <c r="AW89" s="534"/>
      <c r="AX89" s="837"/>
      <c r="AY89" s="838"/>
    </row>
    <row r="90" spans="1:51" s="531" customFormat="1" ht="22.5" customHeight="1">
      <c r="A90" s="741" t="s">
        <v>486</v>
      </c>
      <c r="B90" s="742" t="s">
        <v>174</v>
      </c>
      <c r="C90" s="423" t="s">
        <v>463</v>
      </c>
      <c r="D90" s="757" t="s">
        <v>464</v>
      </c>
      <c r="E90" s="448">
        <f t="shared" si="25"/>
        <v>511668</v>
      </c>
      <c r="F90" s="448">
        <f t="shared" si="31"/>
        <v>570240</v>
      </c>
      <c r="G90" s="448">
        <v>353376</v>
      </c>
      <c r="H90" s="447">
        <v>8</v>
      </c>
      <c r="I90" s="770" t="s">
        <v>487</v>
      </c>
      <c r="J90" s="447" t="s">
        <v>64</v>
      </c>
      <c r="K90" s="447" t="s">
        <v>55</v>
      </c>
      <c r="L90" s="447" t="s">
        <v>56</v>
      </c>
      <c r="M90" s="616" t="s">
        <v>167</v>
      </c>
      <c r="N90" s="545" t="s">
        <v>488</v>
      </c>
      <c r="O90" s="447" t="s">
        <v>489</v>
      </c>
      <c r="P90" s="447" t="str">
        <f t="shared" si="26"/>
        <v>MYRNA</v>
      </c>
      <c r="Q90" s="447"/>
      <c r="R90" s="447" t="s">
        <v>115</v>
      </c>
      <c r="S90" s="534" t="str">
        <f t="shared" si="27"/>
        <v xml:space="preserve">MYRNA B. MONAYAO </v>
      </c>
      <c r="T90" s="780">
        <v>47520</v>
      </c>
      <c r="U90" s="305" t="s">
        <v>490</v>
      </c>
      <c r="V90" s="447" t="s">
        <v>100</v>
      </c>
      <c r="W90" s="472">
        <v>17276</v>
      </c>
      <c r="X90" s="498">
        <f t="shared" ca="1" si="28"/>
        <v>28829.538043287037</v>
      </c>
      <c r="Y90" s="447" t="s">
        <v>491</v>
      </c>
      <c r="Z90" s="447"/>
      <c r="AA90" s="493">
        <v>25615</v>
      </c>
      <c r="AB90" s="493">
        <v>32371</v>
      </c>
      <c r="AC90" s="447" t="s">
        <v>64</v>
      </c>
      <c r="AD90" s="512" t="s">
        <v>492</v>
      </c>
      <c r="AE90" s="512"/>
      <c r="AF90" s="791">
        <v>42639</v>
      </c>
      <c r="AG90" s="530">
        <v>39956</v>
      </c>
      <c r="AH90" s="530">
        <v>47520</v>
      </c>
      <c r="AI90" s="530"/>
      <c r="AJ90" s="530">
        <f t="shared" si="29"/>
        <v>7564</v>
      </c>
      <c r="AK90" s="530"/>
      <c r="AL90" s="800" t="s">
        <v>66</v>
      </c>
      <c r="AM90" s="305" t="s">
        <v>486</v>
      </c>
      <c r="AN90" s="423" t="s">
        <v>463</v>
      </c>
      <c r="AO90" s="757" t="s">
        <v>464</v>
      </c>
      <c r="AP90" s="447">
        <v>8</v>
      </c>
      <c r="AQ90" s="780">
        <v>47520</v>
      </c>
      <c r="AR90" s="305" t="s">
        <v>490</v>
      </c>
      <c r="AS90" s="821" t="str">
        <f t="shared" si="30"/>
        <v>With Incumbent</v>
      </c>
      <c r="AT90" s="534"/>
      <c r="AU90" s="822"/>
      <c r="AV90" s="534"/>
      <c r="AW90" s="534"/>
      <c r="AX90" s="837"/>
      <c r="AY90" s="838"/>
    </row>
    <row r="91" spans="1:51" s="531" customFormat="1" ht="22.5" customHeight="1">
      <c r="A91" s="741" t="s">
        <v>493</v>
      </c>
      <c r="B91" s="742" t="s">
        <v>211</v>
      </c>
      <c r="C91" s="423" t="s">
        <v>463</v>
      </c>
      <c r="D91" s="757" t="s">
        <v>464</v>
      </c>
      <c r="E91" s="448">
        <f t="shared" si="25"/>
        <v>511668</v>
      </c>
      <c r="F91" s="448">
        <f t="shared" si="31"/>
        <v>527652</v>
      </c>
      <c r="G91" s="448">
        <v>304704</v>
      </c>
      <c r="H91" s="447">
        <v>3</v>
      </c>
      <c r="I91" s="770" t="s">
        <v>494</v>
      </c>
      <c r="J91" s="447" t="s">
        <v>64</v>
      </c>
      <c r="K91" s="447" t="s">
        <v>55</v>
      </c>
      <c r="L91" s="447" t="s">
        <v>56</v>
      </c>
      <c r="M91" s="616" t="s">
        <v>181</v>
      </c>
      <c r="N91" s="545" t="s">
        <v>224</v>
      </c>
      <c r="O91" s="447" t="s">
        <v>495</v>
      </c>
      <c r="P91" s="447" t="str">
        <f t="shared" si="26"/>
        <v>ELEONORA</v>
      </c>
      <c r="Q91" s="447"/>
      <c r="R91" s="447" t="s">
        <v>100</v>
      </c>
      <c r="S91" s="534" t="str">
        <f t="shared" si="27"/>
        <v xml:space="preserve">ELEONORA F. MADARIAGA </v>
      </c>
      <c r="T91" s="780">
        <v>43971</v>
      </c>
      <c r="U91" s="305" t="s">
        <v>496</v>
      </c>
      <c r="V91" s="447" t="s">
        <v>100</v>
      </c>
      <c r="W91" s="472">
        <v>17218</v>
      </c>
      <c r="X91" s="498">
        <f t="shared" ca="1" si="28"/>
        <v>28887.538043402776</v>
      </c>
      <c r="Y91" s="447" t="s">
        <v>497</v>
      </c>
      <c r="Z91" s="447"/>
      <c r="AA91" s="493">
        <v>25629</v>
      </c>
      <c r="AB91" s="493">
        <v>37861</v>
      </c>
      <c r="AC91" s="447" t="s">
        <v>64</v>
      </c>
      <c r="AD91" s="512" t="s">
        <v>498</v>
      </c>
      <c r="AE91" s="512"/>
      <c r="AF91" s="791">
        <v>42639</v>
      </c>
      <c r="AG91" s="530">
        <v>36301</v>
      </c>
      <c r="AH91" s="530">
        <v>43971</v>
      </c>
      <c r="AI91" s="530"/>
      <c r="AJ91" s="530">
        <f t="shared" si="29"/>
        <v>7670</v>
      </c>
      <c r="AK91" s="530"/>
      <c r="AL91" s="800" t="s">
        <v>66</v>
      </c>
      <c r="AM91" s="305" t="s">
        <v>493</v>
      </c>
      <c r="AN91" s="423" t="s">
        <v>463</v>
      </c>
      <c r="AO91" s="757" t="s">
        <v>464</v>
      </c>
      <c r="AP91" s="447">
        <v>3</v>
      </c>
      <c r="AQ91" s="780">
        <v>43971</v>
      </c>
      <c r="AR91" s="305" t="s">
        <v>496</v>
      </c>
      <c r="AS91" s="821" t="str">
        <f t="shared" si="30"/>
        <v>With Incumbent</v>
      </c>
      <c r="AT91" s="534"/>
      <c r="AU91" s="822"/>
      <c r="AV91" s="534"/>
      <c r="AW91" s="534"/>
      <c r="AX91" s="837"/>
      <c r="AY91" s="838"/>
    </row>
    <row r="92" spans="1:51" s="531" customFormat="1" ht="22.5" customHeight="1">
      <c r="A92" s="741" t="s">
        <v>499</v>
      </c>
      <c r="B92" s="742" t="s">
        <v>181</v>
      </c>
      <c r="C92" s="423" t="s">
        <v>463</v>
      </c>
      <c r="D92" s="757" t="s">
        <v>464</v>
      </c>
      <c r="E92" s="448">
        <f t="shared" si="25"/>
        <v>511668</v>
      </c>
      <c r="F92" s="448">
        <f t="shared" si="31"/>
        <v>535860</v>
      </c>
      <c r="G92" s="448">
        <v>312336</v>
      </c>
      <c r="H92" s="447">
        <v>4</v>
      </c>
      <c r="I92" s="770" t="s">
        <v>223</v>
      </c>
      <c r="J92" s="447" t="s">
        <v>64</v>
      </c>
      <c r="K92" s="447" t="s">
        <v>55</v>
      </c>
      <c r="L92" s="447" t="s">
        <v>56</v>
      </c>
      <c r="M92" s="616" t="s">
        <v>211</v>
      </c>
      <c r="N92" s="545" t="s">
        <v>500</v>
      </c>
      <c r="O92" s="447" t="s">
        <v>501</v>
      </c>
      <c r="P92" s="447" t="str">
        <f t="shared" si="26"/>
        <v>FRANCISCO</v>
      </c>
      <c r="Q92" s="447"/>
      <c r="R92" s="447" t="s">
        <v>54</v>
      </c>
      <c r="S92" s="534" t="str">
        <f t="shared" si="27"/>
        <v xml:space="preserve">FRANCISCO R. GAMATERO </v>
      </c>
      <c r="T92" s="780">
        <v>44655</v>
      </c>
      <c r="U92" s="305" t="s">
        <v>502</v>
      </c>
      <c r="V92" s="447" t="s">
        <v>62</v>
      </c>
      <c r="W92" s="472">
        <v>19058</v>
      </c>
      <c r="X92" s="498">
        <f t="shared" ca="1" si="28"/>
        <v>27047.538043402776</v>
      </c>
      <c r="Y92" s="447" t="s">
        <v>503</v>
      </c>
      <c r="Z92" s="472">
        <v>32687</v>
      </c>
      <c r="AA92" s="493">
        <v>27743</v>
      </c>
      <c r="AB92" s="493">
        <v>36283</v>
      </c>
      <c r="AC92" s="447" t="s">
        <v>64</v>
      </c>
      <c r="AD92" s="512" t="s">
        <v>102</v>
      </c>
      <c r="AE92" s="512"/>
      <c r="AF92" s="791">
        <v>42639</v>
      </c>
      <c r="AG92" s="530">
        <v>37001</v>
      </c>
      <c r="AH92" s="530">
        <v>44655</v>
      </c>
      <c r="AI92" s="530"/>
      <c r="AJ92" s="530">
        <f t="shared" si="29"/>
        <v>7654</v>
      </c>
      <c r="AK92" s="530"/>
      <c r="AL92" s="800" t="s">
        <v>66</v>
      </c>
      <c r="AM92" s="305" t="s">
        <v>499</v>
      </c>
      <c r="AN92" s="423" t="s">
        <v>463</v>
      </c>
      <c r="AO92" s="757" t="s">
        <v>464</v>
      </c>
      <c r="AP92" s="447">
        <v>4</v>
      </c>
      <c r="AQ92" s="780">
        <v>44655</v>
      </c>
      <c r="AR92" s="305" t="s">
        <v>502</v>
      </c>
      <c r="AS92" s="821" t="str">
        <f t="shared" si="30"/>
        <v>With Incumbent</v>
      </c>
      <c r="AT92" s="534"/>
      <c r="AU92" s="822"/>
      <c r="AV92" s="534"/>
      <c r="AW92" s="534"/>
      <c r="AX92" s="837"/>
      <c r="AY92" s="838"/>
    </row>
    <row r="93" spans="1:51" s="531" customFormat="1" ht="22.5" hidden="1" customHeight="1">
      <c r="A93" s="741" t="s">
        <v>504</v>
      </c>
      <c r="B93" s="742" t="s">
        <v>181</v>
      </c>
      <c r="C93" s="423" t="s">
        <v>151</v>
      </c>
      <c r="D93" s="757" t="s">
        <v>278</v>
      </c>
      <c r="E93" s="448">
        <f t="shared" si="25"/>
        <v>449676</v>
      </c>
      <c r="F93" s="448">
        <f t="shared" si="31"/>
        <v>471252</v>
      </c>
      <c r="G93" s="448">
        <v>288780</v>
      </c>
      <c r="H93" s="447">
        <v>4</v>
      </c>
      <c r="I93" s="770" t="s">
        <v>223</v>
      </c>
      <c r="J93" s="447" t="s">
        <v>64</v>
      </c>
      <c r="K93" s="447" t="s">
        <v>158</v>
      </c>
      <c r="L93" s="447" t="s">
        <v>56</v>
      </c>
      <c r="M93" s="616" t="s">
        <v>167</v>
      </c>
      <c r="N93" s="545" t="s">
        <v>505</v>
      </c>
      <c r="O93" s="447" t="s">
        <v>506</v>
      </c>
      <c r="P93" s="447" t="str">
        <f t="shared" si="26"/>
        <v>ALEX</v>
      </c>
      <c r="Q93" s="447"/>
      <c r="R93" s="447" t="s">
        <v>55</v>
      </c>
      <c r="S93" s="534" t="str">
        <f t="shared" si="27"/>
        <v xml:space="preserve">ALEX K. BUGTONG </v>
      </c>
      <c r="T93" s="780">
        <v>39271</v>
      </c>
      <c r="U93" s="305" t="s">
        <v>507</v>
      </c>
      <c r="V93" s="447" t="s">
        <v>62</v>
      </c>
      <c r="W93" s="472">
        <v>18620</v>
      </c>
      <c r="X93" s="498">
        <f t="shared" ca="1" si="28"/>
        <v>27485.538043287037</v>
      </c>
      <c r="Y93" s="447" t="s">
        <v>508</v>
      </c>
      <c r="Z93" s="447"/>
      <c r="AA93" s="493">
        <v>27265</v>
      </c>
      <c r="AB93" s="493">
        <v>36591</v>
      </c>
      <c r="AC93" s="447" t="s">
        <v>64</v>
      </c>
      <c r="AD93" s="512" t="s">
        <v>228</v>
      </c>
      <c r="AE93" s="512"/>
      <c r="AF93" s="791">
        <v>37473</v>
      </c>
      <c r="AG93" s="530">
        <v>33201</v>
      </c>
      <c r="AH93" s="530">
        <v>39271</v>
      </c>
      <c r="AI93" s="530"/>
      <c r="AJ93" s="530">
        <f t="shared" si="29"/>
        <v>6070</v>
      </c>
      <c r="AK93" s="530"/>
      <c r="AL93" s="806" t="s">
        <v>126</v>
      </c>
      <c r="AM93" s="745"/>
      <c r="AN93" s="742"/>
      <c r="AO93" s="757"/>
      <c r="AP93" s="447"/>
      <c r="AQ93" s="780"/>
      <c r="AR93" s="305"/>
      <c r="AS93" s="305"/>
      <c r="AT93" s="534" t="s">
        <v>446</v>
      </c>
      <c r="AU93" s="822"/>
      <c r="AV93" s="534"/>
      <c r="AW93" s="534"/>
      <c r="AX93" s="837"/>
      <c r="AY93" s="838"/>
    </row>
    <row r="94" spans="1:51" s="531" customFormat="1" ht="22.5" hidden="1" customHeight="1">
      <c r="A94" s="741" t="s">
        <v>509</v>
      </c>
      <c r="B94" s="742" t="s">
        <v>408</v>
      </c>
      <c r="C94" s="423" t="s">
        <v>151</v>
      </c>
      <c r="D94" s="757" t="s">
        <v>278</v>
      </c>
      <c r="E94" s="448">
        <f t="shared" si="25"/>
        <v>449676</v>
      </c>
      <c r="F94" s="448">
        <f t="shared" si="31"/>
        <v>463932</v>
      </c>
      <c r="G94" s="448">
        <v>281724</v>
      </c>
      <c r="H94" s="447">
        <v>3</v>
      </c>
      <c r="I94" s="770" t="s">
        <v>465</v>
      </c>
      <c r="J94" s="447" t="s">
        <v>64</v>
      </c>
      <c r="K94" s="447" t="s">
        <v>158</v>
      </c>
      <c r="L94" s="447" t="s">
        <v>56</v>
      </c>
      <c r="M94" s="447" t="s">
        <v>408</v>
      </c>
      <c r="N94" s="545" t="s">
        <v>510</v>
      </c>
      <c r="O94" s="447" t="s">
        <v>511</v>
      </c>
      <c r="P94" s="447" t="str">
        <f t="shared" si="26"/>
        <v>RENE</v>
      </c>
      <c r="Q94" s="447"/>
      <c r="R94" s="447" t="s">
        <v>288</v>
      </c>
      <c r="S94" s="534" t="str">
        <f t="shared" si="27"/>
        <v xml:space="preserve">RENE V. VALERA </v>
      </c>
      <c r="T94" s="780">
        <v>38661</v>
      </c>
      <c r="U94" s="305" t="s">
        <v>512</v>
      </c>
      <c r="V94" s="447" t="s">
        <v>62</v>
      </c>
      <c r="W94" s="472">
        <v>23438</v>
      </c>
      <c r="X94" s="498">
        <f t="shared" ca="1" si="28"/>
        <v>22667.538043402776</v>
      </c>
      <c r="Y94" s="447" t="s">
        <v>513</v>
      </c>
      <c r="Z94" s="447"/>
      <c r="AA94" s="493">
        <v>33451</v>
      </c>
      <c r="AB94" s="493">
        <v>37453</v>
      </c>
      <c r="AC94" s="447" t="s">
        <v>64</v>
      </c>
      <c r="AD94" s="512" t="s">
        <v>84</v>
      </c>
      <c r="AE94" s="512"/>
      <c r="AF94" s="791">
        <v>37473</v>
      </c>
      <c r="AG94" s="530">
        <v>32567</v>
      </c>
      <c r="AH94" s="530">
        <v>38661</v>
      </c>
      <c r="AI94" s="530"/>
      <c r="AJ94" s="530">
        <f t="shared" si="29"/>
        <v>6094</v>
      </c>
      <c r="AK94" s="530"/>
      <c r="AL94" s="806" t="s">
        <v>126</v>
      </c>
      <c r="AM94" s="745"/>
      <c r="AN94" s="742"/>
      <c r="AO94" s="757"/>
      <c r="AP94" s="447"/>
      <c r="AQ94" s="780"/>
      <c r="AR94" s="305"/>
      <c r="AS94" s="305"/>
      <c r="AT94" s="534" t="s">
        <v>127</v>
      </c>
      <c r="AU94" s="822"/>
      <c r="AV94" s="534"/>
      <c r="AW94" s="534"/>
      <c r="AX94" s="837"/>
      <c r="AY94" s="838" t="s">
        <v>514</v>
      </c>
    </row>
    <row r="95" spans="1:51" s="531" customFormat="1" ht="22.5" hidden="1" customHeight="1">
      <c r="A95" s="741" t="s">
        <v>515</v>
      </c>
      <c r="B95" s="742" t="s">
        <v>167</v>
      </c>
      <c r="C95" s="423" t="s">
        <v>151</v>
      </c>
      <c r="D95" s="757" t="s">
        <v>278</v>
      </c>
      <c r="E95" s="448">
        <f t="shared" si="25"/>
        <v>449676</v>
      </c>
      <c r="F95" s="448">
        <f t="shared" si="31"/>
        <v>494064</v>
      </c>
      <c r="G95" s="448">
        <v>310980</v>
      </c>
      <c r="H95" s="447">
        <v>7</v>
      </c>
      <c r="I95" s="770" t="s">
        <v>53</v>
      </c>
      <c r="J95" s="447" t="s">
        <v>54</v>
      </c>
      <c r="K95" s="447" t="s">
        <v>158</v>
      </c>
      <c r="L95" s="447" t="s">
        <v>56</v>
      </c>
      <c r="M95" s="447"/>
      <c r="N95" s="545"/>
      <c r="O95" s="447"/>
      <c r="P95" s="447"/>
      <c r="Q95" s="447"/>
      <c r="R95" s="447"/>
      <c r="S95" s="534" t="s">
        <v>516</v>
      </c>
      <c r="T95" s="780">
        <v>41172</v>
      </c>
      <c r="U95" s="781" t="s">
        <v>88</v>
      </c>
      <c r="V95" s="447"/>
      <c r="W95" s="447"/>
      <c r="X95" s="498"/>
      <c r="Y95" s="447"/>
      <c r="Z95" s="447"/>
      <c r="AA95" s="493"/>
      <c r="AB95" s="493"/>
      <c r="AC95" s="447"/>
      <c r="AD95" s="512"/>
      <c r="AE95" s="512"/>
      <c r="AF95" s="791">
        <v>37473</v>
      </c>
      <c r="AG95" s="530">
        <v>35195</v>
      </c>
      <c r="AH95" s="530">
        <v>41172</v>
      </c>
      <c r="AI95" s="530"/>
      <c r="AJ95" s="530">
        <f t="shared" si="29"/>
        <v>5977</v>
      </c>
      <c r="AK95" s="530"/>
      <c r="AL95" s="806" t="s">
        <v>126</v>
      </c>
      <c r="AM95" s="745"/>
      <c r="AN95" s="742"/>
      <c r="AO95" s="757"/>
      <c r="AP95" s="447"/>
      <c r="AQ95" s="780"/>
      <c r="AR95" s="781"/>
      <c r="AS95" s="781"/>
      <c r="AT95" s="534"/>
      <c r="AU95" s="822"/>
      <c r="AV95" s="534"/>
      <c r="AW95" s="534"/>
      <c r="AX95" s="837"/>
      <c r="AY95" s="838"/>
    </row>
    <row r="96" spans="1:51" s="531" customFormat="1" ht="22.5" hidden="1" customHeight="1">
      <c r="A96" s="741" t="s">
        <v>517</v>
      </c>
      <c r="B96" s="742" t="s">
        <v>268</v>
      </c>
      <c r="C96" s="423" t="s">
        <v>151</v>
      </c>
      <c r="D96" s="757" t="s">
        <v>278</v>
      </c>
      <c r="E96" s="448">
        <f t="shared" si="25"/>
        <v>449676</v>
      </c>
      <c r="F96" s="448">
        <f t="shared" si="31"/>
        <v>456732</v>
      </c>
      <c r="G96" s="448">
        <v>281724</v>
      </c>
      <c r="H96" s="447">
        <v>2</v>
      </c>
      <c r="I96" s="770" t="s">
        <v>352</v>
      </c>
      <c r="J96" s="447" t="s">
        <v>64</v>
      </c>
      <c r="K96" s="447" t="s">
        <v>158</v>
      </c>
      <c r="L96" s="447" t="s">
        <v>56</v>
      </c>
      <c r="M96" s="447"/>
      <c r="N96" s="545"/>
      <c r="O96" s="447"/>
      <c r="P96" s="447" t="str">
        <f t="shared" si="26"/>
        <v/>
      </c>
      <c r="Q96" s="447"/>
      <c r="R96" s="447"/>
      <c r="S96" s="534" t="s">
        <v>518</v>
      </c>
      <c r="T96" s="780">
        <v>38061</v>
      </c>
      <c r="U96" s="781" t="s">
        <v>88</v>
      </c>
      <c r="V96" s="447"/>
      <c r="W96" s="447"/>
      <c r="X96" s="447"/>
      <c r="Y96" s="447"/>
      <c r="Z96" s="447"/>
      <c r="AA96" s="493"/>
      <c r="AB96" s="493"/>
      <c r="AC96" s="447"/>
      <c r="AD96" s="512"/>
      <c r="AE96" s="512"/>
      <c r="AF96" s="791">
        <v>37473</v>
      </c>
      <c r="AG96" s="530">
        <v>31943</v>
      </c>
      <c r="AH96" s="530">
        <v>38061</v>
      </c>
      <c r="AI96" s="530"/>
      <c r="AJ96" s="530">
        <f t="shared" si="29"/>
        <v>6118</v>
      </c>
      <c r="AK96" s="530"/>
      <c r="AL96" s="806" t="s">
        <v>126</v>
      </c>
      <c r="AM96" s="745"/>
      <c r="AN96" s="742"/>
      <c r="AO96" s="757"/>
      <c r="AP96" s="447"/>
      <c r="AQ96" s="780"/>
      <c r="AR96" s="781"/>
      <c r="AS96" s="781"/>
      <c r="AT96" s="534"/>
      <c r="AU96" s="822"/>
      <c r="AV96" s="534"/>
      <c r="AW96" s="534"/>
      <c r="AX96" s="837"/>
      <c r="AY96" s="838"/>
    </row>
    <row r="97" spans="1:51" s="531" customFormat="1" ht="22.5" hidden="1" customHeight="1">
      <c r="A97" s="741" t="s">
        <v>519</v>
      </c>
      <c r="B97" s="742" t="s">
        <v>174</v>
      </c>
      <c r="C97" s="423" t="s">
        <v>151</v>
      </c>
      <c r="D97" s="757" t="s">
        <v>278</v>
      </c>
      <c r="E97" s="448">
        <f t="shared" si="25"/>
        <v>449676</v>
      </c>
      <c r="F97" s="448">
        <f t="shared" si="31"/>
        <v>463932</v>
      </c>
      <c r="G97" s="448">
        <v>281724</v>
      </c>
      <c r="H97" s="447">
        <v>3</v>
      </c>
      <c r="I97" s="770" t="s">
        <v>53</v>
      </c>
      <c r="J97" s="447" t="s">
        <v>54</v>
      </c>
      <c r="K97" s="447" t="s">
        <v>158</v>
      </c>
      <c r="L97" s="447" t="s">
        <v>56</v>
      </c>
      <c r="M97" s="616" t="s">
        <v>181</v>
      </c>
      <c r="N97" s="545" t="s">
        <v>520</v>
      </c>
      <c r="O97" s="447" t="s">
        <v>521</v>
      </c>
      <c r="P97" s="447" t="str">
        <f t="shared" si="26"/>
        <v>MARVIN</v>
      </c>
      <c r="Q97" s="447"/>
      <c r="R97" s="447" t="s">
        <v>81</v>
      </c>
      <c r="S97" s="534" t="str">
        <f t="shared" si="27"/>
        <v xml:space="preserve">MARVIN A. BASQUEZ </v>
      </c>
      <c r="T97" s="780">
        <v>38661</v>
      </c>
      <c r="U97" s="305" t="s">
        <v>522</v>
      </c>
      <c r="V97" s="447" t="s">
        <v>62</v>
      </c>
      <c r="W97" s="472">
        <v>21687</v>
      </c>
      <c r="X97" s="498">
        <f t="shared" ref="X97:X121" ca="1" si="32">(NOW()-W97)</f>
        <v>24418.538043402776</v>
      </c>
      <c r="Y97" s="447" t="s">
        <v>523</v>
      </c>
      <c r="Z97" s="447"/>
      <c r="AA97" s="493">
        <v>31131</v>
      </c>
      <c r="AB97" s="493">
        <v>37561</v>
      </c>
      <c r="AC97" s="447" t="s">
        <v>64</v>
      </c>
      <c r="AD97" s="512" t="s">
        <v>524</v>
      </c>
      <c r="AE97" s="512"/>
      <c r="AF97" s="791">
        <v>37473</v>
      </c>
      <c r="AG97" s="530">
        <v>32567</v>
      </c>
      <c r="AH97" s="530">
        <v>38661</v>
      </c>
      <c r="AI97" s="530"/>
      <c r="AJ97" s="530">
        <f t="shared" si="29"/>
        <v>6094</v>
      </c>
      <c r="AK97" s="530"/>
      <c r="AL97" s="803" t="s">
        <v>245</v>
      </c>
      <c r="AM97" s="305" t="s">
        <v>519</v>
      </c>
      <c r="AN97" s="423" t="s">
        <v>157</v>
      </c>
      <c r="AO97" s="757" t="s">
        <v>285</v>
      </c>
      <c r="AP97" s="447">
        <v>8</v>
      </c>
      <c r="AQ97" s="780">
        <v>38661</v>
      </c>
      <c r="AR97" s="305" t="s">
        <v>522</v>
      </c>
      <c r="AS97" s="821" t="str">
        <f>IF(AR97="(Vacant)",AR97,IF(AR97="",AR97,"With Incumbent"))</f>
        <v>With Incumbent</v>
      </c>
      <c r="AT97" s="534"/>
      <c r="AU97" s="822"/>
      <c r="AV97" s="534"/>
      <c r="AW97" s="534"/>
      <c r="AX97" s="837"/>
      <c r="AY97" s="838" t="s">
        <v>525</v>
      </c>
    </row>
    <row r="98" spans="1:51" s="531" customFormat="1" ht="22.5" hidden="1" customHeight="1">
      <c r="A98" s="741" t="s">
        <v>526</v>
      </c>
      <c r="B98" s="742" t="s">
        <v>211</v>
      </c>
      <c r="C98" s="423" t="s">
        <v>151</v>
      </c>
      <c r="D98" s="757" t="s">
        <v>278</v>
      </c>
      <c r="E98" s="448">
        <f t="shared" si="25"/>
        <v>449676</v>
      </c>
      <c r="F98" s="448">
        <f t="shared" si="31"/>
        <v>463932</v>
      </c>
      <c r="G98" s="448">
        <v>281724</v>
      </c>
      <c r="H98" s="447">
        <v>3</v>
      </c>
      <c r="I98" s="770" t="s">
        <v>527</v>
      </c>
      <c r="J98" s="447" t="s">
        <v>64</v>
      </c>
      <c r="K98" s="447" t="s">
        <v>158</v>
      </c>
      <c r="L98" s="447" t="s">
        <v>56</v>
      </c>
      <c r="M98" s="447" t="s">
        <v>211</v>
      </c>
      <c r="N98" s="545" t="s">
        <v>528</v>
      </c>
      <c r="O98" s="447" t="s">
        <v>529</v>
      </c>
      <c r="P98" s="447" t="str">
        <f t="shared" si="26"/>
        <v>JULIO</v>
      </c>
      <c r="Q98" s="447"/>
      <c r="R98" s="447" t="s">
        <v>251</v>
      </c>
      <c r="S98" s="534" t="str">
        <f t="shared" si="27"/>
        <v xml:space="preserve">JULIO J. BARCELLANO </v>
      </c>
      <c r="T98" s="780">
        <v>38661</v>
      </c>
      <c r="U98" s="305" t="s">
        <v>530</v>
      </c>
      <c r="V98" s="447" t="s">
        <v>62</v>
      </c>
      <c r="W98" s="472">
        <v>18813</v>
      </c>
      <c r="X98" s="498">
        <f t="shared" ca="1" si="32"/>
        <v>27292.538043402776</v>
      </c>
      <c r="Y98" s="447" t="s">
        <v>531</v>
      </c>
      <c r="Z98" s="447"/>
      <c r="AA98" s="493">
        <v>27757</v>
      </c>
      <c r="AB98" s="493">
        <v>37453</v>
      </c>
      <c r="AC98" s="447" t="s">
        <v>64</v>
      </c>
      <c r="AD98" s="512" t="s">
        <v>102</v>
      </c>
      <c r="AE98" s="512"/>
      <c r="AF98" s="791">
        <v>37473</v>
      </c>
      <c r="AG98" s="530">
        <v>32567</v>
      </c>
      <c r="AH98" s="530">
        <v>38661</v>
      </c>
      <c r="AI98" s="530"/>
      <c r="AJ98" s="530">
        <f t="shared" si="29"/>
        <v>6094</v>
      </c>
      <c r="AK98" s="530"/>
      <c r="AL98" s="806" t="s">
        <v>126</v>
      </c>
      <c r="AM98" s="745"/>
      <c r="AN98" s="742"/>
      <c r="AO98" s="757"/>
      <c r="AP98" s="447"/>
      <c r="AQ98" s="780"/>
      <c r="AR98" s="305"/>
      <c r="AS98" s="305"/>
      <c r="AT98" s="534" t="s">
        <v>127</v>
      </c>
      <c r="AU98" s="822"/>
      <c r="AV98" s="534"/>
      <c r="AW98" s="534"/>
      <c r="AX98" s="837"/>
      <c r="AY98" s="838" t="s">
        <v>514</v>
      </c>
    </row>
    <row r="99" spans="1:51" s="531" customFormat="1" ht="22.5" hidden="1" customHeight="1">
      <c r="A99" s="741"/>
      <c r="B99" s="742"/>
      <c r="C99" s="423"/>
      <c r="D99" s="757"/>
      <c r="E99" s="448"/>
      <c r="F99" s="448"/>
      <c r="G99" s="448"/>
      <c r="H99" s="447"/>
      <c r="I99" s="770"/>
      <c r="J99" s="447"/>
      <c r="K99" s="447"/>
      <c r="L99" s="447"/>
      <c r="M99" s="447"/>
      <c r="N99" s="545"/>
      <c r="O99" s="447"/>
      <c r="P99" s="447"/>
      <c r="Q99" s="447"/>
      <c r="R99" s="447"/>
      <c r="S99" s="534"/>
      <c r="T99" s="780"/>
      <c r="U99" s="305"/>
      <c r="V99" s="447"/>
      <c r="W99" s="472"/>
      <c r="X99" s="498"/>
      <c r="Y99" s="447"/>
      <c r="Z99" s="447"/>
      <c r="AA99" s="493"/>
      <c r="AB99" s="493"/>
      <c r="AC99" s="447"/>
      <c r="AD99" s="512"/>
      <c r="AE99" s="512"/>
      <c r="AF99" s="791"/>
      <c r="AG99" s="530"/>
      <c r="AH99" s="530"/>
      <c r="AI99" s="530"/>
      <c r="AJ99" s="530"/>
      <c r="AK99" s="530"/>
      <c r="AL99" s="803" t="s">
        <v>85</v>
      </c>
      <c r="AM99" s="305" t="s">
        <v>86</v>
      </c>
      <c r="AN99" s="423" t="s">
        <v>157</v>
      </c>
      <c r="AO99" s="757" t="s">
        <v>285</v>
      </c>
      <c r="AP99" s="447">
        <v>8</v>
      </c>
      <c r="AQ99" s="780">
        <v>38661</v>
      </c>
      <c r="AR99" s="781" t="s">
        <v>88</v>
      </c>
      <c r="AS99" s="823" t="str">
        <f t="shared" ref="AS99:AS162" si="33">IF(AR99="(Vacant)",AR99,IF(AR99="",AR99,"With Incumbent"))</f>
        <v>(Vacant)</v>
      </c>
      <c r="AT99" s="772" t="s">
        <v>512</v>
      </c>
      <c r="AU99" s="822" t="s">
        <v>246</v>
      </c>
      <c r="AV99" s="534" t="s">
        <v>532</v>
      </c>
      <c r="AW99" s="534" t="s">
        <v>247</v>
      </c>
      <c r="AX99" s="837" t="s">
        <v>92</v>
      </c>
      <c r="AY99" s="838" t="s">
        <v>533</v>
      </c>
    </row>
    <row r="100" spans="1:51" s="531" customFormat="1" ht="22.5" hidden="1" customHeight="1">
      <c r="A100" s="741"/>
      <c r="B100" s="742"/>
      <c r="C100" s="423"/>
      <c r="D100" s="757"/>
      <c r="E100" s="448"/>
      <c r="F100" s="448"/>
      <c r="G100" s="448"/>
      <c r="H100" s="447"/>
      <c r="I100" s="770"/>
      <c r="J100" s="447"/>
      <c r="K100" s="447"/>
      <c r="L100" s="447"/>
      <c r="M100" s="447"/>
      <c r="N100" s="545"/>
      <c r="O100" s="447"/>
      <c r="P100" s="447"/>
      <c r="Q100" s="447"/>
      <c r="R100" s="447"/>
      <c r="S100" s="534"/>
      <c r="T100" s="780"/>
      <c r="U100" s="305"/>
      <c r="V100" s="447"/>
      <c r="W100" s="472"/>
      <c r="X100" s="498"/>
      <c r="Y100" s="447"/>
      <c r="Z100" s="447"/>
      <c r="AA100" s="493"/>
      <c r="AB100" s="493"/>
      <c r="AC100" s="447"/>
      <c r="AD100" s="512"/>
      <c r="AE100" s="512"/>
      <c r="AF100" s="791"/>
      <c r="AG100" s="530"/>
      <c r="AH100" s="530"/>
      <c r="AI100" s="530"/>
      <c r="AJ100" s="530"/>
      <c r="AK100" s="530"/>
      <c r="AL100" s="803" t="s">
        <v>85</v>
      </c>
      <c r="AM100" s="305" t="s">
        <v>86</v>
      </c>
      <c r="AN100" s="423" t="s">
        <v>157</v>
      </c>
      <c r="AO100" s="757" t="s">
        <v>285</v>
      </c>
      <c r="AP100" s="447">
        <v>8</v>
      </c>
      <c r="AQ100" s="780">
        <v>38661</v>
      </c>
      <c r="AR100" s="781" t="s">
        <v>88</v>
      </c>
      <c r="AS100" s="823" t="str">
        <f t="shared" si="33"/>
        <v>(Vacant)</v>
      </c>
      <c r="AT100" s="772" t="s">
        <v>530</v>
      </c>
      <c r="AU100" s="822" t="s">
        <v>246</v>
      </c>
      <c r="AV100" s="534" t="s">
        <v>532</v>
      </c>
      <c r="AW100" s="534" t="s">
        <v>247</v>
      </c>
      <c r="AX100" s="837" t="s">
        <v>92</v>
      </c>
      <c r="AY100" s="838" t="s">
        <v>534</v>
      </c>
    </row>
    <row r="101" spans="1:51" s="531" customFormat="1" ht="22.5" hidden="1" customHeight="1">
      <c r="A101" s="741"/>
      <c r="B101" s="742"/>
      <c r="C101" s="423"/>
      <c r="D101" s="757"/>
      <c r="E101" s="448"/>
      <c r="F101" s="448"/>
      <c r="G101" s="448"/>
      <c r="H101" s="447"/>
      <c r="I101" s="770"/>
      <c r="J101" s="447"/>
      <c r="K101" s="447"/>
      <c r="L101" s="447"/>
      <c r="M101" s="447"/>
      <c r="N101" s="545"/>
      <c r="O101" s="447"/>
      <c r="P101" s="447"/>
      <c r="Q101" s="447"/>
      <c r="R101" s="447"/>
      <c r="S101" s="534"/>
      <c r="T101" s="780"/>
      <c r="U101" s="305"/>
      <c r="V101" s="447"/>
      <c r="W101" s="472"/>
      <c r="X101" s="498"/>
      <c r="Y101" s="447"/>
      <c r="Z101" s="447"/>
      <c r="AA101" s="493"/>
      <c r="AB101" s="493"/>
      <c r="AC101" s="447"/>
      <c r="AD101" s="512"/>
      <c r="AE101" s="512"/>
      <c r="AF101" s="791"/>
      <c r="AG101" s="530"/>
      <c r="AH101" s="530"/>
      <c r="AI101" s="530"/>
      <c r="AJ101" s="530"/>
      <c r="AK101" s="530"/>
      <c r="AL101" s="803" t="s">
        <v>85</v>
      </c>
      <c r="AM101" s="305" t="s">
        <v>86</v>
      </c>
      <c r="AN101" s="423" t="s">
        <v>157</v>
      </c>
      <c r="AO101" s="757" t="s">
        <v>285</v>
      </c>
      <c r="AP101" s="447">
        <v>1</v>
      </c>
      <c r="AQ101" s="780">
        <v>32973</v>
      </c>
      <c r="AR101" s="781" t="s">
        <v>88</v>
      </c>
      <c r="AS101" s="823" t="str">
        <f t="shared" si="33"/>
        <v>(Vacant)</v>
      </c>
      <c r="AT101" s="534"/>
      <c r="AU101" s="822" t="s">
        <v>246</v>
      </c>
      <c r="AV101" s="534" t="s">
        <v>532</v>
      </c>
      <c r="AW101" s="534" t="s">
        <v>247</v>
      </c>
      <c r="AX101" s="837" t="s">
        <v>92</v>
      </c>
      <c r="AY101" s="838" t="s">
        <v>93</v>
      </c>
    </row>
    <row r="102" spans="1:51" s="531" customFormat="1" ht="22.5" hidden="1" customHeight="1">
      <c r="A102" s="741"/>
      <c r="B102" s="742"/>
      <c r="C102" s="423"/>
      <c r="D102" s="757"/>
      <c r="E102" s="448"/>
      <c r="F102" s="448"/>
      <c r="G102" s="448"/>
      <c r="H102" s="447"/>
      <c r="I102" s="770"/>
      <c r="J102" s="447"/>
      <c r="K102" s="447"/>
      <c r="L102" s="447"/>
      <c r="M102" s="447"/>
      <c r="N102" s="545"/>
      <c r="O102" s="447"/>
      <c r="P102" s="447"/>
      <c r="Q102" s="447"/>
      <c r="R102" s="447"/>
      <c r="S102" s="534"/>
      <c r="T102" s="780"/>
      <c r="U102" s="305"/>
      <c r="V102" s="447"/>
      <c r="W102" s="472"/>
      <c r="X102" s="498"/>
      <c r="Y102" s="447"/>
      <c r="Z102" s="447"/>
      <c r="AA102" s="493"/>
      <c r="AB102" s="493"/>
      <c r="AC102" s="447"/>
      <c r="AD102" s="512"/>
      <c r="AE102" s="512"/>
      <c r="AF102" s="791"/>
      <c r="AG102" s="530"/>
      <c r="AH102" s="530"/>
      <c r="AI102" s="530"/>
      <c r="AJ102" s="530"/>
      <c r="AK102" s="530"/>
      <c r="AL102" s="803" t="s">
        <v>85</v>
      </c>
      <c r="AM102" s="305" t="s">
        <v>86</v>
      </c>
      <c r="AN102" s="423" t="s">
        <v>157</v>
      </c>
      <c r="AO102" s="757" t="s">
        <v>285</v>
      </c>
      <c r="AP102" s="447">
        <v>1</v>
      </c>
      <c r="AQ102" s="780">
        <v>32973</v>
      </c>
      <c r="AR102" s="781" t="s">
        <v>88</v>
      </c>
      <c r="AS102" s="823" t="str">
        <f t="shared" si="33"/>
        <v>(Vacant)</v>
      </c>
      <c r="AT102" s="534"/>
      <c r="AU102" s="822" t="s">
        <v>246</v>
      </c>
      <c r="AV102" s="534" t="s">
        <v>532</v>
      </c>
      <c r="AW102" s="534" t="s">
        <v>247</v>
      </c>
      <c r="AX102" s="837" t="s">
        <v>92</v>
      </c>
      <c r="AY102" s="838" t="s">
        <v>93</v>
      </c>
    </row>
    <row r="103" spans="1:51" s="531" customFormat="1" ht="22.5" hidden="1" customHeight="1">
      <c r="A103" s="741"/>
      <c r="B103" s="742"/>
      <c r="C103" s="423"/>
      <c r="D103" s="757"/>
      <c r="E103" s="448"/>
      <c r="F103" s="448"/>
      <c r="G103" s="448"/>
      <c r="H103" s="447"/>
      <c r="I103" s="770"/>
      <c r="J103" s="447"/>
      <c r="K103" s="447"/>
      <c r="L103" s="447"/>
      <c r="M103" s="447"/>
      <c r="N103" s="545"/>
      <c r="O103" s="447"/>
      <c r="P103" s="447"/>
      <c r="Q103" s="447"/>
      <c r="R103" s="447"/>
      <c r="S103" s="534"/>
      <c r="T103" s="780"/>
      <c r="U103" s="305"/>
      <c r="V103" s="447"/>
      <c r="W103" s="472"/>
      <c r="X103" s="498"/>
      <c r="Y103" s="447"/>
      <c r="Z103" s="447"/>
      <c r="AA103" s="493"/>
      <c r="AB103" s="493"/>
      <c r="AC103" s="447"/>
      <c r="AD103" s="512"/>
      <c r="AE103" s="512"/>
      <c r="AF103" s="791"/>
      <c r="AG103" s="530"/>
      <c r="AH103" s="530"/>
      <c r="AI103" s="530"/>
      <c r="AJ103" s="530"/>
      <c r="AK103" s="530"/>
      <c r="AL103" s="803" t="s">
        <v>85</v>
      </c>
      <c r="AM103" s="305" t="s">
        <v>86</v>
      </c>
      <c r="AN103" s="423" t="s">
        <v>157</v>
      </c>
      <c r="AO103" s="757" t="s">
        <v>285</v>
      </c>
      <c r="AP103" s="447">
        <v>1</v>
      </c>
      <c r="AQ103" s="780">
        <v>32973</v>
      </c>
      <c r="AR103" s="781" t="s">
        <v>88</v>
      </c>
      <c r="AS103" s="823" t="str">
        <f t="shared" si="33"/>
        <v>(Vacant)</v>
      </c>
      <c r="AT103" s="534"/>
      <c r="AU103" s="822" t="s">
        <v>246</v>
      </c>
      <c r="AV103" s="534" t="s">
        <v>532</v>
      </c>
      <c r="AW103" s="534" t="s">
        <v>247</v>
      </c>
      <c r="AX103" s="837" t="s">
        <v>92</v>
      </c>
      <c r="AY103" s="838" t="s">
        <v>93</v>
      </c>
    </row>
    <row r="104" spans="1:51" s="531" customFormat="1" ht="22.5" hidden="1" customHeight="1">
      <c r="A104" s="741"/>
      <c r="B104" s="742"/>
      <c r="C104" s="423"/>
      <c r="D104" s="757"/>
      <c r="E104" s="448"/>
      <c r="F104" s="448"/>
      <c r="G104" s="448"/>
      <c r="H104" s="447"/>
      <c r="I104" s="770"/>
      <c r="J104" s="447"/>
      <c r="K104" s="447"/>
      <c r="L104" s="447"/>
      <c r="M104" s="447"/>
      <c r="N104" s="545"/>
      <c r="O104" s="447"/>
      <c r="P104" s="447"/>
      <c r="Q104" s="447"/>
      <c r="R104" s="447"/>
      <c r="S104" s="534"/>
      <c r="T104" s="780"/>
      <c r="U104" s="305"/>
      <c r="V104" s="447"/>
      <c r="W104" s="472"/>
      <c r="X104" s="498"/>
      <c r="Y104" s="447"/>
      <c r="Z104" s="447"/>
      <c r="AA104" s="493"/>
      <c r="AB104" s="493"/>
      <c r="AC104" s="447"/>
      <c r="AD104" s="512"/>
      <c r="AE104" s="512"/>
      <c r="AF104" s="791"/>
      <c r="AG104" s="530"/>
      <c r="AH104" s="530"/>
      <c r="AI104" s="530"/>
      <c r="AJ104" s="530"/>
      <c r="AK104" s="530"/>
      <c r="AL104" s="803" t="s">
        <v>85</v>
      </c>
      <c r="AM104" s="305" t="s">
        <v>86</v>
      </c>
      <c r="AN104" s="423" t="s">
        <v>157</v>
      </c>
      <c r="AO104" s="757" t="s">
        <v>285</v>
      </c>
      <c r="AP104" s="447">
        <v>1</v>
      </c>
      <c r="AQ104" s="780">
        <v>32973</v>
      </c>
      <c r="AR104" s="781" t="s">
        <v>88</v>
      </c>
      <c r="AS104" s="823" t="str">
        <f t="shared" si="33"/>
        <v>(Vacant)</v>
      </c>
      <c r="AT104" s="534"/>
      <c r="AU104" s="822" t="s">
        <v>246</v>
      </c>
      <c r="AV104" s="534" t="s">
        <v>532</v>
      </c>
      <c r="AW104" s="534" t="s">
        <v>247</v>
      </c>
      <c r="AX104" s="837" t="s">
        <v>92</v>
      </c>
      <c r="AY104" s="838" t="s">
        <v>93</v>
      </c>
    </row>
    <row r="105" spans="1:51" s="531" customFormat="1" ht="22.5" hidden="1" customHeight="1">
      <c r="A105" s="741"/>
      <c r="B105" s="742"/>
      <c r="C105" s="423"/>
      <c r="D105" s="757"/>
      <c r="E105" s="448"/>
      <c r="F105" s="448"/>
      <c r="G105" s="448"/>
      <c r="H105" s="447"/>
      <c r="I105" s="770"/>
      <c r="J105" s="447"/>
      <c r="K105" s="447"/>
      <c r="L105" s="447"/>
      <c r="M105" s="447"/>
      <c r="N105" s="545"/>
      <c r="O105" s="447"/>
      <c r="P105" s="447"/>
      <c r="Q105" s="447"/>
      <c r="R105" s="447"/>
      <c r="S105" s="534"/>
      <c r="T105" s="780"/>
      <c r="U105" s="305"/>
      <c r="V105" s="447"/>
      <c r="W105" s="472"/>
      <c r="X105" s="498"/>
      <c r="Y105" s="447"/>
      <c r="Z105" s="447"/>
      <c r="AA105" s="493"/>
      <c r="AB105" s="493"/>
      <c r="AC105" s="447"/>
      <c r="AD105" s="512"/>
      <c r="AE105" s="512"/>
      <c r="AF105" s="791"/>
      <c r="AG105" s="530"/>
      <c r="AH105" s="530"/>
      <c r="AI105" s="530"/>
      <c r="AJ105" s="530"/>
      <c r="AK105" s="530"/>
      <c r="AL105" s="803" t="s">
        <v>85</v>
      </c>
      <c r="AM105" s="305" t="s">
        <v>86</v>
      </c>
      <c r="AN105" s="423" t="s">
        <v>157</v>
      </c>
      <c r="AO105" s="757" t="s">
        <v>285</v>
      </c>
      <c r="AP105" s="447">
        <v>1</v>
      </c>
      <c r="AQ105" s="780">
        <v>32973</v>
      </c>
      <c r="AR105" s="781" t="s">
        <v>88</v>
      </c>
      <c r="AS105" s="823" t="str">
        <f t="shared" si="33"/>
        <v>(Vacant)</v>
      </c>
      <c r="AT105" s="534"/>
      <c r="AU105" s="822" t="s">
        <v>246</v>
      </c>
      <c r="AV105" s="534" t="s">
        <v>532</v>
      </c>
      <c r="AW105" s="534" t="s">
        <v>247</v>
      </c>
      <c r="AX105" s="837" t="s">
        <v>92</v>
      </c>
      <c r="AY105" s="838" t="s">
        <v>93</v>
      </c>
    </row>
    <row r="106" spans="1:51" s="531" customFormat="1" ht="22.5" customHeight="1">
      <c r="A106" s="741" t="s">
        <v>535</v>
      </c>
      <c r="B106" s="742" t="s">
        <v>408</v>
      </c>
      <c r="C106" s="423" t="s">
        <v>165</v>
      </c>
      <c r="D106" s="757" t="s">
        <v>536</v>
      </c>
      <c r="E106" s="448">
        <f>AF106*12</f>
        <v>348624</v>
      </c>
      <c r="F106" s="448">
        <f t="shared" ref="F106:F145" si="34">+AH106*12</f>
        <v>365892</v>
      </c>
      <c r="G106" s="448">
        <v>246828</v>
      </c>
      <c r="H106" s="447">
        <v>4</v>
      </c>
      <c r="I106" s="770" t="s">
        <v>537</v>
      </c>
      <c r="J106" s="447" t="s">
        <v>64</v>
      </c>
      <c r="K106" s="447" t="s">
        <v>158</v>
      </c>
      <c r="L106" s="447" t="s">
        <v>56</v>
      </c>
      <c r="M106" s="447" t="s">
        <v>408</v>
      </c>
      <c r="N106" s="545" t="s">
        <v>538</v>
      </c>
      <c r="O106" s="447" t="s">
        <v>501</v>
      </c>
      <c r="P106" s="447" t="str">
        <f t="shared" si="26"/>
        <v>FRANCISCO</v>
      </c>
      <c r="Q106" s="447"/>
      <c r="R106" s="447" t="s">
        <v>81</v>
      </c>
      <c r="S106" s="534" t="str">
        <f t="shared" si="27"/>
        <v xml:space="preserve">FRANCISCO A. PIRA </v>
      </c>
      <c r="T106" s="780">
        <v>30491</v>
      </c>
      <c r="U106" s="305" t="s">
        <v>539</v>
      </c>
      <c r="V106" s="447" t="s">
        <v>62</v>
      </c>
      <c r="W106" s="472">
        <v>23913</v>
      </c>
      <c r="X106" s="498">
        <f t="shared" ca="1" si="32"/>
        <v>22192.538043402776</v>
      </c>
      <c r="Y106" s="447" t="s">
        <v>540</v>
      </c>
      <c r="Z106" s="447"/>
      <c r="AA106" s="493">
        <v>34808</v>
      </c>
      <c r="AB106" s="493">
        <v>37027</v>
      </c>
      <c r="AC106" s="447" t="s">
        <v>64</v>
      </c>
      <c r="AD106" s="512" t="s">
        <v>102</v>
      </c>
      <c r="AE106" s="512"/>
      <c r="AF106" s="791">
        <v>29052</v>
      </c>
      <c r="AG106" s="530">
        <v>26842</v>
      </c>
      <c r="AH106" s="530">
        <v>30491</v>
      </c>
      <c r="AI106" s="530"/>
      <c r="AJ106" s="530">
        <f t="shared" si="29"/>
        <v>3649</v>
      </c>
      <c r="AK106" s="530"/>
      <c r="AL106" s="800" t="s">
        <v>66</v>
      </c>
      <c r="AM106" s="305" t="s">
        <v>535</v>
      </c>
      <c r="AN106" s="423" t="s">
        <v>165</v>
      </c>
      <c r="AO106" s="757" t="s">
        <v>536</v>
      </c>
      <c r="AP106" s="447">
        <v>4</v>
      </c>
      <c r="AQ106" s="780">
        <v>30491</v>
      </c>
      <c r="AR106" s="305" t="s">
        <v>539</v>
      </c>
      <c r="AS106" s="821" t="str">
        <f t="shared" si="33"/>
        <v>With Incumbent</v>
      </c>
      <c r="AT106" s="534"/>
      <c r="AU106" s="822"/>
      <c r="AV106" s="534"/>
      <c r="AW106" s="534"/>
      <c r="AX106" s="837"/>
      <c r="AY106" s="838"/>
    </row>
    <row r="107" spans="1:51" s="531" customFormat="1" ht="22.5" customHeight="1">
      <c r="A107" s="741" t="s">
        <v>541</v>
      </c>
      <c r="B107" s="742" t="s">
        <v>408</v>
      </c>
      <c r="C107" s="423" t="s">
        <v>165</v>
      </c>
      <c r="D107" s="757" t="s">
        <v>536</v>
      </c>
      <c r="E107" s="448">
        <f>AF107*12</f>
        <v>348624</v>
      </c>
      <c r="F107" s="448">
        <f t="shared" si="34"/>
        <v>384144</v>
      </c>
      <c r="G107" s="448">
        <v>265824</v>
      </c>
      <c r="H107" s="447">
        <v>7</v>
      </c>
      <c r="I107" s="770" t="s">
        <v>542</v>
      </c>
      <c r="J107" s="447" t="s">
        <v>62</v>
      </c>
      <c r="K107" s="447" t="s">
        <v>158</v>
      </c>
      <c r="L107" s="447" t="s">
        <v>56</v>
      </c>
      <c r="M107" s="447" t="s">
        <v>408</v>
      </c>
      <c r="N107" s="545" t="s">
        <v>240</v>
      </c>
      <c r="O107" s="447" t="s">
        <v>241</v>
      </c>
      <c r="P107" s="447" t="str">
        <f t="shared" si="26"/>
        <v>ANTONIO</v>
      </c>
      <c r="Q107" s="447"/>
      <c r="R107" s="447" t="s">
        <v>115</v>
      </c>
      <c r="S107" s="534" t="str">
        <f t="shared" si="27"/>
        <v xml:space="preserve">ANTONIO B. BALDERAMA </v>
      </c>
      <c r="T107" s="780">
        <v>32012</v>
      </c>
      <c r="U107" s="305" t="s">
        <v>543</v>
      </c>
      <c r="V107" s="447" t="s">
        <v>62</v>
      </c>
      <c r="W107" s="472">
        <v>22046</v>
      </c>
      <c r="X107" s="498">
        <f t="shared" ca="1" si="32"/>
        <v>24059.538043402776</v>
      </c>
      <c r="Y107" s="447" t="s">
        <v>544</v>
      </c>
      <c r="Z107" s="447"/>
      <c r="AA107" s="493">
        <v>32687</v>
      </c>
      <c r="AB107" s="493">
        <v>33451</v>
      </c>
      <c r="AC107" s="447" t="s">
        <v>64</v>
      </c>
      <c r="AD107" s="512" t="s">
        <v>102</v>
      </c>
      <c r="AE107" s="512"/>
      <c r="AF107" s="791">
        <v>29052</v>
      </c>
      <c r="AG107" s="530">
        <v>28494</v>
      </c>
      <c r="AH107" s="530">
        <v>32012</v>
      </c>
      <c r="AI107" s="530"/>
      <c r="AJ107" s="530">
        <f t="shared" si="29"/>
        <v>3518</v>
      </c>
      <c r="AK107" s="530"/>
      <c r="AL107" s="800" t="s">
        <v>66</v>
      </c>
      <c r="AM107" s="305" t="s">
        <v>541</v>
      </c>
      <c r="AN107" s="423" t="s">
        <v>165</v>
      </c>
      <c r="AO107" s="757" t="s">
        <v>536</v>
      </c>
      <c r="AP107" s="447">
        <v>7</v>
      </c>
      <c r="AQ107" s="780">
        <v>32012</v>
      </c>
      <c r="AR107" s="305" t="s">
        <v>543</v>
      </c>
      <c r="AS107" s="821" t="str">
        <f t="shared" si="33"/>
        <v>With Incumbent</v>
      </c>
      <c r="AT107" s="534"/>
      <c r="AU107" s="822"/>
      <c r="AV107" s="534"/>
      <c r="AW107" s="534"/>
      <c r="AX107" s="837"/>
      <c r="AY107" s="838"/>
    </row>
    <row r="108" spans="1:51" s="531" customFormat="1" ht="22.5" customHeight="1">
      <c r="A108" s="741" t="s">
        <v>545</v>
      </c>
      <c r="B108" s="742" t="s">
        <v>408</v>
      </c>
      <c r="C108" s="423" t="s">
        <v>165</v>
      </c>
      <c r="D108" s="757" t="s">
        <v>536</v>
      </c>
      <c r="E108" s="448">
        <f>AF108*12</f>
        <v>348624</v>
      </c>
      <c r="F108" s="448">
        <f t="shared" si="34"/>
        <v>390468</v>
      </c>
      <c r="G108" s="448">
        <v>272460</v>
      </c>
      <c r="H108" s="447">
        <v>8</v>
      </c>
      <c r="I108" s="770" t="s">
        <v>546</v>
      </c>
      <c r="J108" s="447" t="s">
        <v>62</v>
      </c>
      <c r="K108" s="447" t="s">
        <v>158</v>
      </c>
      <c r="L108" s="447" t="s">
        <v>56</v>
      </c>
      <c r="M108" s="447" t="s">
        <v>408</v>
      </c>
      <c r="N108" s="545" t="s">
        <v>547</v>
      </c>
      <c r="O108" s="447" t="s">
        <v>548</v>
      </c>
      <c r="P108" s="447" t="str">
        <f t="shared" si="26"/>
        <v>EVANGELINE</v>
      </c>
      <c r="Q108" s="447"/>
      <c r="R108" s="447" t="s">
        <v>122</v>
      </c>
      <c r="S108" s="534" t="str">
        <f t="shared" si="27"/>
        <v xml:space="preserve">EVANGELINE C. BOSQUE </v>
      </c>
      <c r="T108" s="780">
        <v>32539</v>
      </c>
      <c r="U108" s="305" t="s">
        <v>549</v>
      </c>
      <c r="V108" s="447" t="s">
        <v>100</v>
      </c>
      <c r="W108" s="472">
        <v>18708</v>
      </c>
      <c r="X108" s="498">
        <f t="shared" ca="1" si="32"/>
        <v>27397.538043287037</v>
      </c>
      <c r="Y108" s="447" t="s">
        <v>550</v>
      </c>
      <c r="Z108" s="447"/>
      <c r="AA108" s="493">
        <v>26666</v>
      </c>
      <c r="AB108" s="493">
        <v>32371</v>
      </c>
      <c r="AC108" s="447" t="s">
        <v>64</v>
      </c>
      <c r="AD108" s="512" t="s">
        <v>551</v>
      </c>
      <c r="AE108" s="512"/>
      <c r="AF108" s="791">
        <v>29052</v>
      </c>
      <c r="AG108" s="530">
        <v>29070</v>
      </c>
      <c r="AH108" s="530">
        <v>32539</v>
      </c>
      <c r="AI108" s="530"/>
      <c r="AJ108" s="530">
        <f t="shared" si="29"/>
        <v>3469</v>
      </c>
      <c r="AK108" s="530"/>
      <c r="AL108" s="800" t="s">
        <v>66</v>
      </c>
      <c r="AM108" s="305" t="s">
        <v>545</v>
      </c>
      <c r="AN108" s="423" t="s">
        <v>165</v>
      </c>
      <c r="AO108" s="757" t="s">
        <v>536</v>
      </c>
      <c r="AP108" s="447">
        <v>8</v>
      </c>
      <c r="AQ108" s="780">
        <v>32539</v>
      </c>
      <c r="AR108" s="305" t="s">
        <v>549</v>
      </c>
      <c r="AS108" s="821" t="str">
        <f t="shared" si="33"/>
        <v>With Incumbent</v>
      </c>
      <c r="AT108" s="534"/>
      <c r="AU108" s="822"/>
      <c r="AV108" s="534"/>
      <c r="AW108" s="534"/>
      <c r="AX108" s="837"/>
      <c r="AY108" s="838"/>
    </row>
    <row r="109" spans="1:51" s="531" customFormat="1" ht="22.5" customHeight="1">
      <c r="A109" s="741" t="s">
        <v>552</v>
      </c>
      <c r="B109" s="742" t="s">
        <v>408</v>
      </c>
      <c r="C109" s="423" t="s">
        <v>165</v>
      </c>
      <c r="D109" s="757" t="s">
        <v>536</v>
      </c>
      <c r="E109" s="448">
        <f>AF109*12</f>
        <v>348624</v>
      </c>
      <c r="F109" s="448">
        <f t="shared" si="34"/>
        <v>390468</v>
      </c>
      <c r="G109" s="448">
        <v>279288</v>
      </c>
      <c r="H109" s="447">
        <v>8</v>
      </c>
      <c r="I109" s="770" t="s">
        <v>553</v>
      </c>
      <c r="J109" s="447" t="s">
        <v>62</v>
      </c>
      <c r="K109" s="447" t="s">
        <v>158</v>
      </c>
      <c r="L109" s="447" t="s">
        <v>56</v>
      </c>
      <c r="M109" s="447" t="s">
        <v>408</v>
      </c>
      <c r="N109" s="545" t="s">
        <v>554</v>
      </c>
      <c r="O109" s="447" t="s">
        <v>555</v>
      </c>
      <c r="P109" s="447" t="str">
        <f t="shared" si="26"/>
        <v>ADELMO</v>
      </c>
      <c r="Q109" s="447"/>
      <c r="R109" s="447" t="s">
        <v>115</v>
      </c>
      <c r="S109" s="534" t="str">
        <f t="shared" si="27"/>
        <v xml:space="preserve">ADELMO B. BRAGAS </v>
      </c>
      <c r="T109" s="780">
        <v>32539</v>
      </c>
      <c r="U109" s="305" t="s">
        <v>556</v>
      </c>
      <c r="V109" s="447" t="s">
        <v>62</v>
      </c>
      <c r="W109" s="472">
        <v>19061</v>
      </c>
      <c r="X109" s="498">
        <f t="shared" ca="1" si="32"/>
        <v>27044.538043402776</v>
      </c>
      <c r="Y109" s="447" t="s">
        <v>557</v>
      </c>
      <c r="Z109" s="447"/>
      <c r="AA109" s="493">
        <v>27193</v>
      </c>
      <c r="AB109" s="493">
        <v>29541</v>
      </c>
      <c r="AC109" s="447" t="s">
        <v>64</v>
      </c>
      <c r="AD109" s="512" t="s">
        <v>558</v>
      </c>
      <c r="AE109" s="512"/>
      <c r="AF109" s="791">
        <v>29052</v>
      </c>
      <c r="AG109" s="530">
        <v>29070</v>
      </c>
      <c r="AH109" s="530">
        <v>32539</v>
      </c>
      <c r="AI109" s="530"/>
      <c r="AJ109" s="530">
        <f t="shared" si="29"/>
        <v>3469</v>
      </c>
      <c r="AK109" s="530"/>
      <c r="AL109" s="800" t="s">
        <v>66</v>
      </c>
      <c r="AM109" s="305" t="s">
        <v>552</v>
      </c>
      <c r="AN109" s="423" t="s">
        <v>165</v>
      </c>
      <c r="AO109" s="757" t="s">
        <v>536</v>
      </c>
      <c r="AP109" s="447">
        <v>8</v>
      </c>
      <c r="AQ109" s="780">
        <v>32539</v>
      </c>
      <c r="AR109" s="305" t="s">
        <v>556</v>
      </c>
      <c r="AS109" s="821" t="str">
        <f t="shared" si="33"/>
        <v>With Incumbent</v>
      </c>
      <c r="AT109" s="534"/>
      <c r="AU109" s="822"/>
      <c r="AV109" s="534"/>
      <c r="AW109" s="534"/>
      <c r="AX109" s="837"/>
      <c r="AY109" s="838"/>
    </row>
    <row r="110" spans="1:51" s="531" customFormat="1" ht="22.5" customHeight="1">
      <c r="A110" s="741" t="s">
        <v>559</v>
      </c>
      <c r="B110" s="742" t="s">
        <v>408</v>
      </c>
      <c r="C110" s="423" t="s">
        <v>165</v>
      </c>
      <c r="D110" s="757" t="s">
        <v>536</v>
      </c>
      <c r="E110" s="448">
        <f>21537*12</f>
        <v>258444</v>
      </c>
      <c r="F110" s="448">
        <f t="shared" si="34"/>
        <v>348624</v>
      </c>
      <c r="G110" s="448" t="s">
        <v>560</v>
      </c>
      <c r="H110" s="447">
        <v>1</v>
      </c>
      <c r="I110" s="770" t="s">
        <v>561</v>
      </c>
      <c r="J110" s="447" t="s">
        <v>62</v>
      </c>
      <c r="K110" s="447" t="s">
        <v>158</v>
      </c>
      <c r="L110" s="447" t="s">
        <v>56</v>
      </c>
      <c r="M110" s="447" t="s">
        <v>408</v>
      </c>
      <c r="N110" s="545" t="s">
        <v>562</v>
      </c>
      <c r="O110" s="447" t="s">
        <v>563</v>
      </c>
      <c r="P110" s="447" t="str">
        <f t="shared" si="26"/>
        <v>EMMANUEL</v>
      </c>
      <c r="Q110" s="447"/>
      <c r="R110" s="447" t="s">
        <v>81</v>
      </c>
      <c r="S110" s="534" t="str">
        <f t="shared" si="27"/>
        <v xml:space="preserve">EMMANUEL A. TURQUEZA </v>
      </c>
      <c r="T110" s="780">
        <v>29052</v>
      </c>
      <c r="U110" s="305" t="s">
        <v>564</v>
      </c>
      <c r="V110" s="447" t="s">
        <v>62</v>
      </c>
      <c r="W110" s="472">
        <v>23990</v>
      </c>
      <c r="X110" s="498">
        <f t="shared" ca="1" si="32"/>
        <v>22115.538043287037</v>
      </c>
      <c r="Y110" s="447" t="s">
        <v>565</v>
      </c>
      <c r="Z110" s="447"/>
      <c r="AA110" s="493">
        <v>35100</v>
      </c>
      <c r="AB110" s="493">
        <v>39874</v>
      </c>
      <c r="AC110" s="447" t="s">
        <v>64</v>
      </c>
      <c r="AD110" s="512" t="s">
        <v>102</v>
      </c>
      <c r="AE110" s="512"/>
      <c r="AF110" s="791">
        <v>29052</v>
      </c>
      <c r="AG110" s="530">
        <v>25295</v>
      </c>
      <c r="AH110" s="530">
        <v>29052</v>
      </c>
      <c r="AI110" s="852"/>
      <c r="AJ110" s="530">
        <f t="shared" si="29"/>
        <v>3757</v>
      </c>
      <c r="AK110" s="530"/>
      <c r="AL110" s="800" t="s">
        <v>66</v>
      </c>
      <c r="AM110" s="305" t="s">
        <v>559</v>
      </c>
      <c r="AN110" s="423" t="s">
        <v>165</v>
      </c>
      <c r="AO110" s="757" t="s">
        <v>536</v>
      </c>
      <c r="AP110" s="447">
        <v>1</v>
      </c>
      <c r="AQ110" s="780">
        <v>29052</v>
      </c>
      <c r="AR110" s="305" t="s">
        <v>564</v>
      </c>
      <c r="AS110" s="821" t="str">
        <f t="shared" si="33"/>
        <v>With Incumbent</v>
      </c>
      <c r="AT110" s="534"/>
      <c r="AU110" s="822"/>
      <c r="AV110" s="534"/>
      <c r="AW110" s="534"/>
      <c r="AX110" s="837"/>
      <c r="AY110" s="838"/>
    </row>
    <row r="111" spans="1:51" s="531" customFormat="1" ht="22.5" customHeight="1">
      <c r="A111" s="741" t="s">
        <v>566</v>
      </c>
      <c r="B111" s="742" t="s">
        <v>181</v>
      </c>
      <c r="C111" s="423" t="s">
        <v>165</v>
      </c>
      <c r="D111" s="757" t="s">
        <v>536</v>
      </c>
      <c r="E111" s="448">
        <f t="shared" ref="E111:E145" si="35">AF111*12</f>
        <v>348624</v>
      </c>
      <c r="F111" s="448">
        <f t="shared" si="34"/>
        <v>371856</v>
      </c>
      <c r="G111" s="448">
        <v>253020</v>
      </c>
      <c r="H111" s="447">
        <v>5</v>
      </c>
      <c r="I111" s="770" t="s">
        <v>223</v>
      </c>
      <c r="J111" s="447" t="s">
        <v>64</v>
      </c>
      <c r="K111" s="447" t="s">
        <v>158</v>
      </c>
      <c r="L111" s="447" t="s">
        <v>56</v>
      </c>
      <c r="M111" s="447" t="s">
        <v>181</v>
      </c>
      <c r="N111" s="545" t="s">
        <v>567</v>
      </c>
      <c r="O111" s="447" t="s">
        <v>563</v>
      </c>
      <c r="P111" s="447" t="str">
        <f t="shared" si="26"/>
        <v>EMMANUEL</v>
      </c>
      <c r="Q111" s="447"/>
      <c r="R111" s="447" t="s">
        <v>64</v>
      </c>
      <c r="S111" s="534" t="str">
        <f t="shared" si="27"/>
        <v xml:space="preserve">EMMANUEL P. ABULENCIA </v>
      </c>
      <c r="T111" s="780">
        <v>30988</v>
      </c>
      <c r="U111" s="305" t="s">
        <v>568</v>
      </c>
      <c r="V111" s="447" t="s">
        <v>62</v>
      </c>
      <c r="W111" s="472">
        <v>22366</v>
      </c>
      <c r="X111" s="498">
        <f t="shared" ca="1" si="32"/>
        <v>23739.538043402776</v>
      </c>
      <c r="Y111" s="447" t="s">
        <v>569</v>
      </c>
      <c r="Z111" s="447"/>
      <c r="AA111" s="493">
        <v>32687</v>
      </c>
      <c r="AB111" s="493">
        <v>35234</v>
      </c>
      <c r="AC111" s="447" t="s">
        <v>64</v>
      </c>
      <c r="AD111" s="512" t="s">
        <v>102</v>
      </c>
      <c r="AE111" s="512">
        <f>218928/12</f>
        <v>18244</v>
      </c>
      <c r="AF111" s="791">
        <v>29052</v>
      </c>
      <c r="AG111" s="530">
        <v>27381</v>
      </c>
      <c r="AH111" s="530">
        <v>30988</v>
      </c>
      <c r="AI111" s="530"/>
      <c r="AJ111" s="530">
        <f t="shared" si="29"/>
        <v>3607</v>
      </c>
      <c r="AK111" s="530"/>
      <c r="AL111" s="800" t="s">
        <v>66</v>
      </c>
      <c r="AM111" s="305" t="s">
        <v>566</v>
      </c>
      <c r="AN111" s="423" t="s">
        <v>165</v>
      </c>
      <c r="AO111" s="757" t="s">
        <v>536</v>
      </c>
      <c r="AP111" s="447">
        <v>5</v>
      </c>
      <c r="AQ111" s="780">
        <v>30988</v>
      </c>
      <c r="AR111" s="305" t="s">
        <v>568</v>
      </c>
      <c r="AS111" s="821" t="str">
        <f t="shared" si="33"/>
        <v>With Incumbent</v>
      </c>
      <c r="AT111" s="534"/>
      <c r="AU111" s="822"/>
      <c r="AV111" s="534"/>
      <c r="AW111" s="534"/>
      <c r="AX111" s="837"/>
      <c r="AY111" s="838"/>
    </row>
    <row r="112" spans="1:51" s="531" customFormat="1" ht="22.5" customHeight="1">
      <c r="A112" s="741" t="s">
        <v>570</v>
      </c>
      <c r="B112" s="742" t="s">
        <v>211</v>
      </c>
      <c r="C112" s="423" t="s">
        <v>165</v>
      </c>
      <c r="D112" s="757" t="s">
        <v>536</v>
      </c>
      <c r="E112" s="448">
        <f t="shared" si="35"/>
        <v>348624</v>
      </c>
      <c r="F112" s="448">
        <f t="shared" si="34"/>
        <v>371856</v>
      </c>
      <c r="G112" s="448">
        <v>253020</v>
      </c>
      <c r="H112" s="447">
        <v>5</v>
      </c>
      <c r="I112" s="770" t="s">
        <v>223</v>
      </c>
      <c r="J112" s="447" t="s">
        <v>64</v>
      </c>
      <c r="K112" s="447" t="s">
        <v>158</v>
      </c>
      <c r="L112" s="447" t="s">
        <v>56</v>
      </c>
      <c r="M112" s="774" t="s">
        <v>211</v>
      </c>
      <c r="N112" s="545" t="s">
        <v>571</v>
      </c>
      <c r="O112" s="447" t="s">
        <v>572</v>
      </c>
      <c r="P112" s="447" t="str">
        <f t="shared" si="26"/>
        <v>FRANCHITA</v>
      </c>
      <c r="Q112" s="447"/>
      <c r="R112" s="447" t="s">
        <v>72</v>
      </c>
      <c r="S112" s="534" t="str">
        <f t="shared" si="27"/>
        <v xml:space="preserve">FRANCHITA L. GAYUDAN </v>
      </c>
      <c r="T112" s="780">
        <v>30988</v>
      </c>
      <c r="U112" s="305" t="s">
        <v>573</v>
      </c>
      <c r="V112" s="447" t="s">
        <v>100</v>
      </c>
      <c r="W112" s="472">
        <v>23994</v>
      </c>
      <c r="X112" s="498">
        <f t="shared" ca="1" si="32"/>
        <v>22111.538043402776</v>
      </c>
      <c r="Y112" s="447" t="s">
        <v>574</v>
      </c>
      <c r="Z112" s="447"/>
      <c r="AA112" s="493">
        <v>32021</v>
      </c>
      <c r="AB112" s="493">
        <v>35234</v>
      </c>
      <c r="AC112" s="447" t="s">
        <v>64</v>
      </c>
      <c r="AD112" s="512" t="s">
        <v>102</v>
      </c>
      <c r="AE112" s="512"/>
      <c r="AF112" s="791">
        <v>29052</v>
      </c>
      <c r="AG112" s="530">
        <v>27381</v>
      </c>
      <c r="AH112" s="530">
        <v>30988</v>
      </c>
      <c r="AI112" s="530"/>
      <c r="AJ112" s="530">
        <f t="shared" si="29"/>
        <v>3607</v>
      </c>
      <c r="AK112" s="530"/>
      <c r="AL112" s="800" t="s">
        <v>66</v>
      </c>
      <c r="AM112" s="305" t="s">
        <v>570</v>
      </c>
      <c r="AN112" s="423" t="s">
        <v>165</v>
      </c>
      <c r="AO112" s="757" t="s">
        <v>536</v>
      </c>
      <c r="AP112" s="447">
        <v>5</v>
      </c>
      <c r="AQ112" s="780">
        <v>30988</v>
      </c>
      <c r="AR112" s="305" t="s">
        <v>573</v>
      </c>
      <c r="AS112" s="821" t="str">
        <f t="shared" si="33"/>
        <v>With Incumbent</v>
      </c>
      <c r="AT112" s="534"/>
      <c r="AU112" s="822"/>
      <c r="AV112" s="534"/>
      <c r="AW112" s="534"/>
      <c r="AX112" s="837"/>
      <c r="AY112" s="838"/>
    </row>
    <row r="113" spans="1:51" s="531" customFormat="1" ht="22.5" customHeight="1">
      <c r="A113" s="741" t="s">
        <v>575</v>
      </c>
      <c r="B113" s="742" t="s">
        <v>181</v>
      </c>
      <c r="C113" s="423" t="s">
        <v>165</v>
      </c>
      <c r="D113" s="757" t="s">
        <v>536</v>
      </c>
      <c r="E113" s="448">
        <f t="shared" si="35"/>
        <v>348624</v>
      </c>
      <c r="F113" s="448">
        <f t="shared" si="34"/>
        <v>365892</v>
      </c>
      <c r="G113" s="448">
        <v>246828</v>
      </c>
      <c r="H113" s="447">
        <v>4</v>
      </c>
      <c r="I113" s="770" t="s">
        <v>576</v>
      </c>
      <c r="J113" s="447" t="s">
        <v>62</v>
      </c>
      <c r="K113" s="447" t="s">
        <v>158</v>
      </c>
      <c r="L113" s="447" t="s">
        <v>56</v>
      </c>
      <c r="M113" s="616" t="s">
        <v>189</v>
      </c>
      <c r="N113" s="545" t="s">
        <v>577</v>
      </c>
      <c r="O113" s="447" t="s">
        <v>578</v>
      </c>
      <c r="P113" s="447" t="str">
        <f t="shared" si="26"/>
        <v>FLORITA</v>
      </c>
      <c r="Q113" s="447"/>
      <c r="R113" s="447" t="s">
        <v>177</v>
      </c>
      <c r="S113" s="534" t="str">
        <f t="shared" si="27"/>
        <v xml:space="preserve">FLORITA G. NARCIZA </v>
      </c>
      <c r="T113" s="780">
        <v>30491</v>
      </c>
      <c r="U113" s="305" t="s">
        <v>579</v>
      </c>
      <c r="V113" s="447" t="s">
        <v>100</v>
      </c>
      <c r="W113" s="472">
        <v>23092</v>
      </c>
      <c r="X113" s="498">
        <f t="shared" ca="1" si="32"/>
        <v>23013.538043287037</v>
      </c>
      <c r="Y113" s="447" t="s">
        <v>580</v>
      </c>
      <c r="Z113" s="447"/>
      <c r="AA113" s="493">
        <v>31188</v>
      </c>
      <c r="AB113" s="493">
        <v>36951</v>
      </c>
      <c r="AC113" s="447" t="s">
        <v>64</v>
      </c>
      <c r="AD113" s="512" t="s">
        <v>102</v>
      </c>
      <c r="AE113" s="512"/>
      <c r="AF113" s="791">
        <v>29052</v>
      </c>
      <c r="AG113" s="530">
        <v>26842</v>
      </c>
      <c r="AH113" s="530">
        <v>30491</v>
      </c>
      <c r="AI113" s="530"/>
      <c r="AJ113" s="530">
        <f t="shared" si="29"/>
        <v>3649</v>
      </c>
      <c r="AK113" s="530"/>
      <c r="AL113" s="800" t="s">
        <v>66</v>
      </c>
      <c r="AM113" s="305" t="s">
        <v>575</v>
      </c>
      <c r="AN113" s="423" t="s">
        <v>165</v>
      </c>
      <c r="AO113" s="757" t="s">
        <v>536</v>
      </c>
      <c r="AP113" s="447">
        <v>4</v>
      </c>
      <c r="AQ113" s="780">
        <v>30491</v>
      </c>
      <c r="AR113" s="305" t="s">
        <v>579</v>
      </c>
      <c r="AS113" s="821" t="str">
        <f t="shared" si="33"/>
        <v>With Incumbent</v>
      </c>
      <c r="AT113" s="534"/>
      <c r="AU113" s="822"/>
      <c r="AV113" s="534"/>
      <c r="AW113" s="534"/>
      <c r="AX113" s="837"/>
      <c r="AY113" s="838"/>
    </row>
    <row r="114" spans="1:51" s="531" customFormat="1" ht="22.5" customHeight="1">
      <c r="A114" s="741" t="s">
        <v>581</v>
      </c>
      <c r="B114" s="742" t="s">
        <v>408</v>
      </c>
      <c r="C114" s="423" t="s">
        <v>165</v>
      </c>
      <c r="D114" s="757" t="s">
        <v>536</v>
      </c>
      <c r="E114" s="448">
        <f t="shared" si="35"/>
        <v>348624</v>
      </c>
      <c r="F114" s="448">
        <f t="shared" si="34"/>
        <v>384144</v>
      </c>
      <c r="G114" s="448">
        <v>265824</v>
      </c>
      <c r="H114" s="447">
        <v>7</v>
      </c>
      <c r="I114" s="770" t="s">
        <v>582</v>
      </c>
      <c r="J114" s="447" t="s">
        <v>62</v>
      </c>
      <c r="K114" s="447" t="s">
        <v>158</v>
      </c>
      <c r="L114" s="447" t="s">
        <v>56</v>
      </c>
      <c r="M114" s="447" t="s">
        <v>408</v>
      </c>
      <c r="N114" s="545" t="s">
        <v>583</v>
      </c>
      <c r="O114" s="447" t="s">
        <v>584</v>
      </c>
      <c r="P114" s="447" t="str">
        <f t="shared" si="26"/>
        <v>VALENTINO</v>
      </c>
      <c r="Q114" s="447"/>
      <c r="R114" s="447" t="s">
        <v>115</v>
      </c>
      <c r="S114" s="534" t="str">
        <f t="shared" si="27"/>
        <v xml:space="preserve">VALENTINO B. TENEZA </v>
      </c>
      <c r="T114" s="780">
        <v>32012</v>
      </c>
      <c r="U114" s="305" t="s">
        <v>585</v>
      </c>
      <c r="V114" s="447" t="s">
        <v>62</v>
      </c>
      <c r="W114" s="472">
        <v>21960</v>
      </c>
      <c r="X114" s="498">
        <f t="shared" ca="1" si="32"/>
        <v>24145.538043402776</v>
      </c>
      <c r="Y114" s="447" t="s">
        <v>586</v>
      </c>
      <c r="Z114" s="447"/>
      <c r="AA114" s="493">
        <v>32687</v>
      </c>
      <c r="AB114" s="493">
        <v>33637</v>
      </c>
      <c r="AC114" s="447" t="s">
        <v>64</v>
      </c>
      <c r="AD114" s="512" t="s">
        <v>102</v>
      </c>
      <c r="AE114" s="512"/>
      <c r="AF114" s="791">
        <v>29052</v>
      </c>
      <c r="AG114" s="530">
        <v>28494</v>
      </c>
      <c r="AH114" s="530">
        <v>32012</v>
      </c>
      <c r="AI114" s="530"/>
      <c r="AJ114" s="530">
        <f t="shared" si="29"/>
        <v>3518</v>
      </c>
      <c r="AK114" s="530"/>
      <c r="AL114" s="800" t="s">
        <v>66</v>
      </c>
      <c r="AM114" s="305" t="s">
        <v>581</v>
      </c>
      <c r="AN114" s="423" t="s">
        <v>165</v>
      </c>
      <c r="AO114" s="757" t="s">
        <v>536</v>
      </c>
      <c r="AP114" s="447">
        <v>7</v>
      </c>
      <c r="AQ114" s="780">
        <v>32012</v>
      </c>
      <c r="AR114" s="305" t="s">
        <v>585</v>
      </c>
      <c r="AS114" s="821" t="str">
        <f t="shared" si="33"/>
        <v>With Incumbent</v>
      </c>
      <c r="AT114" s="534"/>
      <c r="AU114" s="822"/>
      <c r="AV114" s="534"/>
      <c r="AW114" s="534"/>
      <c r="AX114" s="837"/>
      <c r="AY114" s="838"/>
    </row>
    <row r="115" spans="1:51" s="531" customFormat="1" ht="22.5" customHeight="1">
      <c r="A115" s="741" t="s">
        <v>587</v>
      </c>
      <c r="B115" s="742" t="s">
        <v>408</v>
      </c>
      <c r="C115" s="423" t="s">
        <v>165</v>
      </c>
      <c r="D115" s="757" t="s">
        <v>536</v>
      </c>
      <c r="E115" s="448">
        <f t="shared" si="35"/>
        <v>348624</v>
      </c>
      <c r="F115" s="448">
        <f t="shared" si="34"/>
        <v>390468</v>
      </c>
      <c r="G115" s="448">
        <v>246828</v>
      </c>
      <c r="H115" s="447">
        <v>8</v>
      </c>
      <c r="I115" s="770" t="s">
        <v>588</v>
      </c>
      <c r="J115" s="447" t="s">
        <v>62</v>
      </c>
      <c r="K115" s="447" t="s">
        <v>158</v>
      </c>
      <c r="L115" s="447" t="s">
        <v>56</v>
      </c>
      <c r="M115" s="447" t="s">
        <v>408</v>
      </c>
      <c r="N115" s="545" t="s">
        <v>589</v>
      </c>
      <c r="O115" s="447" t="s">
        <v>590</v>
      </c>
      <c r="P115" s="447" t="str">
        <f t="shared" si="26"/>
        <v>CRISTETA</v>
      </c>
      <c r="Q115" s="447"/>
      <c r="R115" s="447" t="s">
        <v>122</v>
      </c>
      <c r="S115" s="534" t="str">
        <f t="shared" si="27"/>
        <v xml:space="preserve">CRISTETA C. BLANDO </v>
      </c>
      <c r="T115" s="780">
        <v>32539</v>
      </c>
      <c r="U115" s="305" t="s">
        <v>591</v>
      </c>
      <c r="V115" s="424" t="s">
        <v>100</v>
      </c>
      <c r="W115" s="472">
        <v>18251</v>
      </c>
      <c r="X115" s="498">
        <f t="shared" ca="1" si="32"/>
        <v>27854.538043287037</v>
      </c>
      <c r="Y115" s="424" t="s">
        <v>592</v>
      </c>
      <c r="Z115" s="424"/>
      <c r="AA115" s="495">
        <v>27207</v>
      </c>
      <c r="AB115" s="495">
        <v>28126</v>
      </c>
      <c r="AC115" s="424" t="s">
        <v>64</v>
      </c>
      <c r="AD115" s="516" t="s">
        <v>228</v>
      </c>
      <c r="AE115" s="512"/>
      <c r="AF115" s="791">
        <v>29052</v>
      </c>
      <c r="AG115" s="530">
        <v>29070</v>
      </c>
      <c r="AH115" s="530">
        <v>32539</v>
      </c>
      <c r="AI115" s="530"/>
      <c r="AJ115" s="530">
        <f t="shared" si="29"/>
        <v>3469</v>
      </c>
      <c r="AK115" s="530"/>
      <c r="AL115" s="800" t="s">
        <v>66</v>
      </c>
      <c r="AM115" s="305" t="s">
        <v>587</v>
      </c>
      <c r="AN115" s="423" t="s">
        <v>165</v>
      </c>
      <c r="AO115" s="757" t="s">
        <v>536</v>
      </c>
      <c r="AP115" s="447">
        <v>8</v>
      </c>
      <c r="AQ115" s="780">
        <v>32539</v>
      </c>
      <c r="AR115" s="305" t="s">
        <v>591</v>
      </c>
      <c r="AS115" s="821" t="str">
        <f t="shared" si="33"/>
        <v>With Incumbent</v>
      </c>
      <c r="AT115" s="534"/>
      <c r="AU115" s="822"/>
      <c r="AV115" s="534"/>
      <c r="AW115" s="534"/>
      <c r="AX115" s="837"/>
      <c r="AY115" s="838"/>
    </row>
    <row r="116" spans="1:51" s="531" customFormat="1" ht="22.5" hidden="1" customHeight="1">
      <c r="A116" s="741" t="s">
        <v>593</v>
      </c>
      <c r="B116" s="742" t="s">
        <v>408</v>
      </c>
      <c r="C116" s="423" t="s">
        <v>165</v>
      </c>
      <c r="D116" s="757" t="s">
        <v>536</v>
      </c>
      <c r="E116" s="448">
        <f t="shared" si="35"/>
        <v>348624</v>
      </c>
      <c r="F116" s="448">
        <f t="shared" si="34"/>
        <v>365892</v>
      </c>
      <c r="G116" s="448">
        <v>246828</v>
      </c>
      <c r="H116" s="447">
        <v>4</v>
      </c>
      <c r="I116" s="770" t="s">
        <v>594</v>
      </c>
      <c r="J116" s="447" t="s">
        <v>62</v>
      </c>
      <c r="K116" s="447" t="s">
        <v>158</v>
      </c>
      <c r="L116" s="447" t="s">
        <v>56</v>
      </c>
      <c r="M116" s="447" t="s">
        <v>408</v>
      </c>
      <c r="N116" s="545" t="s">
        <v>595</v>
      </c>
      <c r="O116" s="447" t="s">
        <v>596</v>
      </c>
      <c r="P116" s="447" t="str">
        <f t="shared" si="26"/>
        <v>MILLICENT</v>
      </c>
      <c r="Q116" s="447"/>
      <c r="R116" s="447" t="s">
        <v>115</v>
      </c>
      <c r="S116" s="534" t="str">
        <f t="shared" si="27"/>
        <v xml:space="preserve">MILLICENT B. CARIÑO </v>
      </c>
      <c r="T116" s="780">
        <v>30491</v>
      </c>
      <c r="U116" s="305" t="s">
        <v>597</v>
      </c>
      <c r="V116" s="447" t="s">
        <v>100</v>
      </c>
      <c r="W116" s="472">
        <v>26375</v>
      </c>
      <c r="X116" s="498">
        <f t="shared" ca="1" si="32"/>
        <v>19730.538043402776</v>
      </c>
      <c r="Y116" s="447" t="s">
        <v>598</v>
      </c>
      <c r="Z116" s="447"/>
      <c r="AA116" s="493">
        <v>34808</v>
      </c>
      <c r="AB116" s="493">
        <v>36893</v>
      </c>
      <c r="AC116" s="447" t="s">
        <v>64</v>
      </c>
      <c r="AD116" s="512" t="s">
        <v>102</v>
      </c>
      <c r="AE116" s="512"/>
      <c r="AF116" s="791">
        <v>29052</v>
      </c>
      <c r="AG116" s="530">
        <v>26842</v>
      </c>
      <c r="AH116" s="530">
        <v>30491</v>
      </c>
      <c r="AI116" s="530"/>
      <c r="AJ116" s="530">
        <f t="shared" si="29"/>
        <v>3649</v>
      </c>
      <c r="AK116" s="530"/>
      <c r="AL116" s="803" t="s">
        <v>245</v>
      </c>
      <c r="AM116" s="305" t="s">
        <v>593</v>
      </c>
      <c r="AN116" s="423" t="s">
        <v>157</v>
      </c>
      <c r="AO116" s="757" t="s">
        <v>285</v>
      </c>
      <c r="AP116" s="447">
        <v>4</v>
      </c>
      <c r="AQ116" s="780">
        <v>30491</v>
      </c>
      <c r="AR116" s="305" t="s">
        <v>597</v>
      </c>
      <c r="AS116" s="821" t="str">
        <f t="shared" si="33"/>
        <v>With Incumbent</v>
      </c>
      <c r="AT116" s="534"/>
      <c r="AU116" s="822"/>
      <c r="AV116" s="534"/>
      <c r="AW116" s="534"/>
      <c r="AX116" s="837"/>
      <c r="AY116" s="838"/>
    </row>
    <row r="117" spans="1:51" s="531" customFormat="1" ht="22.5" customHeight="1">
      <c r="A117" s="741" t="s">
        <v>599</v>
      </c>
      <c r="B117" s="742" t="s">
        <v>408</v>
      </c>
      <c r="C117" s="423" t="s">
        <v>165</v>
      </c>
      <c r="D117" s="757" t="s">
        <v>536</v>
      </c>
      <c r="E117" s="448">
        <f t="shared" si="35"/>
        <v>348624</v>
      </c>
      <c r="F117" s="448">
        <f t="shared" si="34"/>
        <v>354264</v>
      </c>
      <c r="G117" s="448">
        <v>234948</v>
      </c>
      <c r="H117" s="447">
        <v>2</v>
      </c>
      <c r="I117" s="770" t="s">
        <v>600</v>
      </c>
      <c r="J117" s="447" t="s">
        <v>62</v>
      </c>
      <c r="K117" s="447" t="s">
        <v>158</v>
      </c>
      <c r="L117" s="447" t="s">
        <v>56</v>
      </c>
      <c r="M117" s="447" t="s">
        <v>408</v>
      </c>
      <c r="N117" s="545" t="s">
        <v>601</v>
      </c>
      <c r="O117" s="447" t="s">
        <v>602</v>
      </c>
      <c r="P117" s="447" t="str">
        <f t="shared" si="26"/>
        <v>JIMMICIO</v>
      </c>
      <c r="Q117" s="447"/>
      <c r="R117" s="447" t="s">
        <v>77</v>
      </c>
      <c r="S117" s="534" t="str">
        <f t="shared" si="27"/>
        <v xml:space="preserve">JIMMICIO S. DAOATEN </v>
      </c>
      <c r="T117" s="780">
        <v>29522</v>
      </c>
      <c r="U117" s="305" t="s">
        <v>603</v>
      </c>
      <c r="V117" s="447" t="s">
        <v>62</v>
      </c>
      <c r="W117" s="472">
        <v>26926</v>
      </c>
      <c r="X117" s="498">
        <f t="shared" ca="1" si="32"/>
        <v>19179.538043402776</v>
      </c>
      <c r="Y117" s="447" t="s">
        <v>604</v>
      </c>
      <c r="Z117" s="472">
        <v>36374</v>
      </c>
      <c r="AA117" s="493">
        <v>35583</v>
      </c>
      <c r="AB117" s="493">
        <v>39170</v>
      </c>
      <c r="AC117" s="447" t="s">
        <v>64</v>
      </c>
      <c r="AD117" s="512" t="s">
        <v>605</v>
      </c>
      <c r="AE117" s="512"/>
      <c r="AF117" s="791">
        <v>29052</v>
      </c>
      <c r="AG117" s="530">
        <v>25799</v>
      </c>
      <c r="AH117" s="530">
        <v>29522</v>
      </c>
      <c r="AI117" s="530"/>
      <c r="AJ117" s="530">
        <f t="shared" si="29"/>
        <v>3723</v>
      </c>
      <c r="AK117" s="530"/>
      <c r="AL117" s="800" t="s">
        <v>66</v>
      </c>
      <c r="AM117" s="305" t="s">
        <v>599</v>
      </c>
      <c r="AN117" s="423" t="s">
        <v>165</v>
      </c>
      <c r="AO117" s="757" t="s">
        <v>536</v>
      </c>
      <c r="AP117" s="447">
        <v>2</v>
      </c>
      <c r="AQ117" s="780">
        <v>29522</v>
      </c>
      <c r="AR117" s="305" t="s">
        <v>603</v>
      </c>
      <c r="AS117" s="821" t="str">
        <f t="shared" si="33"/>
        <v>With Incumbent</v>
      </c>
      <c r="AT117" s="534"/>
      <c r="AU117" s="822"/>
      <c r="AV117" s="534"/>
      <c r="AW117" s="534"/>
      <c r="AX117" s="837"/>
      <c r="AY117" s="838"/>
    </row>
    <row r="118" spans="1:51" s="531" customFormat="1" ht="22.5" customHeight="1">
      <c r="A118" s="741" t="s">
        <v>606</v>
      </c>
      <c r="B118" s="742" t="s">
        <v>408</v>
      </c>
      <c r="C118" s="423" t="s">
        <v>165</v>
      </c>
      <c r="D118" s="757" t="s">
        <v>536</v>
      </c>
      <c r="E118" s="448">
        <f t="shared" si="35"/>
        <v>348624</v>
      </c>
      <c r="F118" s="448">
        <f t="shared" si="34"/>
        <v>371856</v>
      </c>
      <c r="G118" s="448">
        <v>259344</v>
      </c>
      <c r="H118" s="447">
        <v>5</v>
      </c>
      <c r="I118" s="770" t="s">
        <v>465</v>
      </c>
      <c r="J118" s="447" t="s">
        <v>64</v>
      </c>
      <c r="K118" s="447" t="s">
        <v>158</v>
      </c>
      <c r="L118" s="447" t="s">
        <v>56</v>
      </c>
      <c r="M118" s="616" t="s">
        <v>57</v>
      </c>
      <c r="N118" s="545" t="s">
        <v>423</v>
      </c>
      <c r="O118" s="447" t="s">
        <v>607</v>
      </c>
      <c r="P118" s="447" t="str">
        <f t="shared" si="26"/>
        <v>JOCELYN</v>
      </c>
      <c r="Q118" s="447"/>
      <c r="R118" s="447" t="s">
        <v>81</v>
      </c>
      <c r="S118" s="534" t="str">
        <f t="shared" si="27"/>
        <v xml:space="preserve">JOCELYN A. ROJO </v>
      </c>
      <c r="T118" s="780">
        <v>30988</v>
      </c>
      <c r="U118" s="305" t="s">
        <v>608</v>
      </c>
      <c r="V118" s="447" t="s">
        <v>100</v>
      </c>
      <c r="W118" s="472">
        <v>22631</v>
      </c>
      <c r="X118" s="498">
        <f t="shared" ca="1" si="32"/>
        <v>23474.538043287037</v>
      </c>
      <c r="Y118" s="447" t="s">
        <v>609</v>
      </c>
      <c r="Z118" s="472">
        <v>32615</v>
      </c>
      <c r="AA118" s="493">
        <v>31845</v>
      </c>
      <c r="AB118" s="493">
        <v>34963</v>
      </c>
      <c r="AC118" s="447" t="s">
        <v>64</v>
      </c>
      <c r="AD118" s="512" t="s">
        <v>102</v>
      </c>
      <c r="AE118" s="512"/>
      <c r="AF118" s="791">
        <v>29052</v>
      </c>
      <c r="AG118" s="530">
        <v>27381</v>
      </c>
      <c r="AH118" s="530">
        <v>30988</v>
      </c>
      <c r="AI118" s="530"/>
      <c r="AJ118" s="530">
        <f t="shared" si="29"/>
        <v>3607</v>
      </c>
      <c r="AK118" s="530"/>
      <c r="AL118" s="800" t="s">
        <v>66</v>
      </c>
      <c r="AM118" s="305" t="s">
        <v>606</v>
      </c>
      <c r="AN118" s="423" t="s">
        <v>165</v>
      </c>
      <c r="AO118" s="757" t="s">
        <v>536</v>
      </c>
      <c r="AP118" s="447">
        <v>5</v>
      </c>
      <c r="AQ118" s="780">
        <v>30988</v>
      </c>
      <c r="AR118" s="305" t="s">
        <v>608</v>
      </c>
      <c r="AS118" s="821" t="str">
        <f t="shared" si="33"/>
        <v>With Incumbent</v>
      </c>
      <c r="AT118" s="534"/>
      <c r="AU118" s="822"/>
      <c r="AV118" s="534"/>
      <c r="AW118" s="534"/>
      <c r="AX118" s="837"/>
      <c r="AY118" s="838"/>
    </row>
    <row r="119" spans="1:51" s="531" customFormat="1" ht="22.5" customHeight="1">
      <c r="A119" s="741" t="s">
        <v>610</v>
      </c>
      <c r="B119" s="742" t="s">
        <v>408</v>
      </c>
      <c r="C119" s="423" t="s">
        <v>165</v>
      </c>
      <c r="D119" s="757" t="s">
        <v>536</v>
      </c>
      <c r="E119" s="448">
        <f t="shared" si="35"/>
        <v>348624</v>
      </c>
      <c r="F119" s="448">
        <f t="shared" si="34"/>
        <v>371856</v>
      </c>
      <c r="G119" s="448">
        <v>259344</v>
      </c>
      <c r="H119" s="447">
        <v>5</v>
      </c>
      <c r="I119" s="770" t="s">
        <v>465</v>
      </c>
      <c r="J119" s="447" t="s">
        <v>64</v>
      </c>
      <c r="K119" s="447" t="s">
        <v>158</v>
      </c>
      <c r="L119" s="447" t="s">
        <v>56</v>
      </c>
      <c r="M119" s="447" t="s">
        <v>408</v>
      </c>
      <c r="N119" s="545" t="s">
        <v>611</v>
      </c>
      <c r="O119" s="447" t="s">
        <v>612</v>
      </c>
      <c r="P119" s="447" t="str">
        <f t="shared" si="26"/>
        <v>ASCENCION VIVA</v>
      </c>
      <c r="Q119" s="447"/>
      <c r="R119" s="447" t="s">
        <v>613</v>
      </c>
      <c r="S119" s="534" t="str">
        <f t="shared" si="27"/>
        <v xml:space="preserve">ASCENCION VIVA Z. BERNARDEZ </v>
      </c>
      <c r="T119" s="780">
        <v>30988</v>
      </c>
      <c r="U119" s="305" t="s">
        <v>614</v>
      </c>
      <c r="V119" s="447" t="s">
        <v>100</v>
      </c>
      <c r="W119" s="472">
        <v>22412</v>
      </c>
      <c r="X119" s="498">
        <f t="shared" ca="1" si="32"/>
        <v>23693.538043402776</v>
      </c>
      <c r="Y119" s="447" t="s">
        <v>615</v>
      </c>
      <c r="Z119" s="447"/>
      <c r="AA119" s="493">
        <v>32767</v>
      </c>
      <c r="AB119" s="493">
        <v>34948</v>
      </c>
      <c r="AC119" s="447" t="s">
        <v>64</v>
      </c>
      <c r="AD119" s="512" t="s">
        <v>102</v>
      </c>
      <c r="AE119" s="512"/>
      <c r="AF119" s="791">
        <v>29052</v>
      </c>
      <c r="AG119" s="530">
        <v>27381</v>
      </c>
      <c r="AH119" s="530">
        <v>30988</v>
      </c>
      <c r="AI119" s="530"/>
      <c r="AJ119" s="530">
        <f t="shared" si="29"/>
        <v>3607</v>
      </c>
      <c r="AK119" s="530"/>
      <c r="AL119" s="800" t="s">
        <v>66</v>
      </c>
      <c r="AM119" s="305" t="s">
        <v>610</v>
      </c>
      <c r="AN119" s="423" t="s">
        <v>165</v>
      </c>
      <c r="AO119" s="757" t="s">
        <v>536</v>
      </c>
      <c r="AP119" s="447">
        <v>5</v>
      </c>
      <c r="AQ119" s="780">
        <v>30988</v>
      </c>
      <c r="AR119" s="305" t="s">
        <v>614</v>
      </c>
      <c r="AS119" s="821" t="str">
        <f t="shared" si="33"/>
        <v>With Incumbent</v>
      </c>
      <c r="AT119" s="534"/>
      <c r="AU119" s="822"/>
      <c r="AV119" s="534"/>
      <c r="AW119" s="534"/>
      <c r="AX119" s="837"/>
      <c r="AY119" s="838"/>
    </row>
    <row r="120" spans="1:51" s="531" customFormat="1" ht="22.5" customHeight="1">
      <c r="A120" s="741" t="s">
        <v>616</v>
      </c>
      <c r="B120" s="742" t="s">
        <v>408</v>
      </c>
      <c r="C120" s="423" t="s">
        <v>165</v>
      </c>
      <c r="D120" s="757" t="s">
        <v>536</v>
      </c>
      <c r="E120" s="448">
        <f t="shared" si="35"/>
        <v>348624</v>
      </c>
      <c r="F120" s="448">
        <f t="shared" si="34"/>
        <v>384144</v>
      </c>
      <c r="G120" s="448">
        <v>265824</v>
      </c>
      <c r="H120" s="447">
        <v>7</v>
      </c>
      <c r="I120" s="770" t="s">
        <v>617</v>
      </c>
      <c r="J120" s="447" t="s">
        <v>62</v>
      </c>
      <c r="K120" s="447" t="s">
        <v>158</v>
      </c>
      <c r="L120" s="447" t="s">
        <v>56</v>
      </c>
      <c r="M120" s="447" t="s">
        <v>408</v>
      </c>
      <c r="N120" s="545" t="s">
        <v>562</v>
      </c>
      <c r="O120" s="447" t="s">
        <v>618</v>
      </c>
      <c r="P120" s="447" t="str">
        <f t="shared" si="26"/>
        <v>EPHRAIM</v>
      </c>
      <c r="Q120" s="447"/>
      <c r="R120" s="447" t="s">
        <v>158</v>
      </c>
      <c r="S120" s="534" t="str">
        <f t="shared" si="27"/>
        <v xml:space="preserve">EPHRAIM T. TURQUEZA </v>
      </c>
      <c r="T120" s="780">
        <v>32012</v>
      </c>
      <c r="U120" s="305" t="s">
        <v>619</v>
      </c>
      <c r="V120" s="424" t="s">
        <v>62</v>
      </c>
      <c r="W120" s="472">
        <v>20085</v>
      </c>
      <c r="X120" s="498">
        <f t="shared" ca="1" si="32"/>
        <v>26020.538043287037</v>
      </c>
      <c r="Y120" s="424" t="s">
        <v>620</v>
      </c>
      <c r="Z120" s="424"/>
      <c r="AA120" s="495">
        <v>32687</v>
      </c>
      <c r="AB120" s="495">
        <v>33451</v>
      </c>
      <c r="AC120" s="424" t="s">
        <v>64</v>
      </c>
      <c r="AD120" s="516" t="s">
        <v>102</v>
      </c>
      <c r="AE120" s="512"/>
      <c r="AF120" s="791">
        <v>29052</v>
      </c>
      <c r="AG120" s="530">
        <v>28494</v>
      </c>
      <c r="AH120" s="530">
        <v>32012</v>
      </c>
      <c r="AI120" s="530"/>
      <c r="AJ120" s="530">
        <f t="shared" si="29"/>
        <v>3518</v>
      </c>
      <c r="AK120" s="530"/>
      <c r="AL120" s="800" t="s">
        <v>66</v>
      </c>
      <c r="AM120" s="305" t="s">
        <v>616</v>
      </c>
      <c r="AN120" s="423" t="s">
        <v>165</v>
      </c>
      <c r="AO120" s="757" t="s">
        <v>536</v>
      </c>
      <c r="AP120" s="447">
        <v>7</v>
      </c>
      <c r="AQ120" s="780">
        <v>32012</v>
      </c>
      <c r="AR120" s="305" t="s">
        <v>619</v>
      </c>
      <c r="AS120" s="821" t="str">
        <f t="shared" si="33"/>
        <v>With Incumbent</v>
      </c>
      <c r="AT120" s="534"/>
      <c r="AU120" s="822"/>
      <c r="AV120" s="534"/>
      <c r="AW120" s="534"/>
      <c r="AX120" s="837"/>
      <c r="AY120" s="838"/>
    </row>
    <row r="121" spans="1:51" s="531" customFormat="1" ht="22.5" customHeight="1">
      <c r="A121" s="741" t="s">
        <v>621</v>
      </c>
      <c r="B121" s="742" t="s">
        <v>408</v>
      </c>
      <c r="C121" s="423" t="s">
        <v>165</v>
      </c>
      <c r="D121" s="757" t="s">
        <v>536</v>
      </c>
      <c r="E121" s="448">
        <f t="shared" si="35"/>
        <v>348624</v>
      </c>
      <c r="F121" s="448">
        <f t="shared" si="34"/>
        <v>348624</v>
      </c>
      <c r="G121" s="448" t="s">
        <v>131</v>
      </c>
      <c r="H121" s="447">
        <v>1</v>
      </c>
      <c r="I121" s="770" t="s">
        <v>622</v>
      </c>
      <c r="J121" s="447" t="s">
        <v>62</v>
      </c>
      <c r="K121" s="447" t="s">
        <v>158</v>
      </c>
      <c r="L121" s="447" t="s">
        <v>56</v>
      </c>
      <c r="M121" s="447" t="s">
        <v>408</v>
      </c>
      <c r="N121" s="545" t="s">
        <v>623</v>
      </c>
      <c r="O121" s="447" t="s">
        <v>624</v>
      </c>
      <c r="P121" s="447" t="str">
        <f t="shared" si="26"/>
        <v>MORY</v>
      </c>
      <c r="Q121" s="447"/>
      <c r="R121" s="447" t="s">
        <v>60</v>
      </c>
      <c r="S121" s="534" t="str">
        <f t="shared" si="27"/>
        <v xml:space="preserve">MORY D. PALENG </v>
      </c>
      <c r="T121" s="780">
        <v>29052</v>
      </c>
      <c r="U121" s="305" t="s">
        <v>625</v>
      </c>
      <c r="V121" s="447" t="s">
        <v>100</v>
      </c>
      <c r="W121" s="472">
        <v>24251</v>
      </c>
      <c r="X121" s="498">
        <f t="shared" ca="1" si="32"/>
        <v>21854.538043402776</v>
      </c>
      <c r="Y121" s="447" t="s">
        <v>626</v>
      </c>
      <c r="Z121" s="447"/>
      <c r="AA121" s="493">
        <v>35466</v>
      </c>
      <c r="AB121" s="493">
        <v>39510</v>
      </c>
      <c r="AC121" s="447" t="s">
        <v>64</v>
      </c>
      <c r="AD121" s="512" t="s">
        <v>102</v>
      </c>
      <c r="AE121" s="512"/>
      <c r="AF121" s="791">
        <v>29052</v>
      </c>
      <c r="AG121" s="530">
        <v>25295</v>
      </c>
      <c r="AH121" s="530">
        <v>29052</v>
      </c>
      <c r="AI121" s="530"/>
      <c r="AJ121" s="530">
        <f t="shared" si="29"/>
        <v>3757</v>
      </c>
      <c r="AK121" s="530"/>
      <c r="AL121" s="800" t="s">
        <v>66</v>
      </c>
      <c r="AM121" s="305" t="s">
        <v>621</v>
      </c>
      <c r="AN121" s="423" t="s">
        <v>165</v>
      </c>
      <c r="AO121" s="757" t="s">
        <v>536</v>
      </c>
      <c r="AP121" s="447">
        <v>1</v>
      </c>
      <c r="AQ121" s="780">
        <v>29052</v>
      </c>
      <c r="AR121" s="305" t="s">
        <v>625</v>
      </c>
      <c r="AS121" s="821" t="str">
        <f t="shared" si="33"/>
        <v>With Incumbent</v>
      </c>
      <c r="AT121" s="534"/>
      <c r="AU121" s="822"/>
      <c r="AV121" s="534"/>
      <c r="AW121" s="534"/>
      <c r="AX121" s="837"/>
      <c r="AY121" s="838"/>
    </row>
    <row r="122" spans="1:51" s="531" customFormat="1" ht="22.5" customHeight="1">
      <c r="A122" s="741" t="s">
        <v>627</v>
      </c>
      <c r="B122" s="742" t="s">
        <v>408</v>
      </c>
      <c r="C122" s="423" t="s">
        <v>165</v>
      </c>
      <c r="D122" s="757" t="s">
        <v>536</v>
      </c>
      <c r="E122" s="448">
        <f t="shared" si="35"/>
        <v>348624</v>
      </c>
      <c r="F122" s="448">
        <f t="shared" si="34"/>
        <v>354264</v>
      </c>
      <c r="G122" s="448">
        <v>234948</v>
      </c>
      <c r="H122" s="447">
        <v>2</v>
      </c>
      <c r="I122" s="770" t="s">
        <v>628</v>
      </c>
      <c r="J122" s="447" t="s">
        <v>62</v>
      </c>
      <c r="K122" s="447" t="s">
        <v>158</v>
      </c>
      <c r="L122" s="447" t="s">
        <v>56</v>
      </c>
      <c r="M122" s="447" t="s">
        <v>408</v>
      </c>
      <c r="N122" s="545" t="s">
        <v>629</v>
      </c>
      <c r="O122" s="447" t="s">
        <v>630</v>
      </c>
      <c r="P122" s="447" t="str">
        <f t="shared" si="26"/>
        <v>JOEL</v>
      </c>
      <c r="Q122" s="447"/>
      <c r="R122" s="447" t="s">
        <v>115</v>
      </c>
      <c r="S122" s="534" t="str">
        <f t="shared" si="27"/>
        <v xml:space="preserve">JOEL B. LINGBAOAN </v>
      </c>
      <c r="T122" s="780">
        <v>29522</v>
      </c>
      <c r="U122" s="305" t="s">
        <v>631</v>
      </c>
      <c r="V122" s="447" t="s">
        <v>62</v>
      </c>
      <c r="W122" s="472">
        <v>25014</v>
      </c>
      <c r="X122" s="498">
        <f t="shared" ref="X122:X184" ca="1" si="36">(NOW()-W122)</f>
        <v>21091.538043402776</v>
      </c>
      <c r="Y122" s="447" t="s">
        <v>632</v>
      </c>
      <c r="Z122" s="472">
        <v>35080</v>
      </c>
      <c r="AA122" s="493">
        <v>34608</v>
      </c>
      <c r="AB122" s="493">
        <v>39170</v>
      </c>
      <c r="AC122" s="447" t="s">
        <v>64</v>
      </c>
      <c r="AD122" s="512" t="s">
        <v>102</v>
      </c>
      <c r="AE122" s="512"/>
      <c r="AF122" s="791">
        <v>29052</v>
      </c>
      <c r="AG122" s="530">
        <v>25799</v>
      </c>
      <c r="AH122" s="530">
        <v>29522</v>
      </c>
      <c r="AI122" s="530"/>
      <c r="AJ122" s="530">
        <f t="shared" si="29"/>
        <v>3723</v>
      </c>
      <c r="AK122" s="530"/>
      <c r="AL122" s="800" t="s">
        <v>66</v>
      </c>
      <c r="AM122" s="305" t="s">
        <v>627</v>
      </c>
      <c r="AN122" s="423" t="s">
        <v>165</v>
      </c>
      <c r="AO122" s="757" t="s">
        <v>536</v>
      </c>
      <c r="AP122" s="447">
        <v>2</v>
      </c>
      <c r="AQ122" s="780">
        <v>29522</v>
      </c>
      <c r="AR122" s="305" t="s">
        <v>631</v>
      </c>
      <c r="AS122" s="821" t="str">
        <f t="shared" si="33"/>
        <v>With Incumbent</v>
      </c>
      <c r="AT122" s="534"/>
      <c r="AU122" s="822"/>
      <c r="AV122" s="534"/>
      <c r="AW122" s="534"/>
      <c r="AX122" s="837"/>
      <c r="AY122" s="838"/>
    </row>
    <row r="123" spans="1:51" s="531" customFormat="1" ht="22.5" customHeight="1">
      <c r="A123" s="741" t="s">
        <v>633</v>
      </c>
      <c r="B123" s="742" t="s">
        <v>408</v>
      </c>
      <c r="C123" s="423" t="s">
        <v>165</v>
      </c>
      <c r="D123" s="757" t="s">
        <v>536</v>
      </c>
      <c r="E123" s="448">
        <f t="shared" si="35"/>
        <v>348624</v>
      </c>
      <c r="F123" s="448">
        <f t="shared" si="34"/>
        <v>360012</v>
      </c>
      <c r="G123" s="448">
        <v>240816</v>
      </c>
      <c r="H123" s="447">
        <v>3</v>
      </c>
      <c r="I123" s="770" t="s">
        <v>634</v>
      </c>
      <c r="J123" s="447" t="s">
        <v>62</v>
      </c>
      <c r="K123" s="447" t="s">
        <v>158</v>
      </c>
      <c r="L123" s="447" t="s">
        <v>56</v>
      </c>
      <c r="M123" s="447" t="s">
        <v>408</v>
      </c>
      <c r="N123" s="545" t="s">
        <v>635</v>
      </c>
      <c r="O123" s="447" t="s">
        <v>636</v>
      </c>
      <c r="P123" s="447" t="str">
        <f t="shared" si="26"/>
        <v>MILA</v>
      </c>
      <c r="Q123" s="447"/>
      <c r="R123" s="447" t="s">
        <v>115</v>
      </c>
      <c r="S123" s="534" t="str">
        <f t="shared" si="27"/>
        <v xml:space="preserve">MILA B. CASTILLO </v>
      </c>
      <c r="T123" s="780">
        <v>30001</v>
      </c>
      <c r="U123" s="305" t="s">
        <v>637</v>
      </c>
      <c r="V123" s="447" t="s">
        <v>100</v>
      </c>
      <c r="W123" s="472">
        <v>24534</v>
      </c>
      <c r="X123" s="498">
        <f t="shared" ca="1" si="36"/>
        <v>21571.538043287037</v>
      </c>
      <c r="Y123" s="447" t="s">
        <v>638</v>
      </c>
      <c r="Z123" s="447"/>
      <c r="AA123" s="493">
        <v>33462</v>
      </c>
      <c r="AB123" s="493">
        <v>37263</v>
      </c>
      <c r="AC123" s="447" t="s">
        <v>64</v>
      </c>
      <c r="AD123" s="512" t="s">
        <v>102</v>
      </c>
      <c r="AE123" s="512"/>
      <c r="AF123" s="791">
        <v>29052</v>
      </c>
      <c r="AG123" s="530">
        <v>26314</v>
      </c>
      <c r="AH123" s="530">
        <v>30001</v>
      </c>
      <c r="AI123" s="530"/>
      <c r="AJ123" s="530">
        <f t="shared" si="29"/>
        <v>3687</v>
      </c>
      <c r="AK123" s="530"/>
      <c r="AL123" s="800" t="s">
        <v>66</v>
      </c>
      <c r="AM123" s="305" t="s">
        <v>633</v>
      </c>
      <c r="AN123" s="423" t="s">
        <v>165</v>
      </c>
      <c r="AO123" s="757" t="s">
        <v>536</v>
      </c>
      <c r="AP123" s="447">
        <v>3</v>
      </c>
      <c r="AQ123" s="780">
        <v>30001</v>
      </c>
      <c r="AR123" s="305" t="s">
        <v>637</v>
      </c>
      <c r="AS123" s="821" t="str">
        <f t="shared" si="33"/>
        <v>With Incumbent</v>
      </c>
      <c r="AT123" s="534"/>
      <c r="AU123" s="822"/>
      <c r="AV123" s="534"/>
      <c r="AW123" s="534"/>
      <c r="AX123" s="837"/>
      <c r="AY123" s="838"/>
    </row>
    <row r="124" spans="1:51" s="531" customFormat="1" ht="22.5" customHeight="1">
      <c r="A124" s="741" t="s">
        <v>639</v>
      </c>
      <c r="B124" s="742" t="s">
        <v>408</v>
      </c>
      <c r="C124" s="423" t="s">
        <v>165</v>
      </c>
      <c r="D124" s="757" t="s">
        <v>536</v>
      </c>
      <c r="E124" s="448">
        <f t="shared" si="35"/>
        <v>348624</v>
      </c>
      <c r="F124" s="448">
        <f t="shared" si="34"/>
        <v>390468</v>
      </c>
      <c r="G124" s="448">
        <v>272460</v>
      </c>
      <c r="H124" s="447">
        <v>8</v>
      </c>
      <c r="I124" s="770" t="s">
        <v>640</v>
      </c>
      <c r="J124" s="447" t="s">
        <v>62</v>
      </c>
      <c r="K124" s="447" t="s">
        <v>158</v>
      </c>
      <c r="L124" s="447" t="s">
        <v>56</v>
      </c>
      <c r="M124" s="447" t="s">
        <v>408</v>
      </c>
      <c r="N124" s="545" t="s">
        <v>641</v>
      </c>
      <c r="O124" s="447" t="s">
        <v>642</v>
      </c>
      <c r="P124" s="447" t="str">
        <f t="shared" si="26"/>
        <v>ERLINDA</v>
      </c>
      <c r="Q124" s="447"/>
      <c r="R124" s="447" t="s">
        <v>115</v>
      </c>
      <c r="S124" s="534" t="str">
        <f t="shared" si="27"/>
        <v xml:space="preserve">ERLINDA B. FERRAREN </v>
      </c>
      <c r="T124" s="780">
        <v>32539</v>
      </c>
      <c r="U124" s="305" t="s">
        <v>643</v>
      </c>
      <c r="V124" s="447" t="s">
        <v>100</v>
      </c>
      <c r="W124" s="472">
        <v>17904</v>
      </c>
      <c r="X124" s="498">
        <f t="shared" ca="1" si="36"/>
        <v>28201.538043402776</v>
      </c>
      <c r="Y124" s="447" t="s">
        <v>644</v>
      </c>
      <c r="Z124" s="447"/>
      <c r="AA124" s="493">
        <v>27306</v>
      </c>
      <c r="AB124" s="493">
        <v>32371</v>
      </c>
      <c r="AC124" s="447" t="s">
        <v>64</v>
      </c>
      <c r="AD124" s="512" t="s">
        <v>228</v>
      </c>
      <c r="AE124" s="512"/>
      <c r="AF124" s="791">
        <v>29052</v>
      </c>
      <c r="AG124" s="530">
        <v>29070</v>
      </c>
      <c r="AH124" s="530">
        <v>32539</v>
      </c>
      <c r="AI124" s="530"/>
      <c r="AJ124" s="530">
        <f t="shared" si="29"/>
        <v>3469</v>
      </c>
      <c r="AK124" s="530"/>
      <c r="AL124" s="800" t="s">
        <v>66</v>
      </c>
      <c r="AM124" s="305" t="s">
        <v>639</v>
      </c>
      <c r="AN124" s="423" t="s">
        <v>165</v>
      </c>
      <c r="AO124" s="757" t="s">
        <v>536</v>
      </c>
      <c r="AP124" s="447">
        <v>8</v>
      </c>
      <c r="AQ124" s="780">
        <v>32539</v>
      </c>
      <c r="AR124" s="305" t="s">
        <v>643</v>
      </c>
      <c r="AS124" s="821" t="str">
        <f t="shared" si="33"/>
        <v>With Incumbent</v>
      </c>
      <c r="AT124" s="534"/>
      <c r="AU124" s="822"/>
      <c r="AV124" s="534"/>
      <c r="AW124" s="534"/>
      <c r="AX124" s="837"/>
      <c r="AY124" s="838"/>
    </row>
    <row r="125" spans="1:51" s="531" customFormat="1" ht="22.5" customHeight="1">
      <c r="A125" s="741" t="s">
        <v>645</v>
      </c>
      <c r="B125" s="742" t="s">
        <v>408</v>
      </c>
      <c r="C125" s="423" t="s">
        <v>165</v>
      </c>
      <c r="D125" s="757" t="s">
        <v>536</v>
      </c>
      <c r="E125" s="448">
        <f t="shared" si="35"/>
        <v>348624</v>
      </c>
      <c r="F125" s="448">
        <f t="shared" si="34"/>
        <v>371856</v>
      </c>
      <c r="G125" s="448">
        <v>253020</v>
      </c>
      <c r="H125" s="447">
        <v>5</v>
      </c>
      <c r="I125" s="770" t="s">
        <v>465</v>
      </c>
      <c r="J125" s="447" t="s">
        <v>62</v>
      </c>
      <c r="K125" s="447" t="s">
        <v>158</v>
      </c>
      <c r="L125" s="447" t="s">
        <v>56</v>
      </c>
      <c r="M125" s="447" t="s">
        <v>408</v>
      </c>
      <c r="N125" s="545" t="s">
        <v>595</v>
      </c>
      <c r="O125" s="447" t="s">
        <v>646</v>
      </c>
      <c r="P125" s="447" t="str">
        <f t="shared" si="26"/>
        <v>ERMA</v>
      </c>
      <c r="Q125" s="447"/>
      <c r="R125" s="447" t="s">
        <v>647</v>
      </c>
      <c r="S125" s="534" t="str">
        <f t="shared" si="27"/>
        <v xml:space="preserve">ERMA H. CARIÑO </v>
      </c>
      <c r="T125" s="780">
        <v>30988</v>
      </c>
      <c r="U125" s="305" t="s">
        <v>648</v>
      </c>
      <c r="V125" s="447" t="s">
        <v>100</v>
      </c>
      <c r="W125" s="472">
        <v>21073</v>
      </c>
      <c r="X125" s="498">
        <f t="shared" ca="1" si="36"/>
        <v>25032.538043287037</v>
      </c>
      <c r="Y125" s="447" t="s">
        <v>649</v>
      </c>
      <c r="Z125" s="447"/>
      <c r="AA125" s="493">
        <v>33462</v>
      </c>
      <c r="AB125" s="493">
        <v>35731</v>
      </c>
      <c r="AC125" s="447" t="s">
        <v>64</v>
      </c>
      <c r="AD125" s="512" t="s">
        <v>102</v>
      </c>
      <c r="AE125" s="512"/>
      <c r="AF125" s="791">
        <v>29052</v>
      </c>
      <c r="AG125" s="530">
        <v>27381</v>
      </c>
      <c r="AH125" s="530">
        <v>30988</v>
      </c>
      <c r="AI125" s="530"/>
      <c r="AJ125" s="530">
        <f t="shared" si="29"/>
        <v>3607</v>
      </c>
      <c r="AK125" s="530"/>
      <c r="AL125" s="800" t="s">
        <v>66</v>
      </c>
      <c r="AM125" s="305" t="s">
        <v>645</v>
      </c>
      <c r="AN125" s="423" t="s">
        <v>165</v>
      </c>
      <c r="AO125" s="757" t="s">
        <v>536</v>
      </c>
      <c r="AP125" s="447">
        <v>5</v>
      </c>
      <c r="AQ125" s="780">
        <v>30988</v>
      </c>
      <c r="AR125" s="305" t="s">
        <v>648</v>
      </c>
      <c r="AS125" s="821" t="str">
        <f t="shared" si="33"/>
        <v>With Incumbent</v>
      </c>
      <c r="AT125" s="534"/>
      <c r="AU125" s="822"/>
      <c r="AV125" s="534"/>
      <c r="AW125" s="534"/>
      <c r="AX125" s="837"/>
      <c r="AY125" s="838"/>
    </row>
    <row r="126" spans="1:51" s="531" customFormat="1" ht="22.5" customHeight="1">
      <c r="A126" s="741" t="s">
        <v>650</v>
      </c>
      <c r="B126" s="742" t="s">
        <v>408</v>
      </c>
      <c r="C126" s="423" t="s">
        <v>165</v>
      </c>
      <c r="D126" s="757" t="s">
        <v>536</v>
      </c>
      <c r="E126" s="448">
        <f t="shared" si="35"/>
        <v>348624</v>
      </c>
      <c r="F126" s="448">
        <f t="shared" si="34"/>
        <v>360012</v>
      </c>
      <c r="G126" s="448">
        <v>240816</v>
      </c>
      <c r="H126" s="447">
        <v>3</v>
      </c>
      <c r="I126" s="770" t="s">
        <v>651</v>
      </c>
      <c r="J126" s="447" t="s">
        <v>62</v>
      </c>
      <c r="K126" s="447" t="s">
        <v>158</v>
      </c>
      <c r="L126" s="447" t="s">
        <v>56</v>
      </c>
      <c r="M126" s="616" t="s">
        <v>181</v>
      </c>
      <c r="N126" s="545" t="s">
        <v>652</v>
      </c>
      <c r="O126" s="447" t="s">
        <v>653</v>
      </c>
      <c r="P126" s="447" t="str">
        <f t="shared" si="26"/>
        <v>RODERICK</v>
      </c>
      <c r="Q126" s="447"/>
      <c r="R126" s="447" t="s">
        <v>60</v>
      </c>
      <c r="S126" s="534" t="str">
        <f t="shared" si="27"/>
        <v xml:space="preserve">RODERICK D. BEGTANG </v>
      </c>
      <c r="T126" s="780">
        <v>30001</v>
      </c>
      <c r="U126" s="305" t="s">
        <v>654</v>
      </c>
      <c r="V126" s="447" t="s">
        <v>62</v>
      </c>
      <c r="W126" s="472">
        <v>25011</v>
      </c>
      <c r="X126" s="498">
        <f t="shared" ca="1" si="36"/>
        <v>21094.538043402776</v>
      </c>
      <c r="Y126" s="447" t="s">
        <v>655</v>
      </c>
      <c r="Z126" s="472">
        <v>36057</v>
      </c>
      <c r="AA126" s="493">
        <v>33284</v>
      </c>
      <c r="AB126" s="493">
        <v>38033</v>
      </c>
      <c r="AC126" s="447" t="s">
        <v>64</v>
      </c>
      <c r="AD126" s="512" t="s">
        <v>102</v>
      </c>
      <c r="AE126" s="512"/>
      <c r="AF126" s="791">
        <v>29052</v>
      </c>
      <c r="AG126" s="530">
        <v>26314</v>
      </c>
      <c r="AH126" s="530">
        <v>30001</v>
      </c>
      <c r="AI126" s="530"/>
      <c r="AJ126" s="530">
        <f t="shared" si="29"/>
        <v>3687</v>
      </c>
      <c r="AK126" s="530"/>
      <c r="AL126" s="800" t="s">
        <v>66</v>
      </c>
      <c r="AM126" s="305" t="s">
        <v>650</v>
      </c>
      <c r="AN126" s="423" t="s">
        <v>165</v>
      </c>
      <c r="AO126" s="757" t="s">
        <v>536</v>
      </c>
      <c r="AP126" s="447">
        <v>3</v>
      </c>
      <c r="AQ126" s="780">
        <v>30001</v>
      </c>
      <c r="AR126" s="305" t="s">
        <v>654</v>
      </c>
      <c r="AS126" s="821" t="str">
        <f t="shared" si="33"/>
        <v>With Incumbent</v>
      </c>
      <c r="AT126" s="534"/>
      <c r="AU126" s="822"/>
      <c r="AV126" s="534"/>
      <c r="AW126" s="534"/>
      <c r="AX126" s="837"/>
      <c r="AY126" s="838"/>
    </row>
    <row r="127" spans="1:51" s="531" customFormat="1" ht="22.5" customHeight="1">
      <c r="A127" s="741" t="s">
        <v>656</v>
      </c>
      <c r="B127" s="742" t="s">
        <v>408</v>
      </c>
      <c r="C127" s="423" t="s">
        <v>165</v>
      </c>
      <c r="D127" s="757" t="s">
        <v>536</v>
      </c>
      <c r="E127" s="448">
        <f t="shared" si="35"/>
        <v>348624</v>
      </c>
      <c r="F127" s="448">
        <f t="shared" si="34"/>
        <v>354264</v>
      </c>
      <c r="G127" s="448">
        <v>234948</v>
      </c>
      <c r="H127" s="447">
        <v>2</v>
      </c>
      <c r="I127" s="770" t="s">
        <v>657</v>
      </c>
      <c r="J127" s="447" t="s">
        <v>62</v>
      </c>
      <c r="K127" s="447" t="s">
        <v>158</v>
      </c>
      <c r="L127" s="447" t="s">
        <v>56</v>
      </c>
      <c r="M127" s="447" t="s">
        <v>408</v>
      </c>
      <c r="N127" s="545" t="s">
        <v>483</v>
      </c>
      <c r="O127" s="447" t="s">
        <v>658</v>
      </c>
      <c r="P127" s="447" t="str">
        <f t="shared" si="26"/>
        <v>BERNABE</v>
      </c>
      <c r="Q127" s="447"/>
      <c r="R127" s="447" t="s">
        <v>115</v>
      </c>
      <c r="S127" s="534" t="str">
        <f t="shared" si="27"/>
        <v xml:space="preserve">BERNABE B. TRINIDAD </v>
      </c>
      <c r="T127" s="780">
        <v>29522</v>
      </c>
      <c r="U127" s="305" t="s">
        <v>659</v>
      </c>
      <c r="V127" s="447" t="s">
        <v>62</v>
      </c>
      <c r="W127" s="472">
        <v>26894</v>
      </c>
      <c r="X127" s="498">
        <f t="shared" ca="1" si="36"/>
        <v>19211.538043402776</v>
      </c>
      <c r="Y127" s="447" t="s">
        <v>660</v>
      </c>
      <c r="Z127" s="447"/>
      <c r="AA127" s="493">
        <v>36374</v>
      </c>
      <c r="AB127" s="493">
        <v>39170</v>
      </c>
      <c r="AC127" s="447" t="s">
        <v>64</v>
      </c>
      <c r="AD127" s="512" t="s">
        <v>102</v>
      </c>
      <c r="AE127" s="512"/>
      <c r="AF127" s="791">
        <v>29052</v>
      </c>
      <c r="AG127" s="530">
        <v>25799</v>
      </c>
      <c r="AH127" s="530">
        <v>29522</v>
      </c>
      <c r="AI127" s="530"/>
      <c r="AJ127" s="530">
        <f t="shared" si="29"/>
        <v>3723</v>
      </c>
      <c r="AK127" s="530"/>
      <c r="AL127" s="800" t="s">
        <v>66</v>
      </c>
      <c r="AM127" s="305" t="s">
        <v>656</v>
      </c>
      <c r="AN127" s="423" t="s">
        <v>165</v>
      </c>
      <c r="AO127" s="757" t="s">
        <v>536</v>
      </c>
      <c r="AP127" s="447">
        <v>2</v>
      </c>
      <c r="AQ127" s="780">
        <v>29522</v>
      </c>
      <c r="AR127" s="305" t="s">
        <v>659</v>
      </c>
      <c r="AS127" s="821" t="str">
        <f t="shared" si="33"/>
        <v>With Incumbent</v>
      </c>
      <c r="AT127" s="534"/>
      <c r="AU127" s="822"/>
      <c r="AV127" s="534"/>
      <c r="AW127" s="534"/>
      <c r="AX127" s="837"/>
      <c r="AY127" s="838"/>
    </row>
    <row r="128" spans="1:51" s="531" customFormat="1" ht="22.5" customHeight="1">
      <c r="A128" s="741" t="s">
        <v>661</v>
      </c>
      <c r="B128" s="742" t="s">
        <v>408</v>
      </c>
      <c r="C128" s="423" t="s">
        <v>165</v>
      </c>
      <c r="D128" s="757" t="s">
        <v>536</v>
      </c>
      <c r="E128" s="448">
        <f t="shared" si="35"/>
        <v>348624</v>
      </c>
      <c r="F128" s="448">
        <f t="shared" si="34"/>
        <v>348624</v>
      </c>
      <c r="G128" s="448" t="s">
        <v>131</v>
      </c>
      <c r="H128" s="447">
        <v>1</v>
      </c>
      <c r="I128" s="770" t="s">
        <v>662</v>
      </c>
      <c r="J128" s="447" t="s">
        <v>62</v>
      </c>
      <c r="K128" s="447" t="s">
        <v>158</v>
      </c>
      <c r="L128" s="447" t="s">
        <v>56</v>
      </c>
      <c r="M128" s="447" t="s">
        <v>408</v>
      </c>
      <c r="N128" s="545" t="s">
        <v>663</v>
      </c>
      <c r="O128" s="447" t="s">
        <v>664</v>
      </c>
      <c r="P128" s="447" t="str">
        <f t="shared" si="26"/>
        <v>MARY JANE</v>
      </c>
      <c r="Q128" s="447"/>
      <c r="R128" s="447" t="s">
        <v>77</v>
      </c>
      <c r="S128" s="534" t="str">
        <f t="shared" si="27"/>
        <v xml:space="preserve">MARY JANE S. ABANCE </v>
      </c>
      <c r="T128" s="780">
        <v>29052</v>
      </c>
      <c r="U128" s="305" t="s">
        <v>665</v>
      </c>
      <c r="V128" s="447" t="s">
        <v>100</v>
      </c>
      <c r="W128" s="472">
        <v>25359</v>
      </c>
      <c r="X128" s="498">
        <f t="shared" ca="1" si="36"/>
        <v>20746.538043287037</v>
      </c>
      <c r="Y128" s="447" t="s">
        <v>666</v>
      </c>
      <c r="Z128" s="447"/>
      <c r="AA128" s="493">
        <v>34915</v>
      </c>
      <c r="AB128" s="493">
        <v>40262</v>
      </c>
      <c r="AC128" s="849" t="s">
        <v>64</v>
      </c>
      <c r="AD128" s="850" t="s">
        <v>228</v>
      </c>
      <c r="AE128" s="512"/>
      <c r="AF128" s="791">
        <v>29052</v>
      </c>
      <c r="AG128" s="530">
        <v>25295</v>
      </c>
      <c r="AH128" s="530">
        <v>29052</v>
      </c>
      <c r="AI128" s="530"/>
      <c r="AJ128" s="530">
        <f t="shared" si="29"/>
        <v>3757</v>
      </c>
      <c r="AK128" s="530"/>
      <c r="AL128" s="800" t="s">
        <v>66</v>
      </c>
      <c r="AM128" s="305" t="s">
        <v>661</v>
      </c>
      <c r="AN128" s="423" t="s">
        <v>165</v>
      </c>
      <c r="AO128" s="757" t="s">
        <v>536</v>
      </c>
      <c r="AP128" s="447">
        <v>1</v>
      </c>
      <c r="AQ128" s="780">
        <v>29052</v>
      </c>
      <c r="AR128" s="305" t="s">
        <v>665</v>
      </c>
      <c r="AS128" s="821" t="str">
        <f t="shared" si="33"/>
        <v>With Incumbent</v>
      </c>
      <c r="AT128" s="534"/>
      <c r="AU128" s="822"/>
      <c r="AV128" s="534"/>
      <c r="AW128" s="534"/>
      <c r="AX128" s="837"/>
      <c r="AY128" s="838"/>
    </row>
    <row r="129" spans="1:51" s="531" customFormat="1" ht="22.5" customHeight="1">
      <c r="A129" s="741" t="s">
        <v>667</v>
      </c>
      <c r="B129" s="742" t="s">
        <v>408</v>
      </c>
      <c r="C129" s="423" t="s">
        <v>165</v>
      </c>
      <c r="D129" s="757" t="s">
        <v>536</v>
      </c>
      <c r="E129" s="448">
        <f t="shared" si="35"/>
        <v>348624</v>
      </c>
      <c r="F129" s="448">
        <f t="shared" si="34"/>
        <v>365892</v>
      </c>
      <c r="G129" s="448">
        <v>246828</v>
      </c>
      <c r="H129" s="447">
        <v>4</v>
      </c>
      <c r="I129" s="770" t="s">
        <v>668</v>
      </c>
      <c r="J129" s="447" t="s">
        <v>62</v>
      </c>
      <c r="K129" s="447" t="s">
        <v>158</v>
      </c>
      <c r="L129" s="447" t="s">
        <v>56</v>
      </c>
      <c r="M129" s="447" t="s">
        <v>408</v>
      </c>
      <c r="N129" s="545" t="s">
        <v>669</v>
      </c>
      <c r="O129" s="447" t="s">
        <v>670</v>
      </c>
      <c r="P129" s="447" t="str">
        <f t="shared" si="26"/>
        <v>ZANDY</v>
      </c>
      <c r="Q129" s="447"/>
      <c r="R129" s="447" t="s">
        <v>54</v>
      </c>
      <c r="S129" s="534" t="str">
        <f t="shared" si="27"/>
        <v xml:space="preserve">ZANDY R. FLORES </v>
      </c>
      <c r="T129" s="780">
        <v>30491</v>
      </c>
      <c r="U129" s="305" t="s">
        <v>671</v>
      </c>
      <c r="V129" s="447" t="s">
        <v>62</v>
      </c>
      <c r="W129" s="472">
        <v>26188</v>
      </c>
      <c r="X129" s="498">
        <f t="shared" ca="1" si="36"/>
        <v>19917.538043402776</v>
      </c>
      <c r="Y129" s="447" t="s">
        <v>672</v>
      </c>
      <c r="Z129" s="447"/>
      <c r="AA129" s="493">
        <v>34808</v>
      </c>
      <c r="AB129" s="493">
        <v>36220</v>
      </c>
      <c r="AC129" s="447" t="s">
        <v>64</v>
      </c>
      <c r="AD129" s="512" t="s">
        <v>102</v>
      </c>
      <c r="AE129" s="512"/>
      <c r="AF129" s="791">
        <v>29052</v>
      </c>
      <c r="AG129" s="530">
        <v>26842</v>
      </c>
      <c r="AH129" s="530">
        <v>30491</v>
      </c>
      <c r="AI129" s="530"/>
      <c r="AJ129" s="530">
        <f t="shared" si="29"/>
        <v>3649</v>
      </c>
      <c r="AK129" s="530"/>
      <c r="AL129" s="800" t="s">
        <v>66</v>
      </c>
      <c r="AM129" s="305" t="s">
        <v>667</v>
      </c>
      <c r="AN129" s="423" t="s">
        <v>165</v>
      </c>
      <c r="AO129" s="757" t="s">
        <v>536</v>
      </c>
      <c r="AP129" s="447">
        <v>4</v>
      </c>
      <c r="AQ129" s="780">
        <v>30491</v>
      </c>
      <c r="AR129" s="305" t="s">
        <v>671</v>
      </c>
      <c r="AS129" s="821" t="str">
        <f t="shared" si="33"/>
        <v>With Incumbent</v>
      </c>
      <c r="AT129" s="534"/>
      <c r="AU129" s="822"/>
      <c r="AV129" s="534"/>
      <c r="AW129" s="534"/>
      <c r="AX129" s="837"/>
      <c r="AY129" s="838"/>
    </row>
    <row r="130" spans="1:51" s="531" customFormat="1" ht="22.5" customHeight="1">
      <c r="A130" s="741" t="s">
        <v>673</v>
      </c>
      <c r="B130" s="742" t="s">
        <v>408</v>
      </c>
      <c r="C130" s="423" t="s">
        <v>165</v>
      </c>
      <c r="D130" s="757" t="s">
        <v>536</v>
      </c>
      <c r="E130" s="448">
        <f t="shared" si="35"/>
        <v>348624</v>
      </c>
      <c r="F130" s="448">
        <f t="shared" si="34"/>
        <v>384144</v>
      </c>
      <c r="G130" s="448">
        <v>272460</v>
      </c>
      <c r="H130" s="447">
        <v>7</v>
      </c>
      <c r="I130" s="770" t="s">
        <v>674</v>
      </c>
      <c r="J130" s="447" t="s">
        <v>62</v>
      </c>
      <c r="K130" s="447" t="s">
        <v>158</v>
      </c>
      <c r="L130" s="447" t="s">
        <v>56</v>
      </c>
      <c r="M130" s="447" t="s">
        <v>408</v>
      </c>
      <c r="N130" s="545" t="s">
        <v>675</v>
      </c>
      <c r="O130" s="447" t="s">
        <v>676</v>
      </c>
      <c r="P130" s="447" t="str">
        <f t="shared" si="26"/>
        <v>CARLITO</v>
      </c>
      <c r="Q130" s="447"/>
      <c r="R130" s="447" t="s">
        <v>158</v>
      </c>
      <c r="S130" s="534" t="str">
        <f t="shared" si="27"/>
        <v xml:space="preserve">CARLITO T. BARRERAS </v>
      </c>
      <c r="T130" s="780">
        <v>32012</v>
      </c>
      <c r="U130" s="305" t="s">
        <v>677</v>
      </c>
      <c r="V130" s="447" t="s">
        <v>62</v>
      </c>
      <c r="W130" s="472">
        <v>21604</v>
      </c>
      <c r="X130" s="498">
        <f t="shared" ca="1" si="36"/>
        <v>24501.538043402776</v>
      </c>
      <c r="Y130" s="447" t="s">
        <v>678</v>
      </c>
      <c r="Z130" s="447"/>
      <c r="AA130" s="493">
        <v>32687</v>
      </c>
      <c r="AB130" s="493">
        <v>32687</v>
      </c>
      <c r="AC130" s="447" t="s">
        <v>64</v>
      </c>
      <c r="AD130" s="512" t="s">
        <v>102</v>
      </c>
      <c r="AE130" s="512"/>
      <c r="AF130" s="791">
        <v>29052</v>
      </c>
      <c r="AG130" s="530">
        <v>28494</v>
      </c>
      <c r="AH130" s="530">
        <v>32012</v>
      </c>
      <c r="AI130" s="530"/>
      <c r="AJ130" s="530">
        <f t="shared" si="29"/>
        <v>3518</v>
      </c>
      <c r="AK130" s="530"/>
      <c r="AL130" s="800" t="s">
        <v>66</v>
      </c>
      <c r="AM130" s="305" t="s">
        <v>673</v>
      </c>
      <c r="AN130" s="423" t="s">
        <v>165</v>
      </c>
      <c r="AO130" s="757" t="s">
        <v>536</v>
      </c>
      <c r="AP130" s="447">
        <v>7</v>
      </c>
      <c r="AQ130" s="780">
        <v>32012</v>
      </c>
      <c r="AR130" s="305" t="s">
        <v>677</v>
      </c>
      <c r="AS130" s="821" t="str">
        <f t="shared" si="33"/>
        <v>With Incumbent</v>
      </c>
      <c r="AT130" s="534"/>
      <c r="AU130" s="822"/>
      <c r="AV130" s="534"/>
      <c r="AW130" s="534"/>
      <c r="AX130" s="837"/>
      <c r="AY130" s="838"/>
    </row>
    <row r="131" spans="1:51" s="531" customFormat="1" ht="22.5" customHeight="1">
      <c r="A131" s="741" t="s">
        <v>679</v>
      </c>
      <c r="B131" s="742" t="s">
        <v>408</v>
      </c>
      <c r="C131" s="423" t="s">
        <v>165</v>
      </c>
      <c r="D131" s="757" t="s">
        <v>536</v>
      </c>
      <c r="E131" s="448">
        <f t="shared" si="35"/>
        <v>348624</v>
      </c>
      <c r="F131" s="448">
        <f t="shared" si="34"/>
        <v>377940</v>
      </c>
      <c r="G131" s="448">
        <v>259344</v>
      </c>
      <c r="H131" s="447">
        <v>6</v>
      </c>
      <c r="I131" s="770" t="s">
        <v>680</v>
      </c>
      <c r="J131" s="447" t="s">
        <v>62</v>
      </c>
      <c r="K131" s="447" t="s">
        <v>158</v>
      </c>
      <c r="L131" s="447" t="s">
        <v>56</v>
      </c>
      <c r="M131" s="447" t="s">
        <v>408</v>
      </c>
      <c r="N131" s="545" t="s">
        <v>681</v>
      </c>
      <c r="O131" s="447" t="s">
        <v>682</v>
      </c>
      <c r="P131" s="447" t="str">
        <f t="shared" si="26"/>
        <v>NOLITO</v>
      </c>
      <c r="Q131" s="447"/>
      <c r="R131" s="447" t="s">
        <v>60</v>
      </c>
      <c r="S131" s="534" t="str">
        <f t="shared" si="27"/>
        <v xml:space="preserve">NOLITO D. VENUS </v>
      </c>
      <c r="T131" s="780">
        <v>31495</v>
      </c>
      <c r="U131" s="305" t="s">
        <v>683</v>
      </c>
      <c r="V131" s="447" t="s">
        <v>62</v>
      </c>
      <c r="W131" s="472">
        <v>23544</v>
      </c>
      <c r="X131" s="498">
        <f t="shared" ca="1" si="36"/>
        <v>22561.538043287037</v>
      </c>
      <c r="Y131" s="447" t="s">
        <v>684</v>
      </c>
      <c r="Z131" s="447"/>
      <c r="AA131" s="493">
        <v>25382</v>
      </c>
      <c r="AB131" s="493">
        <v>34001</v>
      </c>
      <c r="AC131" s="447" t="s">
        <v>64</v>
      </c>
      <c r="AD131" s="512" t="s">
        <v>102</v>
      </c>
      <c r="AE131" s="512"/>
      <c r="AF131" s="791">
        <v>29052</v>
      </c>
      <c r="AG131" s="530">
        <v>27931</v>
      </c>
      <c r="AH131" s="530">
        <v>31495</v>
      </c>
      <c r="AI131" s="530"/>
      <c r="AJ131" s="530">
        <f t="shared" si="29"/>
        <v>3564</v>
      </c>
      <c r="AK131" s="530"/>
      <c r="AL131" s="800" t="s">
        <v>66</v>
      </c>
      <c r="AM131" s="305" t="s">
        <v>679</v>
      </c>
      <c r="AN131" s="423" t="s">
        <v>165</v>
      </c>
      <c r="AO131" s="757" t="s">
        <v>536</v>
      </c>
      <c r="AP131" s="447">
        <v>6</v>
      </c>
      <c r="AQ131" s="780">
        <v>31495</v>
      </c>
      <c r="AR131" s="305" t="s">
        <v>683</v>
      </c>
      <c r="AS131" s="821" t="str">
        <f t="shared" si="33"/>
        <v>With Incumbent</v>
      </c>
      <c r="AT131" s="534"/>
      <c r="AU131" s="822"/>
      <c r="AV131" s="534"/>
      <c r="AW131" s="534"/>
      <c r="AX131" s="837"/>
      <c r="AY131" s="838"/>
    </row>
    <row r="132" spans="1:51" s="531" customFormat="1" ht="22.5" customHeight="1">
      <c r="A132" s="741" t="s">
        <v>685</v>
      </c>
      <c r="B132" s="742" t="s">
        <v>408</v>
      </c>
      <c r="C132" s="423" t="s">
        <v>165</v>
      </c>
      <c r="D132" s="757" t="s">
        <v>536</v>
      </c>
      <c r="E132" s="448">
        <f t="shared" si="35"/>
        <v>348624</v>
      </c>
      <c r="F132" s="448">
        <f t="shared" si="34"/>
        <v>377940</v>
      </c>
      <c r="G132" s="448">
        <v>259344</v>
      </c>
      <c r="H132" s="447">
        <v>6</v>
      </c>
      <c r="I132" s="770" t="s">
        <v>686</v>
      </c>
      <c r="J132" s="447" t="s">
        <v>62</v>
      </c>
      <c r="K132" s="447" t="s">
        <v>158</v>
      </c>
      <c r="L132" s="447" t="s">
        <v>56</v>
      </c>
      <c r="M132" s="447" t="s">
        <v>408</v>
      </c>
      <c r="N132" s="545" t="s">
        <v>205</v>
      </c>
      <c r="O132" s="447" t="s">
        <v>308</v>
      </c>
      <c r="P132" s="447" t="str">
        <f t="shared" si="26"/>
        <v>EVELYN</v>
      </c>
      <c r="Q132" s="447"/>
      <c r="R132" s="447" t="s">
        <v>81</v>
      </c>
      <c r="S132" s="534" t="str">
        <f t="shared" si="27"/>
        <v xml:space="preserve">EVELYN A. GARCIA </v>
      </c>
      <c r="T132" s="780">
        <v>31495</v>
      </c>
      <c r="U132" s="305" t="s">
        <v>687</v>
      </c>
      <c r="V132" s="447" t="s">
        <v>100</v>
      </c>
      <c r="W132" s="472">
        <v>22595</v>
      </c>
      <c r="X132" s="498">
        <f t="shared" ca="1" si="36"/>
        <v>23510.538043402776</v>
      </c>
      <c r="Y132" s="447" t="s">
        <v>688</v>
      </c>
      <c r="Z132" s="447"/>
      <c r="AA132" s="493">
        <v>32687</v>
      </c>
      <c r="AB132" s="493">
        <v>34720</v>
      </c>
      <c r="AC132" s="447" t="s">
        <v>64</v>
      </c>
      <c r="AD132" s="512" t="s">
        <v>102</v>
      </c>
      <c r="AE132" s="512"/>
      <c r="AF132" s="791">
        <v>29052</v>
      </c>
      <c r="AG132" s="530">
        <v>27931</v>
      </c>
      <c r="AH132" s="530">
        <v>31495</v>
      </c>
      <c r="AI132" s="530"/>
      <c r="AJ132" s="530">
        <f t="shared" si="29"/>
        <v>3564</v>
      </c>
      <c r="AK132" s="530"/>
      <c r="AL132" s="800" t="s">
        <v>66</v>
      </c>
      <c r="AM132" s="305" t="s">
        <v>685</v>
      </c>
      <c r="AN132" s="423" t="s">
        <v>165</v>
      </c>
      <c r="AO132" s="757" t="s">
        <v>536</v>
      </c>
      <c r="AP132" s="447">
        <v>6</v>
      </c>
      <c r="AQ132" s="780">
        <v>31495</v>
      </c>
      <c r="AR132" s="305" t="s">
        <v>687</v>
      </c>
      <c r="AS132" s="821" t="str">
        <f t="shared" si="33"/>
        <v>With Incumbent</v>
      </c>
      <c r="AT132" s="534"/>
      <c r="AU132" s="822"/>
      <c r="AV132" s="534"/>
      <c r="AW132" s="534"/>
      <c r="AX132" s="837"/>
      <c r="AY132" s="838"/>
    </row>
    <row r="133" spans="1:51" s="531" customFormat="1" ht="22.5" customHeight="1">
      <c r="A133" s="741" t="s">
        <v>689</v>
      </c>
      <c r="B133" s="742" t="s">
        <v>408</v>
      </c>
      <c r="C133" s="423" t="s">
        <v>165</v>
      </c>
      <c r="D133" s="757" t="s">
        <v>536</v>
      </c>
      <c r="E133" s="448">
        <f t="shared" si="35"/>
        <v>348624</v>
      </c>
      <c r="F133" s="448">
        <f t="shared" si="34"/>
        <v>384144</v>
      </c>
      <c r="G133" s="448">
        <v>265824</v>
      </c>
      <c r="H133" s="447">
        <v>7</v>
      </c>
      <c r="I133" s="770" t="s">
        <v>465</v>
      </c>
      <c r="J133" s="447" t="s">
        <v>64</v>
      </c>
      <c r="K133" s="447" t="s">
        <v>158</v>
      </c>
      <c r="L133" s="447" t="s">
        <v>56</v>
      </c>
      <c r="M133" s="447" t="s">
        <v>408</v>
      </c>
      <c r="N133" s="545" t="s">
        <v>690</v>
      </c>
      <c r="O133" s="447" t="s">
        <v>691</v>
      </c>
      <c r="P133" s="447" t="str">
        <f t="shared" si="26"/>
        <v>SOLEDAD</v>
      </c>
      <c r="Q133" s="447"/>
      <c r="R133" s="447" t="s">
        <v>62</v>
      </c>
      <c r="S133" s="534" t="str">
        <f t="shared" si="27"/>
        <v xml:space="preserve">SOLEDAD M. BERSAMIN </v>
      </c>
      <c r="T133" s="780">
        <v>32012</v>
      </c>
      <c r="U133" s="305" t="s">
        <v>692</v>
      </c>
      <c r="V133" s="447" t="s">
        <v>100</v>
      </c>
      <c r="W133" s="472">
        <v>21495</v>
      </c>
      <c r="X133" s="498">
        <f t="shared" ca="1" si="36"/>
        <v>24610.538043287037</v>
      </c>
      <c r="Y133" s="447" t="s">
        <v>693</v>
      </c>
      <c r="Z133" s="447"/>
      <c r="AA133" s="493">
        <v>32687</v>
      </c>
      <c r="AB133" s="493">
        <v>33637</v>
      </c>
      <c r="AC133" s="447" t="s">
        <v>64</v>
      </c>
      <c r="AD133" s="512" t="s">
        <v>102</v>
      </c>
      <c r="AE133" s="512"/>
      <c r="AF133" s="791">
        <v>29052</v>
      </c>
      <c r="AG133" s="530">
        <v>28494</v>
      </c>
      <c r="AH133" s="530">
        <v>32012</v>
      </c>
      <c r="AI133" s="530"/>
      <c r="AJ133" s="530">
        <f t="shared" si="29"/>
        <v>3518</v>
      </c>
      <c r="AK133" s="530"/>
      <c r="AL133" s="800" t="s">
        <v>66</v>
      </c>
      <c r="AM133" s="305" t="s">
        <v>689</v>
      </c>
      <c r="AN133" s="423" t="s">
        <v>165</v>
      </c>
      <c r="AO133" s="757" t="s">
        <v>536</v>
      </c>
      <c r="AP133" s="447">
        <v>7</v>
      </c>
      <c r="AQ133" s="780">
        <v>32012</v>
      </c>
      <c r="AR133" s="305" t="s">
        <v>692</v>
      </c>
      <c r="AS133" s="821" t="str">
        <f t="shared" si="33"/>
        <v>With Incumbent</v>
      </c>
      <c r="AT133" s="534"/>
      <c r="AU133" s="822"/>
      <c r="AV133" s="534"/>
      <c r="AW133" s="534"/>
      <c r="AX133" s="837"/>
      <c r="AY133" s="838"/>
    </row>
    <row r="134" spans="1:51" s="531" customFormat="1" ht="22.5" customHeight="1">
      <c r="A134" s="741" t="s">
        <v>694</v>
      </c>
      <c r="B134" s="742" t="s">
        <v>408</v>
      </c>
      <c r="C134" s="423" t="s">
        <v>165</v>
      </c>
      <c r="D134" s="757" t="s">
        <v>536</v>
      </c>
      <c r="E134" s="448">
        <f t="shared" si="35"/>
        <v>348624</v>
      </c>
      <c r="F134" s="448">
        <f t="shared" si="34"/>
        <v>377940</v>
      </c>
      <c r="G134" s="448">
        <v>259344</v>
      </c>
      <c r="H134" s="447">
        <v>6</v>
      </c>
      <c r="I134" s="770" t="s">
        <v>695</v>
      </c>
      <c r="J134" s="447" t="s">
        <v>62</v>
      </c>
      <c r="K134" s="447" t="s">
        <v>158</v>
      </c>
      <c r="L134" s="447" t="s">
        <v>56</v>
      </c>
      <c r="M134" s="447" t="s">
        <v>408</v>
      </c>
      <c r="N134" s="545" t="s">
        <v>681</v>
      </c>
      <c r="O134" s="447" t="s">
        <v>696</v>
      </c>
      <c r="P134" s="447" t="str">
        <f t="shared" si="26"/>
        <v>NORMITA</v>
      </c>
      <c r="Q134" s="447"/>
      <c r="R134" s="447" t="s">
        <v>122</v>
      </c>
      <c r="S134" s="534" t="str">
        <f t="shared" si="27"/>
        <v xml:space="preserve">NORMITA C. VENUS </v>
      </c>
      <c r="T134" s="780">
        <v>31495</v>
      </c>
      <c r="U134" s="305" t="s">
        <v>697</v>
      </c>
      <c r="V134" s="447" t="s">
        <v>100</v>
      </c>
      <c r="W134" s="472">
        <v>24852</v>
      </c>
      <c r="X134" s="498">
        <f t="shared" ca="1" si="36"/>
        <v>21253.538043402776</v>
      </c>
      <c r="Y134" s="447" t="s">
        <v>698</v>
      </c>
      <c r="Z134" s="447"/>
      <c r="AA134" s="493">
        <v>33550</v>
      </c>
      <c r="AB134" s="493">
        <v>34736</v>
      </c>
      <c r="AC134" s="447" t="s">
        <v>64</v>
      </c>
      <c r="AD134" s="512" t="s">
        <v>102</v>
      </c>
      <c r="AE134" s="512"/>
      <c r="AF134" s="791">
        <v>29052</v>
      </c>
      <c r="AG134" s="530">
        <v>27931</v>
      </c>
      <c r="AH134" s="530">
        <v>31495</v>
      </c>
      <c r="AI134" s="530"/>
      <c r="AJ134" s="530">
        <f t="shared" si="29"/>
        <v>3564</v>
      </c>
      <c r="AK134" s="530"/>
      <c r="AL134" s="800" t="s">
        <v>66</v>
      </c>
      <c r="AM134" s="305" t="s">
        <v>694</v>
      </c>
      <c r="AN134" s="423" t="s">
        <v>165</v>
      </c>
      <c r="AO134" s="757" t="s">
        <v>536</v>
      </c>
      <c r="AP134" s="447">
        <v>6</v>
      </c>
      <c r="AQ134" s="780">
        <v>31495</v>
      </c>
      <c r="AR134" s="305" t="s">
        <v>697</v>
      </c>
      <c r="AS134" s="821" t="str">
        <f t="shared" si="33"/>
        <v>With Incumbent</v>
      </c>
      <c r="AT134" s="534"/>
      <c r="AU134" s="822"/>
      <c r="AV134" s="534"/>
      <c r="AW134" s="534"/>
      <c r="AX134" s="837"/>
      <c r="AY134" s="838"/>
    </row>
    <row r="135" spans="1:51" s="531" customFormat="1" ht="22.5" customHeight="1">
      <c r="A135" s="741" t="s">
        <v>699</v>
      </c>
      <c r="B135" s="742" t="s">
        <v>408</v>
      </c>
      <c r="C135" s="423" t="s">
        <v>165</v>
      </c>
      <c r="D135" s="757" t="s">
        <v>536</v>
      </c>
      <c r="E135" s="448">
        <f t="shared" si="35"/>
        <v>348624</v>
      </c>
      <c r="F135" s="448">
        <f t="shared" si="34"/>
        <v>365892</v>
      </c>
      <c r="G135" s="448">
        <v>246828</v>
      </c>
      <c r="H135" s="447">
        <v>4</v>
      </c>
      <c r="I135" s="770" t="s">
        <v>700</v>
      </c>
      <c r="J135" s="447" t="s">
        <v>62</v>
      </c>
      <c r="K135" s="447" t="s">
        <v>158</v>
      </c>
      <c r="L135" s="447" t="s">
        <v>56</v>
      </c>
      <c r="M135" s="447" t="s">
        <v>408</v>
      </c>
      <c r="N135" s="545" t="s">
        <v>510</v>
      </c>
      <c r="O135" s="447" t="s">
        <v>701</v>
      </c>
      <c r="P135" s="447" t="str">
        <f t="shared" si="26"/>
        <v>ROSEMARY</v>
      </c>
      <c r="Q135" s="447"/>
      <c r="R135" s="447" t="s">
        <v>613</v>
      </c>
      <c r="S135" s="534" t="str">
        <f t="shared" si="27"/>
        <v xml:space="preserve">ROSEMARY Z. VALERA </v>
      </c>
      <c r="T135" s="780">
        <v>30491</v>
      </c>
      <c r="U135" s="305" t="s">
        <v>702</v>
      </c>
      <c r="V135" s="447" t="s">
        <v>100</v>
      </c>
      <c r="W135" s="472">
        <v>18884</v>
      </c>
      <c r="X135" s="498">
        <f t="shared" ca="1" si="36"/>
        <v>27221.538043402776</v>
      </c>
      <c r="Y135" s="447" t="s">
        <v>703</v>
      </c>
      <c r="Z135" s="447"/>
      <c r="AA135" s="493">
        <v>26300</v>
      </c>
      <c r="AB135" s="493">
        <v>36382</v>
      </c>
      <c r="AC135" s="447" t="s">
        <v>64</v>
      </c>
      <c r="AD135" s="512" t="s">
        <v>102</v>
      </c>
      <c r="AE135" s="512"/>
      <c r="AF135" s="791">
        <v>29052</v>
      </c>
      <c r="AG135" s="530">
        <v>26842</v>
      </c>
      <c r="AH135" s="530">
        <v>30491</v>
      </c>
      <c r="AI135" s="530"/>
      <c r="AJ135" s="530">
        <f t="shared" si="29"/>
        <v>3649</v>
      </c>
      <c r="AK135" s="530"/>
      <c r="AL135" s="800" t="s">
        <v>66</v>
      </c>
      <c r="AM135" s="305" t="s">
        <v>699</v>
      </c>
      <c r="AN135" s="423" t="s">
        <v>165</v>
      </c>
      <c r="AO135" s="757" t="s">
        <v>536</v>
      </c>
      <c r="AP135" s="447">
        <v>4</v>
      </c>
      <c r="AQ135" s="780">
        <v>30491</v>
      </c>
      <c r="AR135" s="305" t="s">
        <v>702</v>
      </c>
      <c r="AS135" s="821" t="str">
        <f t="shared" si="33"/>
        <v>With Incumbent</v>
      </c>
      <c r="AT135" s="534"/>
      <c r="AU135" s="822"/>
      <c r="AV135" s="534"/>
      <c r="AW135" s="534"/>
      <c r="AX135" s="837"/>
      <c r="AY135" s="838"/>
    </row>
    <row r="136" spans="1:51" s="531" customFormat="1" ht="22.5" hidden="1" customHeight="1">
      <c r="A136" s="741" t="s">
        <v>704</v>
      </c>
      <c r="B136" s="742" t="s">
        <v>167</v>
      </c>
      <c r="C136" s="423" t="s">
        <v>165</v>
      </c>
      <c r="D136" s="757" t="s">
        <v>536</v>
      </c>
      <c r="E136" s="448">
        <f t="shared" si="35"/>
        <v>348624</v>
      </c>
      <c r="F136" s="448">
        <f t="shared" si="34"/>
        <v>371856</v>
      </c>
      <c r="G136" s="448">
        <v>253020</v>
      </c>
      <c r="H136" s="447">
        <v>5</v>
      </c>
      <c r="I136" s="770" t="s">
        <v>197</v>
      </c>
      <c r="J136" s="447" t="s">
        <v>64</v>
      </c>
      <c r="K136" s="447" t="s">
        <v>158</v>
      </c>
      <c r="L136" s="447" t="s">
        <v>56</v>
      </c>
      <c r="M136" s="447" t="s">
        <v>167</v>
      </c>
      <c r="N136" s="545" t="s">
        <v>705</v>
      </c>
      <c r="O136" s="447" t="s">
        <v>706</v>
      </c>
      <c r="P136" s="447" t="str">
        <f t="shared" si="26"/>
        <v>DAISY</v>
      </c>
      <c r="Q136" s="447"/>
      <c r="R136" s="447" t="s">
        <v>81</v>
      </c>
      <c r="S136" s="534" t="str">
        <f t="shared" si="27"/>
        <v xml:space="preserve">DAISY A. PAYANG </v>
      </c>
      <c r="T136" s="780">
        <v>30988</v>
      </c>
      <c r="U136" s="305" t="s">
        <v>707</v>
      </c>
      <c r="V136" s="447" t="s">
        <v>100</v>
      </c>
      <c r="W136" s="472">
        <v>25540</v>
      </c>
      <c r="X136" s="498">
        <f t="shared" ca="1" si="36"/>
        <v>20565.538043287037</v>
      </c>
      <c r="Y136" s="447" t="s">
        <v>708</v>
      </c>
      <c r="Z136" s="447"/>
      <c r="AA136" s="493">
        <v>33648</v>
      </c>
      <c r="AB136" s="493">
        <v>35234</v>
      </c>
      <c r="AC136" s="447" t="s">
        <v>64</v>
      </c>
      <c r="AD136" s="512" t="s">
        <v>709</v>
      </c>
      <c r="AE136" s="512"/>
      <c r="AF136" s="791">
        <v>29052</v>
      </c>
      <c r="AG136" s="530">
        <v>27381</v>
      </c>
      <c r="AH136" s="530">
        <v>30988</v>
      </c>
      <c r="AI136" s="530"/>
      <c r="AJ136" s="530">
        <f t="shared" si="29"/>
        <v>3607</v>
      </c>
      <c r="AK136" s="530"/>
      <c r="AL136" s="803" t="s">
        <v>245</v>
      </c>
      <c r="AM136" s="305" t="s">
        <v>704</v>
      </c>
      <c r="AN136" s="423" t="s">
        <v>157</v>
      </c>
      <c r="AO136" s="757" t="s">
        <v>285</v>
      </c>
      <c r="AP136" s="447">
        <v>5</v>
      </c>
      <c r="AQ136" s="780">
        <v>30988</v>
      </c>
      <c r="AR136" s="305" t="s">
        <v>707</v>
      </c>
      <c r="AS136" s="821" t="str">
        <f t="shared" si="33"/>
        <v>With Incumbent</v>
      </c>
      <c r="AT136" s="534"/>
      <c r="AU136" s="822"/>
      <c r="AV136" s="534"/>
      <c r="AW136" s="534"/>
      <c r="AX136" s="837"/>
      <c r="AY136" s="838"/>
    </row>
    <row r="137" spans="1:51" s="531" customFormat="1" ht="22.5" customHeight="1">
      <c r="A137" s="741" t="s">
        <v>710</v>
      </c>
      <c r="B137" s="742" t="s">
        <v>167</v>
      </c>
      <c r="C137" s="423" t="s">
        <v>165</v>
      </c>
      <c r="D137" s="757" t="s">
        <v>536</v>
      </c>
      <c r="E137" s="448">
        <f t="shared" si="35"/>
        <v>348624</v>
      </c>
      <c r="F137" s="448">
        <f t="shared" si="34"/>
        <v>354264</v>
      </c>
      <c r="G137" s="448">
        <v>234948</v>
      </c>
      <c r="H137" s="447">
        <v>2</v>
      </c>
      <c r="I137" s="770" t="s">
        <v>53</v>
      </c>
      <c r="J137" s="447" t="s">
        <v>54</v>
      </c>
      <c r="K137" s="447" t="s">
        <v>158</v>
      </c>
      <c r="L137" s="447" t="s">
        <v>56</v>
      </c>
      <c r="M137" s="616" t="s">
        <v>57</v>
      </c>
      <c r="N137" s="545" t="s">
        <v>120</v>
      </c>
      <c r="O137" s="447" t="s">
        <v>711</v>
      </c>
      <c r="P137" s="447" t="str">
        <f t="shared" si="26"/>
        <v>ROLANDO</v>
      </c>
      <c r="Q137" s="447"/>
      <c r="R137" s="447" t="s">
        <v>54</v>
      </c>
      <c r="S137" s="534" t="str">
        <f t="shared" si="27"/>
        <v xml:space="preserve">ROLANDO R. GONZALES </v>
      </c>
      <c r="T137" s="780">
        <v>29522</v>
      </c>
      <c r="U137" s="305" t="s">
        <v>712</v>
      </c>
      <c r="V137" s="447" t="s">
        <v>62</v>
      </c>
      <c r="W137" s="472">
        <v>23778</v>
      </c>
      <c r="X137" s="498">
        <f t="shared" ca="1" si="36"/>
        <v>22327.538043402776</v>
      </c>
      <c r="Y137" s="447" t="s">
        <v>713</v>
      </c>
      <c r="Z137" s="447"/>
      <c r="AA137" s="493">
        <v>35079</v>
      </c>
      <c r="AB137" s="493">
        <v>38607</v>
      </c>
      <c r="AC137" s="447" t="s">
        <v>64</v>
      </c>
      <c r="AD137" s="512" t="s">
        <v>102</v>
      </c>
      <c r="AE137" s="512"/>
      <c r="AF137" s="791">
        <v>29052</v>
      </c>
      <c r="AG137" s="530">
        <v>25799</v>
      </c>
      <c r="AH137" s="530">
        <v>29522</v>
      </c>
      <c r="AI137" s="530"/>
      <c r="AJ137" s="530">
        <f t="shared" si="29"/>
        <v>3723</v>
      </c>
      <c r="AK137" s="530"/>
      <c r="AL137" s="800" t="s">
        <v>66</v>
      </c>
      <c r="AM137" s="305" t="s">
        <v>710</v>
      </c>
      <c r="AN137" s="423" t="s">
        <v>165</v>
      </c>
      <c r="AO137" s="757" t="s">
        <v>536</v>
      </c>
      <c r="AP137" s="447">
        <v>2</v>
      </c>
      <c r="AQ137" s="780">
        <v>29522</v>
      </c>
      <c r="AR137" s="305" t="s">
        <v>712</v>
      </c>
      <c r="AS137" s="821" t="str">
        <f t="shared" si="33"/>
        <v>With Incumbent</v>
      </c>
      <c r="AT137" s="534"/>
      <c r="AU137" s="822"/>
      <c r="AV137" s="534"/>
      <c r="AW137" s="534"/>
      <c r="AX137" s="837"/>
      <c r="AY137" s="838"/>
    </row>
    <row r="138" spans="1:51" s="531" customFormat="1" ht="22.5" customHeight="1">
      <c r="A138" s="741" t="s">
        <v>714</v>
      </c>
      <c r="B138" s="742" t="s">
        <v>167</v>
      </c>
      <c r="C138" s="423" t="s">
        <v>165</v>
      </c>
      <c r="D138" s="757" t="s">
        <v>536</v>
      </c>
      <c r="E138" s="448">
        <f t="shared" si="35"/>
        <v>348624</v>
      </c>
      <c r="F138" s="448">
        <f t="shared" si="34"/>
        <v>377940</v>
      </c>
      <c r="G138" s="448">
        <v>259344</v>
      </c>
      <c r="H138" s="447">
        <v>6</v>
      </c>
      <c r="I138" s="770" t="s">
        <v>715</v>
      </c>
      <c r="J138" s="447" t="s">
        <v>62</v>
      </c>
      <c r="K138" s="447" t="s">
        <v>158</v>
      </c>
      <c r="L138" s="447" t="s">
        <v>56</v>
      </c>
      <c r="M138" s="447" t="s">
        <v>167</v>
      </c>
      <c r="N138" s="545" t="s">
        <v>716</v>
      </c>
      <c r="O138" s="447" t="s">
        <v>717</v>
      </c>
      <c r="P138" s="447" t="str">
        <f t="shared" si="26"/>
        <v>CATHERINE</v>
      </c>
      <c r="Q138" s="447"/>
      <c r="R138" s="447" t="s">
        <v>177</v>
      </c>
      <c r="S138" s="534" t="str">
        <f t="shared" si="27"/>
        <v xml:space="preserve">CATHERINE G. MONANG </v>
      </c>
      <c r="T138" s="780">
        <v>31495</v>
      </c>
      <c r="U138" s="305" t="s">
        <v>718</v>
      </c>
      <c r="V138" s="447" t="s">
        <v>100</v>
      </c>
      <c r="W138" s="472">
        <v>19040</v>
      </c>
      <c r="X138" s="498">
        <f t="shared" ca="1" si="36"/>
        <v>27065.538043402776</v>
      </c>
      <c r="Y138" s="447" t="s">
        <v>719</v>
      </c>
      <c r="Z138" s="447"/>
      <c r="AA138" s="493">
        <v>32615</v>
      </c>
      <c r="AB138" s="493">
        <v>34309</v>
      </c>
      <c r="AC138" s="447" t="s">
        <v>64</v>
      </c>
      <c r="AD138" s="512" t="s">
        <v>102</v>
      </c>
      <c r="AE138" s="512"/>
      <c r="AF138" s="791">
        <v>29052</v>
      </c>
      <c r="AG138" s="530">
        <v>27931</v>
      </c>
      <c r="AH138" s="530">
        <v>31495</v>
      </c>
      <c r="AI138" s="530"/>
      <c r="AJ138" s="530">
        <f t="shared" si="29"/>
        <v>3564</v>
      </c>
      <c r="AK138" s="530"/>
      <c r="AL138" s="800" t="s">
        <v>66</v>
      </c>
      <c r="AM138" s="305" t="s">
        <v>714</v>
      </c>
      <c r="AN138" s="423" t="s">
        <v>165</v>
      </c>
      <c r="AO138" s="757" t="s">
        <v>536</v>
      </c>
      <c r="AP138" s="447">
        <v>6</v>
      </c>
      <c r="AQ138" s="780">
        <v>31495</v>
      </c>
      <c r="AR138" s="305" t="s">
        <v>718</v>
      </c>
      <c r="AS138" s="821" t="str">
        <f t="shared" si="33"/>
        <v>With Incumbent</v>
      </c>
      <c r="AT138" s="534"/>
      <c r="AU138" s="822"/>
      <c r="AV138" s="534"/>
      <c r="AW138" s="534"/>
      <c r="AX138" s="837"/>
      <c r="AY138" s="838"/>
    </row>
    <row r="139" spans="1:51" s="531" customFormat="1" ht="22.5" customHeight="1">
      <c r="A139" s="741" t="s">
        <v>720</v>
      </c>
      <c r="B139" s="742" t="s">
        <v>167</v>
      </c>
      <c r="C139" s="423" t="s">
        <v>165</v>
      </c>
      <c r="D139" s="757" t="s">
        <v>536</v>
      </c>
      <c r="E139" s="448">
        <f t="shared" si="35"/>
        <v>348624</v>
      </c>
      <c r="F139" s="448">
        <f t="shared" si="34"/>
        <v>377940</v>
      </c>
      <c r="G139" s="448">
        <v>259344</v>
      </c>
      <c r="H139" s="447">
        <v>6</v>
      </c>
      <c r="I139" s="770" t="s">
        <v>721</v>
      </c>
      <c r="J139" s="447" t="s">
        <v>62</v>
      </c>
      <c r="K139" s="447" t="s">
        <v>158</v>
      </c>
      <c r="L139" s="447" t="s">
        <v>56</v>
      </c>
      <c r="M139" s="447" t="s">
        <v>167</v>
      </c>
      <c r="N139" s="545" t="s">
        <v>722</v>
      </c>
      <c r="O139" s="447" t="s">
        <v>723</v>
      </c>
      <c r="P139" s="447" t="str">
        <f t="shared" si="26"/>
        <v>VIRGINIA</v>
      </c>
      <c r="Q139" s="447"/>
      <c r="R139" s="447" t="s">
        <v>72</v>
      </c>
      <c r="S139" s="534" t="str">
        <f t="shared" si="27"/>
        <v xml:space="preserve">VIRGINIA L. CHAN </v>
      </c>
      <c r="T139" s="780">
        <v>31495</v>
      </c>
      <c r="U139" s="305" t="s">
        <v>724</v>
      </c>
      <c r="V139" s="447" t="s">
        <v>100</v>
      </c>
      <c r="W139" s="472">
        <v>22384</v>
      </c>
      <c r="X139" s="498">
        <f t="shared" ca="1" si="36"/>
        <v>23721.538043287037</v>
      </c>
      <c r="Y139" s="447" t="s">
        <v>725</v>
      </c>
      <c r="Z139" s="447"/>
      <c r="AA139" s="493">
        <v>30391</v>
      </c>
      <c r="AB139" s="493">
        <v>34397</v>
      </c>
      <c r="AC139" s="447" t="s">
        <v>64</v>
      </c>
      <c r="AD139" s="512" t="s">
        <v>102</v>
      </c>
      <c r="AE139" s="512"/>
      <c r="AF139" s="791">
        <v>29052</v>
      </c>
      <c r="AG139" s="530">
        <v>27931</v>
      </c>
      <c r="AH139" s="530">
        <v>31495</v>
      </c>
      <c r="AI139" s="530"/>
      <c r="AJ139" s="530">
        <f t="shared" si="29"/>
        <v>3564</v>
      </c>
      <c r="AK139" s="530"/>
      <c r="AL139" s="800" t="s">
        <v>66</v>
      </c>
      <c r="AM139" s="305" t="s">
        <v>720</v>
      </c>
      <c r="AN139" s="423" t="s">
        <v>165</v>
      </c>
      <c r="AO139" s="757" t="s">
        <v>536</v>
      </c>
      <c r="AP139" s="447">
        <v>6</v>
      </c>
      <c r="AQ139" s="780">
        <v>31495</v>
      </c>
      <c r="AR139" s="305" t="s">
        <v>724</v>
      </c>
      <c r="AS139" s="821" t="str">
        <f t="shared" si="33"/>
        <v>With Incumbent</v>
      </c>
      <c r="AT139" s="534"/>
      <c r="AU139" s="822"/>
      <c r="AV139" s="534"/>
      <c r="AW139" s="534"/>
      <c r="AX139" s="837"/>
      <c r="AY139" s="838"/>
    </row>
    <row r="140" spans="1:51" s="531" customFormat="1" ht="22.5" customHeight="1">
      <c r="A140" s="741" t="s">
        <v>726</v>
      </c>
      <c r="B140" s="742" t="s">
        <v>167</v>
      </c>
      <c r="C140" s="423" t="s">
        <v>165</v>
      </c>
      <c r="D140" s="757" t="s">
        <v>536</v>
      </c>
      <c r="E140" s="448">
        <f t="shared" si="35"/>
        <v>348624</v>
      </c>
      <c r="F140" s="448">
        <f t="shared" si="34"/>
        <v>371856</v>
      </c>
      <c r="G140" s="448">
        <v>253944</v>
      </c>
      <c r="H140" s="447">
        <v>5</v>
      </c>
      <c r="I140" s="770" t="s">
        <v>727</v>
      </c>
      <c r="J140" s="447" t="s">
        <v>62</v>
      </c>
      <c r="K140" s="447" t="s">
        <v>158</v>
      </c>
      <c r="L140" s="447" t="s">
        <v>56</v>
      </c>
      <c r="M140" s="447" t="s">
        <v>167</v>
      </c>
      <c r="N140" s="545" t="s">
        <v>728</v>
      </c>
      <c r="O140" s="447" t="s">
        <v>729</v>
      </c>
      <c r="P140" s="447" t="str">
        <f t="shared" si="26"/>
        <v>CECILIA</v>
      </c>
      <c r="Q140" s="447"/>
      <c r="R140" s="447" t="s">
        <v>60</v>
      </c>
      <c r="S140" s="534" t="str">
        <f t="shared" si="27"/>
        <v xml:space="preserve">CECILIA D. WAGIAN </v>
      </c>
      <c r="T140" s="780">
        <v>30988</v>
      </c>
      <c r="U140" s="305" t="s">
        <v>730</v>
      </c>
      <c r="V140" s="447" t="s">
        <v>100</v>
      </c>
      <c r="W140" s="472">
        <v>23830</v>
      </c>
      <c r="X140" s="498">
        <f t="shared" ca="1" si="36"/>
        <v>22275.538043402776</v>
      </c>
      <c r="Y140" s="447" t="s">
        <v>731</v>
      </c>
      <c r="Z140" s="447"/>
      <c r="AA140" s="493">
        <v>33550</v>
      </c>
      <c r="AB140" s="493">
        <v>34904</v>
      </c>
      <c r="AC140" s="447" t="s">
        <v>64</v>
      </c>
      <c r="AD140" s="512" t="s">
        <v>102</v>
      </c>
      <c r="AE140" s="512"/>
      <c r="AF140" s="791">
        <v>29052</v>
      </c>
      <c r="AG140" s="530">
        <v>27381</v>
      </c>
      <c r="AH140" s="530">
        <v>30988</v>
      </c>
      <c r="AI140" s="852"/>
      <c r="AJ140" s="530">
        <f t="shared" si="29"/>
        <v>3607</v>
      </c>
      <c r="AK140" s="530"/>
      <c r="AL140" s="800" t="s">
        <v>66</v>
      </c>
      <c r="AM140" s="305" t="s">
        <v>726</v>
      </c>
      <c r="AN140" s="423" t="s">
        <v>165</v>
      </c>
      <c r="AO140" s="757" t="s">
        <v>536</v>
      </c>
      <c r="AP140" s="447">
        <v>5</v>
      </c>
      <c r="AQ140" s="780">
        <v>30988</v>
      </c>
      <c r="AR140" s="305" t="s">
        <v>730</v>
      </c>
      <c r="AS140" s="821" t="str">
        <f t="shared" si="33"/>
        <v>With Incumbent</v>
      </c>
      <c r="AT140" s="534"/>
      <c r="AU140" s="822"/>
      <c r="AV140" s="534"/>
      <c r="AW140" s="534"/>
      <c r="AX140" s="837"/>
      <c r="AY140" s="838"/>
    </row>
    <row r="141" spans="1:51" s="531" customFormat="1" ht="22.5" customHeight="1">
      <c r="A141" s="741" t="s">
        <v>732</v>
      </c>
      <c r="B141" s="742" t="s">
        <v>167</v>
      </c>
      <c r="C141" s="423" t="s">
        <v>165</v>
      </c>
      <c r="D141" s="757" t="s">
        <v>536</v>
      </c>
      <c r="E141" s="448">
        <f t="shared" si="35"/>
        <v>348624</v>
      </c>
      <c r="F141" s="448">
        <f t="shared" si="34"/>
        <v>354264</v>
      </c>
      <c r="G141" s="448">
        <v>240816</v>
      </c>
      <c r="H141" s="447">
        <v>2</v>
      </c>
      <c r="I141" s="770" t="s">
        <v>197</v>
      </c>
      <c r="J141" s="447" t="s">
        <v>64</v>
      </c>
      <c r="K141" s="447" t="s">
        <v>158</v>
      </c>
      <c r="L141" s="447" t="s">
        <v>56</v>
      </c>
      <c r="M141" s="447" t="s">
        <v>167</v>
      </c>
      <c r="N141" s="545" t="s">
        <v>733</v>
      </c>
      <c r="O141" s="447" t="s">
        <v>734</v>
      </c>
      <c r="P141" s="447" t="str">
        <f t="shared" si="26"/>
        <v>JANET</v>
      </c>
      <c r="Q141" s="447"/>
      <c r="R141" s="447" t="s">
        <v>115</v>
      </c>
      <c r="S141" s="534" t="str">
        <f t="shared" si="27"/>
        <v xml:space="preserve">JANET B. ATING </v>
      </c>
      <c r="T141" s="780">
        <v>29522</v>
      </c>
      <c r="U141" s="305" t="s">
        <v>735</v>
      </c>
      <c r="V141" s="447" t="s">
        <v>100</v>
      </c>
      <c r="W141" s="472">
        <v>25908</v>
      </c>
      <c r="X141" s="498">
        <f t="shared" ca="1" si="36"/>
        <v>20197.538043287037</v>
      </c>
      <c r="Y141" s="447" t="s">
        <v>736</v>
      </c>
      <c r="Z141" s="447"/>
      <c r="AA141" s="493">
        <v>35837</v>
      </c>
      <c r="AB141" s="493">
        <v>38226</v>
      </c>
      <c r="AC141" s="447" t="s">
        <v>64</v>
      </c>
      <c r="AD141" s="512" t="s">
        <v>102</v>
      </c>
      <c r="AE141" s="512"/>
      <c r="AF141" s="791">
        <v>29052</v>
      </c>
      <c r="AG141" s="530">
        <v>25799</v>
      </c>
      <c r="AH141" s="530">
        <v>29522</v>
      </c>
      <c r="AI141" s="530"/>
      <c r="AJ141" s="530">
        <f t="shared" si="29"/>
        <v>3723</v>
      </c>
      <c r="AK141" s="530"/>
      <c r="AL141" s="800" t="s">
        <v>66</v>
      </c>
      <c r="AM141" s="305" t="s">
        <v>732</v>
      </c>
      <c r="AN141" s="423" t="s">
        <v>165</v>
      </c>
      <c r="AO141" s="757" t="s">
        <v>536</v>
      </c>
      <c r="AP141" s="447">
        <v>2</v>
      </c>
      <c r="AQ141" s="780">
        <v>29522</v>
      </c>
      <c r="AR141" s="305" t="s">
        <v>735</v>
      </c>
      <c r="AS141" s="821" t="str">
        <f t="shared" si="33"/>
        <v>With Incumbent</v>
      </c>
      <c r="AT141" s="534"/>
      <c r="AU141" s="822"/>
      <c r="AV141" s="534"/>
      <c r="AW141" s="534"/>
      <c r="AX141" s="837"/>
      <c r="AY141" s="838"/>
    </row>
    <row r="142" spans="1:51" s="531" customFormat="1" ht="22.5" customHeight="1">
      <c r="A142" s="741" t="s">
        <v>737</v>
      </c>
      <c r="B142" s="742" t="s">
        <v>167</v>
      </c>
      <c r="C142" s="423" t="s">
        <v>165</v>
      </c>
      <c r="D142" s="757" t="s">
        <v>536</v>
      </c>
      <c r="E142" s="448">
        <f t="shared" si="35"/>
        <v>348624</v>
      </c>
      <c r="F142" s="448">
        <f t="shared" si="34"/>
        <v>365892</v>
      </c>
      <c r="G142" s="448">
        <v>253020</v>
      </c>
      <c r="H142" s="447">
        <v>4</v>
      </c>
      <c r="I142" s="770" t="s">
        <v>738</v>
      </c>
      <c r="J142" s="447" t="s">
        <v>62</v>
      </c>
      <c r="K142" s="447" t="s">
        <v>158</v>
      </c>
      <c r="L142" s="447" t="s">
        <v>56</v>
      </c>
      <c r="M142" s="447" t="s">
        <v>167</v>
      </c>
      <c r="N142" s="545" t="s">
        <v>739</v>
      </c>
      <c r="O142" s="447" t="s">
        <v>740</v>
      </c>
      <c r="P142" s="447" t="str">
        <f t="shared" si="26"/>
        <v>BRIGITTE</v>
      </c>
      <c r="Q142" s="447"/>
      <c r="R142" s="447" t="s">
        <v>81</v>
      </c>
      <c r="S142" s="534" t="str">
        <f t="shared" si="27"/>
        <v xml:space="preserve">BRIGITTE A. ULEP </v>
      </c>
      <c r="T142" s="780">
        <v>30491</v>
      </c>
      <c r="U142" s="305" t="s">
        <v>741</v>
      </c>
      <c r="V142" s="447" t="s">
        <v>100</v>
      </c>
      <c r="W142" s="472">
        <v>24770</v>
      </c>
      <c r="X142" s="498">
        <f t="shared" ca="1" si="36"/>
        <v>21335.538043402776</v>
      </c>
      <c r="Y142" s="447" t="s">
        <v>742</v>
      </c>
      <c r="Z142" s="447"/>
      <c r="AA142" s="493">
        <v>33604</v>
      </c>
      <c r="AB142" s="493">
        <v>36000</v>
      </c>
      <c r="AC142" s="447" t="s">
        <v>64</v>
      </c>
      <c r="AD142" s="512" t="s">
        <v>102</v>
      </c>
      <c r="AE142" s="512"/>
      <c r="AF142" s="791">
        <v>29052</v>
      </c>
      <c r="AG142" s="530">
        <v>26842</v>
      </c>
      <c r="AH142" s="530">
        <v>30491</v>
      </c>
      <c r="AI142" s="852"/>
      <c r="AJ142" s="530">
        <f t="shared" si="29"/>
        <v>3649</v>
      </c>
      <c r="AK142" s="530"/>
      <c r="AL142" s="800" t="s">
        <v>66</v>
      </c>
      <c r="AM142" s="305" t="s">
        <v>737</v>
      </c>
      <c r="AN142" s="423" t="s">
        <v>165</v>
      </c>
      <c r="AO142" s="757" t="s">
        <v>536</v>
      </c>
      <c r="AP142" s="447">
        <v>4</v>
      </c>
      <c r="AQ142" s="780">
        <v>30491</v>
      </c>
      <c r="AR142" s="305" t="s">
        <v>741</v>
      </c>
      <c r="AS142" s="821" t="str">
        <f t="shared" si="33"/>
        <v>With Incumbent</v>
      </c>
      <c r="AT142" s="534"/>
      <c r="AU142" s="822"/>
      <c r="AV142" s="534"/>
      <c r="AW142" s="534"/>
      <c r="AX142" s="837"/>
      <c r="AY142" s="838"/>
    </row>
    <row r="143" spans="1:51" s="531" customFormat="1" ht="22.5" customHeight="1">
      <c r="A143" s="741" t="s">
        <v>743</v>
      </c>
      <c r="B143" s="742" t="s">
        <v>167</v>
      </c>
      <c r="C143" s="423" t="s">
        <v>165</v>
      </c>
      <c r="D143" s="757" t="s">
        <v>536</v>
      </c>
      <c r="E143" s="448">
        <f t="shared" si="35"/>
        <v>348624</v>
      </c>
      <c r="F143" s="448">
        <f t="shared" si="34"/>
        <v>360012</v>
      </c>
      <c r="G143" s="448">
        <v>240816</v>
      </c>
      <c r="H143" s="447">
        <v>3</v>
      </c>
      <c r="I143" s="770" t="s">
        <v>744</v>
      </c>
      <c r="J143" s="447" t="s">
        <v>62</v>
      </c>
      <c r="K143" s="447" t="s">
        <v>158</v>
      </c>
      <c r="L143" s="447" t="s">
        <v>56</v>
      </c>
      <c r="M143" s="616" t="s">
        <v>211</v>
      </c>
      <c r="N143" s="545" t="s">
        <v>745</v>
      </c>
      <c r="O143" s="447" t="s">
        <v>746</v>
      </c>
      <c r="P143" s="447" t="str">
        <f t="shared" si="26"/>
        <v>MEDIATRIX</v>
      </c>
      <c r="Q143" s="447"/>
      <c r="R143" s="447" t="s">
        <v>60</v>
      </c>
      <c r="S143" s="534" t="str">
        <f t="shared" si="27"/>
        <v xml:space="preserve">MEDIATRIX D. RUBIO </v>
      </c>
      <c r="T143" s="780">
        <v>30001</v>
      </c>
      <c r="U143" s="305" t="s">
        <v>747</v>
      </c>
      <c r="V143" s="447" t="s">
        <v>100</v>
      </c>
      <c r="W143" s="472">
        <v>25373</v>
      </c>
      <c r="X143" s="498">
        <f t="shared" ca="1" si="36"/>
        <v>20732.538043402776</v>
      </c>
      <c r="Y143" s="447"/>
      <c r="Z143" s="447"/>
      <c r="AA143" s="493">
        <v>33644</v>
      </c>
      <c r="AB143" s="493">
        <v>38018</v>
      </c>
      <c r="AC143" s="447" t="s">
        <v>64</v>
      </c>
      <c r="AD143" s="512" t="s">
        <v>102</v>
      </c>
      <c r="AE143" s="512"/>
      <c r="AF143" s="791">
        <v>29052</v>
      </c>
      <c r="AG143" s="530">
        <v>26314</v>
      </c>
      <c r="AH143" s="530">
        <v>30001</v>
      </c>
      <c r="AI143" s="530"/>
      <c r="AJ143" s="530">
        <f t="shared" si="29"/>
        <v>3687</v>
      </c>
      <c r="AK143" s="530"/>
      <c r="AL143" s="800" t="s">
        <v>66</v>
      </c>
      <c r="AM143" s="305" t="s">
        <v>743</v>
      </c>
      <c r="AN143" s="423" t="s">
        <v>165</v>
      </c>
      <c r="AO143" s="757" t="s">
        <v>536</v>
      </c>
      <c r="AP143" s="447">
        <v>3</v>
      </c>
      <c r="AQ143" s="780">
        <v>30001</v>
      </c>
      <c r="AR143" s="305" t="s">
        <v>747</v>
      </c>
      <c r="AS143" s="821" t="str">
        <f t="shared" si="33"/>
        <v>With Incumbent</v>
      </c>
      <c r="AT143" s="534"/>
      <c r="AU143" s="822"/>
      <c r="AV143" s="534"/>
      <c r="AW143" s="534"/>
      <c r="AX143" s="837"/>
      <c r="AY143" s="838"/>
    </row>
    <row r="144" spans="1:51" s="531" customFormat="1" ht="22.5" customHeight="1">
      <c r="A144" s="741" t="s">
        <v>748</v>
      </c>
      <c r="B144" s="742" t="s">
        <v>167</v>
      </c>
      <c r="C144" s="423" t="s">
        <v>165</v>
      </c>
      <c r="D144" s="757" t="s">
        <v>536</v>
      </c>
      <c r="E144" s="448">
        <f t="shared" si="35"/>
        <v>348624</v>
      </c>
      <c r="F144" s="448">
        <f t="shared" si="34"/>
        <v>354264</v>
      </c>
      <c r="G144" s="448">
        <v>234948</v>
      </c>
      <c r="H144" s="447">
        <v>2</v>
      </c>
      <c r="I144" s="770" t="s">
        <v>749</v>
      </c>
      <c r="J144" s="447" t="s">
        <v>62</v>
      </c>
      <c r="K144" s="447" t="s">
        <v>158</v>
      </c>
      <c r="L144" s="447" t="s">
        <v>56</v>
      </c>
      <c r="M144" s="447" t="s">
        <v>167</v>
      </c>
      <c r="N144" s="545" t="s">
        <v>750</v>
      </c>
      <c r="O144" s="447" t="s">
        <v>751</v>
      </c>
      <c r="P144" s="447" t="str">
        <f t="shared" si="26"/>
        <v>AIDA</v>
      </c>
      <c r="Q144" s="447"/>
      <c r="R144" s="447" t="s">
        <v>158</v>
      </c>
      <c r="S144" s="534" t="str">
        <f t="shared" si="27"/>
        <v xml:space="preserve">AIDA T. PALITOG </v>
      </c>
      <c r="T144" s="780">
        <v>29522</v>
      </c>
      <c r="U144" s="305" t="s">
        <v>752</v>
      </c>
      <c r="V144" s="447" t="s">
        <v>100</v>
      </c>
      <c r="W144" s="472">
        <v>26138</v>
      </c>
      <c r="X144" s="498">
        <f t="shared" ca="1" si="36"/>
        <v>19967.538043287037</v>
      </c>
      <c r="Y144" s="447" t="s">
        <v>753</v>
      </c>
      <c r="Z144" s="447"/>
      <c r="AA144" s="493">
        <v>35041</v>
      </c>
      <c r="AB144" s="493">
        <v>38607</v>
      </c>
      <c r="AC144" s="447" t="s">
        <v>64</v>
      </c>
      <c r="AD144" s="512" t="s">
        <v>102</v>
      </c>
      <c r="AE144" s="512"/>
      <c r="AF144" s="791">
        <v>29052</v>
      </c>
      <c r="AG144" s="530">
        <v>25799</v>
      </c>
      <c r="AH144" s="530">
        <v>29522</v>
      </c>
      <c r="AI144" s="530"/>
      <c r="AJ144" s="530">
        <f t="shared" si="29"/>
        <v>3723</v>
      </c>
      <c r="AK144" s="530"/>
      <c r="AL144" s="800" t="s">
        <v>66</v>
      </c>
      <c r="AM144" s="305" t="s">
        <v>748</v>
      </c>
      <c r="AN144" s="423" t="s">
        <v>165</v>
      </c>
      <c r="AO144" s="757" t="s">
        <v>536</v>
      </c>
      <c r="AP144" s="447">
        <v>2</v>
      </c>
      <c r="AQ144" s="780">
        <v>29522</v>
      </c>
      <c r="AR144" s="305" t="s">
        <v>752</v>
      </c>
      <c r="AS144" s="821" t="str">
        <f t="shared" si="33"/>
        <v>With Incumbent</v>
      </c>
      <c r="AT144" s="534"/>
      <c r="AU144" s="822"/>
      <c r="AV144" s="534"/>
      <c r="AW144" s="534"/>
      <c r="AX144" s="837"/>
      <c r="AY144" s="838"/>
    </row>
    <row r="145" spans="1:51" s="531" customFormat="1" ht="22.5" customHeight="1">
      <c r="A145" s="741" t="s">
        <v>754</v>
      </c>
      <c r="B145" s="742" t="s">
        <v>167</v>
      </c>
      <c r="C145" s="423" t="s">
        <v>165</v>
      </c>
      <c r="D145" s="757" t="s">
        <v>536</v>
      </c>
      <c r="E145" s="448">
        <f t="shared" si="35"/>
        <v>348624</v>
      </c>
      <c r="F145" s="448">
        <f t="shared" si="34"/>
        <v>360012</v>
      </c>
      <c r="G145" s="448">
        <v>240816</v>
      </c>
      <c r="H145" s="447">
        <v>3</v>
      </c>
      <c r="I145" s="770" t="s">
        <v>53</v>
      </c>
      <c r="J145" s="447" t="s">
        <v>54</v>
      </c>
      <c r="K145" s="447" t="s">
        <v>158</v>
      </c>
      <c r="L145" s="447" t="s">
        <v>56</v>
      </c>
      <c r="M145" s="447" t="s">
        <v>167</v>
      </c>
      <c r="N145" s="545" t="s">
        <v>755</v>
      </c>
      <c r="O145" s="447" t="s">
        <v>756</v>
      </c>
      <c r="P145" s="447" t="str">
        <f t="shared" si="26"/>
        <v>PABLO</v>
      </c>
      <c r="Q145" s="447" t="s">
        <v>80</v>
      </c>
      <c r="R145" s="447" t="s">
        <v>115</v>
      </c>
      <c r="S145" s="534" t="str">
        <f t="shared" si="27"/>
        <v>PABLO B. BALANHI Jr.</v>
      </c>
      <c r="T145" s="780">
        <v>30001</v>
      </c>
      <c r="U145" s="305" t="s">
        <v>757</v>
      </c>
      <c r="V145" s="447" t="s">
        <v>62</v>
      </c>
      <c r="W145" s="472">
        <v>26427</v>
      </c>
      <c r="X145" s="498">
        <f t="shared" ca="1" si="36"/>
        <v>19678.538043402776</v>
      </c>
      <c r="Y145" s="447" t="s">
        <v>758</v>
      </c>
      <c r="Z145" s="447"/>
      <c r="AA145" s="493">
        <v>35100</v>
      </c>
      <c r="AB145" s="493">
        <v>37673</v>
      </c>
      <c r="AC145" s="447" t="s">
        <v>64</v>
      </c>
      <c r="AD145" s="512" t="s">
        <v>102</v>
      </c>
      <c r="AE145" s="512"/>
      <c r="AF145" s="791">
        <v>29052</v>
      </c>
      <c r="AG145" s="530">
        <v>26314</v>
      </c>
      <c r="AH145" s="530">
        <v>30001</v>
      </c>
      <c r="AI145" s="530"/>
      <c r="AJ145" s="530">
        <f t="shared" si="29"/>
        <v>3687</v>
      </c>
      <c r="AK145" s="530"/>
      <c r="AL145" s="800" t="s">
        <v>66</v>
      </c>
      <c r="AM145" s="305" t="s">
        <v>754</v>
      </c>
      <c r="AN145" s="423" t="s">
        <v>165</v>
      </c>
      <c r="AO145" s="757" t="s">
        <v>536</v>
      </c>
      <c r="AP145" s="447">
        <v>3</v>
      </c>
      <c r="AQ145" s="780">
        <v>30001</v>
      </c>
      <c r="AR145" s="305" t="s">
        <v>757</v>
      </c>
      <c r="AS145" s="821" t="str">
        <f t="shared" si="33"/>
        <v>With Incumbent</v>
      </c>
      <c r="AT145" s="534"/>
      <c r="AU145" s="822"/>
      <c r="AV145" s="534"/>
      <c r="AW145" s="534"/>
      <c r="AX145" s="837"/>
      <c r="AY145" s="838"/>
    </row>
    <row r="146" spans="1:51" s="531" customFormat="1" ht="22.5" customHeight="1">
      <c r="A146" s="741" t="s">
        <v>759</v>
      </c>
      <c r="B146" s="742" t="s">
        <v>167</v>
      </c>
      <c r="C146" s="423" t="s">
        <v>165</v>
      </c>
      <c r="D146" s="757" t="s">
        <v>536</v>
      </c>
      <c r="E146" s="448">
        <v>348624</v>
      </c>
      <c r="F146" s="448">
        <v>365892</v>
      </c>
      <c r="G146" s="448">
        <v>253020</v>
      </c>
      <c r="H146" s="447">
        <v>4</v>
      </c>
      <c r="I146" s="770" t="s">
        <v>760</v>
      </c>
      <c r="J146" s="447" t="s">
        <v>62</v>
      </c>
      <c r="K146" s="447" t="s">
        <v>158</v>
      </c>
      <c r="L146" s="447" t="s">
        <v>56</v>
      </c>
      <c r="M146" s="447" t="s">
        <v>268</v>
      </c>
      <c r="N146" s="545" t="s">
        <v>761</v>
      </c>
      <c r="O146" s="447" t="s">
        <v>762</v>
      </c>
      <c r="P146" s="447" t="s">
        <v>763</v>
      </c>
      <c r="Q146" s="447"/>
      <c r="R146" s="447" t="s">
        <v>72</v>
      </c>
      <c r="S146" s="534" t="s">
        <v>764</v>
      </c>
      <c r="T146" s="780">
        <v>30491</v>
      </c>
      <c r="U146" s="781" t="s">
        <v>88</v>
      </c>
      <c r="V146" s="447" t="s">
        <v>62</v>
      </c>
      <c r="W146" s="472">
        <v>22814</v>
      </c>
      <c r="X146" s="498">
        <v>17575.785289814801</v>
      </c>
      <c r="Y146" s="447" t="s">
        <v>765</v>
      </c>
      <c r="Z146" s="447"/>
      <c r="AA146" s="493">
        <v>33743</v>
      </c>
      <c r="AB146" s="493">
        <v>36000</v>
      </c>
      <c r="AC146" s="447" t="s">
        <v>64</v>
      </c>
      <c r="AD146" s="512" t="s">
        <v>102</v>
      </c>
      <c r="AE146" s="512"/>
      <c r="AF146" s="791">
        <v>29052</v>
      </c>
      <c r="AG146" s="530">
        <v>26842</v>
      </c>
      <c r="AH146" s="530">
        <v>30491</v>
      </c>
      <c r="AI146" s="852"/>
      <c r="AJ146" s="530">
        <v>3649</v>
      </c>
      <c r="AK146" s="530"/>
      <c r="AL146" s="800" t="s">
        <v>66</v>
      </c>
      <c r="AM146" s="305" t="s">
        <v>759</v>
      </c>
      <c r="AN146" s="423" t="s">
        <v>165</v>
      </c>
      <c r="AO146" s="757" t="s">
        <v>536</v>
      </c>
      <c r="AP146" s="447">
        <v>1</v>
      </c>
      <c r="AQ146" s="780">
        <v>29052</v>
      </c>
      <c r="AR146" s="781" t="s">
        <v>88</v>
      </c>
      <c r="AS146" s="823" t="str">
        <f t="shared" si="33"/>
        <v>(Vacant)</v>
      </c>
      <c r="AT146" s="534"/>
      <c r="AU146" s="822" t="s">
        <v>246</v>
      </c>
      <c r="AV146" s="534" t="s">
        <v>90</v>
      </c>
      <c r="AW146" s="534" t="s">
        <v>247</v>
      </c>
      <c r="AX146" s="837" t="s">
        <v>92</v>
      </c>
      <c r="AY146" s="838" t="s">
        <v>93</v>
      </c>
    </row>
    <row r="147" spans="1:51" s="531" customFormat="1" ht="22.5" customHeight="1">
      <c r="A147" s="741" t="s">
        <v>766</v>
      </c>
      <c r="B147" s="742" t="s">
        <v>167</v>
      </c>
      <c r="C147" s="423" t="s">
        <v>165</v>
      </c>
      <c r="D147" s="757" t="s">
        <v>536</v>
      </c>
      <c r="E147" s="448">
        <f t="shared" ref="E147:E184" si="37">AF147*12</f>
        <v>348624</v>
      </c>
      <c r="F147" s="448">
        <f t="shared" ref="F147:F184" si="38">+AH147*12</f>
        <v>390468</v>
      </c>
      <c r="G147" s="448">
        <v>272460</v>
      </c>
      <c r="H147" s="447">
        <v>8</v>
      </c>
      <c r="I147" s="770" t="s">
        <v>767</v>
      </c>
      <c r="J147" s="447" t="s">
        <v>62</v>
      </c>
      <c r="K147" s="447" t="s">
        <v>158</v>
      </c>
      <c r="L147" s="447" t="s">
        <v>56</v>
      </c>
      <c r="M147" s="447" t="s">
        <v>167</v>
      </c>
      <c r="N147" s="545" t="s">
        <v>768</v>
      </c>
      <c r="O147" s="447" t="s">
        <v>769</v>
      </c>
      <c r="P147" s="447" t="str">
        <f t="shared" si="26"/>
        <v>SERGIO</v>
      </c>
      <c r="Q147" s="447"/>
      <c r="R147" s="447" t="s">
        <v>122</v>
      </c>
      <c r="S147" s="534" t="str">
        <f t="shared" si="27"/>
        <v xml:space="preserve">SERGIO C. GAYASO </v>
      </c>
      <c r="T147" s="780">
        <v>32539</v>
      </c>
      <c r="U147" s="305" t="s">
        <v>770</v>
      </c>
      <c r="V147" s="447" t="s">
        <v>62</v>
      </c>
      <c r="W147" s="472">
        <v>17947</v>
      </c>
      <c r="X147" s="498">
        <f t="shared" ca="1" si="36"/>
        <v>28158.538043402776</v>
      </c>
      <c r="Y147" s="447" t="s">
        <v>771</v>
      </c>
      <c r="Z147" s="472">
        <v>29281</v>
      </c>
      <c r="AA147" s="493">
        <v>26834</v>
      </c>
      <c r="AB147" s="493">
        <v>32371</v>
      </c>
      <c r="AC147" s="447" t="s">
        <v>64</v>
      </c>
      <c r="AD147" s="512" t="s">
        <v>228</v>
      </c>
      <c r="AE147" s="512"/>
      <c r="AF147" s="791">
        <v>29052</v>
      </c>
      <c r="AG147" s="530">
        <v>29070</v>
      </c>
      <c r="AH147" s="530">
        <v>32539</v>
      </c>
      <c r="AI147" s="530"/>
      <c r="AJ147" s="530">
        <f t="shared" si="29"/>
        <v>3469</v>
      </c>
      <c r="AK147" s="530"/>
      <c r="AL147" s="800" t="s">
        <v>66</v>
      </c>
      <c r="AM147" s="305" t="s">
        <v>766</v>
      </c>
      <c r="AN147" s="423" t="s">
        <v>165</v>
      </c>
      <c r="AO147" s="757" t="s">
        <v>536</v>
      </c>
      <c r="AP147" s="447">
        <v>8</v>
      </c>
      <c r="AQ147" s="780">
        <v>32539</v>
      </c>
      <c r="AR147" s="305" t="s">
        <v>770</v>
      </c>
      <c r="AS147" s="821" t="str">
        <f t="shared" si="33"/>
        <v>With Incumbent</v>
      </c>
      <c r="AT147" s="534"/>
      <c r="AU147" s="822"/>
      <c r="AV147" s="534"/>
      <c r="AW147" s="534"/>
      <c r="AX147" s="837"/>
      <c r="AY147" s="838"/>
    </row>
    <row r="148" spans="1:51" s="531" customFormat="1" ht="22.5" customHeight="1">
      <c r="A148" s="741" t="s">
        <v>772</v>
      </c>
      <c r="B148" s="742" t="s">
        <v>167</v>
      </c>
      <c r="C148" s="423" t="s">
        <v>165</v>
      </c>
      <c r="D148" s="757" t="s">
        <v>536</v>
      </c>
      <c r="E148" s="448">
        <f t="shared" si="37"/>
        <v>348624</v>
      </c>
      <c r="F148" s="448">
        <f t="shared" si="38"/>
        <v>360012</v>
      </c>
      <c r="G148" s="448">
        <v>246828</v>
      </c>
      <c r="H148" s="447">
        <v>3</v>
      </c>
      <c r="I148" s="770" t="s">
        <v>773</v>
      </c>
      <c r="J148" s="447" t="s">
        <v>62</v>
      </c>
      <c r="K148" s="447" t="s">
        <v>158</v>
      </c>
      <c r="L148" s="447" t="s">
        <v>56</v>
      </c>
      <c r="M148" s="447" t="s">
        <v>167</v>
      </c>
      <c r="N148" s="545" t="s">
        <v>774</v>
      </c>
      <c r="O148" s="447" t="s">
        <v>775</v>
      </c>
      <c r="P148" s="447" t="str">
        <f t="shared" si="26"/>
        <v>LINSTON</v>
      </c>
      <c r="Q148" s="447"/>
      <c r="R148" s="447" t="s">
        <v>115</v>
      </c>
      <c r="S148" s="534" t="str">
        <f t="shared" si="27"/>
        <v xml:space="preserve">LINSTON B. EBES </v>
      </c>
      <c r="T148" s="780">
        <v>30001</v>
      </c>
      <c r="U148" s="305" t="s">
        <v>776</v>
      </c>
      <c r="V148" s="447" t="s">
        <v>62</v>
      </c>
      <c r="W148" s="472">
        <v>25425</v>
      </c>
      <c r="X148" s="498">
        <f t="shared" ca="1" si="36"/>
        <v>20680.538043287037</v>
      </c>
      <c r="Y148" s="447" t="s">
        <v>777</v>
      </c>
      <c r="Z148" s="472">
        <v>34808</v>
      </c>
      <c r="AA148" s="493">
        <v>33686</v>
      </c>
      <c r="AB148" s="493">
        <v>37151</v>
      </c>
      <c r="AC148" s="447" t="s">
        <v>64</v>
      </c>
      <c r="AD148" s="512" t="s">
        <v>102</v>
      </c>
      <c r="AE148" s="512"/>
      <c r="AF148" s="791">
        <v>29052</v>
      </c>
      <c r="AG148" s="530">
        <v>26314</v>
      </c>
      <c r="AH148" s="530">
        <v>30001</v>
      </c>
      <c r="AI148" s="530"/>
      <c r="AJ148" s="530">
        <f t="shared" si="29"/>
        <v>3687</v>
      </c>
      <c r="AK148" s="530"/>
      <c r="AL148" s="800" t="s">
        <v>66</v>
      </c>
      <c r="AM148" s="305" t="s">
        <v>772</v>
      </c>
      <c r="AN148" s="423" t="s">
        <v>165</v>
      </c>
      <c r="AO148" s="757" t="s">
        <v>536</v>
      </c>
      <c r="AP148" s="447">
        <v>3</v>
      </c>
      <c r="AQ148" s="780">
        <v>30001</v>
      </c>
      <c r="AR148" s="305" t="s">
        <v>776</v>
      </c>
      <c r="AS148" s="821" t="str">
        <f t="shared" si="33"/>
        <v>With Incumbent</v>
      </c>
      <c r="AT148" s="534"/>
      <c r="AU148" s="822"/>
      <c r="AV148" s="534"/>
      <c r="AW148" s="534"/>
      <c r="AX148" s="837"/>
      <c r="AY148" s="838"/>
    </row>
    <row r="149" spans="1:51" s="531" customFormat="1" ht="22.5" customHeight="1">
      <c r="A149" s="741" t="s">
        <v>778</v>
      </c>
      <c r="B149" s="742" t="s">
        <v>268</v>
      </c>
      <c r="C149" s="423" t="s">
        <v>165</v>
      </c>
      <c r="D149" s="757" t="s">
        <v>536</v>
      </c>
      <c r="E149" s="448">
        <f t="shared" si="37"/>
        <v>348624</v>
      </c>
      <c r="F149" s="448">
        <f t="shared" si="38"/>
        <v>348624</v>
      </c>
      <c r="G149" s="448">
        <v>279288</v>
      </c>
      <c r="H149" s="447">
        <v>1</v>
      </c>
      <c r="I149" s="770" t="s">
        <v>779</v>
      </c>
      <c r="J149" s="447" t="s">
        <v>62</v>
      </c>
      <c r="K149" s="447" t="s">
        <v>158</v>
      </c>
      <c r="L149" s="447" t="s">
        <v>56</v>
      </c>
      <c r="M149" s="447" t="s">
        <v>268</v>
      </c>
      <c r="N149" s="545" t="s">
        <v>780</v>
      </c>
      <c r="O149" s="447" t="s">
        <v>781</v>
      </c>
      <c r="P149" s="447" t="str">
        <f t="shared" si="26"/>
        <v>LOURDES CLAIRE</v>
      </c>
      <c r="Q149" s="447"/>
      <c r="R149" s="447" t="s">
        <v>100</v>
      </c>
      <c r="S149" s="534" t="str">
        <f t="shared" si="27"/>
        <v xml:space="preserve">LOURDES CLAIRE F. PEEL </v>
      </c>
      <c r="T149" s="780">
        <v>29052</v>
      </c>
      <c r="U149" s="305" t="s">
        <v>782</v>
      </c>
      <c r="V149" s="447" t="s">
        <v>100</v>
      </c>
      <c r="W149" s="472">
        <v>28328</v>
      </c>
      <c r="X149" s="498">
        <f t="shared" ca="1" si="36"/>
        <v>17777.538043402776</v>
      </c>
      <c r="Y149" s="447" t="s">
        <v>783</v>
      </c>
      <c r="Z149" s="447"/>
      <c r="AA149" s="493">
        <v>37378</v>
      </c>
      <c r="AB149" s="493">
        <v>39995</v>
      </c>
      <c r="AC149" s="447"/>
      <c r="AD149" s="512"/>
      <c r="AE149" s="512"/>
      <c r="AF149" s="791">
        <v>29052</v>
      </c>
      <c r="AG149" s="530">
        <v>25295</v>
      </c>
      <c r="AH149" s="530">
        <v>29052</v>
      </c>
      <c r="AI149" s="530"/>
      <c r="AJ149" s="530">
        <f t="shared" si="29"/>
        <v>3757</v>
      </c>
      <c r="AK149" s="530"/>
      <c r="AL149" s="800" t="s">
        <v>66</v>
      </c>
      <c r="AM149" s="305" t="s">
        <v>778</v>
      </c>
      <c r="AN149" s="423" t="s">
        <v>165</v>
      </c>
      <c r="AO149" s="757" t="s">
        <v>536</v>
      </c>
      <c r="AP149" s="447">
        <v>1</v>
      </c>
      <c r="AQ149" s="780">
        <v>29052</v>
      </c>
      <c r="AR149" s="305" t="s">
        <v>782</v>
      </c>
      <c r="AS149" s="821" t="str">
        <f t="shared" si="33"/>
        <v>With Incumbent</v>
      </c>
      <c r="AT149" s="534"/>
      <c r="AU149" s="822"/>
      <c r="AV149" s="534"/>
      <c r="AW149" s="534"/>
      <c r="AX149" s="837"/>
      <c r="AY149" s="838"/>
    </row>
    <row r="150" spans="1:51" s="531" customFormat="1" ht="22.5" customHeight="1">
      <c r="A150" s="741" t="s">
        <v>784</v>
      </c>
      <c r="B150" s="742" t="s">
        <v>268</v>
      </c>
      <c r="C150" s="423" t="s">
        <v>165</v>
      </c>
      <c r="D150" s="757" t="s">
        <v>536</v>
      </c>
      <c r="E150" s="448">
        <f t="shared" si="37"/>
        <v>348624</v>
      </c>
      <c r="F150" s="448">
        <f t="shared" si="38"/>
        <v>348624</v>
      </c>
      <c r="G150" s="448">
        <v>246828</v>
      </c>
      <c r="H150" s="447">
        <v>1</v>
      </c>
      <c r="I150" s="770" t="s">
        <v>785</v>
      </c>
      <c r="J150" s="447" t="s">
        <v>62</v>
      </c>
      <c r="K150" s="447" t="s">
        <v>158</v>
      </c>
      <c r="L150" s="447" t="s">
        <v>56</v>
      </c>
      <c r="M150" s="447" t="s">
        <v>268</v>
      </c>
      <c r="N150" s="545" t="s">
        <v>786</v>
      </c>
      <c r="O150" s="447" t="s">
        <v>787</v>
      </c>
      <c r="P150" s="447" t="str">
        <f t="shared" si="26"/>
        <v>ANABELLE</v>
      </c>
      <c r="Q150" s="447"/>
      <c r="R150" s="447" t="s">
        <v>115</v>
      </c>
      <c r="S150" s="534" t="str">
        <f t="shared" si="27"/>
        <v xml:space="preserve">ANABELLE B. LARON </v>
      </c>
      <c r="T150" s="780">
        <v>29052</v>
      </c>
      <c r="U150" s="305" t="s">
        <v>788</v>
      </c>
      <c r="V150" s="447" t="s">
        <v>100</v>
      </c>
      <c r="W150" s="472">
        <v>27616</v>
      </c>
      <c r="X150" s="498">
        <f t="shared" ca="1" si="36"/>
        <v>18489.538043287037</v>
      </c>
      <c r="Y150" s="447" t="s">
        <v>789</v>
      </c>
      <c r="Z150" s="447"/>
      <c r="AA150" s="493">
        <v>35660</v>
      </c>
      <c r="AB150" s="493">
        <v>40262</v>
      </c>
      <c r="AC150" s="447" t="s">
        <v>64</v>
      </c>
      <c r="AD150" s="512" t="s">
        <v>102</v>
      </c>
      <c r="AE150" s="512"/>
      <c r="AF150" s="791">
        <v>29052</v>
      </c>
      <c r="AG150" s="530">
        <v>25295</v>
      </c>
      <c r="AH150" s="530">
        <v>29052</v>
      </c>
      <c r="AI150" s="530"/>
      <c r="AJ150" s="530">
        <f t="shared" si="29"/>
        <v>3757</v>
      </c>
      <c r="AK150" s="530"/>
      <c r="AL150" s="800" t="s">
        <v>66</v>
      </c>
      <c r="AM150" s="305" t="s">
        <v>784</v>
      </c>
      <c r="AN150" s="423" t="s">
        <v>165</v>
      </c>
      <c r="AO150" s="757" t="s">
        <v>536</v>
      </c>
      <c r="AP150" s="447">
        <v>1</v>
      </c>
      <c r="AQ150" s="780">
        <v>29052</v>
      </c>
      <c r="AR150" s="305" t="s">
        <v>788</v>
      </c>
      <c r="AS150" s="821" t="str">
        <f t="shared" si="33"/>
        <v>With Incumbent</v>
      </c>
      <c r="AT150" s="534"/>
      <c r="AU150" s="822"/>
      <c r="AV150" s="534"/>
      <c r="AW150" s="534"/>
      <c r="AX150" s="837"/>
      <c r="AY150" s="838"/>
    </row>
    <row r="151" spans="1:51" s="531" customFormat="1" ht="22.5" customHeight="1">
      <c r="A151" s="741" t="s">
        <v>790</v>
      </c>
      <c r="B151" s="742" t="s">
        <v>268</v>
      </c>
      <c r="C151" s="423" t="s">
        <v>165</v>
      </c>
      <c r="D151" s="757" t="s">
        <v>536</v>
      </c>
      <c r="E151" s="448">
        <f t="shared" si="37"/>
        <v>348624</v>
      </c>
      <c r="F151" s="448">
        <f t="shared" si="38"/>
        <v>371856</v>
      </c>
      <c r="G151" s="448">
        <v>259344</v>
      </c>
      <c r="H151" s="447">
        <v>5</v>
      </c>
      <c r="I151" s="770" t="s">
        <v>791</v>
      </c>
      <c r="J151" s="447" t="s">
        <v>62</v>
      </c>
      <c r="K151" s="447" t="s">
        <v>158</v>
      </c>
      <c r="L151" s="447" t="s">
        <v>56</v>
      </c>
      <c r="M151" s="447" t="s">
        <v>268</v>
      </c>
      <c r="N151" s="545" t="s">
        <v>792</v>
      </c>
      <c r="O151" s="447" t="s">
        <v>793</v>
      </c>
      <c r="P151" s="447" t="str">
        <f t="shared" si="26"/>
        <v>NENA</v>
      </c>
      <c r="Q151" s="447"/>
      <c r="R151" s="447" t="s">
        <v>77</v>
      </c>
      <c r="S151" s="534" t="str">
        <f t="shared" si="27"/>
        <v xml:space="preserve">NENA S. SIMONGO </v>
      </c>
      <c r="T151" s="780">
        <v>30988</v>
      </c>
      <c r="U151" s="305" t="s">
        <v>794</v>
      </c>
      <c r="V151" s="447" t="s">
        <v>100</v>
      </c>
      <c r="W151" s="472">
        <v>19398</v>
      </c>
      <c r="X151" s="498">
        <f t="shared" ca="1" si="36"/>
        <v>26707.538043402776</v>
      </c>
      <c r="Y151" s="447" t="s">
        <v>795</v>
      </c>
      <c r="Z151" s="447"/>
      <c r="AA151" s="493">
        <v>32619</v>
      </c>
      <c r="AB151" s="493">
        <v>35037</v>
      </c>
      <c r="AC151" s="447" t="s">
        <v>64</v>
      </c>
      <c r="AD151" s="512" t="s">
        <v>102</v>
      </c>
      <c r="AE151" s="512"/>
      <c r="AF151" s="791">
        <v>29052</v>
      </c>
      <c r="AG151" s="530">
        <v>27381</v>
      </c>
      <c r="AH151" s="530">
        <v>30988</v>
      </c>
      <c r="AI151" s="530"/>
      <c r="AJ151" s="530">
        <f t="shared" si="29"/>
        <v>3607</v>
      </c>
      <c r="AK151" s="530"/>
      <c r="AL151" s="800" t="s">
        <v>66</v>
      </c>
      <c r="AM151" s="305" t="s">
        <v>790</v>
      </c>
      <c r="AN151" s="423" t="s">
        <v>165</v>
      </c>
      <c r="AO151" s="757" t="s">
        <v>536</v>
      </c>
      <c r="AP151" s="447">
        <v>5</v>
      </c>
      <c r="AQ151" s="780">
        <v>30988</v>
      </c>
      <c r="AR151" s="305" t="s">
        <v>794</v>
      </c>
      <c r="AS151" s="821" t="str">
        <f t="shared" si="33"/>
        <v>With Incumbent</v>
      </c>
      <c r="AT151" s="534"/>
      <c r="AU151" s="822"/>
      <c r="AV151" s="534"/>
      <c r="AW151" s="534"/>
      <c r="AX151" s="837"/>
      <c r="AY151" s="838"/>
    </row>
    <row r="152" spans="1:51" s="531" customFormat="1" ht="22.5" hidden="1" customHeight="1">
      <c r="A152" s="741" t="s">
        <v>796</v>
      </c>
      <c r="B152" s="742" t="s">
        <v>268</v>
      </c>
      <c r="C152" s="423" t="s">
        <v>165</v>
      </c>
      <c r="D152" s="757" t="s">
        <v>536</v>
      </c>
      <c r="E152" s="448">
        <f t="shared" si="37"/>
        <v>348624</v>
      </c>
      <c r="F152" s="448">
        <f t="shared" si="38"/>
        <v>365892</v>
      </c>
      <c r="G152" s="448">
        <v>253020</v>
      </c>
      <c r="H152" s="447">
        <v>4</v>
      </c>
      <c r="I152" s="770" t="s">
        <v>760</v>
      </c>
      <c r="J152" s="447" t="s">
        <v>62</v>
      </c>
      <c r="K152" s="447" t="s">
        <v>158</v>
      </c>
      <c r="L152" s="447" t="s">
        <v>56</v>
      </c>
      <c r="M152" s="447" t="s">
        <v>268</v>
      </c>
      <c r="N152" s="545" t="s">
        <v>761</v>
      </c>
      <c r="O152" s="447" t="s">
        <v>762</v>
      </c>
      <c r="P152" s="447" t="str">
        <f t="shared" si="26"/>
        <v>EDISON</v>
      </c>
      <c r="Q152" s="447"/>
      <c r="R152" s="447" t="s">
        <v>72</v>
      </c>
      <c r="S152" s="534" t="str">
        <f t="shared" si="27"/>
        <v xml:space="preserve">EDISON L. BADDAL </v>
      </c>
      <c r="T152" s="780">
        <v>30491</v>
      </c>
      <c r="U152" s="305" t="s">
        <v>797</v>
      </c>
      <c r="V152" s="447" t="s">
        <v>62</v>
      </c>
      <c r="W152" s="472">
        <v>22814</v>
      </c>
      <c r="X152" s="498">
        <f t="shared" ca="1" si="36"/>
        <v>23291.538043402776</v>
      </c>
      <c r="Y152" s="447" t="s">
        <v>765</v>
      </c>
      <c r="Z152" s="447"/>
      <c r="AA152" s="493">
        <v>33743</v>
      </c>
      <c r="AB152" s="493">
        <v>36000</v>
      </c>
      <c r="AC152" s="447" t="s">
        <v>64</v>
      </c>
      <c r="AD152" s="512" t="s">
        <v>102</v>
      </c>
      <c r="AE152" s="512"/>
      <c r="AF152" s="791">
        <v>29052</v>
      </c>
      <c r="AG152" s="530">
        <v>26842</v>
      </c>
      <c r="AH152" s="530">
        <v>30491</v>
      </c>
      <c r="AI152" s="852"/>
      <c r="AJ152" s="530">
        <f t="shared" si="29"/>
        <v>3649</v>
      </c>
      <c r="AK152" s="530"/>
      <c r="AL152" s="803" t="s">
        <v>245</v>
      </c>
      <c r="AM152" s="305" t="s">
        <v>796</v>
      </c>
      <c r="AN152" s="423" t="s">
        <v>157</v>
      </c>
      <c r="AO152" s="757" t="s">
        <v>285</v>
      </c>
      <c r="AP152" s="447">
        <v>1</v>
      </c>
      <c r="AQ152" s="780">
        <v>32973</v>
      </c>
      <c r="AR152" s="865" t="s">
        <v>797</v>
      </c>
      <c r="AS152" s="821" t="str">
        <f t="shared" si="33"/>
        <v>With Incumbent</v>
      </c>
      <c r="AT152" s="534"/>
      <c r="AU152" s="822"/>
      <c r="AV152" s="534"/>
      <c r="AW152" s="534"/>
      <c r="AX152" s="837"/>
      <c r="AY152" s="838"/>
    </row>
    <row r="153" spans="1:51" s="531" customFormat="1" ht="22.5" customHeight="1">
      <c r="A153" s="741" t="s">
        <v>798</v>
      </c>
      <c r="B153" s="742" t="s">
        <v>268</v>
      </c>
      <c r="C153" s="423" t="s">
        <v>165</v>
      </c>
      <c r="D153" s="757" t="s">
        <v>536</v>
      </c>
      <c r="E153" s="448">
        <f t="shared" si="37"/>
        <v>348624</v>
      </c>
      <c r="F153" s="448">
        <f t="shared" si="38"/>
        <v>377940</v>
      </c>
      <c r="G153" s="448">
        <v>259344</v>
      </c>
      <c r="H153" s="447">
        <v>6</v>
      </c>
      <c r="I153" s="770" t="s">
        <v>352</v>
      </c>
      <c r="J153" s="447" t="s">
        <v>64</v>
      </c>
      <c r="K153" s="447" t="s">
        <v>158</v>
      </c>
      <c r="L153" s="447" t="s">
        <v>56</v>
      </c>
      <c r="M153" s="447" t="s">
        <v>268</v>
      </c>
      <c r="N153" s="545" t="s">
        <v>799</v>
      </c>
      <c r="O153" s="447" t="s">
        <v>800</v>
      </c>
      <c r="P153" s="447" t="str">
        <f t="shared" si="26"/>
        <v>AIDA LEONORA</v>
      </c>
      <c r="Q153" s="447"/>
      <c r="R153" s="447" t="s">
        <v>77</v>
      </c>
      <c r="S153" s="534" t="str">
        <f t="shared" si="27"/>
        <v xml:space="preserve">AIDA LEONORA S. DOLIGAS </v>
      </c>
      <c r="T153" s="780">
        <v>31495</v>
      </c>
      <c r="U153" s="305" t="s">
        <v>801</v>
      </c>
      <c r="V153" s="447" t="s">
        <v>100</v>
      </c>
      <c r="W153" s="472">
        <v>18574</v>
      </c>
      <c r="X153" s="498">
        <f t="shared" ca="1" si="36"/>
        <v>27531.538043287037</v>
      </c>
      <c r="Y153" s="447" t="s">
        <v>802</v>
      </c>
      <c r="Z153" s="447"/>
      <c r="AA153" s="493">
        <v>32687</v>
      </c>
      <c r="AB153" s="493">
        <v>34198</v>
      </c>
      <c r="AC153" s="447" t="s">
        <v>64</v>
      </c>
      <c r="AD153" s="512" t="s">
        <v>102</v>
      </c>
      <c r="AE153" s="512"/>
      <c r="AF153" s="791">
        <v>29052</v>
      </c>
      <c r="AG153" s="530">
        <v>27931</v>
      </c>
      <c r="AH153" s="530">
        <v>31495</v>
      </c>
      <c r="AI153" s="530"/>
      <c r="AJ153" s="530">
        <f t="shared" si="29"/>
        <v>3564</v>
      </c>
      <c r="AK153" s="530"/>
      <c r="AL153" s="800" t="s">
        <v>66</v>
      </c>
      <c r="AM153" s="305" t="s">
        <v>798</v>
      </c>
      <c r="AN153" s="423" t="s">
        <v>165</v>
      </c>
      <c r="AO153" s="757" t="s">
        <v>536</v>
      </c>
      <c r="AP153" s="447">
        <v>6</v>
      </c>
      <c r="AQ153" s="780">
        <v>31495</v>
      </c>
      <c r="AR153" s="305" t="s">
        <v>801</v>
      </c>
      <c r="AS153" s="821" t="str">
        <f t="shared" si="33"/>
        <v>With Incumbent</v>
      </c>
      <c r="AT153" s="534"/>
      <c r="AU153" s="822"/>
      <c r="AV153" s="534"/>
      <c r="AW153" s="534"/>
      <c r="AX153" s="837"/>
      <c r="AY153" s="838"/>
    </row>
    <row r="154" spans="1:51" s="531" customFormat="1" ht="22.5" customHeight="1">
      <c r="A154" s="741" t="s">
        <v>803</v>
      </c>
      <c r="B154" s="742" t="s">
        <v>268</v>
      </c>
      <c r="C154" s="423" t="s">
        <v>165</v>
      </c>
      <c r="D154" s="757" t="s">
        <v>536</v>
      </c>
      <c r="E154" s="448">
        <f t="shared" si="37"/>
        <v>348624</v>
      </c>
      <c r="F154" s="448">
        <f t="shared" si="38"/>
        <v>384144</v>
      </c>
      <c r="G154" s="448">
        <v>272460</v>
      </c>
      <c r="H154" s="447">
        <v>7</v>
      </c>
      <c r="I154" s="770" t="s">
        <v>804</v>
      </c>
      <c r="J154" s="447" t="s">
        <v>62</v>
      </c>
      <c r="K154" s="447" t="s">
        <v>158</v>
      </c>
      <c r="L154" s="447" t="s">
        <v>56</v>
      </c>
      <c r="M154" s="447" t="s">
        <v>268</v>
      </c>
      <c r="N154" s="545" t="s">
        <v>805</v>
      </c>
      <c r="O154" s="447" t="s">
        <v>806</v>
      </c>
      <c r="P154" s="447" t="str">
        <f t="shared" si="26"/>
        <v>ALAN</v>
      </c>
      <c r="Q154" s="447"/>
      <c r="R154" s="447" t="s">
        <v>161</v>
      </c>
      <c r="S154" s="534" t="str">
        <f t="shared" si="27"/>
        <v xml:space="preserve">ALAN O. BACWADEN </v>
      </c>
      <c r="T154" s="780">
        <v>32012</v>
      </c>
      <c r="U154" s="305" t="s">
        <v>807</v>
      </c>
      <c r="V154" s="447" t="s">
        <v>62</v>
      </c>
      <c r="W154" s="472">
        <v>18073</v>
      </c>
      <c r="X154" s="498">
        <f t="shared" ca="1" si="36"/>
        <v>28032.538043402776</v>
      </c>
      <c r="Y154" s="447" t="s">
        <v>808</v>
      </c>
      <c r="Z154" s="447"/>
      <c r="AA154" s="493">
        <v>27750</v>
      </c>
      <c r="AB154" s="493">
        <v>32687</v>
      </c>
      <c r="AC154" s="447" t="s">
        <v>64</v>
      </c>
      <c r="AD154" s="512" t="s">
        <v>228</v>
      </c>
      <c r="AE154" s="512"/>
      <c r="AF154" s="791">
        <v>29052</v>
      </c>
      <c r="AG154" s="530">
        <v>28494</v>
      </c>
      <c r="AH154" s="530">
        <v>32012</v>
      </c>
      <c r="AI154" s="530"/>
      <c r="AJ154" s="530">
        <f t="shared" si="29"/>
        <v>3518</v>
      </c>
      <c r="AK154" s="530"/>
      <c r="AL154" s="800" t="s">
        <v>66</v>
      </c>
      <c r="AM154" s="305" t="s">
        <v>803</v>
      </c>
      <c r="AN154" s="423" t="s">
        <v>165</v>
      </c>
      <c r="AO154" s="757" t="s">
        <v>536</v>
      </c>
      <c r="AP154" s="447">
        <v>7</v>
      </c>
      <c r="AQ154" s="780">
        <v>32012</v>
      </c>
      <c r="AR154" s="305" t="s">
        <v>807</v>
      </c>
      <c r="AS154" s="821" t="str">
        <f t="shared" si="33"/>
        <v>With Incumbent</v>
      </c>
      <c r="AT154" s="534"/>
      <c r="AU154" s="822"/>
      <c r="AV154" s="534"/>
      <c r="AW154" s="534"/>
      <c r="AX154" s="837"/>
      <c r="AY154" s="838"/>
    </row>
    <row r="155" spans="1:51" s="531" customFormat="1" ht="22.5" customHeight="1">
      <c r="A155" s="741" t="s">
        <v>809</v>
      </c>
      <c r="B155" s="742" t="s">
        <v>268</v>
      </c>
      <c r="C155" s="423" t="s">
        <v>165</v>
      </c>
      <c r="D155" s="757" t="s">
        <v>536</v>
      </c>
      <c r="E155" s="448">
        <f t="shared" si="37"/>
        <v>348624</v>
      </c>
      <c r="F155" s="448">
        <f t="shared" si="38"/>
        <v>384144</v>
      </c>
      <c r="G155" s="448">
        <v>272460</v>
      </c>
      <c r="H155" s="447">
        <v>7</v>
      </c>
      <c r="I155" s="770" t="s">
        <v>810</v>
      </c>
      <c r="J155" s="447" t="s">
        <v>62</v>
      </c>
      <c r="K155" s="447" t="s">
        <v>158</v>
      </c>
      <c r="L155" s="447" t="s">
        <v>56</v>
      </c>
      <c r="M155" s="447" t="s">
        <v>268</v>
      </c>
      <c r="N155" s="545" t="s">
        <v>811</v>
      </c>
      <c r="O155" s="447" t="s">
        <v>812</v>
      </c>
      <c r="P155" s="447" t="str">
        <f t="shared" si="26"/>
        <v>EUFEMIA</v>
      </c>
      <c r="Q155" s="447"/>
      <c r="R155" s="447" t="s">
        <v>813</v>
      </c>
      <c r="S155" s="534" t="str">
        <f t="shared" si="27"/>
        <v xml:space="preserve">EUFEMIA W. CHAKAS </v>
      </c>
      <c r="T155" s="780">
        <v>32012</v>
      </c>
      <c r="U155" s="305" t="s">
        <v>814</v>
      </c>
      <c r="V155" s="447" t="s">
        <v>100</v>
      </c>
      <c r="W155" s="472">
        <v>17047</v>
      </c>
      <c r="X155" s="498">
        <f t="shared" ca="1" si="36"/>
        <v>29058.538043402776</v>
      </c>
      <c r="Y155" s="447" t="s">
        <v>815</v>
      </c>
      <c r="Z155" s="447"/>
      <c r="AA155" s="493">
        <v>25398</v>
      </c>
      <c r="AB155" s="493">
        <v>32687</v>
      </c>
      <c r="AC155" s="447" t="s">
        <v>64</v>
      </c>
      <c r="AD155" s="512" t="s">
        <v>102</v>
      </c>
      <c r="AE155" s="512"/>
      <c r="AF155" s="791">
        <v>29052</v>
      </c>
      <c r="AG155" s="530">
        <v>28494</v>
      </c>
      <c r="AH155" s="530">
        <v>32012</v>
      </c>
      <c r="AI155" s="530"/>
      <c r="AJ155" s="530">
        <f t="shared" si="29"/>
        <v>3518</v>
      </c>
      <c r="AK155" s="530"/>
      <c r="AL155" s="800" t="s">
        <v>66</v>
      </c>
      <c r="AM155" s="305" t="s">
        <v>809</v>
      </c>
      <c r="AN155" s="423" t="s">
        <v>165</v>
      </c>
      <c r="AO155" s="757" t="s">
        <v>536</v>
      </c>
      <c r="AP155" s="447">
        <v>7</v>
      </c>
      <c r="AQ155" s="780">
        <v>32012</v>
      </c>
      <c r="AR155" s="305" t="s">
        <v>814</v>
      </c>
      <c r="AS155" s="821" t="str">
        <f t="shared" si="33"/>
        <v>With Incumbent</v>
      </c>
      <c r="AT155" s="534"/>
      <c r="AU155" s="822"/>
      <c r="AV155" s="534"/>
      <c r="AW155" s="534"/>
      <c r="AX155" s="837"/>
      <c r="AY155" s="838"/>
    </row>
    <row r="156" spans="1:51" s="531" customFormat="1" ht="22.5" customHeight="1">
      <c r="A156" s="741" t="s">
        <v>816</v>
      </c>
      <c r="B156" s="742" t="s">
        <v>268</v>
      </c>
      <c r="C156" s="423" t="s">
        <v>165</v>
      </c>
      <c r="D156" s="757" t="s">
        <v>536</v>
      </c>
      <c r="E156" s="448">
        <f t="shared" si="37"/>
        <v>348624</v>
      </c>
      <c r="F156" s="448">
        <f t="shared" si="38"/>
        <v>384144</v>
      </c>
      <c r="G156" s="448">
        <v>265824</v>
      </c>
      <c r="H156" s="447">
        <v>7</v>
      </c>
      <c r="I156" s="770" t="s">
        <v>817</v>
      </c>
      <c r="J156" s="447" t="s">
        <v>62</v>
      </c>
      <c r="K156" s="447" t="s">
        <v>158</v>
      </c>
      <c r="L156" s="447" t="s">
        <v>56</v>
      </c>
      <c r="M156" s="447" t="s">
        <v>268</v>
      </c>
      <c r="N156" s="545" t="s">
        <v>818</v>
      </c>
      <c r="O156" s="447" t="s">
        <v>819</v>
      </c>
      <c r="P156" s="447" t="str">
        <f t="shared" si="26"/>
        <v>JUDY</v>
      </c>
      <c r="Q156" s="447"/>
      <c r="R156" s="447" t="s">
        <v>122</v>
      </c>
      <c r="S156" s="534" t="str">
        <f t="shared" si="27"/>
        <v xml:space="preserve">JUDY C. PILUDEN </v>
      </c>
      <c r="T156" s="780">
        <v>32012</v>
      </c>
      <c r="U156" s="305" t="s">
        <v>820</v>
      </c>
      <c r="V156" s="447" t="s">
        <v>100</v>
      </c>
      <c r="W156" s="472">
        <v>22947</v>
      </c>
      <c r="X156" s="498">
        <f t="shared" ca="1" si="36"/>
        <v>23158.538043287037</v>
      </c>
      <c r="Y156" s="447" t="s">
        <v>821</v>
      </c>
      <c r="Z156" s="447"/>
      <c r="AA156" s="493">
        <v>32687</v>
      </c>
      <c r="AB156" s="493">
        <v>33451</v>
      </c>
      <c r="AC156" s="447" t="s">
        <v>64</v>
      </c>
      <c r="AD156" s="512" t="s">
        <v>102</v>
      </c>
      <c r="AE156" s="512"/>
      <c r="AF156" s="791">
        <v>29052</v>
      </c>
      <c r="AG156" s="530">
        <v>28494</v>
      </c>
      <c r="AH156" s="530">
        <v>32012</v>
      </c>
      <c r="AI156" s="530"/>
      <c r="AJ156" s="530">
        <f t="shared" si="29"/>
        <v>3518</v>
      </c>
      <c r="AK156" s="530"/>
      <c r="AL156" s="800" t="s">
        <v>66</v>
      </c>
      <c r="AM156" s="305" t="s">
        <v>816</v>
      </c>
      <c r="AN156" s="423" t="s">
        <v>165</v>
      </c>
      <c r="AO156" s="757" t="s">
        <v>536</v>
      </c>
      <c r="AP156" s="447">
        <v>7</v>
      </c>
      <c r="AQ156" s="780">
        <v>32012</v>
      </c>
      <c r="AR156" s="305" t="s">
        <v>820</v>
      </c>
      <c r="AS156" s="821" t="str">
        <f t="shared" si="33"/>
        <v>With Incumbent</v>
      </c>
      <c r="AT156" s="534"/>
      <c r="AU156" s="822"/>
      <c r="AV156" s="534"/>
      <c r="AW156" s="534"/>
      <c r="AX156" s="837"/>
      <c r="AY156" s="838"/>
    </row>
    <row r="157" spans="1:51" s="531" customFormat="1" ht="22.5" customHeight="1">
      <c r="A157" s="741" t="s">
        <v>822</v>
      </c>
      <c r="B157" s="742" t="s">
        <v>268</v>
      </c>
      <c r="C157" s="423" t="s">
        <v>165</v>
      </c>
      <c r="D157" s="757" t="s">
        <v>536</v>
      </c>
      <c r="E157" s="448">
        <f t="shared" si="37"/>
        <v>348624</v>
      </c>
      <c r="F157" s="448">
        <f t="shared" si="38"/>
        <v>360012</v>
      </c>
      <c r="G157" s="448">
        <v>240816</v>
      </c>
      <c r="H157" s="447">
        <v>3</v>
      </c>
      <c r="I157" s="770" t="s">
        <v>352</v>
      </c>
      <c r="J157" s="447" t="s">
        <v>64</v>
      </c>
      <c r="K157" s="447" t="s">
        <v>158</v>
      </c>
      <c r="L157" s="447" t="s">
        <v>56</v>
      </c>
      <c r="M157" s="447" t="s">
        <v>268</v>
      </c>
      <c r="N157" s="545" t="s">
        <v>823</v>
      </c>
      <c r="O157" s="447" t="s">
        <v>824</v>
      </c>
      <c r="P157" s="447" t="str">
        <f t="shared" ref="P157:P222" si="39">UPPER(O157)</f>
        <v>RAY</v>
      </c>
      <c r="Q157" s="447"/>
      <c r="R157" s="447" t="s">
        <v>115</v>
      </c>
      <c r="S157" s="534" t="str">
        <f t="shared" ref="S157:S224" si="40">P157&amp;" "&amp;R157&amp;"."&amp;" "&amp;N157&amp;" "&amp;Q157</f>
        <v xml:space="preserve">RAY B. FIAR-OD </v>
      </c>
      <c r="T157" s="780">
        <v>30001</v>
      </c>
      <c r="U157" s="305" t="s">
        <v>825</v>
      </c>
      <c r="V157" s="447" t="s">
        <v>62</v>
      </c>
      <c r="W157" s="472">
        <v>25391</v>
      </c>
      <c r="X157" s="498">
        <f t="shared" ca="1" si="36"/>
        <v>20714.538043402776</v>
      </c>
      <c r="Y157" s="447" t="s">
        <v>826</v>
      </c>
      <c r="Z157" s="447"/>
      <c r="AA157" s="493">
        <v>35473</v>
      </c>
      <c r="AB157" s="493">
        <v>37561</v>
      </c>
      <c r="AC157" s="447" t="s">
        <v>64</v>
      </c>
      <c r="AD157" s="512" t="s">
        <v>102</v>
      </c>
      <c r="AE157" s="512"/>
      <c r="AF157" s="791">
        <v>29052</v>
      </c>
      <c r="AG157" s="530">
        <v>26314</v>
      </c>
      <c r="AH157" s="530">
        <v>30001</v>
      </c>
      <c r="AI157" s="530"/>
      <c r="AJ157" s="530">
        <f t="shared" ref="AJ157:AJ222" si="41">AH157-AG157</f>
        <v>3687</v>
      </c>
      <c r="AK157" s="530"/>
      <c r="AL157" s="800" t="s">
        <v>66</v>
      </c>
      <c r="AM157" s="305" t="s">
        <v>822</v>
      </c>
      <c r="AN157" s="423" t="s">
        <v>165</v>
      </c>
      <c r="AO157" s="757" t="s">
        <v>536</v>
      </c>
      <c r="AP157" s="447">
        <v>3</v>
      </c>
      <c r="AQ157" s="780">
        <v>30001</v>
      </c>
      <c r="AR157" s="305" t="s">
        <v>825</v>
      </c>
      <c r="AS157" s="821" t="str">
        <f t="shared" si="33"/>
        <v>With Incumbent</v>
      </c>
      <c r="AT157" s="534"/>
      <c r="AU157" s="822"/>
      <c r="AV157" s="534"/>
      <c r="AW157" s="534"/>
      <c r="AX157" s="837"/>
      <c r="AY157" s="838"/>
    </row>
    <row r="158" spans="1:51" s="531" customFormat="1" ht="22.5" customHeight="1">
      <c r="A158" s="741" t="s">
        <v>827</v>
      </c>
      <c r="B158" s="742" t="s">
        <v>268</v>
      </c>
      <c r="C158" s="423" t="s">
        <v>165</v>
      </c>
      <c r="D158" s="757" t="s">
        <v>536</v>
      </c>
      <c r="E158" s="448">
        <f t="shared" si="37"/>
        <v>348624</v>
      </c>
      <c r="F158" s="448">
        <f t="shared" si="38"/>
        <v>360012</v>
      </c>
      <c r="G158" s="448">
        <v>240816</v>
      </c>
      <c r="H158" s="447">
        <v>3</v>
      </c>
      <c r="I158" s="770" t="s">
        <v>828</v>
      </c>
      <c r="J158" s="447" t="s">
        <v>62</v>
      </c>
      <c r="K158" s="447" t="s">
        <v>158</v>
      </c>
      <c r="L158" s="447" t="s">
        <v>56</v>
      </c>
      <c r="M158" s="616" t="s">
        <v>167</v>
      </c>
      <c r="N158" s="545" t="s">
        <v>733</v>
      </c>
      <c r="O158" s="447" t="s">
        <v>829</v>
      </c>
      <c r="P158" s="447" t="str">
        <f t="shared" si="39"/>
        <v>CESAR</v>
      </c>
      <c r="Q158" s="447"/>
      <c r="R158" s="447" t="s">
        <v>122</v>
      </c>
      <c r="S158" s="534" t="str">
        <f t="shared" si="40"/>
        <v xml:space="preserve">CESAR C. ATING </v>
      </c>
      <c r="T158" s="780">
        <v>30001</v>
      </c>
      <c r="U158" s="305" t="s">
        <v>830</v>
      </c>
      <c r="V158" s="447" t="s">
        <v>62</v>
      </c>
      <c r="W158" s="472">
        <v>26872</v>
      </c>
      <c r="X158" s="498">
        <f t="shared" ca="1" si="36"/>
        <v>19233.538043287037</v>
      </c>
      <c r="Y158" s="447" t="s">
        <v>831</v>
      </c>
      <c r="Z158" s="447"/>
      <c r="AA158" s="493">
        <v>35100</v>
      </c>
      <c r="AB158" s="493">
        <v>37778</v>
      </c>
      <c r="AC158" s="447" t="s">
        <v>64</v>
      </c>
      <c r="AD158" s="512" t="s">
        <v>102</v>
      </c>
      <c r="AE158" s="512"/>
      <c r="AF158" s="791">
        <v>29052</v>
      </c>
      <c r="AG158" s="530">
        <v>26314</v>
      </c>
      <c r="AH158" s="530">
        <v>30001</v>
      </c>
      <c r="AI158" s="530"/>
      <c r="AJ158" s="530">
        <f t="shared" si="41"/>
        <v>3687</v>
      </c>
      <c r="AK158" s="530"/>
      <c r="AL158" s="800" t="s">
        <v>66</v>
      </c>
      <c r="AM158" s="305" t="s">
        <v>827</v>
      </c>
      <c r="AN158" s="423" t="s">
        <v>165</v>
      </c>
      <c r="AO158" s="757" t="s">
        <v>536</v>
      </c>
      <c r="AP158" s="447">
        <v>3</v>
      </c>
      <c r="AQ158" s="780">
        <v>30001</v>
      </c>
      <c r="AR158" s="305" t="s">
        <v>830</v>
      </c>
      <c r="AS158" s="821" t="str">
        <f t="shared" si="33"/>
        <v>With Incumbent</v>
      </c>
      <c r="AT158" s="534"/>
      <c r="AU158" s="822"/>
      <c r="AV158" s="534"/>
      <c r="AW158" s="534"/>
      <c r="AX158" s="837"/>
      <c r="AY158" s="838"/>
    </row>
    <row r="159" spans="1:51" s="531" customFormat="1" ht="22.5" hidden="1" customHeight="1">
      <c r="A159" s="741" t="s">
        <v>832</v>
      </c>
      <c r="B159" s="742" t="s">
        <v>174</v>
      </c>
      <c r="C159" s="423" t="s">
        <v>165</v>
      </c>
      <c r="D159" s="757" t="s">
        <v>536</v>
      </c>
      <c r="E159" s="448">
        <f t="shared" si="37"/>
        <v>348624</v>
      </c>
      <c r="F159" s="448">
        <f t="shared" si="38"/>
        <v>348624</v>
      </c>
      <c r="G159" s="448">
        <v>265824</v>
      </c>
      <c r="H159" s="447">
        <v>1</v>
      </c>
      <c r="I159" s="770" t="s">
        <v>833</v>
      </c>
      <c r="J159" s="447" t="s">
        <v>62</v>
      </c>
      <c r="K159" s="447" t="s">
        <v>158</v>
      </c>
      <c r="L159" s="447" t="s">
        <v>56</v>
      </c>
      <c r="M159" s="447" t="s">
        <v>174</v>
      </c>
      <c r="N159" s="545" t="s">
        <v>834</v>
      </c>
      <c r="O159" s="447" t="s">
        <v>835</v>
      </c>
      <c r="P159" s="447" t="str">
        <f t="shared" si="39"/>
        <v>REGINA ELIZABETH</v>
      </c>
      <c r="Q159" s="447"/>
      <c r="R159" s="447" t="s">
        <v>72</v>
      </c>
      <c r="S159" s="534" t="str">
        <f t="shared" si="40"/>
        <v xml:space="preserve">REGINA ELIZABETH L. MAMMAG </v>
      </c>
      <c r="T159" s="780">
        <v>29052</v>
      </c>
      <c r="U159" s="305" t="s">
        <v>836</v>
      </c>
      <c r="V159" s="447" t="s">
        <v>100</v>
      </c>
      <c r="W159" s="472">
        <v>24875</v>
      </c>
      <c r="X159" s="498">
        <f t="shared" ca="1" si="36"/>
        <v>21230.538043402776</v>
      </c>
      <c r="Y159" s="447" t="s">
        <v>837</v>
      </c>
      <c r="Z159" s="447"/>
      <c r="AA159" s="493">
        <v>35731</v>
      </c>
      <c r="AB159" s="493">
        <v>40262</v>
      </c>
      <c r="AC159" s="447" t="s">
        <v>64</v>
      </c>
      <c r="AD159" s="512" t="s">
        <v>102</v>
      </c>
      <c r="AE159" s="512"/>
      <c r="AF159" s="791">
        <v>29052</v>
      </c>
      <c r="AG159" s="530">
        <v>25295</v>
      </c>
      <c r="AH159" s="530">
        <v>29052</v>
      </c>
      <c r="AI159" s="530"/>
      <c r="AJ159" s="530">
        <f t="shared" si="41"/>
        <v>3757</v>
      </c>
      <c r="AK159" s="530"/>
      <c r="AL159" s="803" t="s">
        <v>245</v>
      </c>
      <c r="AM159" s="305" t="s">
        <v>832</v>
      </c>
      <c r="AN159" s="423" t="s">
        <v>157</v>
      </c>
      <c r="AO159" s="757" t="s">
        <v>285</v>
      </c>
      <c r="AP159" s="447">
        <v>1</v>
      </c>
      <c r="AQ159" s="780">
        <v>32973</v>
      </c>
      <c r="AR159" s="865" t="s">
        <v>836</v>
      </c>
      <c r="AS159" s="821" t="str">
        <f t="shared" si="33"/>
        <v>With Incumbent</v>
      </c>
      <c r="AT159" s="534"/>
      <c r="AU159" s="822"/>
      <c r="AV159" s="534"/>
      <c r="AW159" s="534"/>
      <c r="AX159" s="837"/>
      <c r="AY159" s="838"/>
    </row>
    <row r="160" spans="1:51" s="531" customFormat="1" ht="22.5" customHeight="1">
      <c r="A160" s="741" t="s">
        <v>838</v>
      </c>
      <c r="B160" s="742" t="s">
        <v>174</v>
      </c>
      <c r="C160" s="423" t="s">
        <v>165</v>
      </c>
      <c r="D160" s="757" t="s">
        <v>536</v>
      </c>
      <c r="E160" s="448">
        <f t="shared" si="37"/>
        <v>348624</v>
      </c>
      <c r="F160" s="448">
        <f t="shared" si="38"/>
        <v>384144</v>
      </c>
      <c r="G160" s="448">
        <v>265824</v>
      </c>
      <c r="H160" s="447">
        <v>7</v>
      </c>
      <c r="I160" s="770" t="s">
        <v>839</v>
      </c>
      <c r="J160" s="447" t="s">
        <v>62</v>
      </c>
      <c r="K160" s="447" t="s">
        <v>158</v>
      </c>
      <c r="L160" s="447" t="s">
        <v>56</v>
      </c>
      <c r="M160" s="447" t="s">
        <v>174</v>
      </c>
      <c r="N160" s="545" t="s">
        <v>840</v>
      </c>
      <c r="O160" s="447" t="s">
        <v>841</v>
      </c>
      <c r="P160" s="447" t="str">
        <f t="shared" si="39"/>
        <v>CAROL</v>
      </c>
      <c r="Q160" s="447"/>
      <c r="R160" s="447" t="s">
        <v>122</v>
      </c>
      <c r="S160" s="534" t="str">
        <f t="shared" si="40"/>
        <v xml:space="preserve">CAROL C. CABANAYAN </v>
      </c>
      <c r="T160" s="780">
        <v>32012</v>
      </c>
      <c r="U160" s="305" t="s">
        <v>842</v>
      </c>
      <c r="V160" s="447" t="s">
        <v>100</v>
      </c>
      <c r="W160" s="472">
        <v>21810</v>
      </c>
      <c r="X160" s="498">
        <f t="shared" ca="1" si="36"/>
        <v>24295.538043402776</v>
      </c>
      <c r="Y160" s="447" t="s">
        <v>843</v>
      </c>
      <c r="Z160" s="447"/>
      <c r="AA160" s="493">
        <v>32687</v>
      </c>
      <c r="AB160" s="493">
        <v>33451</v>
      </c>
      <c r="AC160" s="447" t="s">
        <v>64</v>
      </c>
      <c r="AD160" s="512" t="s">
        <v>102</v>
      </c>
      <c r="AE160" s="512"/>
      <c r="AF160" s="791">
        <v>29052</v>
      </c>
      <c r="AG160" s="530">
        <v>28494</v>
      </c>
      <c r="AH160" s="530">
        <v>32012</v>
      </c>
      <c r="AI160" s="530"/>
      <c r="AJ160" s="530">
        <f t="shared" si="41"/>
        <v>3518</v>
      </c>
      <c r="AK160" s="530"/>
      <c r="AL160" s="800" t="s">
        <v>66</v>
      </c>
      <c r="AM160" s="305" t="s">
        <v>838</v>
      </c>
      <c r="AN160" s="423" t="s">
        <v>165</v>
      </c>
      <c r="AO160" s="757" t="s">
        <v>536</v>
      </c>
      <c r="AP160" s="447">
        <v>7</v>
      </c>
      <c r="AQ160" s="780">
        <v>32012</v>
      </c>
      <c r="AR160" s="305" t="s">
        <v>842</v>
      </c>
      <c r="AS160" s="821" t="str">
        <f t="shared" si="33"/>
        <v>With Incumbent</v>
      </c>
      <c r="AT160" s="534"/>
      <c r="AU160" s="822"/>
      <c r="AV160" s="534"/>
      <c r="AW160" s="534"/>
      <c r="AX160" s="837"/>
      <c r="AY160" s="838"/>
    </row>
    <row r="161" spans="1:51" s="531" customFormat="1" ht="22.5" customHeight="1">
      <c r="A161" s="741" t="s">
        <v>844</v>
      </c>
      <c r="B161" s="742" t="s">
        <v>174</v>
      </c>
      <c r="C161" s="423" t="s">
        <v>165</v>
      </c>
      <c r="D161" s="757" t="s">
        <v>536</v>
      </c>
      <c r="E161" s="448">
        <f t="shared" si="37"/>
        <v>348624</v>
      </c>
      <c r="F161" s="448">
        <f t="shared" si="38"/>
        <v>365892</v>
      </c>
      <c r="G161" s="448">
        <v>253020</v>
      </c>
      <c r="H161" s="447">
        <v>4</v>
      </c>
      <c r="I161" s="770" t="s">
        <v>845</v>
      </c>
      <c r="J161" s="447" t="s">
        <v>62</v>
      </c>
      <c r="K161" s="447" t="s">
        <v>158</v>
      </c>
      <c r="L161" s="447" t="s">
        <v>56</v>
      </c>
      <c r="M161" s="616" t="s">
        <v>211</v>
      </c>
      <c r="N161" s="545" t="s">
        <v>846</v>
      </c>
      <c r="O161" s="447" t="s">
        <v>847</v>
      </c>
      <c r="P161" s="447" t="str">
        <f t="shared" si="39"/>
        <v>ELIZABETH</v>
      </c>
      <c r="Q161" s="447"/>
      <c r="R161" s="447" t="s">
        <v>115</v>
      </c>
      <c r="S161" s="534" t="str">
        <f t="shared" si="40"/>
        <v xml:space="preserve">ELIZABETH B. LORENZO </v>
      </c>
      <c r="T161" s="780">
        <v>30491</v>
      </c>
      <c r="U161" s="305" t="s">
        <v>848</v>
      </c>
      <c r="V161" s="447" t="s">
        <v>100</v>
      </c>
      <c r="W161" s="472">
        <v>22866</v>
      </c>
      <c r="X161" s="498">
        <f t="shared" ca="1" si="36"/>
        <v>23239.538043287037</v>
      </c>
      <c r="Y161" s="447" t="s">
        <v>849</v>
      </c>
      <c r="Z161" s="447"/>
      <c r="AA161" s="493">
        <v>31371</v>
      </c>
      <c r="AB161" s="493">
        <v>36145</v>
      </c>
      <c r="AC161" s="447" t="s">
        <v>64</v>
      </c>
      <c r="AD161" s="512" t="s">
        <v>102</v>
      </c>
      <c r="AE161" s="512"/>
      <c r="AF161" s="791">
        <v>29052</v>
      </c>
      <c r="AG161" s="530">
        <v>26842</v>
      </c>
      <c r="AH161" s="530">
        <v>30491</v>
      </c>
      <c r="AI161" s="530"/>
      <c r="AJ161" s="530">
        <f t="shared" si="41"/>
        <v>3649</v>
      </c>
      <c r="AK161" s="530"/>
      <c r="AL161" s="800" t="s">
        <v>66</v>
      </c>
      <c r="AM161" s="305" t="s">
        <v>844</v>
      </c>
      <c r="AN161" s="423" t="s">
        <v>165</v>
      </c>
      <c r="AO161" s="757" t="s">
        <v>536</v>
      </c>
      <c r="AP161" s="447">
        <v>4</v>
      </c>
      <c r="AQ161" s="780">
        <v>30491</v>
      </c>
      <c r="AR161" s="305" t="s">
        <v>848</v>
      </c>
      <c r="AS161" s="821" t="str">
        <f t="shared" si="33"/>
        <v>With Incumbent</v>
      </c>
      <c r="AT161" s="534"/>
      <c r="AU161" s="822"/>
      <c r="AV161" s="534"/>
      <c r="AW161" s="534"/>
      <c r="AX161" s="837"/>
      <c r="AY161" s="838"/>
    </row>
    <row r="162" spans="1:51" s="531" customFormat="1" ht="22.5" customHeight="1">
      <c r="A162" s="741" t="s">
        <v>850</v>
      </c>
      <c r="B162" s="742" t="s">
        <v>174</v>
      </c>
      <c r="C162" s="423" t="s">
        <v>165</v>
      </c>
      <c r="D162" s="757" t="s">
        <v>536</v>
      </c>
      <c r="E162" s="448">
        <f t="shared" si="37"/>
        <v>348624</v>
      </c>
      <c r="F162" s="448">
        <f t="shared" si="38"/>
        <v>360012</v>
      </c>
      <c r="G162" s="448">
        <v>240816</v>
      </c>
      <c r="H162" s="447">
        <v>3</v>
      </c>
      <c r="I162" s="770" t="s">
        <v>487</v>
      </c>
      <c r="J162" s="447" t="s">
        <v>64</v>
      </c>
      <c r="K162" s="447" t="s">
        <v>158</v>
      </c>
      <c r="L162" s="447" t="s">
        <v>56</v>
      </c>
      <c r="M162" s="616" t="s">
        <v>57</v>
      </c>
      <c r="N162" s="545" t="s">
        <v>851</v>
      </c>
      <c r="O162" s="447" t="s">
        <v>852</v>
      </c>
      <c r="P162" s="447" t="str">
        <f t="shared" si="39"/>
        <v>JOHNNY</v>
      </c>
      <c r="Q162" s="447"/>
      <c r="R162" s="447" t="s">
        <v>72</v>
      </c>
      <c r="S162" s="534" t="str">
        <f t="shared" si="40"/>
        <v xml:space="preserve">JOHNNY L. MAUTING </v>
      </c>
      <c r="T162" s="780">
        <v>30001</v>
      </c>
      <c r="U162" s="305" t="s">
        <v>853</v>
      </c>
      <c r="V162" s="447" t="s">
        <v>62</v>
      </c>
      <c r="W162" s="472">
        <v>26969</v>
      </c>
      <c r="X162" s="498">
        <f t="shared" ca="1" si="36"/>
        <v>19136.538043402776</v>
      </c>
      <c r="Y162" s="447" t="s">
        <v>854</v>
      </c>
      <c r="Z162" s="447"/>
      <c r="AA162" s="493">
        <v>34892</v>
      </c>
      <c r="AB162" s="493">
        <v>37355</v>
      </c>
      <c r="AC162" s="447" t="s">
        <v>64</v>
      </c>
      <c r="AD162" s="512" t="s">
        <v>102</v>
      </c>
      <c r="AE162" s="512"/>
      <c r="AF162" s="791">
        <v>29052</v>
      </c>
      <c r="AG162" s="530">
        <v>26314</v>
      </c>
      <c r="AH162" s="530">
        <v>30001</v>
      </c>
      <c r="AI162" s="530"/>
      <c r="AJ162" s="530">
        <f t="shared" si="41"/>
        <v>3687</v>
      </c>
      <c r="AK162" s="530"/>
      <c r="AL162" s="800" t="s">
        <v>66</v>
      </c>
      <c r="AM162" s="305" t="s">
        <v>850</v>
      </c>
      <c r="AN162" s="423" t="s">
        <v>165</v>
      </c>
      <c r="AO162" s="757" t="s">
        <v>536</v>
      </c>
      <c r="AP162" s="447">
        <v>3</v>
      </c>
      <c r="AQ162" s="780">
        <v>30001</v>
      </c>
      <c r="AR162" s="305" t="s">
        <v>853</v>
      </c>
      <c r="AS162" s="821" t="str">
        <f t="shared" si="33"/>
        <v>With Incumbent</v>
      </c>
      <c r="AT162" s="534"/>
      <c r="AU162" s="822"/>
      <c r="AV162" s="534"/>
      <c r="AW162" s="534"/>
      <c r="AX162" s="837"/>
      <c r="AY162" s="838"/>
    </row>
    <row r="163" spans="1:51" s="531" customFormat="1" ht="22.5" customHeight="1">
      <c r="A163" s="741" t="s">
        <v>855</v>
      </c>
      <c r="B163" s="742" t="s">
        <v>174</v>
      </c>
      <c r="C163" s="423" t="s">
        <v>165</v>
      </c>
      <c r="D163" s="757" t="s">
        <v>536</v>
      </c>
      <c r="E163" s="448">
        <f t="shared" si="37"/>
        <v>348624</v>
      </c>
      <c r="F163" s="448">
        <f t="shared" si="38"/>
        <v>377940</v>
      </c>
      <c r="G163" s="448">
        <v>259344</v>
      </c>
      <c r="H163" s="447">
        <v>6</v>
      </c>
      <c r="I163" s="770" t="s">
        <v>856</v>
      </c>
      <c r="J163" s="447" t="s">
        <v>62</v>
      </c>
      <c r="K163" s="447" t="s">
        <v>158</v>
      </c>
      <c r="L163" s="447" t="s">
        <v>56</v>
      </c>
      <c r="M163" s="447" t="s">
        <v>174</v>
      </c>
      <c r="N163" s="545" t="s">
        <v>857</v>
      </c>
      <c r="O163" s="447" t="s">
        <v>858</v>
      </c>
      <c r="P163" s="447" t="str">
        <f t="shared" si="39"/>
        <v>ISABEL</v>
      </c>
      <c r="Q163" s="447"/>
      <c r="R163" s="447" t="s">
        <v>81</v>
      </c>
      <c r="S163" s="534" t="str">
        <f t="shared" si="40"/>
        <v xml:space="preserve">ISABEL A. BULAYUNGAN </v>
      </c>
      <c r="T163" s="780">
        <v>31495</v>
      </c>
      <c r="U163" s="305" t="s">
        <v>859</v>
      </c>
      <c r="V163" s="447" t="s">
        <v>100</v>
      </c>
      <c r="W163" s="472">
        <v>22163</v>
      </c>
      <c r="X163" s="498">
        <f t="shared" ca="1" si="36"/>
        <v>23942.538043402776</v>
      </c>
      <c r="Y163" s="447" t="s">
        <v>860</v>
      </c>
      <c r="Z163" s="472">
        <v>32687</v>
      </c>
      <c r="AA163" s="493">
        <v>30133</v>
      </c>
      <c r="AB163" s="493">
        <v>34001</v>
      </c>
      <c r="AC163" s="447" t="s">
        <v>64</v>
      </c>
      <c r="AD163" s="512" t="s">
        <v>102</v>
      </c>
      <c r="AE163" s="512"/>
      <c r="AF163" s="791">
        <v>29052</v>
      </c>
      <c r="AG163" s="530">
        <v>27931</v>
      </c>
      <c r="AH163" s="530">
        <v>31495</v>
      </c>
      <c r="AI163" s="530"/>
      <c r="AJ163" s="530">
        <f t="shared" si="41"/>
        <v>3564</v>
      </c>
      <c r="AK163" s="530"/>
      <c r="AL163" s="800" t="s">
        <v>66</v>
      </c>
      <c r="AM163" s="305" t="s">
        <v>855</v>
      </c>
      <c r="AN163" s="423" t="s">
        <v>165</v>
      </c>
      <c r="AO163" s="757" t="s">
        <v>536</v>
      </c>
      <c r="AP163" s="447">
        <v>6</v>
      </c>
      <c r="AQ163" s="780">
        <v>31495</v>
      </c>
      <c r="AR163" s="305" t="s">
        <v>859</v>
      </c>
      <c r="AS163" s="821" t="str">
        <f t="shared" ref="AS163:AS206" si="42">IF(AR163="(Vacant)",AR163,IF(AR163="",AR163,"With Incumbent"))</f>
        <v>With Incumbent</v>
      </c>
      <c r="AT163" s="534"/>
      <c r="AU163" s="822"/>
      <c r="AV163" s="534"/>
      <c r="AW163" s="534"/>
      <c r="AX163" s="837"/>
      <c r="AY163" s="838"/>
    </row>
    <row r="164" spans="1:51" s="531" customFormat="1" ht="22.5" customHeight="1">
      <c r="A164" s="741" t="s">
        <v>861</v>
      </c>
      <c r="B164" s="742" t="s">
        <v>174</v>
      </c>
      <c r="C164" s="423" t="s">
        <v>165</v>
      </c>
      <c r="D164" s="757" t="s">
        <v>536</v>
      </c>
      <c r="E164" s="448">
        <f t="shared" si="37"/>
        <v>348624</v>
      </c>
      <c r="F164" s="448">
        <f t="shared" si="38"/>
        <v>348624</v>
      </c>
      <c r="G164" s="448">
        <v>272460</v>
      </c>
      <c r="H164" s="447">
        <v>1</v>
      </c>
      <c r="I164" s="770" t="s">
        <v>862</v>
      </c>
      <c r="J164" s="447" t="s">
        <v>62</v>
      </c>
      <c r="K164" s="447" t="s">
        <v>158</v>
      </c>
      <c r="L164" s="447" t="s">
        <v>56</v>
      </c>
      <c r="M164" s="616" t="s">
        <v>211</v>
      </c>
      <c r="N164" s="545" t="s">
        <v>863</v>
      </c>
      <c r="O164" s="447" t="s">
        <v>864</v>
      </c>
      <c r="P164" s="447" t="str">
        <f t="shared" si="39"/>
        <v>HELEN</v>
      </c>
      <c r="Q164" s="447"/>
      <c r="R164" s="447" t="s">
        <v>865</v>
      </c>
      <c r="S164" s="534" t="str">
        <f t="shared" si="40"/>
        <v xml:space="preserve">HELEN E. LACUESTA </v>
      </c>
      <c r="T164" s="780">
        <v>29052</v>
      </c>
      <c r="U164" s="305" t="s">
        <v>866</v>
      </c>
      <c r="V164" s="447" t="s">
        <v>100</v>
      </c>
      <c r="W164" s="472">
        <v>28004</v>
      </c>
      <c r="X164" s="498">
        <f t="shared" ca="1" si="36"/>
        <v>18101.538043287037</v>
      </c>
      <c r="Y164" s="447" t="s">
        <v>867</v>
      </c>
      <c r="Z164" s="447"/>
      <c r="AA164" s="493">
        <v>36000</v>
      </c>
      <c r="AB164" s="493">
        <v>40262</v>
      </c>
      <c r="AC164" s="447" t="s">
        <v>64</v>
      </c>
      <c r="AD164" s="512" t="s">
        <v>228</v>
      </c>
      <c r="AE164" s="512"/>
      <c r="AF164" s="791">
        <v>29052</v>
      </c>
      <c r="AG164" s="530">
        <v>25295</v>
      </c>
      <c r="AH164" s="530">
        <v>29052</v>
      </c>
      <c r="AI164" s="530"/>
      <c r="AJ164" s="530">
        <f t="shared" si="41"/>
        <v>3757</v>
      </c>
      <c r="AK164" s="530"/>
      <c r="AL164" s="800" t="s">
        <v>66</v>
      </c>
      <c r="AM164" s="305" t="s">
        <v>861</v>
      </c>
      <c r="AN164" s="423" t="s">
        <v>165</v>
      </c>
      <c r="AO164" s="757" t="s">
        <v>536</v>
      </c>
      <c r="AP164" s="447">
        <v>1</v>
      </c>
      <c r="AQ164" s="780">
        <v>29052</v>
      </c>
      <c r="AR164" s="305" t="s">
        <v>866</v>
      </c>
      <c r="AS164" s="821" t="str">
        <f t="shared" si="42"/>
        <v>With Incumbent</v>
      </c>
      <c r="AT164" s="534"/>
      <c r="AU164" s="822"/>
      <c r="AV164" s="534"/>
      <c r="AW164" s="534"/>
      <c r="AX164" s="837"/>
      <c r="AY164" s="838"/>
    </row>
    <row r="165" spans="1:51" s="531" customFormat="1" ht="22.5" customHeight="1">
      <c r="A165" s="741" t="s">
        <v>868</v>
      </c>
      <c r="B165" s="742" t="s">
        <v>174</v>
      </c>
      <c r="C165" s="423" t="s">
        <v>165</v>
      </c>
      <c r="D165" s="757" t="s">
        <v>536</v>
      </c>
      <c r="E165" s="448">
        <f t="shared" si="37"/>
        <v>348624</v>
      </c>
      <c r="F165" s="448">
        <f t="shared" si="38"/>
        <v>390468</v>
      </c>
      <c r="G165" s="448">
        <v>272460</v>
      </c>
      <c r="H165" s="447">
        <v>8</v>
      </c>
      <c r="I165" s="770" t="s">
        <v>869</v>
      </c>
      <c r="J165" s="447" t="s">
        <v>62</v>
      </c>
      <c r="K165" s="447" t="s">
        <v>158</v>
      </c>
      <c r="L165" s="447" t="s">
        <v>56</v>
      </c>
      <c r="M165" s="447" t="s">
        <v>174</v>
      </c>
      <c r="N165" s="545" t="s">
        <v>870</v>
      </c>
      <c r="O165" s="447" t="s">
        <v>871</v>
      </c>
      <c r="P165" s="447" t="str">
        <f t="shared" si="39"/>
        <v>AILEEN</v>
      </c>
      <c r="Q165" s="447"/>
      <c r="R165" s="447" t="s">
        <v>62</v>
      </c>
      <c r="S165" s="534" t="str">
        <f t="shared" si="40"/>
        <v xml:space="preserve">AILEEN M. SALVADOR </v>
      </c>
      <c r="T165" s="780">
        <v>32539</v>
      </c>
      <c r="U165" s="305" t="s">
        <v>872</v>
      </c>
      <c r="V165" s="447" t="s">
        <v>100</v>
      </c>
      <c r="W165" s="472">
        <v>17924</v>
      </c>
      <c r="X165" s="498">
        <f t="shared" ca="1" si="36"/>
        <v>28181.538043402776</v>
      </c>
      <c r="Y165" s="447" t="s">
        <v>873</v>
      </c>
      <c r="Z165" s="472">
        <v>27288</v>
      </c>
      <c r="AA165" s="493">
        <v>26551</v>
      </c>
      <c r="AB165" s="493">
        <v>32371</v>
      </c>
      <c r="AC165" s="447" t="s">
        <v>64</v>
      </c>
      <c r="AD165" s="512" t="s">
        <v>102</v>
      </c>
      <c r="AE165" s="512"/>
      <c r="AF165" s="791">
        <v>29052</v>
      </c>
      <c r="AG165" s="530">
        <v>29070</v>
      </c>
      <c r="AH165" s="530">
        <v>32539</v>
      </c>
      <c r="AI165" s="530"/>
      <c r="AJ165" s="530">
        <f t="shared" si="41"/>
        <v>3469</v>
      </c>
      <c r="AK165" s="530"/>
      <c r="AL165" s="800" t="s">
        <v>66</v>
      </c>
      <c r="AM165" s="305" t="s">
        <v>868</v>
      </c>
      <c r="AN165" s="423" t="s">
        <v>165</v>
      </c>
      <c r="AO165" s="757" t="s">
        <v>536</v>
      </c>
      <c r="AP165" s="447">
        <v>8</v>
      </c>
      <c r="AQ165" s="780">
        <v>32539</v>
      </c>
      <c r="AR165" s="305" t="s">
        <v>872</v>
      </c>
      <c r="AS165" s="821" t="str">
        <f t="shared" si="42"/>
        <v>With Incumbent</v>
      </c>
      <c r="AT165" s="534"/>
      <c r="AU165" s="822"/>
      <c r="AV165" s="534"/>
      <c r="AW165" s="534"/>
      <c r="AX165" s="837"/>
      <c r="AY165" s="838"/>
    </row>
    <row r="166" spans="1:51" s="531" customFormat="1" ht="22.5" customHeight="1">
      <c r="A166" s="741" t="s">
        <v>874</v>
      </c>
      <c r="B166" s="742" t="s">
        <v>174</v>
      </c>
      <c r="C166" s="423" t="s">
        <v>165</v>
      </c>
      <c r="D166" s="757" t="s">
        <v>536</v>
      </c>
      <c r="E166" s="448">
        <f t="shared" si="37"/>
        <v>348624</v>
      </c>
      <c r="F166" s="448">
        <f t="shared" si="38"/>
        <v>377940</v>
      </c>
      <c r="G166" s="448">
        <v>259344</v>
      </c>
      <c r="H166" s="447">
        <v>6</v>
      </c>
      <c r="I166" s="770" t="s">
        <v>487</v>
      </c>
      <c r="J166" s="447" t="s">
        <v>64</v>
      </c>
      <c r="K166" s="447" t="s">
        <v>158</v>
      </c>
      <c r="L166" s="447" t="s">
        <v>56</v>
      </c>
      <c r="M166" s="616" t="s">
        <v>167</v>
      </c>
      <c r="N166" s="545" t="s">
        <v>875</v>
      </c>
      <c r="O166" s="447" t="s">
        <v>852</v>
      </c>
      <c r="P166" s="447" t="str">
        <f t="shared" si="39"/>
        <v>JOHNNY</v>
      </c>
      <c r="Q166" s="447"/>
      <c r="R166" s="447" t="s">
        <v>170</v>
      </c>
      <c r="S166" s="534" t="str">
        <f t="shared" si="40"/>
        <v xml:space="preserve">JOHNNY I. DAG-O </v>
      </c>
      <c r="T166" s="780">
        <v>31495</v>
      </c>
      <c r="U166" s="305" t="s">
        <v>876</v>
      </c>
      <c r="V166" s="447" t="s">
        <v>62</v>
      </c>
      <c r="W166" s="472">
        <v>17852</v>
      </c>
      <c r="X166" s="498">
        <f t="shared" ca="1" si="36"/>
        <v>28253.538043287037</v>
      </c>
      <c r="Y166" s="447" t="s">
        <v>877</v>
      </c>
      <c r="Z166" s="447"/>
      <c r="AA166" s="493">
        <v>29921</v>
      </c>
      <c r="AB166" s="493">
        <v>34608</v>
      </c>
      <c r="AC166" s="447" t="s">
        <v>64</v>
      </c>
      <c r="AD166" s="512" t="s">
        <v>102</v>
      </c>
      <c r="AE166" s="512"/>
      <c r="AF166" s="791">
        <v>29052</v>
      </c>
      <c r="AG166" s="530">
        <v>27931</v>
      </c>
      <c r="AH166" s="530">
        <v>31495</v>
      </c>
      <c r="AI166" s="530"/>
      <c r="AJ166" s="530">
        <f t="shared" si="41"/>
        <v>3564</v>
      </c>
      <c r="AK166" s="530"/>
      <c r="AL166" s="800" t="s">
        <v>66</v>
      </c>
      <c r="AM166" s="305" t="s">
        <v>874</v>
      </c>
      <c r="AN166" s="423" t="s">
        <v>165</v>
      </c>
      <c r="AO166" s="757" t="s">
        <v>536</v>
      </c>
      <c r="AP166" s="447">
        <v>6</v>
      </c>
      <c r="AQ166" s="780">
        <v>31495</v>
      </c>
      <c r="AR166" s="305" t="s">
        <v>876</v>
      </c>
      <c r="AS166" s="821" t="str">
        <f t="shared" si="42"/>
        <v>With Incumbent</v>
      </c>
      <c r="AT166" s="534"/>
      <c r="AU166" s="822"/>
      <c r="AV166" s="534"/>
      <c r="AW166" s="534"/>
      <c r="AX166" s="837"/>
      <c r="AY166" s="838"/>
    </row>
    <row r="167" spans="1:51" s="531" customFormat="1" ht="22.5" customHeight="1">
      <c r="A167" s="741" t="s">
        <v>878</v>
      </c>
      <c r="B167" s="742" t="s">
        <v>174</v>
      </c>
      <c r="C167" s="423" t="s">
        <v>165</v>
      </c>
      <c r="D167" s="757" t="s">
        <v>536</v>
      </c>
      <c r="E167" s="448">
        <f t="shared" si="37"/>
        <v>348624</v>
      </c>
      <c r="F167" s="448">
        <f t="shared" si="38"/>
        <v>384144</v>
      </c>
      <c r="G167" s="448">
        <v>272460</v>
      </c>
      <c r="H167" s="447">
        <v>7</v>
      </c>
      <c r="I167" s="770" t="s">
        <v>879</v>
      </c>
      <c r="J167" s="447" t="s">
        <v>62</v>
      </c>
      <c r="K167" s="447" t="s">
        <v>158</v>
      </c>
      <c r="L167" s="447" t="s">
        <v>56</v>
      </c>
      <c r="M167" s="447" t="s">
        <v>174</v>
      </c>
      <c r="N167" s="545" t="s">
        <v>880</v>
      </c>
      <c r="O167" s="447" t="s">
        <v>563</v>
      </c>
      <c r="P167" s="447" t="str">
        <f t="shared" si="39"/>
        <v>EMMANUEL</v>
      </c>
      <c r="Q167" s="447"/>
      <c r="R167" s="447" t="s">
        <v>647</v>
      </c>
      <c r="S167" s="534" t="str">
        <f t="shared" si="40"/>
        <v xml:space="preserve">EMMANUEL H. BANGO </v>
      </c>
      <c r="T167" s="780">
        <v>32012</v>
      </c>
      <c r="U167" s="305" t="s">
        <v>881</v>
      </c>
      <c r="V167" s="447" t="s">
        <v>62</v>
      </c>
      <c r="W167" s="472">
        <v>22868</v>
      </c>
      <c r="X167" s="498">
        <f t="shared" ca="1" si="36"/>
        <v>23237.538043402776</v>
      </c>
      <c r="Y167" s="447" t="s">
        <v>882</v>
      </c>
      <c r="Z167" s="447"/>
      <c r="AA167" s="493">
        <v>31336</v>
      </c>
      <c r="AB167" s="493">
        <v>32687</v>
      </c>
      <c r="AC167" s="447" t="s">
        <v>64</v>
      </c>
      <c r="AD167" s="512" t="s">
        <v>102</v>
      </c>
      <c r="AE167" s="512"/>
      <c r="AF167" s="791">
        <v>29052</v>
      </c>
      <c r="AG167" s="530">
        <v>28494</v>
      </c>
      <c r="AH167" s="530">
        <v>32012</v>
      </c>
      <c r="AI167" s="530"/>
      <c r="AJ167" s="530">
        <f t="shared" si="41"/>
        <v>3518</v>
      </c>
      <c r="AK167" s="530"/>
      <c r="AL167" s="800" t="s">
        <v>66</v>
      </c>
      <c r="AM167" s="305" t="s">
        <v>878</v>
      </c>
      <c r="AN167" s="423" t="s">
        <v>165</v>
      </c>
      <c r="AO167" s="757" t="s">
        <v>536</v>
      </c>
      <c r="AP167" s="447">
        <v>7</v>
      </c>
      <c r="AQ167" s="780">
        <v>32012</v>
      </c>
      <c r="AR167" s="305" t="s">
        <v>881</v>
      </c>
      <c r="AS167" s="821" t="str">
        <f t="shared" si="42"/>
        <v>With Incumbent</v>
      </c>
      <c r="AT167" s="534"/>
      <c r="AU167" s="822"/>
      <c r="AV167" s="534"/>
      <c r="AW167" s="534"/>
      <c r="AX167" s="837"/>
      <c r="AY167" s="838"/>
    </row>
    <row r="168" spans="1:51" s="531" customFormat="1" ht="22.5" customHeight="1">
      <c r="A168" s="741" t="s">
        <v>883</v>
      </c>
      <c r="B168" s="742" t="s">
        <v>174</v>
      </c>
      <c r="C168" s="423" t="s">
        <v>165</v>
      </c>
      <c r="D168" s="757" t="s">
        <v>536</v>
      </c>
      <c r="E168" s="448">
        <f t="shared" si="37"/>
        <v>348624</v>
      </c>
      <c r="F168" s="448">
        <f t="shared" si="38"/>
        <v>384144</v>
      </c>
      <c r="G168" s="448">
        <v>272460</v>
      </c>
      <c r="H168" s="447">
        <v>7</v>
      </c>
      <c r="I168" s="770" t="s">
        <v>833</v>
      </c>
      <c r="J168" s="447" t="s">
        <v>62</v>
      </c>
      <c r="K168" s="447" t="s">
        <v>158</v>
      </c>
      <c r="L168" s="447" t="s">
        <v>56</v>
      </c>
      <c r="M168" s="447" t="s">
        <v>174</v>
      </c>
      <c r="N168" s="545" t="s">
        <v>884</v>
      </c>
      <c r="O168" s="447" t="s">
        <v>885</v>
      </c>
      <c r="P168" s="447" t="str">
        <f t="shared" si="39"/>
        <v>GUILLAUME</v>
      </c>
      <c r="Q168" s="447"/>
      <c r="R168" s="447" t="s">
        <v>72</v>
      </c>
      <c r="S168" s="534" t="str">
        <f t="shared" si="40"/>
        <v xml:space="preserve">GUILLAUME L. ADAWE </v>
      </c>
      <c r="T168" s="780">
        <v>32012</v>
      </c>
      <c r="U168" s="305" t="s">
        <v>886</v>
      </c>
      <c r="V168" s="447" t="s">
        <v>62</v>
      </c>
      <c r="W168" s="472">
        <v>22312</v>
      </c>
      <c r="X168" s="498">
        <f t="shared" ca="1" si="36"/>
        <v>23793.538043402776</v>
      </c>
      <c r="Y168" s="447" t="s">
        <v>887</v>
      </c>
      <c r="Z168" s="493">
        <v>32687</v>
      </c>
      <c r="AA168" s="493">
        <v>32251</v>
      </c>
      <c r="AB168" s="493">
        <v>32687</v>
      </c>
      <c r="AC168" s="447" t="s">
        <v>64</v>
      </c>
      <c r="AD168" s="512" t="s">
        <v>102</v>
      </c>
      <c r="AE168" s="512"/>
      <c r="AF168" s="791">
        <v>29052</v>
      </c>
      <c r="AG168" s="530">
        <v>28494</v>
      </c>
      <c r="AH168" s="530">
        <v>32012</v>
      </c>
      <c r="AI168" s="530"/>
      <c r="AJ168" s="530">
        <f t="shared" si="41"/>
        <v>3518</v>
      </c>
      <c r="AK168" s="530"/>
      <c r="AL168" s="800" t="s">
        <v>66</v>
      </c>
      <c r="AM168" s="305" t="s">
        <v>883</v>
      </c>
      <c r="AN168" s="423" t="s">
        <v>165</v>
      </c>
      <c r="AO168" s="757" t="s">
        <v>536</v>
      </c>
      <c r="AP168" s="447">
        <v>7</v>
      </c>
      <c r="AQ168" s="780">
        <v>32012</v>
      </c>
      <c r="AR168" s="305" t="s">
        <v>886</v>
      </c>
      <c r="AS168" s="821" t="str">
        <f t="shared" si="42"/>
        <v>With Incumbent</v>
      </c>
      <c r="AT168" s="534"/>
      <c r="AU168" s="822"/>
      <c r="AV168" s="534"/>
      <c r="AW168" s="534"/>
      <c r="AX168" s="837"/>
      <c r="AY168" s="838"/>
    </row>
    <row r="169" spans="1:51" s="531" customFormat="1" ht="22.5" customHeight="1">
      <c r="A169" s="741" t="s">
        <v>888</v>
      </c>
      <c r="B169" s="742" t="s">
        <v>211</v>
      </c>
      <c r="C169" s="423" t="s">
        <v>165</v>
      </c>
      <c r="D169" s="757" t="s">
        <v>536</v>
      </c>
      <c r="E169" s="448">
        <f t="shared" si="37"/>
        <v>348624</v>
      </c>
      <c r="F169" s="448">
        <f t="shared" si="38"/>
        <v>390468</v>
      </c>
      <c r="G169" s="448">
        <v>272460</v>
      </c>
      <c r="H169" s="447">
        <v>8</v>
      </c>
      <c r="I169" s="770" t="s">
        <v>889</v>
      </c>
      <c r="J169" s="447" t="s">
        <v>62</v>
      </c>
      <c r="K169" s="447" t="s">
        <v>158</v>
      </c>
      <c r="L169" s="447" t="s">
        <v>56</v>
      </c>
      <c r="M169" s="447" t="s">
        <v>211</v>
      </c>
      <c r="N169" s="545" t="s">
        <v>890</v>
      </c>
      <c r="O169" s="447" t="s">
        <v>891</v>
      </c>
      <c r="P169" s="447" t="str">
        <f t="shared" si="39"/>
        <v>ARISTIO</v>
      </c>
      <c r="Q169" s="447"/>
      <c r="R169" s="447" t="s">
        <v>115</v>
      </c>
      <c r="S169" s="534" t="str">
        <f t="shared" si="40"/>
        <v xml:space="preserve">ARISTIO B. ANDE </v>
      </c>
      <c r="T169" s="780">
        <v>32539</v>
      </c>
      <c r="U169" s="305" t="s">
        <v>892</v>
      </c>
      <c r="V169" s="447" t="s">
        <v>62</v>
      </c>
      <c r="W169" s="472">
        <v>18874</v>
      </c>
      <c r="X169" s="498">
        <f t="shared" ca="1" si="36"/>
        <v>27231.538043287037</v>
      </c>
      <c r="Y169" s="447" t="s">
        <v>893</v>
      </c>
      <c r="Z169" s="472">
        <v>31260</v>
      </c>
      <c r="AA169" s="493">
        <v>27828</v>
      </c>
      <c r="AB169" s="493">
        <v>32371</v>
      </c>
      <c r="AC169" s="447" t="s">
        <v>64</v>
      </c>
      <c r="AD169" s="512" t="s">
        <v>102</v>
      </c>
      <c r="AE169" s="512"/>
      <c r="AF169" s="791">
        <v>29052</v>
      </c>
      <c r="AG169" s="530">
        <v>29070</v>
      </c>
      <c r="AH169" s="530">
        <v>32539</v>
      </c>
      <c r="AI169" s="530"/>
      <c r="AJ169" s="530">
        <f t="shared" si="41"/>
        <v>3469</v>
      </c>
      <c r="AK169" s="530"/>
      <c r="AL169" s="800" t="s">
        <v>66</v>
      </c>
      <c r="AM169" s="305" t="s">
        <v>888</v>
      </c>
      <c r="AN169" s="423" t="s">
        <v>165</v>
      </c>
      <c r="AO169" s="757" t="s">
        <v>536</v>
      </c>
      <c r="AP169" s="447">
        <v>8</v>
      </c>
      <c r="AQ169" s="780">
        <v>32539</v>
      </c>
      <c r="AR169" s="305" t="s">
        <v>892</v>
      </c>
      <c r="AS169" s="821" t="str">
        <f t="shared" si="42"/>
        <v>With Incumbent</v>
      </c>
      <c r="AT169" s="534"/>
      <c r="AU169" s="822"/>
      <c r="AV169" s="534"/>
      <c r="AW169" s="534"/>
      <c r="AX169" s="837"/>
      <c r="AY169" s="838"/>
    </row>
    <row r="170" spans="1:51" s="531" customFormat="1" ht="22.5" hidden="1" customHeight="1">
      <c r="A170" s="741" t="s">
        <v>894</v>
      </c>
      <c r="B170" s="742" t="s">
        <v>211</v>
      </c>
      <c r="C170" s="423" t="s">
        <v>165</v>
      </c>
      <c r="D170" s="757" t="s">
        <v>536</v>
      </c>
      <c r="E170" s="448">
        <f t="shared" si="37"/>
        <v>348624</v>
      </c>
      <c r="F170" s="448">
        <f t="shared" si="38"/>
        <v>371856</v>
      </c>
      <c r="G170" s="448">
        <v>253020</v>
      </c>
      <c r="H170" s="447">
        <v>5</v>
      </c>
      <c r="I170" s="770" t="s">
        <v>895</v>
      </c>
      <c r="J170" s="447" t="s">
        <v>62</v>
      </c>
      <c r="K170" s="447" t="s">
        <v>158</v>
      </c>
      <c r="L170" s="447" t="s">
        <v>56</v>
      </c>
      <c r="M170" s="447" t="s">
        <v>211</v>
      </c>
      <c r="N170" s="545" t="s">
        <v>896</v>
      </c>
      <c r="O170" s="447" t="s">
        <v>897</v>
      </c>
      <c r="P170" s="447" t="str">
        <f t="shared" si="39"/>
        <v>ROSALINDA</v>
      </c>
      <c r="Q170" s="447"/>
      <c r="R170" s="447" t="s">
        <v>115</v>
      </c>
      <c r="S170" s="534" t="str">
        <f t="shared" si="40"/>
        <v xml:space="preserve">ROSALINDA B. SANTIAGO </v>
      </c>
      <c r="T170" s="780">
        <v>30988</v>
      </c>
      <c r="U170" s="305" t="s">
        <v>898</v>
      </c>
      <c r="V170" s="447" t="s">
        <v>100</v>
      </c>
      <c r="W170" s="472">
        <v>20117</v>
      </c>
      <c r="X170" s="498">
        <f t="shared" ca="1" si="36"/>
        <v>25988.538043402776</v>
      </c>
      <c r="Y170" s="447" t="s">
        <v>899</v>
      </c>
      <c r="Z170" s="447"/>
      <c r="AA170" s="493">
        <v>27120</v>
      </c>
      <c r="AB170" s="493">
        <v>35374</v>
      </c>
      <c r="AC170" s="447" t="s">
        <v>64</v>
      </c>
      <c r="AD170" s="512" t="s">
        <v>102</v>
      </c>
      <c r="AE170" s="512"/>
      <c r="AF170" s="791">
        <v>29052</v>
      </c>
      <c r="AG170" s="530">
        <v>27381</v>
      </c>
      <c r="AH170" s="530">
        <v>30988</v>
      </c>
      <c r="AI170" s="530"/>
      <c r="AJ170" s="530">
        <f t="shared" si="41"/>
        <v>3607</v>
      </c>
      <c r="AK170" s="530"/>
      <c r="AL170" s="803" t="s">
        <v>245</v>
      </c>
      <c r="AM170" s="305" t="s">
        <v>894</v>
      </c>
      <c r="AN170" s="423" t="s">
        <v>157</v>
      </c>
      <c r="AO170" s="757" t="s">
        <v>285</v>
      </c>
      <c r="AP170" s="447">
        <v>1</v>
      </c>
      <c r="AQ170" s="780">
        <v>32973</v>
      </c>
      <c r="AR170" s="865" t="s">
        <v>898</v>
      </c>
      <c r="AS170" s="821" t="str">
        <f t="shared" si="42"/>
        <v>With Incumbent</v>
      </c>
      <c r="AT170" s="534"/>
      <c r="AU170" s="822"/>
      <c r="AV170" s="534"/>
      <c r="AW170" s="534"/>
      <c r="AX170" s="837"/>
      <c r="AY170" s="838"/>
    </row>
    <row r="171" spans="1:51" s="531" customFormat="1" ht="22.5" customHeight="1">
      <c r="A171" s="741" t="s">
        <v>900</v>
      </c>
      <c r="B171" s="742" t="s">
        <v>181</v>
      </c>
      <c r="C171" s="423" t="s">
        <v>165</v>
      </c>
      <c r="D171" s="757" t="s">
        <v>536</v>
      </c>
      <c r="E171" s="448">
        <f t="shared" si="37"/>
        <v>348624</v>
      </c>
      <c r="F171" s="448">
        <f t="shared" si="38"/>
        <v>354264</v>
      </c>
      <c r="G171" s="448">
        <v>234948</v>
      </c>
      <c r="H171" s="447">
        <v>2</v>
      </c>
      <c r="I171" s="770" t="s">
        <v>901</v>
      </c>
      <c r="J171" s="447" t="s">
        <v>62</v>
      </c>
      <c r="K171" s="447" t="s">
        <v>158</v>
      </c>
      <c r="L171" s="447" t="s">
        <v>56</v>
      </c>
      <c r="M171" s="447" t="s">
        <v>181</v>
      </c>
      <c r="N171" s="545" t="s">
        <v>681</v>
      </c>
      <c r="O171" s="447" t="s">
        <v>314</v>
      </c>
      <c r="P171" s="447" t="str">
        <f t="shared" si="39"/>
        <v>NORMAN</v>
      </c>
      <c r="Q171" s="447"/>
      <c r="R171" s="447" t="s">
        <v>60</v>
      </c>
      <c r="S171" s="534" t="str">
        <f t="shared" si="40"/>
        <v xml:space="preserve">NORMAN D. VENUS </v>
      </c>
      <c r="T171" s="780">
        <v>29522</v>
      </c>
      <c r="U171" s="305" t="s">
        <v>902</v>
      </c>
      <c r="V171" s="447" t="s">
        <v>62</v>
      </c>
      <c r="W171" s="472">
        <v>24297</v>
      </c>
      <c r="X171" s="498">
        <f t="shared" ca="1" si="36"/>
        <v>21808.538043287037</v>
      </c>
      <c r="Y171" s="447" t="s">
        <v>903</v>
      </c>
      <c r="Z171" s="447"/>
      <c r="AA171" s="493">
        <v>35264</v>
      </c>
      <c r="AB171" s="493">
        <v>39170</v>
      </c>
      <c r="AC171" s="447" t="s">
        <v>64</v>
      </c>
      <c r="AD171" s="512" t="s">
        <v>102</v>
      </c>
      <c r="AE171" s="512"/>
      <c r="AF171" s="791">
        <v>29052</v>
      </c>
      <c r="AG171" s="530">
        <v>25799</v>
      </c>
      <c r="AH171" s="530">
        <v>29522</v>
      </c>
      <c r="AI171" s="530"/>
      <c r="AJ171" s="530">
        <f t="shared" si="41"/>
        <v>3723</v>
      </c>
      <c r="AK171" s="530"/>
      <c r="AL171" s="800" t="s">
        <v>66</v>
      </c>
      <c r="AM171" s="305" t="s">
        <v>900</v>
      </c>
      <c r="AN171" s="423" t="s">
        <v>165</v>
      </c>
      <c r="AO171" s="757" t="s">
        <v>536</v>
      </c>
      <c r="AP171" s="447">
        <v>2</v>
      </c>
      <c r="AQ171" s="780">
        <v>29522</v>
      </c>
      <c r="AR171" s="305" t="s">
        <v>902</v>
      </c>
      <c r="AS171" s="821" t="str">
        <f t="shared" si="42"/>
        <v>With Incumbent</v>
      </c>
      <c r="AT171" s="534"/>
      <c r="AU171" s="822"/>
      <c r="AV171" s="534"/>
      <c r="AW171" s="534"/>
      <c r="AX171" s="837"/>
      <c r="AY171" s="838"/>
    </row>
    <row r="172" spans="1:51" s="531" customFormat="1" ht="22.5" customHeight="1">
      <c r="A172" s="741" t="s">
        <v>904</v>
      </c>
      <c r="B172" s="742" t="s">
        <v>181</v>
      </c>
      <c r="C172" s="423" t="s">
        <v>165</v>
      </c>
      <c r="D172" s="757" t="s">
        <v>536</v>
      </c>
      <c r="E172" s="448">
        <f t="shared" si="37"/>
        <v>348624</v>
      </c>
      <c r="F172" s="448">
        <f t="shared" si="38"/>
        <v>390468</v>
      </c>
      <c r="G172" s="448">
        <v>279288</v>
      </c>
      <c r="H172" s="447">
        <v>8</v>
      </c>
      <c r="I172" s="770" t="s">
        <v>905</v>
      </c>
      <c r="J172" s="447" t="s">
        <v>62</v>
      </c>
      <c r="K172" s="447" t="s">
        <v>158</v>
      </c>
      <c r="L172" s="447" t="s">
        <v>56</v>
      </c>
      <c r="M172" s="447" t="s">
        <v>181</v>
      </c>
      <c r="N172" s="545" t="s">
        <v>906</v>
      </c>
      <c r="O172" s="447" t="s">
        <v>907</v>
      </c>
      <c r="P172" s="447" t="str">
        <f t="shared" si="39"/>
        <v>DANTE</v>
      </c>
      <c r="Q172" s="447"/>
      <c r="R172" s="447" t="s">
        <v>62</v>
      </c>
      <c r="S172" s="534" t="str">
        <f t="shared" si="40"/>
        <v xml:space="preserve">DANTE M. LEAÑO </v>
      </c>
      <c r="T172" s="780">
        <v>32539</v>
      </c>
      <c r="U172" s="305" t="s">
        <v>908</v>
      </c>
      <c r="V172" s="447" t="s">
        <v>62</v>
      </c>
      <c r="W172" s="472">
        <v>19501</v>
      </c>
      <c r="X172" s="498">
        <f t="shared" ca="1" si="36"/>
        <v>26604.538043402776</v>
      </c>
      <c r="Y172" s="447" t="s">
        <v>909</v>
      </c>
      <c r="Z172" s="447"/>
      <c r="AA172" s="493">
        <v>27747</v>
      </c>
      <c r="AB172" s="493">
        <v>29936</v>
      </c>
      <c r="AC172" s="447" t="s">
        <v>64</v>
      </c>
      <c r="AD172" s="512" t="s">
        <v>102</v>
      </c>
      <c r="AE172" s="512"/>
      <c r="AF172" s="791">
        <v>29052</v>
      </c>
      <c r="AG172" s="530">
        <v>29070</v>
      </c>
      <c r="AH172" s="530">
        <v>32539</v>
      </c>
      <c r="AI172" s="530"/>
      <c r="AJ172" s="530">
        <f t="shared" si="41"/>
        <v>3469</v>
      </c>
      <c r="AK172" s="530"/>
      <c r="AL172" s="800" t="s">
        <v>66</v>
      </c>
      <c r="AM172" s="305" t="s">
        <v>904</v>
      </c>
      <c r="AN172" s="423" t="s">
        <v>165</v>
      </c>
      <c r="AO172" s="757" t="s">
        <v>536</v>
      </c>
      <c r="AP172" s="447">
        <v>8</v>
      </c>
      <c r="AQ172" s="780">
        <v>32539</v>
      </c>
      <c r="AR172" s="305" t="s">
        <v>908</v>
      </c>
      <c r="AS172" s="821" t="str">
        <f t="shared" si="42"/>
        <v>With Incumbent</v>
      </c>
      <c r="AT172" s="534"/>
      <c r="AU172" s="822"/>
      <c r="AV172" s="534"/>
      <c r="AW172" s="534"/>
      <c r="AX172" s="837"/>
      <c r="AY172" s="838"/>
    </row>
    <row r="173" spans="1:51" s="531" customFormat="1" ht="22.5" customHeight="1">
      <c r="A173" s="741" t="s">
        <v>910</v>
      </c>
      <c r="B173" s="742" t="s">
        <v>211</v>
      </c>
      <c r="C173" s="423" t="s">
        <v>165</v>
      </c>
      <c r="D173" s="757" t="s">
        <v>536</v>
      </c>
      <c r="E173" s="448">
        <f t="shared" si="37"/>
        <v>348624</v>
      </c>
      <c r="F173" s="448">
        <f t="shared" si="38"/>
        <v>371856</v>
      </c>
      <c r="G173" s="448">
        <v>253020</v>
      </c>
      <c r="H173" s="447">
        <v>5</v>
      </c>
      <c r="I173" s="770" t="s">
        <v>494</v>
      </c>
      <c r="J173" s="447" t="s">
        <v>64</v>
      </c>
      <c r="K173" s="447" t="s">
        <v>158</v>
      </c>
      <c r="L173" s="447" t="s">
        <v>56</v>
      </c>
      <c r="M173" s="616" t="s">
        <v>167</v>
      </c>
      <c r="N173" s="545" t="s">
        <v>911</v>
      </c>
      <c r="O173" s="447" t="s">
        <v>912</v>
      </c>
      <c r="P173" s="447" t="str">
        <f t="shared" si="39"/>
        <v>MARLEEN</v>
      </c>
      <c r="Q173" s="447"/>
      <c r="R173" s="447" t="s">
        <v>62</v>
      </c>
      <c r="S173" s="534" t="str">
        <f t="shared" si="40"/>
        <v xml:space="preserve">MARLEEN M. GUERZON </v>
      </c>
      <c r="T173" s="780">
        <v>30988</v>
      </c>
      <c r="U173" s="305" t="s">
        <v>913</v>
      </c>
      <c r="V173" s="447" t="s">
        <v>100</v>
      </c>
      <c r="W173" s="472">
        <v>24396</v>
      </c>
      <c r="X173" s="498">
        <f t="shared" ca="1" si="36"/>
        <v>21709.538043402776</v>
      </c>
      <c r="Y173" s="447" t="s">
        <v>914</v>
      </c>
      <c r="Z173" s="447"/>
      <c r="AA173" s="493">
        <v>32511</v>
      </c>
      <c r="AB173" s="493">
        <v>35264</v>
      </c>
      <c r="AC173" s="447" t="s">
        <v>64</v>
      </c>
      <c r="AD173" s="512" t="s">
        <v>102</v>
      </c>
      <c r="AE173" s="512"/>
      <c r="AF173" s="791">
        <v>29052</v>
      </c>
      <c r="AG173" s="530">
        <v>27381</v>
      </c>
      <c r="AH173" s="530">
        <v>30988</v>
      </c>
      <c r="AI173" s="530"/>
      <c r="AJ173" s="530">
        <f t="shared" si="41"/>
        <v>3607</v>
      </c>
      <c r="AK173" s="530"/>
      <c r="AL173" s="800" t="s">
        <v>66</v>
      </c>
      <c r="AM173" s="305" t="s">
        <v>910</v>
      </c>
      <c r="AN173" s="423" t="s">
        <v>165</v>
      </c>
      <c r="AO173" s="757" t="s">
        <v>536</v>
      </c>
      <c r="AP173" s="447">
        <v>5</v>
      </c>
      <c r="AQ173" s="780">
        <v>30988</v>
      </c>
      <c r="AR173" s="305" t="s">
        <v>913</v>
      </c>
      <c r="AS173" s="821" t="str">
        <f t="shared" si="42"/>
        <v>With Incumbent</v>
      </c>
      <c r="AT173" s="534"/>
      <c r="AU173" s="822"/>
      <c r="AV173" s="534"/>
      <c r="AW173" s="534"/>
      <c r="AX173" s="837"/>
      <c r="AY173" s="838"/>
    </row>
    <row r="174" spans="1:51" s="531" customFormat="1" ht="22.5" customHeight="1">
      <c r="A174" s="741" t="s">
        <v>915</v>
      </c>
      <c r="B174" s="742" t="s">
        <v>211</v>
      </c>
      <c r="C174" s="423" t="s">
        <v>165</v>
      </c>
      <c r="D174" s="757" t="s">
        <v>536</v>
      </c>
      <c r="E174" s="448">
        <f t="shared" si="37"/>
        <v>348624</v>
      </c>
      <c r="F174" s="448">
        <f t="shared" si="38"/>
        <v>390468</v>
      </c>
      <c r="G174" s="448">
        <v>272460</v>
      </c>
      <c r="H174" s="447">
        <v>8</v>
      </c>
      <c r="I174" s="770" t="s">
        <v>916</v>
      </c>
      <c r="J174" s="447" t="s">
        <v>62</v>
      </c>
      <c r="K174" s="447" t="s">
        <v>158</v>
      </c>
      <c r="L174" s="447" t="s">
        <v>56</v>
      </c>
      <c r="M174" s="447" t="s">
        <v>211</v>
      </c>
      <c r="N174" s="545" t="s">
        <v>917</v>
      </c>
      <c r="O174" s="447" t="s">
        <v>918</v>
      </c>
      <c r="P174" s="447" t="str">
        <f t="shared" si="39"/>
        <v>ALEXANDER</v>
      </c>
      <c r="Q174" s="447"/>
      <c r="R174" s="447" t="s">
        <v>177</v>
      </c>
      <c r="S174" s="534" t="str">
        <f t="shared" si="40"/>
        <v xml:space="preserve">ALEXANDER G. ACUAT </v>
      </c>
      <c r="T174" s="780">
        <v>32539</v>
      </c>
      <c r="U174" s="305" t="s">
        <v>919</v>
      </c>
      <c r="V174" s="447" t="s">
        <v>62</v>
      </c>
      <c r="W174" s="472">
        <v>19978</v>
      </c>
      <c r="X174" s="498">
        <f t="shared" ca="1" si="36"/>
        <v>26127.538043287037</v>
      </c>
      <c r="Y174" s="447" t="s">
        <v>920</v>
      </c>
      <c r="Z174" s="447"/>
      <c r="AA174" s="493">
        <v>31260</v>
      </c>
      <c r="AB174" s="493">
        <v>32371</v>
      </c>
      <c r="AC174" s="447" t="s">
        <v>64</v>
      </c>
      <c r="AD174" s="512" t="s">
        <v>102</v>
      </c>
      <c r="AE174" s="512"/>
      <c r="AF174" s="791">
        <v>29052</v>
      </c>
      <c r="AG174" s="530">
        <v>29070</v>
      </c>
      <c r="AH174" s="530">
        <v>32539</v>
      </c>
      <c r="AI174" s="530"/>
      <c r="AJ174" s="530">
        <f t="shared" si="41"/>
        <v>3469</v>
      </c>
      <c r="AK174" s="530"/>
      <c r="AL174" s="800" t="s">
        <v>66</v>
      </c>
      <c r="AM174" s="305" t="s">
        <v>915</v>
      </c>
      <c r="AN174" s="423" t="s">
        <v>165</v>
      </c>
      <c r="AO174" s="757" t="s">
        <v>536</v>
      </c>
      <c r="AP174" s="447">
        <v>8</v>
      </c>
      <c r="AQ174" s="780">
        <v>32539</v>
      </c>
      <c r="AR174" s="305" t="s">
        <v>919</v>
      </c>
      <c r="AS174" s="821" t="str">
        <f t="shared" si="42"/>
        <v>With Incumbent</v>
      </c>
      <c r="AT174" s="534"/>
      <c r="AU174" s="822"/>
      <c r="AV174" s="534"/>
      <c r="AW174" s="534"/>
      <c r="AX174" s="837"/>
      <c r="AY174" s="838"/>
    </row>
    <row r="175" spans="1:51" s="531" customFormat="1" ht="22.5" customHeight="1">
      <c r="A175" s="741" t="s">
        <v>921</v>
      </c>
      <c r="B175" s="742" t="s">
        <v>211</v>
      </c>
      <c r="C175" s="423" t="s">
        <v>165</v>
      </c>
      <c r="D175" s="757" t="s">
        <v>536</v>
      </c>
      <c r="E175" s="448">
        <f t="shared" si="37"/>
        <v>348624</v>
      </c>
      <c r="F175" s="448">
        <f t="shared" si="38"/>
        <v>354264</v>
      </c>
      <c r="G175" s="448">
        <v>234948</v>
      </c>
      <c r="H175" s="447">
        <v>2</v>
      </c>
      <c r="I175" s="770" t="s">
        <v>922</v>
      </c>
      <c r="J175" s="447" t="s">
        <v>62</v>
      </c>
      <c r="K175" s="447" t="s">
        <v>158</v>
      </c>
      <c r="L175" s="447" t="s">
        <v>56</v>
      </c>
      <c r="M175" s="616" t="s">
        <v>174</v>
      </c>
      <c r="N175" s="545" t="s">
        <v>923</v>
      </c>
      <c r="O175" s="447" t="s">
        <v>924</v>
      </c>
      <c r="P175" s="447" t="str">
        <f t="shared" si="39"/>
        <v>JIMMY</v>
      </c>
      <c r="Q175" s="447"/>
      <c r="R175" s="447" t="s">
        <v>115</v>
      </c>
      <c r="S175" s="534" t="str">
        <f t="shared" si="40"/>
        <v xml:space="preserve">JIMMY B. PAGADDUT </v>
      </c>
      <c r="T175" s="780">
        <v>29522</v>
      </c>
      <c r="U175" s="305" t="s">
        <v>925</v>
      </c>
      <c r="V175" s="447" t="s">
        <v>62</v>
      </c>
      <c r="W175" s="472">
        <v>24039</v>
      </c>
      <c r="X175" s="498">
        <f t="shared" ca="1" si="36"/>
        <v>22066.538043402776</v>
      </c>
      <c r="Y175" s="447" t="s">
        <v>926</v>
      </c>
      <c r="Z175" s="447"/>
      <c r="AA175" s="493">
        <v>35264</v>
      </c>
      <c r="AB175" s="493">
        <v>38628</v>
      </c>
      <c r="AC175" s="447" t="s">
        <v>64</v>
      </c>
      <c r="AD175" s="512" t="s">
        <v>102</v>
      </c>
      <c r="AE175" s="512"/>
      <c r="AF175" s="791">
        <v>29052</v>
      </c>
      <c r="AG175" s="530">
        <v>25799</v>
      </c>
      <c r="AH175" s="530">
        <v>29522</v>
      </c>
      <c r="AI175" s="530"/>
      <c r="AJ175" s="530">
        <f t="shared" si="41"/>
        <v>3723</v>
      </c>
      <c r="AK175" s="530"/>
      <c r="AL175" s="800" t="s">
        <v>66</v>
      </c>
      <c r="AM175" s="305" t="s">
        <v>921</v>
      </c>
      <c r="AN175" s="423" t="s">
        <v>165</v>
      </c>
      <c r="AO175" s="757" t="s">
        <v>536</v>
      </c>
      <c r="AP175" s="447">
        <v>2</v>
      </c>
      <c r="AQ175" s="780">
        <v>29522</v>
      </c>
      <c r="AR175" s="305" t="s">
        <v>925</v>
      </c>
      <c r="AS175" s="821" t="str">
        <f t="shared" si="42"/>
        <v>With Incumbent</v>
      </c>
      <c r="AT175" s="534"/>
      <c r="AU175" s="822"/>
      <c r="AV175" s="534"/>
      <c r="AW175" s="534"/>
      <c r="AX175" s="837"/>
      <c r="AY175" s="838"/>
    </row>
    <row r="176" spans="1:51" s="531" customFormat="1" ht="22.5" customHeight="1">
      <c r="A176" s="741" t="s">
        <v>927</v>
      </c>
      <c r="B176" s="742" t="s">
        <v>211</v>
      </c>
      <c r="C176" s="423" t="s">
        <v>165</v>
      </c>
      <c r="D176" s="757" t="s">
        <v>536</v>
      </c>
      <c r="E176" s="448">
        <f t="shared" si="37"/>
        <v>348624</v>
      </c>
      <c r="F176" s="448">
        <f t="shared" si="38"/>
        <v>390468</v>
      </c>
      <c r="G176" s="448">
        <v>272460</v>
      </c>
      <c r="H176" s="447">
        <v>8</v>
      </c>
      <c r="I176" s="770" t="s">
        <v>928</v>
      </c>
      <c r="J176" s="447" t="s">
        <v>62</v>
      </c>
      <c r="K176" s="447" t="s">
        <v>158</v>
      </c>
      <c r="L176" s="447" t="s">
        <v>56</v>
      </c>
      <c r="M176" s="447" t="s">
        <v>211</v>
      </c>
      <c r="N176" s="545" t="s">
        <v>929</v>
      </c>
      <c r="O176" s="447" t="s">
        <v>930</v>
      </c>
      <c r="P176" s="447" t="str">
        <f t="shared" si="39"/>
        <v>ARTHUR</v>
      </c>
      <c r="Q176" s="447"/>
      <c r="R176" s="447" t="s">
        <v>54</v>
      </c>
      <c r="S176" s="534" t="str">
        <f t="shared" si="40"/>
        <v xml:space="preserve">ARTHUR R. BUSLIG </v>
      </c>
      <c r="T176" s="780">
        <v>32539</v>
      </c>
      <c r="U176" s="305" t="s">
        <v>931</v>
      </c>
      <c r="V176" s="447" t="s">
        <v>62</v>
      </c>
      <c r="W176" s="472">
        <v>17313</v>
      </c>
      <c r="X176" s="498">
        <f t="shared" ca="1" si="36"/>
        <v>28792.538043287037</v>
      </c>
      <c r="Y176" s="447" t="s">
        <v>932</v>
      </c>
      <c r="Z176" s="447"/>
      <c r="AA176" s="493">
        <v>27744</v>
      </c>
      <c r="AB176" s="493">
        <v>32371</v>
      </c>
      <c r="AC176" s="447" t="s">
        <v>64</v>
      </c>
      <c r="AD176" s="512" t="s">
        <v>228</v>
      </c>
      <c r="AE176" s="512"/>
      <c r="AF176" s="791">
        <v>29052</v>
      </c>
      <c r="AG176" s="530">
        <v>29070</v>
      </c>
      <c r="AH176" s="530">
        <v>32539</v>
      </c>
      <c r="AI176" s="530"/>
      <c r="AJ176" s="530">
        <f t="shared" si="41"/>
        <v>3469</v>
      </c>
      <c r="AK176" s="530"/>
      <c r="AL176" s="800" t="s">
        <v>66</v>
      </c>
      <c r="AM176" s="305" t="s">
        <v>927</v>
      </c>
      <c r="AN176" s="423" t="s">
        <v>165</v>
      </c>
      <c r="AO176" s="757" t="s">
        <v>536</v>
      </c>
      <c r="AP176" s="447">
        <v>8</v>
      </c>
      <c r="AQ176" s="780">
        <v>32539</v>
      </c>
      <c r="AR176" s="305" t="s">
        <v>931</v>
      </c>
      <c r="AS176" s="821" t="str">
        <f t="shared" si="42"/>
        <v>With Incumbent</v>
      </c>
      <c r="AT176" s="534"/>
      <c r="AU176" s="822"/>
      <c r="AV176" s="534"/>
      <c r="AW176" s="534"/>
      <c r="AX176" s="837"/>
      <c r="AY176" s="838"/>
    </row>
    <row r="177" spans="1:51" s="531" customFormat="1" ht="22.5" customHeight="1">
      <c r="A177" s="741" t="s">
        <v>933</v>
      </c>
      <c r="B177" s="742" t="s">
        <v>211</v>
      </c>
      <c r="C177" s="423" t="s">
        <v>165</v>
      </c>
      <c r="D177" s="757" t="s">
        <v>536</v>
      </c>
      <c r="E177" s="448">
        <f t="shared" si="37"/>
        <v>348624</v>
      </c>
      <c r="F177" s="448">
        <f t="shared" si="38"/>
        <v>390468</v>
      </c>
      <c r="G177" s="448">
        <v>279288</v>
      </c>
      <c r="H177" s="447">
        <v>8</v>
      </c>
      <c r="I177" s="770" t="s">
        <v>934</v>
      </c>
      <c r="J177" s="447" t="s">
        <v>62</v>
      </c>
      <c r="K177" s="447" t="s">
        <v>158</v>
      </c>
      <c r="L177" s="447" t="s">
        <v>56</v>
      </c>
      <c r="M177" s="447" t="s">
        <v>211</v>
      </c>
      <c r="N177" s="545" t="s">
        <v>935</v>
      </c>
      <c r="O177" s="447" t="s">
        <v>936</v>
      </c>
      <c r="P177" s="447" t="str">
        <f t="shared" si="39"/>
        <v>RAFAEL</v>
      </c>
      <c r="Q177" s="447"/>
      <c r="R177" s="447" t="s">
        <v>647</v>
      </c>
      <c r="S177" s="534" t="str">
        <f t="shared" si="40"/>
        <v xml:space="preserve">RAFAEL H. BONGGAWON </v>
      </c>
      <c r="T177" s="780">
        <v>32539</v>
      </c>
      <c r="U177" s="305" t="s">
        <v>937</v>
      </c>
      <c r="V177" s="447" t="s">
        <v>62</v>
      </c>
      <c r="W177" s="472">
        <v>18846</v>
      </c>
      <c r="X177" s="498">
        <f t="shared" ca="1" si="36"/>
        <v>27259.538043402776</v>
      </c>
      <c r="Y177" s="447" t="s">
        <v>938</v>
      </c>
      <c r="Z177" s="447"/>
      <c r="AA177" s="493">
        <v>27764</v>
      </c>
      <c r="AB177" s="493">
        <v>29936</v>
      </c>
      <c r="AC177" s="447" t="s">
        <v>64</v>
      </c>
      <c r="AD177" s="512" t="s">
        <v>102</v>
      </c>
      <c r="AE177" s="512"/>
      <c r="AF177" s="791">
        <v>29052</v>
      </c>
      <c r="AG177" s="530">
        <v>29070</v>
      </c>
      <c r="AH177" s="530">
        <v>32539</v>
      </c>
      <c r="AI177" s="530"/>
      <c r="AJ177" s="530">
        <f t="shared" si="41"/>
        <v>3469</v>
      </c>
      <c r="AK177" s="530"/>
      <c r="AL177" s="800" t="s">
        <v>66</v>
      </c>
      <c r="AM177" s="305" t="s">
        <v>933</v>
      </c>
      <c r="AN177" s="423" t="s">
        <v>165</v>
      </c>
      <c r="AO177" s="757" t="s">
        <v>536</v>
      </c>
      <c r="AP177" s="447">
        <v>8</v>
      </c>
      <c r="AQ177" s="780">
        <v>32539</v>
      </c>
      <c r="AR177" s="305" t="s">
        <v>937</v>
      </c>
      <c r="AS177" s="821" t="str">
        <f t="shared" si="42"/>
        <v>With Incumbent</v>
      </c>
      <c r="AT177" s="534"/>
      <c r="AU177" s="822"/>
      <c r="AV177" s="534"/>
      <c r="AW177" s="534"/>
      <c r="AX177" s="837"/>
      <c r="AY177" s="838"/>
    </row>
    <row r="178" spans="1:51" s="531" customFormat="1" ht="22.5" customHeight="1">
      <c r="A178" s="741" t="s">
        <v>939</v>
      </c>
      <c r="B178" s="742" t="s">
        <v>181</v>
      </c>
      <c r="C178" s="423" t="s">
        <v>165</v>
      </c>
      <c r="D178" s="757" t="s">
        <v>536</v>
      </c>
      <c r="E178" s="448">
        <f t="shared" si="37"/>
        <v>348624</v>
      </c>
      <c r="F178" s="448">
        <f t="shared" si="38"/>
        <v>390468</v>
      </c>
      <c r="G178" s="448">
        <v>272460</v>
      </c>
      <c r="H178" s="447">
        <v>8</v>
      </c>
      <c r="I178" s="770" t="s">
        <v>940</v>
      </c>
      <c r="J178" s="447" t="s">
        <v>62</v>
      </c>
      <c r="K178" s="447" t="s">
        <v>158</v>
      </c>
      <c r="L178" s="447" t="s">
        <v>56</v>
      </c>
      <c r="M178" s="447" t="s">
        <v>181</v>
      </c>
      <c r="N178" s="545" t="s">
        <v>941</v>
      </c>
      <c r="O178" s="447" t="s">
        <v>942</v>
      </c>
      <c r="P178" s="447" t="str">
        <f t="shared" si="39"/>
        <v>CECILE</v>
      </c>
      <c r="Q178" s="447"/>
      <c r="R178" s="447" t="s">
        <v>122</v>
      </c>
      <c r="S178" s="534" t="str">
        <f t="shared" si="40"/>
        <v xml:space="preserve">CECILE C. EUGENIO </v>
      </c>
      <c r="T178" s="780">
        <v>32539</v>
      </c>
      <c r="U178" s="305" t="s">
        <v>943</v>
      </c>
      <c r="V178" s="447" t="s">
        <v>100</v>
      </c>
      <c r="W178" s="472">
        <v>22989</v>
      </c>
      <c r="X178" s="498">
        <f t="shared" ca="1" si="36"/>
        <v>23116.538043402776</v>
      </c>
      <c r="Y178" s="447" t="s">
        <v>944</v>
      </c>
      <c r="Z178" s="447"/>
      <c r="AA178" s="493">
        <v>31414</v>
      </c>
      <c r="AB178" s="493">
        <v>32371</v>
      </c>
      <c r="AC178" s="447" t="s">
        <v>64</v>
      </c>
      <c r="AD178" s="512" t="s">
        <v>102</v>
      </c>
      <c r="AE178" s="512"/>
      <c r="AF178" s="791">
        <v>29052</v>
      </c>
      <c r="AG178" s="530">
        <v>29070</v>
      </c>
      <c r="AH178" s="530">
        <v>32539</v>
      </c>
      <c r="AI178" s="530"/>
      <c r="AJ178" s="530">
        <f t="shared" si="41"/>
        <v>3469</v>
      </c>
      <c r="AK178" s="530"/>
      <c r="AL178" s="800" t="s">
        <v>66</v>
      </c>
      <c r="AM178" s="305" t="s">
        <v>939</v>
      </c>
      <c r="AN178" s="423" t="s">
        <v>165</v>
      </c>
      <c r="AO178" s="757" t="s">
        <v>536</v>
      </c>
      <c r="AP178" s="447">
        <v>8</v>
      </c>
      <c r="AQ178" s="780">
        <v>32539</v>
      </c>
      <c r="AR178" s="305" t="s">
        <v>943</v>
      </c>
      <c r="AS178" s="821" t="str">
        <f t="shared" si="42"/>
        <v>With Incumbent</v>
      </c>
      <c r="AT178" s="534"/>
      <c r="AU178" s="822"/>
      <c r="AV178" s="534"/>
      <c r="AW178" s="534"/>
      <c r="AX178" s="837"/>
      <c r="AY178" s="838"/>
    </row>
    <row r="179" spans="1:51" s="531" customFormat="1" ht="22.5" customHeight="1">
      <c r="A179" s="741" t="s">
        <v>945</v>
      </c>
      <c r="B179" s="742" t="s">
        <v>211</v>
      </c>
      <c r="C179" s="423" t="s">
        <v>165</v>
      </c>
      <c r="D179" s="757" t="s">
        <v>536</v>
      </c>
      <c r="E179" s="448">
        <f t="shared" si="37"/>
        <v>348624</v>
      </c>
      <c r="F179" s="448">
        <f t="shared" si="38"/>
        <v>354264</v>
      </c>
      <c r="G179" s="448">
        <v>234948</v>
      </c>
      <c r="H179" s="447">
        <v>2</v>
      </c>
      <c r="I179" s="770" t="s">
        <v>946</v>
      </c>
      <c r="J179" s="447" t="s">
        <v>62</v>
      </c>
      <c r="K179" s="447" t="s">
        <v>158</v>
      </c>
      <c r="L179" s="447" t="s">
        <v>56</v>
      </c>
      <c r="M179" s="447" t="s">
        <v>211</v>
      </c>
      <c r="N179" s="545" t="s">
        <v>947</v>
      </c>
      <c r="O179" s="447" t="s">
        <v>948</v>
      </c>
      <c r="P179" s="447" t="str">
        <f t="shared" si="39"/>
        <v>GEMMA</v>
      </c>
      <c r="Q179" s="447"/>
      <c r="R179" s="447" t="s">
        <v>161</v>
      </c>
      <c r="S179" s="534" t="str">
        <f t="shared" si="40"/>
        <v xml:space="preserve">GEMMA O. BAWANTA </v>
      </c>
      <c r="T179" s="780">
        <v>29522</v>
      </c>
      <c r="U179" s="305" t="s">
        <v>949</v>
      </c>
      <c r="V179" s="447" t="s">
        <v>100</v>
      </c>
      <c r="W179" s="472">
        <v>24904</v>
      </c>
      <c r="X179" s="498">
        <f t="shared" ca="1" si="36"/>
        <v>21201.538043287037</v>
      </c>
      <c r="Y179" s="447" t="s">
        <v>950</v>
      </c>
      <c r="Z179" s="447"/>
      <c r="AA179" s="493">
        <v>35234</v>
      </c>
      <c r="AB179" s="493">
        <v>39170</v>
      </c>
      <c r="AC179" s="447" t="s">
        <v>64</v>
      </c>
      <c r="AD179" s="512" t="s">
        <v>102</v>
      </c>
      <c r="AE179" s="512"/>
      <c r="AF179" s="791">
        <v>29052</v>
      </c>
      <c r="AG179" s="530">
        <v>25799</v>
      </c>
      <c r="AH179" s="530">
        <v>29522</v>
      </c>
      <c r="AI179" s="530"/>
      <c r="AJ179" s="530">
        <f t="shared" si="41"/>
        <v>3723</v>
      </c>
      <c r="AK179" s="530"/>
      <c r="AL179" s="800" t="s">
        <v>66</v>
      </c>
      <c r="AM179" s="305" t="s">
        <v>945</v>
      </c>
      <c r="AN179" s="423" t="s">
        <v>165</v>
      </c>
      <c r="AO179" s="757" t="s">
        <v>536</v>
      </c>
      <c r="AP179" s="447">
        <v>2</v>
      </c>
      <c r="AQ179" s="780">
        <v>29522</v>
      </c>
      <c r="AR179" s="305" t="s">
        <v>949</v>
      </c>
      <c r="AS179" s="821" t="str">
        <f t="shared" si="42"/>
        <v>With Incumbent</v>
      </c>
      <c r="AT179" s="534"/>
      <c r="AU179" s="822"/>
      <c r="AV179" s="534"/>
      <c r="AW179" s="534"/>
      <c r="AX179" s="837"/>
      <c r="AY179" s="838"/>
    </row>
    <row r="180" spans="1:51" s="531" customFormat="1" ht="22.5" customHeight="1">
      <c r="A180" s="741" t="s">
        <v>951</v>
      </c>
      <c r="B180" s="742" t="s">
        <v>181</v>
      </c>
      <c r="C180" s="423" t="s">
        <v>165</v>
      </c>
      <c r="D180" s="757" t="s">
        <v>536</v>
      </c>
      <c r="E180" s="448">
        <f t="shared" si="37"/>
        <v>348624</v>
      </c>
      <c r="F180" s="448">
        <f t="shared" si="38"/>
        <v>365892</v>
      </c>
      <c r="G180" s="448">
        <v>246828</v>
      </c>
      <c r="H180" s="447">
        <v>4</v>
      </c>
      <c r="I180" s="770" t="s">
        <v>223</v>
      </c>
      <c r="J180" s="447" t="s">
        <v>64</v>
      </c>
      <c r="K180" s="447" t="s">
        <v>158</v>
      </c>
      <c r="L180" s="447" t="s">
        <v>56</v>
      </c>
      <c r="M180" s="616" t="s">
        <v>211</v>
      </c>
      <c r="N180" s="545" t="s">
        <v>952</v>
      </c>
      <c r="O180" s="447" t="s">
        <v>953</v>
      </c>
      <c r="P180" s="447" t="str">
        <f t="shared" si="39"/>
        <v>MAYER MAX</v>
      </c>
      <c r="Q180" s="447"/>
      <c r="R180" s="447" t="s">
        <v>177</v>
      </c>
      <c r="S180" s="534" t="str">
        <f t="shared" si="40"/>
        <v xml:space="preserve">MAYER MAX G. ADONG </v>
      </c>
      <c r="T180" s="780">
        <v>30491</v>
      </c>
      <c r="U180" s="305" t="s">
        <v>954</v>
      </c>
      <c r="V180" s="447" t="s">
        <v>62</v>
      </c>
      <c r="W180" s="472">
        <v>24618</v>
      </c>
      <c r="X180" s="498">
        <f t="shared" ca="1" si="36"/>
        <v>21487.538043402776</v>
      </c>
      <c r="Y180" s="447" t="s">
        <v>955</v>
      </c>
      <c r="Z180" s="472">
        <v>35264</v>
      </c>
      <c r="AA180" s="493">
        <v>34331</v>
      </c>
      <c r="AB180" s="493">
        <v>36591</v>
      </c>
      <c r="AC180" s="447" t="s">
        <v>64</v>
      </c>
      <c r="AD180" s="512" t="s">
        <v>84</v>
      </c>
      <c r="AE180" s="512"/>
      <c r="AF180" s="791">
        <v>29052</v>
      </c>
      <c r="AG180" s="530">
        <v>26842</v>
      </c>
      <c r="AH180" s="530">
        <v>30491</v>
      </c>
      <c r="AI180" s="530"/>
      <c r="AJ180" s="530">
        <f t="shared" si="41"/>
        <v>3649</v>
      </c>
      <c r="AK180" s="530"/>
      <c r="AL180" s="800" t="s">
        <v>66</v>
      </c>
      <c r="AM180" s="305" t="s">
        <v>951</v>
      </c>
      <c r="AN180" s="423" t="s">
        <v>165</v>
      </c>
      <c r="AO180" s="757" t="s">
        <v>536</v>
      </c>
      <c r="AP180" s="447">
        <v>4</v>
      </c>
      <c r="AQ180" s="780">
        <v>30491</v>
      </c>
      <c r="AR180" s="305" t="s">
        <v>954</v>
      </c>
      <c r="AS180" s="821" t="str">
        <f t="shared" si="42"/>
        <v>With Incumbent</v>
      </c>
      <c r="AT180" s="534"/>
      <c r="AU180" s="822"/>
      <c r="AV180" s="534"/>
      <c r="AW180" s="534"/>
      <c r="AX180" s="837"/>
      <c r="AY180" s="838"/>
    </row>
    <row r="181" spans="1:51" s="531" customFormat="1" ht="22.5" customHeight="1">
      <c r="A181" s="741" t="s">
        <v>956</v>
      </c>
      <c r="B181" s="742" t="s">
        <v>211</v>
      </c>
      <c r="C181" s="423" t="s">
        <v>165</v>
      </c>
      <c r="D181" s="757" t="s">
        <v>536</v>
      </c>
      <c r="E181" s="448">
        <f t="shared" si="37"/>
        <v>348624</v>
      </c>
      <c r="F181" s="448">
        <f t="shared" si="38"/>
        <v>360012</v>
      </c>
      <c r="G181" s="448">
        <v>240816</v>
      </c>
      <c r="H181" s="447">
        <v>3</v>
      </c>
      <c r="I181" s="770" t="s">
        <v>895</v>
      </c>
      <c r="J181" s="447" t="s">
        <v>62</v>
      </c>
      <c r="K181" s="447" t="s">
        <v>158</v>
      </c>
      <c r="L181" s="447" t="s">
        <v>56</v>
      </c>
      <c r="M181" s="616" t="s">
        <v>57</v>
      </c>
      <c r="N181" s="545" t="s">
        <v>957</v>
      </c>
      <c r="O181" s="447" t="s">
        <v>958</v>
      </c>
      <c r="P181" s="447" t="str">
        <f t="shared" si="39"/>
        <v>FILIPINITA</v>
      </c>
      <c r="Q181" s="447"/>
      <c r="R181" s="447" t="s">
        <v>62</v>
      </c>
      <c r="S181" s="534" t="str">
        <f t="shared" si="40"/>
        <v xml:space="preserve">FILIPINITA M. GALVEZ </v>
      </c>
      <c r="T181" s="780">
        <v>30001</v>
      </c>
      <c r="U181" s="305" t="s">
        <v>959</v>
      </c>
      <c r="V181" s="447" t="s">
        <v>100</v>
      </c>
      <c r="W181" s="472">
        <v>24270</v>
      </c>
      <c r="X181" s="498">
        <f t="shared" ca="1" si="36"/>
        <v>21835.538043402776</v>
      </c>
      <c r="Y181" s="447" t="s">
        <v>960</v>
      </c>
      <c r="Z181" s="447"/>
      <c r="AA181" s="493">
        <v>33196</v>
      </c>
      <c r="AB181" s="493">
        <v>37453</v>
      </c>
      <c r="AC181" s="447" t="s">
        <v>64</v>
      </c>
      <c r="AD181" s="512" t="s">
        <v>102</v>
      </c>
      <c r="AE181" s="512"/>
      <c r="AF181" s="791">
        <v>29052</v>
      </c>
      <c r="AG181" s="530">
        <v>26314</v>
      </c>
      <c r="AH181" s="530">
        <v>30001</v>
      </c>
      <c r="AI181" s="530"/>
      <c r="AJ181" s="530">
        <f t="shared" si="41"/>
        <v>3687</v>
      </c>
      <c r="AK181" s="530"/>
      <c r="AL181" s="800" t="s">
        <v>66</v>
      </c>
      <c r="AM181" s="305" t="s">
        <v>956</v>
      </c>
      <c r="AN181" s="423" t="s">
        <v>165</v>
      </c>
      <c r="AO181" s="757" t="s">
        <v>536</v>
      </c>
      <c r="AP181" s="447">
        <v>3</v>
      </c>
      <c r="AQ181" s="780">
        <v>30001</v>
      </c>
      <c r="AR181" s="305" t="s">
        <v>959</v>
      </c>
      <c r="AS181" s="821" t="str">
        <f t="shared" si="42"/>
        <v>With Incumbent</v>
      </c>
      <c r="AT181" s="534"/>
      <c r="AU181" s="822"/>
      <c r="AV181" s="534"/>
      <c r="AW181" s="534"/>
      <c r="AX181" s="837"/>
      <c r="AY181" s="838"/>
    </row>
    <row r="182" spans="1:51" s="531" customFormat="1" ht="22.5" customHeight="1">
      <c r="A182" s="741" t="s">
        <v>961</v>
      </c>
      <c r="B182" s="742" t="s">
        <v>181</v>
      </c>
      <c r="C182" s="423" t="s">
        <v>165</v>
      </c>
      <c r="D182" s="757" t="s">
        <v>536</v>
      </c>
      <c r="E182" s="448">
        <f t="shared" si="37"/>
        <v>348624</v>
      </c>
      <c r="F182" s="448">
        <f t="shared" si="38"/>
        <v>354264</v>
      </c>
      <c r="G182" s="448">
        <v>234948</v>
      </c>
      <c r="H182" s="447">
        <v>2</v>
      </c>
      <c r="I182" s="770" t="s">
        <v>962</v>
      </c>
      <c r="J182" s="447" t="s">
        <v>62</v>
      </c>
      <c r="K182" s="447" t="s">
        <v>158</v>
      </c>
      <c r="L182" s="447" t="s">
        <v>56</v>
      </c>
      <c r="M182" s="616" t="s">
        <v>408</v>
      </c>
      <c r="N182" s="545" t="s">
        <v>963</v>
      </c>
      <c r="O182" s="447" t="s">
        <v>964</v>
      </c>
      <c r="P182" s="447" t="str">
        <f t="shared" si="39"/>
        <v>JEAN</v>
      </c>
      <c r="Q182" s="447"/>
      <c r="R182" s="447" t="s">
        <v>77</v>
      </c>
      <c r="S182" s="534" t="str">
        <f t="shared" si="40"/>
        <v xml:space="preserve">JEAN S. HERNANDEZ </v>
      </c>
      <c r="T182" s="780">
        <v>29522</v>
      </c>
      <c r="U182" s="305" t="s">
        <v>965</v>
      </c>
      <c r="V182" s="447" t="s">
        <v>100</v>
      </c>
      <c r="W182" s="472">
        <v>26829</v>
      </c>
      <c r="X182" s="498">
        <f t="shared" ca="1" si="36"/>
        <v>19276.538043287037</v>
      </c>
      <c r="Y182" s="447" t="s">
        <v>966</v>
      </c>
      <c r="Z182" s="447"/>
      <c r="AA182" s="493">
        <v>34684</v>
      </c>
      <c r="AB182" s="493">
        <v>38607</v>
      </c>
      <c r="AC182" s="447" t="s">
        <v>64</v>
      </c>
      <c r="AD182" s="512" t="s">
        <v>102</v>
      </c>
      <c r="AE182" s="512"/>
      <c r="AF182" s="791">
        <v>29052</v>
      </c>
      <c r="AG182" s="530">
        <v>25799</v>
      </c>
      <c r="AH182" s="530">
        <v>29522</v>
      </c>
      <c r="AI182" s="530"/>
      <c r="AJ182" s="530">
        <f t="shared" si="41"/>
        <v>3723</v>
      </c>
      <c r="AK182" s="530"/>
      <c r="AL182" s="800" t="s">
        <v>66</v>
      </c>
      <c r="AM182" s="305" t="s">
        <v>961</v>
      </c>
      <c r="AN182" s="423" t="s">
        <v>165</v>
      </c>
      <c r="AO182" s="757" t="s">
        <v>536</v>
      </c>
      <c r="AP182" s="447">
        <v>2</v>
      </c>
      <c r="AQ182" s="780">
        <v>29522</v>
      </c>
      <c r="AR182" s="305" t="s">
        <v>965</v>
      </c>
      <c r="AS182" s="821" t="str">
        <f t="shared" si="42"/>
        <v>With Incumbent</v>
      </c>
      <c r="AT182" s="534"/>
      <c r="AU182" s="822"/>
      <c r="AV182" s="534"/>
      <c r="AW182" s="534"/>
      <c r="AX182" s="837"/>
      <c r="AY182" s="838"/>
    </row>
    <row r="183" spans="1:51" s="531" customFormat="1" ht="22.5" customHeight="1">
      <c r="A183" s="741" t="s">
        <v>967</v>
      </c>
      <c r="B183" s="742" t="s">
        <v>211</v>
      </c>
      <c r="C183" s="423" t="s">
        <v>165</v>
      </c>
      <c r="D183" s="757" t="s">
        <v>536</v>
      </c>
      <c r="E183" s="448">
        <f t="shared" si="37"/>
        <v>348624</v>
      </c>
      <c r="F183" s="448">
        <f t="shared" si="38"/>
        <v>354264</v>
      </c>
      <c r="G183" s="448">
        <v>234948</v>
      </c>
      <c r="H183" s="447">
        <v>2</v>
      </c>
      <c r="I183" s="770" t="s">
        <v>223</v>
      </c>
      <c r="J183" s="447" t="s">
        <v>64</v>
      </c>
      <c r="K183" s="447" t="s">
        <v>158</v>
      </c>
      <c r="L183" s="447" t="s">
        <v>56</v>
      </c>
      <c r="M183" s="616" t="s">
        <v>174</v>
      </c>
      <c r="N183" s="545" t="s">
        <v>968</v>
      </c>
      <c r="O183" s="447" t="s">
        <v>969</v>
      </c>
      <c r="P183" s="447" t="str">
        <f t="shared" si="39"/>
        <v>ARELLANO</v>
      </c>
      <c r="Q183" s="447"/>
      <c r="R183" s="447" t="s">
        <v>72</v>
      </c>
      <c r="S183" s="534" t="str">
        <f t="shared" si="40"/>
        <v xml:space="preserve">ARELLANO L. NEHYEBAN </v>
      </c>
      <c r="T183" s="780">
        <v>29522</v>
      </c>
      <c r="U183" s="305" t="s">
        <v>970</v>
      </c>
      <c r="V183" s="447" t="s">
        <v>62</v>
      </c>
      <c r="W183" s="472">
        <v>26176</v>
      </c>
      <c r="X183" s="498">
        <f t="shared" ca="1" si="36"/>
        <v>19929.538043402776</v>
      </c>
      <c r="Y183" s="447" t="s">
        <v>971</v>
      </c>
      <c r="Z183" s="447"/>
      <c r="AA183" s="493">
        <v>34213</v>
      </c>
      <c r="AB183" s="493">
        <v>39170</v>
      </c>
      <c r="AC183" s="447" t="s">
        <v>64</v>
      </c>
      <c r="AD183" s="512" t="s">
        <v>102</v>
      </c>
      <c r="AE183" s="512"/>
      <c r="AF183" s="791">
        <v>29052</v>
      </c>
      <c r="AG183" s="530">
        <v>25799</v>
      </c>
      <c r="AH183" s="530">
        <v>29522</v>
      </c>
      <c r="AI183" s="530"/>
      <c r="AJ183" s="530">
        <f t="shared" si="41"/>
        <v>3723</v>
      </c>
      <c r="AK183" s="530"/>
      <c r="AL183" s="800" t="s">
        <v>66</v>
      </c>
      <c r="AM183" s="305" t="s">
        <v>967</v>
      </c>
      <c r="AN183" s="423" t="s">
        <v>165</v>
      </c>
      <c r="AO183" s="757" t="s">
        <v>536</v>
      </c>
      <c r="AP183" s="447">
        <v>2</v>
      </c>
      <c r="AQ183" s="780">
        <v>29522</v>
      </c>
      <c r="AR183" s="305" t="s">
        <v>970</v>
      </c>
      <c r="AS183" s="821" t="str">
        <f t="shared" si="42"/>
        <v>With Incumbent</v>
      </c>
      <c r="AT183" s="534"/>
      <c r="AU183" s="822"/>
      <c r="AV183" s="534"/>
      <c r="AW183" s="534"/>
      <c r="AX183" s="837"/>
      <c r="AY183" s="838"/>
    </row>
    <row r="184" spans="1:51" s="531" customFormat="1" ht="22.5" customHeight="1">
      <c r="A184" s="741" t="s">
        <v>972</v>
      </c>
      <c r="B184" s="742" t="s">
        <v>174</v>
      </c>
      <c r="C184" s="423" t="s">
        <v>165</v>
      </c>
      <c r="D184" s="757" t="s">
        <v>536</v>
      </c>
      <c r="E184" s="448">
        <f t="shared" si="37"/>
        <v>348624</v>
      </c>
      <c r="F184" s="448">
        <f t="shared" si="38"/>
        <v>371856</v>
      </c>
      <c r="G184" s="448">
        <v>253020</v>
      </c>
      <c r="H184" s="447">
        <v>5</v>
      </c>
      <c r="I184" s="770" t="s">
        <v>973</v>
      </c>
      <c r="J184" s="447" t="s">
        <v>62</v>
      </c>
      <c r="K184" s="447" t="s">
        <v>158</v>
      </c>
      <c r="L184" s="447" t="s">
        <v>56</v>
      </c>
      <c r="M184" s="447" t="s">
        <v>174</v>
      </c>
      <c r="N184" s="545" t="s">
        <v>974</v>
      </c>
      <c r="O184" s="447" t="s">
        <v>975</v>
      </c>
      <c r="P184" s="447" t="str">
        <f t="shared" si="39"/>
        <v>SAMSON</v>
      </c>
      <c r="Q184" s="447"/>
      <c r="R184" s="447" t="s">
        <v>976</v>
      </c>
      <c r="S184" s="534" t="str">
        <f t="shared" si="40"/>
        <v xml:space="preserve">SAMSON L.. APPOY </v>
      </c>
      <c r="T184" s="780">
        <v>30988</v>
      </c>
      <c r="U184" s="305" t="s">
        <v>977</v>
      </c>
      <c r="V184" s="447" t="s">
        <v>62</v>
      </c>
      <c r="W184" s="472">
        <v>24191</v>
      </c>
      <c r="X184" s="498">
        <f t="shared" ca="1" si="36"/>
        <v>21914.538043287037</v>
      </c>
      <c r="Y184" s="447" t="s">
        <v>978</v>
      </c>
      <c r="Z184" s="447"/>
      <c r="AA184" s="493">
        <v>33451</v>
      </c>
      <c r="AB184" s="493">
        <v>35011</v>
      </c>
      <c r="AC184" s="447" t="s">
        <v>64</v>
      </c>
      <c r="AD184" s="512" t="s">
        <v>102</v>
      </c>
      <c r="AE184" s="512"/>
      <c r="AF184" s="791">
        <v>29052</v>
      </c>
      <c r="AG184" s="530">
        <v>27381</v>
      </c>
      <c r="AH184" s="530">
        <v>30988</v>
      </c>
      <c r="AI184" s="530"/>
      <c r="AJ184" s="530">
        <f t="shared" si="41"/>
        <v>3607</v>
      </c>
      <c r="AK184" s="530"/>
      <c r="AL184" s="800" t="s">
        <v>66</v>
      </c>
      <c r="AM184" s="305" t="s">
        <v>972</v>
      </c>
      <c r="AN184" s="423" t="s">
        <v>165</v>
      </c>
      <c r="AO184" s="757" t="s">
        <v>536</v>
      </c>
      <c r="AP184" s="447">
        <v>5</v>
      </c>
      <c r="AQ184" s="780">
        <v>30988</v>
      </c>
      <c r="AR184" s="305" t="s">
        <v>977</v>
      </c>
      <c r="AS184" s="821" t="str">
        <f t="shared" si="42"/>
        <v>With Incumbent</v>
      </c>
      <c r="AT184" s="534"/>
      <c r="AU184" s="822"/>
      <c r="AV184" s="534"/>
      <c r="AW184" s="534"/>
      <c r="AX184" s="837"/>
      <c r="AY184" s="838"/>
    </row>
    <row r="185" spans="1:51" s="531" customFormat="1" ht="22.5" customHeight="1">
      <c r="A185" s="741" t="s">
        <v>979</v>
      </c>
      <c r="B185" s="742" t="s">
        <v>408</v>
      </c>
      <c r="C185" s="423" t="s">
        <v>165</v>
      </c>
      <c r="D185" s="757" t="s">
        <v>536</v>
      </c>
      <c r="E185" s="448">
        <v>348624</v>
      </c>
      <c r="F185" s="448">
        <v>348624</v>
      </c>
      <c r="G185" s="448">
        <v>265824</v>
      </c>
      <c r="H185" s="447">
        <v>1</v>
      </c>
      <c r="I185" s="770" t="s">
        <v>833</v>
      </c>
      <c r="J185" s="447" t="s">
        <v>62</v>
      </c>
      <c r="K185" s="447" t="s">
        <v>158</v>
      </c>
      <c r="L185" s="447" t="s">
        <v>56</v>
      </c>
      <c r="M185" s="447" t="s">
        <v>174</v>
      </c>
      <c r="N185" s="545" t="s">
        <v>834</v>
      </c>
      <c r="O185" s="447" t="s">
        <v>835</v>
      </c>
      <c r="P185" s="447" t="s">
        <v>980</v>
      </c>
      <c r="Q185" s="447"/>
      <c r="R185" s="447" t="s">
        <v>72</v>
      </c>
      <c r="S185" s="534" t="s">
        <v>981</v>
      </c>
      <c r="T185" s="780">
        <v>29052</v>
      </c>
      <c r="U185" s="781" t="s">
        <v>88</v>
      </c>
      <c r="V185" s="447" t="s">
        <v>100</v>
      </c>
      <c r="W185" s="472">
        <v>24875</v>
      </c>
      <c r="X185" s="498">
        <v>15514.785289814799</v>
      </c>
      <c r="Y185" s="447" t="s">
        <v>837</v>
      </c>
      <c r="Z185" s="447"/>
      <c r="AA185" s="493">
        <v>35731</v>
      </c>
      <c r="AB185" s="493">
        <v>40262</v>
      </c>
      <c r="AC185" s="447" t="s">
        <v>64</v>
      </c>
      <c r="AD185" s="512" t="s">
        <v>102</v>
      </c>
      <c r="AE185" s="512"/>
      <c r="AF185" s="791">
        <v>29052</v>
      </c>
      <c r="AG185" s="530">
        <v>25295</v>
      </c>
      <c r="AH185" s="530">
        <v>29052</v>
      </c>
      <c r="AI185" s="530"/>
      <c r="AJ185" s="530">
        <v>3757</v>
      </c>
      <c r="AK185" s="530"/>
      <c r="AL185" s="800" t="s">
        <v>66</v>
      </c>
      <c r="AM185" s="305" t="s">
        <v>979</v>
      </c>
      <c r="AN185" s="423" t="s">
        <v>165</v>
      </c>
      <c r="AO185" s="757" t="s">
        <v>536</v>
      </c>
      <c r="AP185" s="447">
        <v>1</v>
      </c>
      <c r="AQ185" s="780">
        <v>29052</v>
      </c>
      <c r="AR185" s="866" t="s">
        <v>88</v>
      </c>
      <c r="AS185" s="823" t="str">
        <f t="shared" si="42"/>
        <v>(Vacant)</v>
      </c>
      <c r="AT185" s="534"/>
      <c r="AU185" s="822" t="s">
        <v>246</v>
      </c>
      <c r="AV185" s="534" t="s">
        <v>90</v>
      </c>
      <c r="AW185" s="534" t="s">
        <v>247</v>
      </c>
      <c r="AX185" s="837" t="s">
        <v>92</v>
      </c>
      <c r="AY185" s="838" t="s">
        <v>93</v>
      </c>
    </row>
    <row r="186" spans="1:51" s="531" customFormat="1" ht="22.5" customHeight="1">
      <c r="A186" s="741" t="s">
        <v>982</v>
      </c>
      <c r="B186" s="742" t="s">
        <v>408</v>
      </c>
      <c r="C186" s="423" t="s">
        <v>165</v>
      </c>
      <c r="D186" s="757" t="s">
        <v>536</v>
      </c>
      <c r="E186" s="448">
        <f>21537*12</f>
        <v>258444</v>
      </c>
      <c r="F186" s="448">
        <f t="shared" ref="F186:F199" si="43">+AH186*12</f>
        <v>348624</v>
      </c>
      <c r="G186" s="448">
        <v>259344</v>
      </c>
      <c r="H186" s="447">
        <v>1</v>
      </c>
      <c r="I186" s="770" t="s">
        <v>983</v>
      </c>
      <c r="J186" s="447" t="s">
        <v>62</v>
      </c>
      <c r="K186" s="447" t="s">
        <v>158</v>
      </c>
      <c r="L186" s="447" t="s">
        <v>56</v>
      </c>
      <c r="M186" s="774" t="s">
        <v>408</v>
      </c>
      <c r="N186" s="545" t="s">
        <v>984</v>
      </c>
      <c r="O186" s="447" t="s">
        <v>985</v>
      </c>
      <c r="P186" s="447" t="str">
        <f>UPPER(O186)</f>
        <v>DAYAN</v>
      </c>
      <c r="Q186" s="447"/>
      <c r="R186" s="447" t="s">
        <v>77</v>
      </c>
      <c r="S186" s="534" t="str">
        <f>P186&amp;" "&amp;R186&amp;"."&amp;" "&amp;N186&amp;" "&amp;Q186</f>
        <v xml:space="preserve">DAYAN S. WACNANG </v>
      </c>
      <c r="T186" s="780">
        <v>29052</v>
      </c>
      <c r="U186" s="305" t="s">
        <v>986</v>
      </c>
      <c r="V186" s="447" t="s">
        <v>62</v>
      </c>
      <c r="W186" s="472">
        <v>27022</v>
      </c>
      <c r="X186" s="498">
        <f ca="1">(NOW()-W186)</f>
        <v>19083.538043402776</v>
      </c>
      <c r="Y186" s="447" t="s">
        <v>987</v>
      </c>
      <c r="Z186" s="472">
        <v>36966</v>
      </c>
      <c r="AA186" s="493">
        <v>36234</v>
      </c>
      <c r="AB186" s="493">
        <v>39874</v>
      </c>
      <c r="AC186" s="447" t="s">
        <v>64</v>
      </c>
      <c r="AD186" s="512" t="s">
        <v>102</v>
      </c>
      <c r="AE186" s="512"/>
      <c r="AF186" s="791">
        <v>29052</v>
      </c>
      <c r="AG186" s="530">
        <v>25295</v>
      </c>
      <c r="AH186" s="530">
        <v>29052</v>
      </c>
      <c r="AI186" s="530"/>
      <c r="AJ186" s="530">
        <f t="shared" si="41"/>
        <v>3757</v>
      </c>
      <c r="AK186" s="530"/>
      <c r="AL186" s="800" t="s">
        <v>66</v>
      </c>
      <c r="AM186" s="305" t="s">
        <v>982</v>
      </c>
      <c r="AN186" s="423" t="s">
        <v>165</v>
      </c>
      <c r="AO186" s="757" t="s">
        <v>536</v>
      </c>
      <c r="AP186" s="447">
        <v>1</v>
      </c>
      <c r="AQ186" s="780">
        <v>29052</v>
      </c>
      <c r="AR186" s="305" t="s">
        <v>986</v>
      </c>
      <c r="AS186" s="821" t="str">
        <f t="shared" si="42"/>
        <v>With Incumbent</v>
      </c>
      <c r="AT186" s="534"/>
      <c r="AU186" s="822"/>
      <c r="AV186" s="534"/>
      <c r="AW186" s="534"/>
      <c r="AX186" s="837"/>
      <c r="AY186" s="838"/>
    </row>
    <row r="187" spans="1:51" s="531" customFormat="1" ht="22.5" customHeight="1">
      <c r="A187" s="741" t="s">
        <v>988</v>
      </c>
      <c r="B187" s="742" t="s">
        <v>408</v>
      </c>
      <c r="C187" s="423" t="s">
        <v>165</v>
      </c>
      <c r="D187" s="757" t="s">
        <v>536</v>
      </c>
      <c r="E187" s="448">
        <f t="shared" ref="E187:E199" si="44">AF187*12</f>
        <v>348624</v>
      </c>
      <c r="F187" s="448">
        <f t="shared" si="43"/>
        <v>384144</v>
      </c>
      <c r="G187" s="448">
        <v>265824</v>
      </c>
      <c r="H187" s="447">
        <v>7</v>
      </c>
      <c r="I187" s="770" t="s">
        <v>989</v>
      </c>
      <c r="J187" s="447" t="s">
        <v>62</v>
      </c>
      <c r="K187" s="447" t="s">
        <v>158</v>
      </c>
      <c r="L187" s="447" t="s">
        <v>56</v>
      </c>
      <c r="M187" s="447" t="s">
        <v>408</v>
      </c>
      <c r="N187" s="545" t="s">
        <v>990</v>
      </c>
      <c r="O187" s="447" t="s">
        <v>991</v>
      </c>
      <c r="P187" s="447" t="str">
        <f t="shared" si="39"/>
        <v>PRESCILA</v>
      </c>
      <c r="Q187" s="447"/>
      <c r="R187" s="447" t="s">
        <v>81</v>
      </c>
      <c r="S187" s="534" t="str">
        <f t="shared" si="40"/>
        <v xml:space="preserve">PRESCILA A. MONREAL </v>
      </c>
      <c r="T187" s="780">
        <v>32012</v>
      </c>
      <c r="U187" s="305" t="s">
        <v>992</v>
      </c>
      <c r="V187" s="447" t="s">
        <v>100</v>
      </c>
      <c r="W187" s="472">
        <v>24123</v>
      </c>
      <c r="X187" s="498">
        <f t="shared" ref="X187:X205" ca="1" si="45">(NOW()-W187)</f>
        <v>21982.538043402776</v>
      </c>
      <c r="Y187" s="447" t="s">
        <v>993</v>
      </c>
      <c r="Z187" s="447"/>
      <c r="AA187" s="493">
        <v>32687</v>
      </c>
      <c r="AB187" s="493">
        <v>32995</v>
      </c>
      <c r="AC187" s="447" t="s">
        <v>64</v>
      </c>
      <c r="AD187" s="512" t="s">
        <v>102</v>
      </c>
      <c r="AE187" s="512"/>
      <c r="AF187" s="791">
        <v>29052</v>
      </c>
      <c r="AG187" s="530">
        <v>28494</v>
      </c>
      <c r="AH187" s="530">
        <v>32012</v>
      </c>
      <c r="AI187" s="530"/>
      <c r="AJ187" s="530">
        <f t="shared" si="41"/>
        <v>3518</v>
      </c>
      <c r="AK187" s="530"/>
      <c r="AL187" s="800" t="s">
        <v>66</v>
      </c>
      <c r="AM187" s="305" t="s">
        <v>988</v>
      </c>
      <c r="AN187" s="423" t="s">
        <v>165</v>
      </c>
      <c r="AO187" s="757" t="s">
        <v>536</v>
      </c>
      <c r="AP187" s="447">
        <v>7</v>
      </c>
      <c r="AQ187" s="780">
        <v>32012</v>
      </c>
      <c r="AR187" s="305" t="s">
        <v>992</v>
      </c>
      <c r="AS187" s="821" t="str">
        <f t="shared" si="42"/>
        <v>With Incumbent</v>
      </c>
      <c r="AT187" s="534"/>
      <c r="AU187" s="822"/>
      <c r="AV187" s="534"/>
      <c r="AW187" s="534"/>
      <c r="AX187" s="837"/>
      <c r="AY187" s="838"/>
    </row>
    <row r="188" spans="1:51" s="531" customFormat="1" ht="22.5" customHeight="1">
      <c r="A188" s="741" t="s">
        <v>994</v>
      </c>
      <c r="B188" s="742" t="s">
        <v>167</v>
      </c>
      <c r="C188" s="423" t="s">
        <v>165</v>
      </c>
      <c r="D188" s="757" t="s">
        <v>536</v>
      </c>
      <c r="E188" s="448">
        <f t="shared" si="44"/>
        <v>348624</v>
      </c>
      <c r="F188" s="448">
        <f t="shared" si="43"/>
        <v>360012</v>
      </c>
      <c r="G188" s="448">
        <v>246828</v>
      </c>
      <c r="H188" s="447">
        <v>3</v>
      </c>
      <c r="I188" s="770" t="s">
        <v>995</v>
      </c>
      <c r="J188" s="447" t="s">
        <v>62</v>
      </c>
      <c r="K188" s="447" t="s">
        <v>158</v>
      </c>
      <c r="L188" s="447" t="s">
        <v>56</v>
      </c>
      <c r="M188" s="616" t="s">
        <v>174</v>
      </c>
      <c r="N188" s="545" t="s">
        <v>996</v>
      </c>
      <c r="O188" s="447" t="s">
        <v>997</v>
      </c>
      <c r="P188" s="447" t="str">
        <f t="shared" si="39"/>
        <v>REGINA</v>
      </c>
      <c r="Q188" s="447"/>
      <c r="R188" s="447" t="s">
        <v>158</v>
      </c>
      <c r="S188" s="534" t="str">
        <f t="shared" si="40"/>
        <v xml:space="preserve">REGINA T. DONG-E </v>
      </c>
      <c r="T188" s="780">
        <v>30001</v>
      </c>
      <c r="U188" s="305" t="s">
        <v>998</v>
      </c>
      <c r="V188" s="447" t="s">
        <v>100</v>
      </c>
      <c r="W188" s="472">
        <v>24630</v>
      </c>
      <c r="X188" s="498">
        <f t="shared" ca="1" si="45"/>
        <v>21475.538043287037</v>
      </c>
      <c r="Y188" s="447" t="s">
        <v>999</v>
      </c>
      <c r="Z188" s="447"/>
      <c r="AA188" s="493">
        <v>34808</v>
      </c>
      <c r="AB188" s="493">
        <v>37235</v>
      </c>
      <c r="AC188" s="447" t="s">
        <v>64</v>
      </c>
      <c r="AD188" s="512" t="s">
        <v>102</v>
      </c>
      <c r="AE188" s="512"/>
      <c r="AF188" s="791">
        <v>29052</v>
      </c>
      <c r="AG188" s="530">
        <v>26314</v>
      </c>
      <c r="AH188" s="530">
        <v>30001</v>
      </c>
      <c r="AI188" s="530"/>
      <c r="AJ188" s="530">
        <f t="shared" si="41"/>
        <v>3687</v>
      </c>
      <c r="AK188" s="530"/>
      <c r="AL188" s="800" t="s">
        <v>66</v>
      </c>
      <c r="AM188" s="305" t="s">
        <v>994</v>
      </c>
      <c r="AN188" s="423" t="s">
        <v>165</v>
      </c>
      <c r="AO188" s="757" t="s">
        <v>536</v>
      </c>
      <c r="AP188" s="447">
        <v>3</v>
      </c>
      <c r="AQ188" s="780">
        <v>30001</v>
      </c>
      <c r="AR188" s="305" t="s">
        <v>998</v>
      </c>
      <c r="AS188" s="821" t="str">
        <f t="shared" si="42"/>
        <v>With Incumbent</v>
      </c>
      <c r="AT188" s="534"/>
      <c r="AU188" s="822"/>
      <c r="AV188" s="534"/>
      <c r="AW188" s="534"/>
      <c r="AX188" s="837"/>
      <c r="AY188" s="838"/>
    </row>
    <row r="189" spans="1:51" s="531" customFormat="1" ht="22.5" customHeight="1">
      <c r="A189" s="741" t="s">
        <v>1000</v>
      </c>
      <c r="B189" s="742" t="s">
        <v>167</v>
      </c>
      <c r="C189" s="423" t="s">
        <v>165</v>
      </c>
      <c r="D189" s="757" t="s">
        <v>536</v>
      </c>
      <c r="E189" s="448">
        <f t="shared" si="44"/>
        <v>348624</v>
      </c>
      <c r="F189" s="448">
        <f t="shared" si="43"/>
        <v>348624</v>
      </c>
      <c r="G189" s="448">
        <v>272460</v>
      </c>
      <c r="H189" s="447">
        <v>1</v>
      </c>
      <c r="I189" s="770" t="s">
        <v>1001</v>
      </c>
      <c r="J189" s="447" t="s">
        <v>62</v>
      </c>
      <c r="K189" s="447" t="s">
        <v>158</v>
      </c>
      <c r="L189" s="447" t="s">
        <v>56</v>
      </c>
      <c r="M189" s="616" t="s">
        <v>181</v>
      </c>
      <c r="N189" s="545" t="s">
        <v>1002</v>
      </c>
      <c r="O189" s="447" t="s">
        <v>1003</v>
      </c>
      <c r="P189" s="447" t="str">
        <f t="shared" si="39"/>
        <v>ELMA</v>
      </c>
      <c r="Q189" s="447"/>
      <c r="R189" s="447" t="s">
        <v>62</v>
      </c>
      <c r="S189" s="534" t="str">
        <f t="shared" si="40"/>
        <v xml:space="preserve">ELMA M. PERALTA </v>
      </c>
      <c r="T189" s="780">
        <v>29052</v>
      </c>
      <c r="U189" s="305" t="s">
        <v>1004</v>
      </c>
      <c r="V189" s="447" t="s">
        <v>100</v>
      </c>
      <c r="W189" s="472">
        <v>29136</v>
      </c>
      <c r="X189" s="498">
        <f t="shared" ca="1" si="45"/>
        <v>16969.538043402776</v>
      </c>
      <c r="Y189" s="447" t="s">
        <v>1005</v>
      </c>
      <c r="Z189" s="447"/>
      <c r="AA189" s="493">
        <v>37347</v>
      </c>
      <c r="AB189" s="493">
        <v>40262</v>
      </c>
      <c r="AC189" s="447" t="s">
        <v>64</v>
      </c>
      <c r="AD189" s="512" t="s">
        <v>102</v>
      </c>
      <c r="AE189" s="512"/>
      <c r="AF189" s="791">
        <v>29052</v>
      </c>
      <c r="AG189" s="530">
        <v>25295</v>
      </c>
      <c r="AH189" s="530">
        <v>29052</v>
      </c>
      <c r="AI189" s="530"/>
      <c r="AJ189" s="530">
        <f t="shared" si="41"/>
        <v>3757</v>
      </c>
      <c r="AK189" s="530"/>
      <c r="AL189" s="800" t="s">
        <v>66</v>
      </c>
      <c r="AM189" s="305" t="s">
        <v>1000</v>
      </c>
      <c r="AN189" s="423" t="s">
        <v>165</v>
      </c>
      <c r="AO189" s="757" t="s">
        <v>536</v>
      </c>
      <c r="AP189" s="447">
        <v>1</v>
      </c>
      <c r="AQ189" s="780">
        <v>29052</v>
      </c>
      <c r="AR189" s="305" t="s">
        <v>1004</v>
      </c>
      <c r="AS189" s="821" t="str">
        <f t="shared" si="42"/>
        <v>With Incumbent</v>
      </c>
      <c r="AT189" s="534"/>
      <c r="AU189" s="822"/>
      <c r="AV189" s="534"/>
      <c r="AW189" s="534"/>
      <c r="AX189" s="837"/>
      <c r="AY189" s="838"/>
    </row>
    <row r="190" spans="1:51" s="531" customFormat="1" ht="22.5" customHeight="1">
      <c r="A190" s="741" t="s">
        <v>1006</v>
      </c>
      <c r="B190" s="742" t="s">
        <v>167</v>
      </c>
      <c r="C190" s="423" t="s">
        <v>165</v>
      </c>
      <c r="D190" s="757" t="s">
        <v>536</v>
      </c>
      <c r="E190" s="448">
        <f t="shared" si="44"/>
        <v>348624</v>
      </c>
      <c r="F190" s="448">
        <f t="shared" si="43"/>
        <v>360012</v>
      </c>
      <c r="G190" s="448">
        <v>240816</v>
      </c>
      <c r="H190" s="447">
        <v>3</v>
      </c>
      <c r="I190" s="770" t="s">
        <v>197</v>
      </c>
      <c r="J190" s="447" t="s">
        <v>64</v>
      </c>
      <c r="K190" s="447" t="s">
        <v>158</v>
      </c>
      <c r="L190" s="447" t="s">
        <v>56</v>
      </c>
      <c r="M190" s="616" t="s">
        <v>57</v>
      </c>
      <c r="N190" s="545" t="s">
        <v>450</v>
      </c>
      <c r="O190" s="447" t="s">
        <v>1007</v>
      </c>
      <c r="P190" s="447" t="str">
        <f t="shared" si="39"/>
        <v>BASILISO</v>
      </c>
      <c r="Q190" s="447" t="s">
        <v>1008</v>
      </c>
      <c r="R190" s="447" t="s">
        <v>64</v>
      </c>
      <c r="S190" s="534" t="str">
        <f t="shared" si="40"/>
        <v>BASILISO P. PASCUA III</v>
      </c>
      <c r="T190" s="780">
        <v>30001</v>
      </c>
      <c r="U190" s="305" t="s">
        <v>1009</v>
      </c>
      <c r="V190" s="447" t="s">
        <v>62</v>
      </c>
      <c r="W190" s="472">
        <v>23939</v>
      </c>
      <c r="X190" s="498">
        <f t="shared" ca="1" si="45"/>
        <v>22166.538043287037</v>
      </c>
      <c r="Y190" s="447" t="s">
        <v>1010</v>
      </c>
      <c r="Z190" s="472">
        <v>36100</v>
      </c>
      <c r="AA190" s="493">
        <v>33786</v>
      </c>
      <c r="AB190" s="493">
        <v>38018</v>
      </c>
      <c r="AC190" s="447" t="s">
        <v>64</v>
      </c>
      <c r="AD190" s="512" t="s">
        <v>102</v>
      </c>
      <c r="AE190" s="512"/>
      <c r="AF190" s="791">
        <v>29052</v>
      </c>
      <c r="AG190" s="530">
        <v>26314</v>
      </c>
      <c r="AH190" s="530">
        <v>30001</v>
      </c>
      <c r="AI190" s="530"/>
      <c r="AJ190" s="530">
        <f t="shared" si="41"/>
        <v>3687</v>
      </c>
      <c r="AK190" s="530"/>
      <c r="AL190" s="800" t="s">
        <v>66</v>
      </c>
      <c r="AM190" s="305" t="s">
        <v>1006</v>
      </c>
      <c r="AN190" s="423" t="s">
        <v>165</v>
      </c>
      <c r="AO190" s="757" t="s">
        <v>536</v>
      </c>
      <c r="AP190" s="447">
        <v>3</v>
      </c>
      <c r="AQ190" s="780">
        <v>30001</v>
      </c>
      <c r="AR190" s="305" t="s">
        <v>1009</v>
      </c>
      <c r="AS190" s="821" t="str">
        <f t="shared" si="42"/>
        <v>With Incumbent</v>
      </c>
      <c r="AT190" s="534"/>
      <c r="AU190" s="822"/>
      <c r="AV190" s="534"/>
      <c r="AW190" s="534"/>
      <c r="AX190" s="837"/>
      <c r="AY190" s="838"/>
    </row>
    <row r="191" spans="1:51" s="531" customFormat="1" ht="22.5" customHeight="1">
      <c r="A191" s="741" t="s">
        <v>1011</v>
      </c>
      <c r="B191" s="742" t="s">
        <v>268</v>
      </c>
      <c r="C191" s="423" t="s">
        <v>165</v>
      </c>
      <c r="D191" s="757" t="s">
        <v>536</v>
      </c>
      <c r="E191" s="448">
        <f t="shared" si="44"/>
        <v>348624</v>
      </c>
      <c r="F191" s="448">
        <f t="shared" si="43"/>
        <v>384144</v>
      </c>
      <c r="G191" s="448">
        <v>265824</v>
      </c>
      <c r="H191" s="447">
        <v>7</v>
      </c>
      <c r="I191" s="770" t="s">
        <v>1012</v>
      </c>
      <c r="J191" s="447" t="s">
        <v>62</v>
      </c>
      <c r="K191" s="447" t="s">
        <v>158</v>
      </c>
      <c r="L191" s="447" t="s">
        <v>56</v>
      </c>
      <c r="M191" s="447" t="s">
        <v>268</v>
      </c>
      <c r="N191" s="545" t="s">
        <v>1013</v>
      </c>
      <c r="O191" s="447" t="s">
        <v>1014</v>
      </c>
      <c r="P191" s="447" t="str">
        <f t="shared" si="39"/>
        <v>ESTRELLA</v>
      </c>
      <c r="Q191" s="447"/>
      <c r="R191" s="447" t="s">
        <v>77</v>
      </c>
      <c r="S191" s="534" t="str">
        <f t="shared" si="40"/>
        <v xml:space="preserve">ESTRELLA S. TAMBIAC </v>
      </c>
      <c r="T191" s="780">
        <v>32012</v>
      </c>
      <c r="U191" s="305" t="s">
        <v>1015</v>
      </c>
      <c r="V191" s="447" t="s">
        <v>100</v>
      </c>
      <c r="W191" s="472">
        <v>18596</v>
      </c>
      <c r="X191" s="498">
        <f t="shared" ca="1" si="45"/>
        <v>27509.538043402776</v>
      </c>
      <c r="Y191" s="447" t="s">
        <v>1016</v>
      </c>
      <c r="Z191" s="447"/>
      <c r="AA191" s="493">
        <v>28254</v>
      </c>
      <c r="AB191" s="493">
        <v>33628</v>
      </c>
      <c r="AC191" s="447" t="s">
        <v>64</v>
      </c>
      <c r="AD191" s="512" t="s">
        <v>102</v>
      </c>
      <c r="AE191" s="512"/>
      <c r="AF191" s="791">
        <v>29052</v>
      </c>
      <c r="AG191" s="530">
        <v>28494</v>
      </c>
      <c r="AH191" s="530">
        <v>32012</v>
      </c>
      <c r="AI191" s="530"/>
      <c r="AJ191" s="530">
        <f t="shared" si="41"/>
        <v>3518</v>
      </c>
      <c r="AK191" s="530"/>
      <c r="AL191" s="800" t="s">
        <v>66</v>
      </c>
      <c r="AM191" s="305" t="s">
        <v>1011</v>
      </c>
      <c r="AN191" s="423" t="s">
        <v>165</v>
      </c>
      <c r="AO191" s="757" t="s">
        <v>536</v>
      </c>
      <c r="AP191" s="447">
        <v>7</v>
      </c>
      <c r="AQ191" s="780">
        <v>32012</v>
      </c>
      <c r="AR191" s="305" t="s">
        <v>1015</v>
      </c>
      <c r="AS191" s="821" t="str">
        <f t="shared" si="42"/>
        <v>With Incumbent</v>
      </c>
      <c r="AT191" s="534"/>
      <c r="AU191" s="822"/>
      <c r="AV191" s="534"/>
      <c r="AW191" s="534"/>
      <c r="AX191" s="837"/>
      <c r="AY191" s="838"/>
    </row>
    <row r="192" spans="1:51" s="531" customFormat="1" ht="22.5" customHeight="1">
      <c r="A192" s="741" t="s">
        <v>1017</v>
      </c>
      <c r="B192" s="742" t="s">
        <v>268</v>
      </c>
      <c r="C192" s="423" t="s">
        <v>165</v>
      </c>
      <c r="D192" s="757" t="s">
        <v>536</v>
      </c>
      <c r="E192" s="448">
        <f t="shared" si="44"/>
        <v>348624</v>
      </c>
      <c r="F192" s="448">
        <f t="shared" si="43"/>
        <v>365892</v>
      </c>
      <c r="G192" s="448">
        <v>253020</v>
      </c>
      <c r="H192" s="447">
        <v>4</v>
      </c>
      <c r="I192" s="770" t="s">
        <v>352</v>
      </c>
      <c r="J192" s="447" t="s">
        <v>64</v>
      </c>
      <c r="K192" s="447" t="s">
        <v>158</v>
      </c>
      <c r="L192" s="447" t="s">
        <v>56</v>
      </c>
      <c r="M192" s="447" t="s">
        <v>268</v>
      </c>
      <c r="N192" s="545" t="s">
        <v>1018</v>
      </c>
      <c r="O192" s="447" t="s">
        <v>501</v>
      </c>
      <c r="P192" s="447" t="str">
        <f t="shared" si="39"/>
        <v>FRANCISCO</v>
      </c>
      <c r="Q192" s="447"/>
      <c r="R192" s="447" t="s">
        <v>55</v>
      </c>
      <c r="S192" s="534" t="str">
        <f t="shared" si="40"/>
        <v xml:space="preserve">FRANCISCO K. PANAY </v>
      </c>
      <c r="T192" s="780">
        <v>30491</v>
      </c>
      <c r="U192" s="305" t="s">
        <v>1019</v>
      </c>
      <c r="V192" s="447" t="s">
        <v>62</v>
      </c>
      <c r="W192" s="472">
        <v>18909</v>
      </c>
      <c r="X192" s="498">
        <f t="shared" ca="1" si="45"/>
        <v>27196.538043402776</v>
      </c>
      <c r="Y192" s="447" t="s">
        <v>1020</v>
      </c>
      <c r="Z192" s="472">
        <v>33528</v>
      </c>
      <c r="AA192" s="493">
        <v>30895</v>
      </c>
      <c r="AB192" s="493">
        <v>36145</v>
      </c>
      <c r="AC192" s="447" t="s">
        <v>64</v>
      </c>
      <c r="AD192" s="512" t="s">
        <v>102</v>
      </c>
      <c r="AE192" s="512"/>
      <c r="AF192" s="791">
        <v>29052</v>
      </c>
      <c r="AG192" s="530">
        <v>26842</v>
      </c>
      <c r="AH192" s="530">
        <v>30491</v>
      </c>
      <c r="AI192" s="530"/>
      <c r="AJ192" s="530">
        <f t="shared" si="41"/>
        <v>3649</v>
      </c>
      <c r="AK192" s="530"/>
      <c r="AL192" s="800" t="s">
        <v>66</v>
      </c>
      <c r="AM192" s="305" t="s">
        <v>1017</v>
      </c>
      <c r="AN192" s="423" t="s">
        <v>165</v>
      </c>
      <c r="AO192" s="757" t="s">
        <v>536</v>
      </c>
      <c r="AP192" s="447">
        <v>4</v>
      </c>
      <c r="AQ192" s="780">
        <v>30491</v>
      </c>
      <c r="AR192" s="305" t="s">
        <v>1019</v>
      </c>
      <c r="AS192" s="821" t="str">
        <f t="shared" si="42"/>
        <v>With Incumbent</v>
      </c>
      <c r="AT192" s="534"/>
      <c r="AU192" s="822"/>
      <c r="AV192" s="534"/>
      <c r="AW192" s="534"/>
      <c r="AX192" s="837"/>
      <c r="AY192" s="838"/>
    </row>
    <row r="193" spans="1:51" s="531" customFormat="1" ht="22.5" customHeight="1">
      <c r="A193" s="741" t="s">
        <v>1021</v>
      </c>
      <c r="B193" s="742" t="s">
        <v>268</v>
      </c>
      <c r="C193" s="423" t="s">
        <v>165</v>
      </c>
      <c r="D193" s="757" t="s">
        <v>536</v>
      </c>
      <c r="E193" s="448">
        <f t="shared" si="44"/>
        <v>348624</v>
      </c>
      <c r="F193" s="448">
        <f t="shared" si="43"/>
        <v>360012</v>
      </c>
      <c r="G193" s="448">
        <v>240816</v>
      </c>
      <c r="H193" s="447">
        <v>3</v>
      </c>
      <c r="I193" s="770" t="s">
        <v>576</v>
      </c>
      <c r="J193" s="447" t="s">
        <v>62</v>
      </c>
      <c r="K193" s="447" t="s">
        <v>158</v>
      </c>
      <c r="L193" s="447" t="s">
        <v>56</v>
      </c>
      <c r="M193" s="447" t="s">
        <v>268</v>
      </c>
      <c r="N193" s="545" t="s">
        <v>1022</v>
      </c>
      <c r="O193" s="447" t="s">
        <v>1023</v>
      </c>
      <c r="P193" s="447" t="str">
        <f t="shared" si="39"/>
        <v>CARIDAD</v>
      </c>
      <c r="Q193" s="447"/>
      <c r="R193" s="447" t="s">
        <v>115</v>
      </c>
      <c r="S193" s="534" t="str">
        <f t="shared" si="40"/>
        <v xml:space="preserve">CARIDAD B. BASILIO </v>
      </c>
      <c r="T193" s="780">
        <v>30001</v>
      </c>
      <c r="U193" s="305" t="s">
        <v>1024</v>
      </c>
      <c r="V193" s="447" t="s">
        <v>100</v>
      </c>
      <c r="W193" s="472">
        <v>25986</v>
      </c>
      <c r="X193" s="498">
        <f t="shared" ca="1" si="45"/>
        <v>20119.538043287037</v>
      </c>
      <c r="Y193" s="447" t="s">
        <v>1025</v>
      </c>
      <c r="Z193" s="447"/>
      <c r="AA193" s="493">
        <v>35471</v>
      </c>
      <c r="AB193" s="493">
        <v>38018</v>
      </c>
      <c r="AC193" s="447" t="s">
        <v>64</v>
      </c>
      <c r="AD193" s="512" t="s">
        <v>102</v>
      </c>
      <c r="AE193" s="512"/>
      <c r="AF193" s="791">
        <v>29052</v>
      </c>
      <c r="AG193" s="530">
        <v>26314</v>
      </c>
      <c r="AH193" s="530">
        <v>30001</v>
      </c>
      <c r="AI193" s="530"/>
      <c r="AJ193" s="530">
        <f t="shared" si="41"/>
        <v>3687</v>
      </c>
      <c r="AK193" s="530"/>
      <c r="AL193" s="800" t="s">
        <v>66</v>
      </c>
      <c r="AM193" s="305" t="s">
        <v>1021</v>
      </c>
      <c r="AN193" s="423" t="s">
        <v>165</v>
      </c>
      <c r="AO193" s="757" t="s">
        <v>536</v>
      </c>
      <c r="AP193" s="447">
        <v>3</v>
      </c>
      <c r="AQ193" s="780">
        <v>30001</v>
      </c>
      <c r="AR193" s="305" t="s">
        <v>1024</v>
      </c>
      <c r="AS193" s="821" t="str">
        <f t="shared" si="42"/>
        <v>With Incumbent</v>
      </c>
      <c r="AT193" s="534"/>
      <c r="AU193" s="822"/>
      <c r="AV193" s="534"/>
      <c r="AW193" s="534"/>
      <c r="AX193" s="837"/>
      <c r="AY193" s="838"/>
    </row>
    <row r="194" spans="1:51" s="531" customFormat="1" ht="22.5" customHeight="1">
      <c r="A194" s="741" t="s">
        <v>1026</v>
      </c>
      <c r="B194" s="742" t="s">
        <v>174</v>
      </c>
      <c r="C194" s="423" t="s">
        <v>165</v>
      </c>
      <c r="D194" s="757" t="s">
        <v>536</v>
      </c>
      <c r="E194" s="448">
        <f t="shared" si="44"/>
        <v>348624</v>
      </c>
      <c r="F194" s="448">
        <f t="shared" si="43"/>
        <v>365892</v>
      </c>
      <c r="G194" s="448">
        <v>253020</v>
      </c>
      <c r="H194" s="447">
        <v>4</v>
      </c>
      <c r="I194" s="770" t="s">
        <v>1027</v>
      </c>
      <c r="J194" s="447" t="s">
        <v>62</v>
      </c>
      <c r="K194" s="447" t="s">
        <v>158</v>
      </c>
      <c r="L194" s="447" t="s">
        <v>56</v>
      </c>
      <c r="M194" s="447" t="s">
        <v>174</v>
      </c>
      <c r="N194" s="545" t="s">
        <v>1028</v>
      </c>
      <c r="O194" s="447" t="s">
        <v>1029</v>
      </c>
      <c r="P194" s="447" t="str">
        <f t="shared" si="39"/>
        <v>WILBERT</v>
      </c>
      <c r="Q194" s="447"/>
      <c r="R194" s="447" t="s">
        <v>62</v>
      </c>
      <c r="S194" s="534" t="str">
        <f t="shared" si="40"/>
        <v xml:space="preserve">WILBERT M. UMALCO </v>
      </c>
      <c r="T194" s="780">
        <v>30491</v>
      </c>
      <c r="U194" s="305" t="s">
        <v>1030</v>
      </c>
      <c r="V194" s="447" t="s">
        <v>62</v>
      </c>
      <c r="W194" s="472">
        <v>23249</v>
      </c>
      <c r="X194" s="498">
        <f t="shared" ca="1" si="45"/>
        <v>22856.538043402776</v>
      </c>
      <c r="Y194" s="447" t="s">
        <v>1031</v>
      </c>
      <c r="Z194" s="447"/>
      <c r="AA194" s="493">
        <v>34808</v>
      </c>
      <c r="AB194" s="493">
        <v>36000</v>
      </c>
      <c r="AC194" s="447" t="s">
        <v>64</v>
      </c>
      <c r="AD194" s="512" t="s">
        <v>1032</v>
      </c>
      <c r="AE194" s="512"/>
      <c r="AF194" s="791">
        <v>29052</v>
      </c>
      <c r="AG194" s="530">
        <v>26842</v>
      </c>
      <c r="AH194" s="530">
        <v>30491</v>
      </c>
      <c r="AI194" s="852"/>
      <c r="AJ194" s="530">
        <f t="shared" si="41"/>
        <v>3649</v>
      </c>
      <c r="AK194" s="530"/>
      <c r="AL194" s="800" t="s">
        <v>66</v>
      </c>
      <c r="AM194" s="305" t="s">
        <v>1026</v>
      </c>
      <c r="AN194" s="423" t="s">
        <v>165</v>
      </c>
      <c r="AO194" s="757" t="s">
        <v>536</v>
      </c>
      <c r="AP194" s="447">
        <v>4</v>
      </c>
      <c r="AQ194" s="780">
        <v>30491</v>
      </c>
      <c r="AR194" s="305" t="s">
        <v>1030</v>
      </c>
      <c r="AS194" s="821" t="str">
        <f t="shared" si="42"/>
        <v>With Incumbent</v>
      </c>
      <c r="AT194" s="534"/>
      <c r="AU194" s="822"/>
      <c r="AV194" s="534"/>
      <c r="AW194" s="534"/>
      <c r="AX194" s="837"/>
      <c r="AY194" s="838"/>
    </row>
    <row r="195" spans="1:51" s="531" customFormat="1" ht="22.5" customHeight="1">
      <c r="A195" s="741" t="s">
        <v>1033</v>
      </c>
      <c r="B195" s="742" t="s">
        <v>174</v>
      </c>
      <c r="C195" s="423" t="s">
        <v>165</v>
      </c>
      <c r="D195" s="757" t="s">
        <v>536</v>
      </c>
      <c r="E195" s="448">
        <f t="shared" si="44"/>
        <v>348624</v>
      </c>
      <c r="F195" s="448">
        <f t="shared" si="43"/>
        <v>371856</v>
      </c>
      <c r="G195" s="448">
        <v>259344</v>
      </c>
      <c r="H195" s="447">
        <v>5</v>
      </c>
      <c r="I195" s="770" t="s">
        <v>1034</v>
      </c>
      <c r="J195" s="447" t="s">
        <v>62</v>
      </c>
      <c r="K195" s="447" t="s">
        <v>158</v>
      </c>
      <c r="L195" s="447" t="s">
        <v>56</v>
      </c>
      <c r="M195" s="447" t="s">
        <v>174</v>
      </c>
      <c r="N195" s="545" t="s">
        <v>1035</v>
      </c>
      <c r="O195" s="447" t="s">
        <v>1036</v>
      </c>
      <c r="P195" s="447" t="str">
        <f t="shared" si="39"/>
        <v>GILBERT</v>
      </c>
      <c r="Q195" s="447"/>
      <c r="R195" s="447" t="s">
        <v>1037</v>
      </c>
      <c r="S195" s="534" t="str">
        <f t="shared" si="40"/>
        <v xml:space="preserve">GILBERT N. LINDAWAN </v>
      </c>
      <c r="T195" s="780">
        <v>30988</v>
      </c>
      <c r="U195" s="305" t="s">
        <v>1038</v>
      </c>
      <c r="V195" s="447" t="s">
        <v>62</v>
      </c>
      <c r="W195" s="472">
        <v>24545</v>
      </c>
      <c r="X195" s="498">
        <f t="shared" ca="1" si="45"/>
        <v>21560.538043287037</v>
      </c>
      <c r="Y195" s="447" t="s">
        <v>1039</v>
      </c>
      <c r="Z195" s="447"/>
      <c r="AA195" s="493">
        <v>33550</v>
      </c>
      <c r="AB195" s="493">
        <v>34946</v>
      </c>
      <c r="AC195" s="447" t="s">
        <v>64</v>
      </c>
      <c r="AD195" s="512" t="s">
        <v>102</v>
      </c>
      <c r="AE195" s="512"/>
      <c r="AF195" s="791">
        <v>29052</v>
      </c>
      <c r="AG195" s="530">
        <v>27381</v>
      </c>
      <c r="AH195" s="530">
        <v>30988</v>
      </c>
      <c r="AI195" s="530"/>
      <c r="AJ195" s="530">
        <f t="shared" si="41"/>
        <v>3607</v>
      </c>
      <c r="AK195" s="530"/>
      <c r="AL195" s="800" t="s">
        <v>66</v>
      </c>
      <c r="AM195" s="305" t="s">
        <v>1033</v>
      </c>
      <c r="AN195" s="423" t="s">
        <v>165</v>
      </c>
      <c r="AO195" s="757" t="s">
        <v>536</v>
      </c>
      <c r="AP195" s="447">
        <v>5</v>
      </c>
      <c r="AQ195" s="780">
        <v>30988</v>
      </c>
      <c r="AR195" s="305" t="s">
        <v>1038</v>
      </c>
      <c r="AS195" s="821" t="str">
        <f t="shared" si="42"/>
        <v>With Incumbent</v>
      </c>
      <c r="AT195" s="534"/>
      <c r="AU195" s="822"/>
      <c r="AV195" s="534"/>
      <c r="AW195" s="534"/>
      <c r="AX195" s="837"/>
      <c r="AY195" s="838"/>
    </row>
    <row r="196" spans="1:51" s="531" customFormat="1" ht="22.5" customHeight="1">
      <c r="A196" s="741" t="s">
        <v>1040</v>
      </c>
      <c r="B196" s="742" t="s">
        <v>174</v>
      </c>
      <c r="C196" s="423" t="s">
        <v>165</v>
      </c>
      <c r="D196" s="757" t="s">
        <v>536</v>
      </c>
      <c r="E196" s="448">
        <f t="shared" si="44"/>
        <v>348624</v>
      </c>
      <c r="F196" s="448">
        <f t="shared" si="43"/>
        <v>348624</v>
      </c>
      <c r="G196" s="448">
        <v>259344</v>
      </c>
      <c r="H196" s="447">
        <v>1</v>
      </c>
      <c r="I196" s="770" t="s">
        <v>487</v>
      </c>
      <c r="J196" s="447" t="s">
        <v>64</v>
      </c>
      <c r="K196" s="447" t="s">
        <v>158</v>
      </c>
      <c r="L196" s="447" t="s">
        <v>56</v>
      </c>
      <c r="M196" s="447" t="s">
        <v>174</v>
      </c>
      <c r="N196" s="545" t="s">
        <v>1041</v>
      </c>
      <c r="O196" s="447" t="s">
        <v>1042</v>
      </c>
      <c r="P196" s="447" t="str">
        <f t="shared" si="39"/>
        <v>LINDA</v>
      </c>
      <c r="Q196" s="447"/>
      <c r="R196" s="447" t="s">
        <v>647</v>
      </c>
      <c r="S196" s="534" t="str">
        <f t="shared" si="40"/>
        <v xml:space="preserve">LINDA H. MARCAIDA </v>
      </c>
      <c r="T196" s="780">
        <v>29052</v>
      </c>
      <c r="U196" s="305" t="s">
        <v>1043</v>
      </c>
      <c r="V196" s="447" t="s">
        <v>100</v>
      </c>
      <c r="W196" s="472">
        <v>26028</v>
      </c>
      <c r="X196" s="498">
        <f t="shared" ca="1" si="45"/>
        <v>20077.538043402776</v>
      </c>
      <c r="Y196" s="447" t="s">
        <v>1044</v>
      </c>
      <c r="Z196" s="447"/>
      <c r="AA196" s="493">
        <v>36374</v>
      </c>
      <c r="AB196" s="493">
        <v>40262</v>
      </c>
      <c r="AC196" s="447" t="s">
        <v>64</v>
      </c>
      <c r="AD196" s="512" t="s">
        <v>1045</v>
      </c>
      <c r="AE196" s="512"/>
      <c r="AF196" s="791">
        <v>29052</v>
      </c>
      <c r="AG196" s="530">
        <v>25295</v>
      </c>
      <c r="AH196" s="530">
        <v>29052</v>
      </c>
      <c r="AI196" s="530"/>
      <c r="AJ196" s="530">
        <f t="shared" si="41"/>
        <v>3757</v>
      </c>
      <c r="AK196" s="530"/>
      <c r="AL196" s="800" t="s">
        <v>66</v>
      </c>
      <c r="AM196" s="305" t="s">
        <v>1040</v>
      </c>
      <c r="AN196" s="423" t="s">
        <v>165</v>
      </c>
      <c r="AO196" s="757" t="s">
        <v>536</v>
      </c>
      <c r="AP196" s="447">
        <v>1</v>
      </c>
      <c r="AQ196" s="780">
        <v>29052</v>
      </c>
      <c r="AR196" s="305" t="s">
        <v>1043</v>
      </c>
      <c r="AS196" s="821" t="str">
        <f t="shared" si="42"/>
        <v>With Incumbent</v>
      </c>
      <c r="AT196" s="534"/>
      <c r="AU196" s="822"/>
      <c r="AV196" s="534"/>
      <c r="AW196" s="534"/>
      <c r="AX196" s="837"/>
      <c r="AY196" s="838"/>
    </row>
    <row r="197" spans="1:51" s="531" customFormat="1" ht="22.5" customHeight="1">
      <c r="A197" s="741" t="s">
        <v>1046</v>
      </c>
      <c r="B197" s="742" t="s">
        <v>181</v>
      </c>
      <c r="C197" s="423" t="s">
        <v>165</v>
      </c>
      <c r="D197" s="757" t="s">
        <v>536</v>
      </c>
      <c r="E197" s="448">
        <f t="shared" si="44"/>
        <v>348624</v>
      </c>
      <c r="F197" s="448">
        <f t="shared" si="43"/>
        <v>365892</v>
      </c>
      <c r="G197" s="448">
        <v>246828</v>
      </c>
      <c r="H197" s="447">
        <v>4</v>
      </c>
      <c r="I197" s="770" t="s">
        <v>494</v>
      </c>
      <c r="J197" s="447" t="s">
        <v>64</v>
      </c>
      <c r="K197" s="447" t="s">
        <v>158</v>
      </c>
      <c r="L197" s="447" t="s">
        <v>56</v>
      </c>
      <c r="M197" s="616" t="s">
        <v>268</v>
      </c>
      <c r="N197" s="545" t="s">
        <v>595</v>
      </c>
      <c r="O197" s="447" t="s">
        <v>1047</v>
      </c>
      <c r="P197" s="447" t="str">
        <f t="shared" si="39"/>
        <v>MARITESS</v>
      </c>
      <c r="Q197" s="447"/>
      <c r="R197" s="447" t="s">
        <v>62</v>
      </c>
      <c r="S197" s="534" t="str">
        <f t="shared" si="40"/>
        <v xml:space="preserve">MARITESS M. CARIÑO </v>
      </c>
      <c r="T197" s="780">
        <v>30491</v>
      </c>
      <c r="U197" s="305" t="s">
        <v>1048</v>
      </c>
      <c r="V197" s="447" t="s">
        <v>100</v>
      </c>
      <c r="W197" s="472">
        <v>27004</v>
      </c>
      <c r="X197" s="498">
        <f t="shared" ca="1" si="45"/>
        <v>19101.538043402776</v>
      </c>
      <c r="Y197" s="447" t="s">
        <v>1049</v>
      </c>
      <c r="Z197" s="447"/>
      <c r="AA197" s="493">
        <v>34808</v>
      </c>
      <c r="AB197" s="493">
        <v>36559</v>
      </c>
      <c r="AC197" s="447" t="s">
        <v>64</v>
      </c>
      <c r="AD197" s="512" t="s">
        <v>102</v>
      </c>
      <c r="AE197" s="512"/>
      <c r="AF197" s="791">
        <v>29052</v>
      </c>
      <c r="AG197" s="530">
        <v>26842</v>
      </c>
      <c r="AH197" s="530">
        <v>30491</v>
      </c>
      <c r="AI197" s="530"/>
      <c r="AJ197" s="530">
        <f t="shared" si="41"/>
        <v>3649</v>
      </c>
      <c r="AK197" s="530"/>
      <c r="AL197" s="800" t="s">
        <v>66</v>
      </c>
      <c r="AM197" s="305" t="s">
        <v>1046</v>
      </c>
      <c r="AN197" s="423" t="s">
        <v>165</v>
      </c>
      <c r="AO197" s="757" t="s">
        <v>536</v>
      </c>
      <c r="AP197" s="447">
        <v>4</v>
      </c>
      <c r="AQ197" s="780">
        <v>30491</v>
      </c>
      <c r="AR197" s="305" t="s">
        <v>1048</v>
      </c>
      <c r="AS197" s="821" t="str">
        <f t="shared" si="42"/>
        <v>With Incumbent</v>
      </c>
      <c r="AT197" s="534"/>
      <c r="AU197" s="822"/>
      <c r="AV197" s="534"/>
      <c r="AW197" s="534"/>
      <c r="AX197" s="837"/>
      <c r="AY197" s="838"/>
    </row>
    <row r="198" spans="1:51" s="531" customFormat="1" ht="22.5" customHeight="1">
      <c r="A198" s="741" t="s">
        <v>1050</v>
      </c>
      <c r="B198" s="742" t="s">
        <v>181</v>
      </c>
      <c r="C198" s="423" t="s">
        <v>165</v>
      </c>
      <c r="D198" s="757" t="s">
        <v>536</v>
      </c>
      <c r="E198" s="448">
        <f t="shared" si="44"/>
        <v>348624</v>
      </c>
      <c r="F198" s="448">
        <f t="shared" si="43"/>
        <v>360012</v>
      </c>
      <c r="G198" s="448">
        <v>240816</v>
      </c>
      <c r="H198" s="447">
        <v>3</v>
      </c>
      <c r="I198" s="770" t="s">
        <v>1051</v>
      </c>
      <c r="J198" s="447" t="s">
        <v>62</v>
      </c>
      <c r="K198" s="447" t="s">
        <v>158</v>
      </c>
      <c r="L198" s="447" t="s">
        <v>56</v>
      </c>
      <c r="M198" s="616" t="s">
        <v>408</v>
      </c>
      <c r="N198" s="545" t="s">
        <v>1052</v>
      </c>
      <c r="O198" s="447" t="s">
        <v>1053</v>
      </c>
      <c r="P198" s="447" t="str">
        <f t="shared" si="39"/>
        <v>BRAMIE</v>
      </c>
      <c r="Q198" s="447"/>
      <c r="R198" s="447" t="s">
        <v>81</v>
      </c>
      <c r="S198" s="534" t="str">
        <f t="shared" si="40"/>
        <v xml:space="preserve">BRAMIE A. MINA </v>
      </c>
      <c r="T198" s="780">
        <v>30001</v>
      </c>
      <c r="U198" s="305" t="s">
        <v>1054</v>
      </c>
      <c r="V198" s="447" t="s">
        <v>62</v>
      </c>
      <c r="W198" s="472">
        <v>24758</v>
      </c>
      <c r="X198" s="498">
        <f t="shared" ca="1" si="45"/>
        <v>21347.538043287037</v>
      </c>
      <c r="Y198" s="447" t="s">
        <v>1055</v>
      </c>
      <c r="Z198" s="447"/>
      <c r="AA198" s="493">
        <v>35234</v>
      </c>
      <c r="AB198" s="493">
        <v>37655</v>
      </c>
      <c r="AC198" s="447" t="s">
        <v>64</v>
      </c>
      <c r="AD198" s="512" t="s">
        <v>102</v>
      </c>
      <c r="AE198" s="512"/>
      <c r="AF198" s="791">
        <v>29052</v>
      </c>
      <c r="AG198" s="530">
        <v>26314</v>
      </c>
      <c r="AH198" s="530">
        <v>30001</v>
      </c>
      <c r="AI198" s="530"/>
      <c r="AJ198" s="530">
        <f t="shared" si="41"/>
        <v>3687</v>
      </c>
      <c r="AK198" s="530"/>
      <c r="AL198" s="800" t="s">
        <v>66</v>
      </c>
      <c r="AM198" s="305" t="s">
        <v>1050</v>
      </c>
      <c r="AN198" s="423" t="s">
        <v>165</v>
      </c>
      <c r="AO198" s="757" t="s">
        <v>536</v>
      </c>
      <c r="AP198" s="447">
        <v>3</v>
      </c>
      <c r="AQ198" s="780">
        <v>30001</v>
      </c>
      <c r="AR198" s="305" t="s">
        <v>1054</v>
      </c>
      <c r="AS198" s="821" t="str">
        <f t="shared" si="42"/>
        <v>With Incumbent</v>
      </c>
      <c r="AT198" s="534"/>
      <c r="AU198" s="822"/>
      <c r="AV198" s="534"/>
      <c r="AW198" s="534"/>
      <c r="AX198" s="837"/>
      <c r="AY198" s="838"/>
    </row>
    <row r="199" spans="1:51" s="531" customFormat="1" ht="22.5" customHeight="1">
      <c r="A199" s="741" t="s">
        <v>1056</v>
      </c>
      <c r="B199" s="742" t="s">
        <v>181</v>
      </c>
      <c r="C199" s="423" t="s">
        <v>165</v>
      </c>
      <c r="D199" s="757" t="s">
        <v>536</v>
      </c>
      <c r="E199" s="448">
        <f t="shared" si="44"/>
        <v>348624</v>
      </c>
      <c r="F199" s="448">
        <f t="shared" si="43"/>
        <v>360012</v>
      </c>
      <c r="G199" s="448">
        <v>240816</v>
      </c>
      <c r="H199" s="447">
        <v>3</v>
      </c>
      <c r="I199" s="770" t="s">
        <v>223</v>
      </c>
      <c r="J199" s="447" t="s">
        <v>64</v>
      </c>
      <c r="K199" s="447" t="s">
        <v>158</v>
      </c>
      <c r="L199" s="447" t="s">
        <v>56</v>
      </c>
      <c r="M199" s="447" t="s">
        <v>167</v>
      </c>
      <c r="N199" s="545" t="s">
        <v>1057</v>
      </c>
      <c r="O199" s="447" t="s">
        <v>847</v>
      </c>
      <c r="P199" s="447" t="str">
        <f t="shared" si="39"/>
        <v>ELIZABETH</v>
      </c>
      <c r="Q199" s="447"/>
      <c r="R199" s="447" t="s">
        <v>77</v>
      </c>
      <c r="S199" s="534" t="str">
        <f t="shared" si="40"/>
        <v xml:space="preserve">ELIZABETH S. OLANGCAY </v>
      </c>
      <c r="T199" s="780">
        <v>30001</v>
      </c>
      <c r="U199" s="305" t="s">
        <v>1058</v>
      </c>
      <c r="V199" s="447" t="s">
        <v>100</v>
      </c>
      <c r="W199" s="472">
        <v>24279</v>
      </c>
      <c r="X199" s="498">
        <f t="shared" ca="1" si="45"/>
        <v>21826.538043402776</v>
      </c>
      <c r="Y199" s="447" t="s">
        <v>1059</v>
      </c>
      <c r="Z199" s="447"/>
      <c r="AA199" s="493">
        <v>32615</v>
      </c>
      <c r="AB199" s="493">
        <v>37453</v>
      </c>
      <c r="AC199" s="447" t="s">
        <v>64</v>
      </c>
      <c r="AD199" s="512" t="s">
        <v>102</v>
      </c>
      <c r="AE199" s="512"/>
      <c r="AF199" s="791">
        <v>29052</v>
      </c>
      <c r="AG199" s="530">
        <v>26314</v>
      </c>
      <c r="AH199" s="530">
        <v>30001</v>
      </c>
      <c r="AI199" s="530"/>
      <c r="AJ199" s="530">
        <f t="shared" si="41"/>
        <v>3687</v>
      </c>
      <c r="AK199" s="530"/>
      <c r="AL199" s="800" t="s">
        <v>66</v>
      </c>
      <c r="AM199" s="305" t="s">
        <v>1056</v>
      </c>
      <c r="AN199" s="423" t="s">
        <v>165</v>
      </c>
      <c r="AO199" s="757" t="s">
        <v>536</v>
      </c>
      <c r="AP199" s="447">
        <v>3</v>
      </c>
      <c r="AQ199" s="780">
        <v>30001</v>
      </c>
      <c r="AR199" s="305" t="s">
        <v>1058</v>
      </c>
      <c r="AS199" s="821" t="str">
        <f t="shared" si="42"/>
        <v>With Incumbent</v>
      </c>
      <c r="AT199" s="534"/>
      <c r="AU199" s="822"/>
      <c r="AV199" s="534"/>
      <c r="AW199" s="534"/>
      <c r="AX199" s="837"/>
      <c r="AY199" s="838"/>
    </row>
    <row r="200" spans="1:51" s="531" customFormat="1" ht="22.5" hidden="1" customHeight="1">
      <c r="A200" s="741"/>
      <c r="B200" s="742" t="s">
        <v>51</v>
      </c>
      <c r="C200" s="423"/>
      <c r="D200" s="757"/>
      <c r="E200" s="448">
        <v>348624</v>
      </c>
      <c r="F200" s="448">
        <v>371856</v>
      </c>
      <c r="G200" s="448">
        <v>253020</v>
      </c>
      <c r="H200" s="447">
        <v>5</v>
      </c>
      <c r="I200" s="770" t="s">
        <v>895</v>
      </c>
      <c r="J200" s="447" t="s">
        <v>62</v>
      </c>
      <c r="K200" s="447" t="s">
        <v>158</v>
      </c>
      <c r="L200" s="447" t="s">
        <v>56</v>
      </c>
      <c r="M200" s="447" t="s">
        <v>211</v>
      </c>
      <c r="N200" s="545" t="s">
        <v>896</v>
      </c>
      <c r="O200" s="447" t="s">
        <v>897</v>
      </c>
      <c r="P200" s="447" t="s">
        <v>1060</v>
      </c>
      <c r="Q200" s="447"/>
      <c r="R200" s="447" t="s">
        <v>115</v>
      </c>
      <c r="S200" s="534" t="s">
        <v>1061</v>
      </c>
      <c r="T200" s="780"/>
      <c r="U200" s="305"/>
      <c r="V200" s="447" t="s">
        <v>100</v>
      </c>
      <c r="W200" s="472">
        <v>20117</v>
      </c>
      <c r="X200" s="498">
        <v>20272.785289814801</v>
      </c>
      <c r="Y200" s="447" t="s">
        <v>899</v>
      </c>
      <c r="Z200" s="447"/>
      <c r="AA200" s="493">
        <v>27120</v>
      </c>
      <c r="AB200" s="493">
        <v>35374</v>
      </c>
      <c r="AC200" s="447" t="s">
        <v>64</v>
      </c>
      <c r="AD200" s="512" t="s">
        <v>102</v>
      </c>
      <c r="AE200" s="512"/>
      <c r="AF200" s="791">
        <v>29052</v>
      </c>
      <c r="AG200" s="530">
        <v>27381</v>
      </c>
      <c r="AH200" s="530">
        <v>30988</v>
      </c>
      <c r="AI200" s="530"/>
      <c r="AJ200" s="530">
        <v>3607</v>
      </c>
      <c r="AK200" s="530"/>
      <c r="AL200" s="803" t="s">
        <v>1062</v>
      </c>
      <c r="AM200" s="305" t="s">
        <v>202</v>
      </c>
      <c r="AN200" s="423" t="s">
        <v>165</v>
      </c>
      <c r="AO200" s="757" t="s">
        <v>536</v>
      </c>
      <c r="AP200" s="447">
        <v>1</v>
      </c>
      <c r="AQ200" s="780">
        <v>29052</v>
      </c>
      <c r="AR200" s="781" t="s">
        <v>88</v>
      </c>
      <c r="AS200" s="823" t="str">
        <f t="shared" si="42"/>
        <v>(Vacant)</v>
      </c>
      <c r="AT200" s="534"/>
      <c r="AU200" s="822" t="s">
        <v>246</v>
      </c>
      <c r="AV200" s="534" t="s">
        <v>90</v>
      </c>
      <c r="AW200" s="534" t="s">
        <v>247</v>
      </c>
      <c r="AX200" s="837" t="s">
        <v>92</v>
      </c>
      <c r="AY200" s="838" t="s">
        <v>93</v>
      </c>
    </row>
    <row r="201" spans="1:51" s="531" customFormat="1" ht="22.5" hidden="1" customHeight="1">
      <c r="A201" s="741"/>
      <c r="B201" s="742" t="s">
        <v>51</v>
      </c>
      <c r="C201" s="423"/>
      <c r="D201" s="757"/>
      <c r="E201" s="448">
        <v>303108</v>
      </c>
      <c r="F201" s="448">
        <v>313092</v>
      </c>
      <c r="G201" s="448">
        <v>219684</v>
      </c>
      <c r="H201" s="447">
        <v>3</v>
      </c>
      <c r="I201" s="770" t="s">
        <v>188</v>
      </c>
      <c r="J201" s="447" t="s">
        <v>62</v>
      </c>
      <c r="K201" s="447" t="s">
        <v>158</v>
      </c>
      <c r="L201" s="447" t="s">
        <v>56</v>
      </c>
      <c r="M201" s="616" t="s">
        <v>189</v>
      </c>
      <c r="N201" s="545" t="s">
        <v>190</v>
      </c>
      <c r="O201" s="447" t="s">
        <v>191</v>
      </c>
      <c r="P201" s="447" t="s">
        <v>1063</v>
      </c>
      <c r="Q201" s="447"/>
      <c r="R201" s="447" t="s">
        <v>122</v>
      </c>
      <c r="S201" s="534" t="s">
        <v>1064</v>
      </c>
      <c r="T201" s="780"/>
      <c r="U201" s="305"/>
      <c r="V201" s="447" t="s">
        <v>100</v>
      </c>
      <c r="W201" s="472">
        <v>25394</v>
      </c>
      <c r="X201" s="498">
        <v>14979.698942708301</v>
      </c>
      <c r="Y201" s="447" t="s">
        <v>193</v>
      </c>
      <c r="Z201" s="447"/>
      <c r="AA201" s="493">
        <v>35107</v>
      </c>
      <c r="AB201" s="493">
        <v>37235</v>
      </c>
      <c r="AC201" s="447" t="s">
        <v>194</v>
      </c>
      <c r="AD201" s="512" t="s">
        <v>102</v>
      </c>
      <c r="AE201" s="512"/>
      <c r="AF201" s="791">
        <v>25259</v>
      </c>
      <c r="AG201" s="530">
        <v>23115</v>
      </c>
      <c r="AH201" s="530">
        <v>26091</v>
      </c>
      <c r="AI201" s="530"/>
      <c r="AJ201" s="530">
        <v>2976</v>
      </c>
      <c r="AK201" s="530"/>
      <c r="AL201" s="803" t="s">
        <v>1062</v>
      </c>
      <c r="AM201" s="305" t="s">
        <v>186</v>
      </c>
      <c r="AN201" s="423" t="s">
        <v>165</v>
      </c>
      <c r="AO201" s="757" t="s">
        <v>536</v>
      </c>
      <c r="AP201" s="447">
        <v>1</v>
      </c>
      <c r="AQ201" s="780">
        <v>29052</v>
      </c>
      <c r="AR201" s="305" t="s">
        <v>192</v>
      </c>
      <c r="AS201" s="821" t="str">
        <f t="shared" si="42"/>
        <v>With Incumbent</v>
      </c>
      <c r="AT201" s="534"/>
      <c r="AU201" s="822"/>
      <c r="AV201" s="534"/>
      <c r="AW201" s="534"/>
      <c r="AX201" s="837"/>
      <c r="AY201" s="838"/>
    </row>
    <row r="202" spans="1:51" s="531" customFormat="1" ht="22.5" customHeight="1">
      <c r="A202" s="741" t="s">
        <v>1065</v>
      </c>
      <c r="B202" s="742" t="s">
        <v>189</v>
      </c>
      <c r="C202" s="423" t="s">
        <v>1066</v>
      </c>
      <c r="D202" s="757" t="s">
        <v>326</v>
      </c>
      <c r="E202" s="448">
        <f t="shared" ref="E202:E207" si="46">AF202*12</f>
        <v>245880</v>
      </c>
      <c r="F202" s="448">
        <f t="shared" ref="F202:F265" si="47">+AH202*12</f>
        <v>249924</v>
      </c>
      <c r="G202" s="448">
        <v>175560</v>
      </c>
      <c r="H202" s="447">
        <v>2</v>
      </c>
      <c r="I202" s="770" t="s">
        <v>53</v>
      </c>
      <c r="J202" s="447" t="s">
        <v>54</v>
      </c>
      <c r="K202" s="447" t="s">
        <v>158</v>
      </c>
      <c r="L202" s="447" t="s">
        <v>56</v>
      </c>
      <c r="M202" s="447" t="s">
        <v>189</v>
      </c>
      <c r="N202" s="545"/>
      <c r="O202" s="447"/>
      <c r="P202" s="447"/>
      <c r="Q202" s="447"/>
      <c r="R202" s="447"/>
      <c r="S202" s="534"/>
      <c r="T202" s="780">
        <v>20827</v>
      </c>
      <c r="U202" s="781" t="s">
        <v>88</v>
      </c>
      <c r="V202" s="447"/>
      <c r="W202" s="472"/>
      <c r="X202" s="498"/>
      <c r="Y202" s="447"/>
      <c r="Z202" s="472"/>
      <c r="AA202" s="493"/>
      <c r="AB202" s="493"/>
      <c r="AC202" s="447" t="s">
        <v>64</v>
      </c>
      <c r="AD202" s="512" t="s">
        <v>102</v>
      </c>
      <c r="AE202" s="512"/>
      <c r="AF202" s="791">
        <v>20490</v>
      </c>
      <c r="AG202" s="530">
        <v>18661</v>
      </c>
      <c r="AH202" s="530">
        <v>20827</v>
      </c>
      <c r="AI202" s="530"/>
      <c r="AJ202" s="530">
        <f t="shared" si="41"/>
        <v>2166</v>
      </c>
      <c r="AK202" s="530"/>
      <c r="AL202" s="800" t="s">
        <v>66</v>
      </c>
      <c r="AM202" s="305" t="s">
        <v>1065</v>
      </c>
      <c r="AN202" s="423" t="s">
        <v>1066</v>
      </c>
      <c r="AO202" s="757" t="s">
        <v>326</v>
      </c>
      <c r="AP202" s="447">
        <v>2</v>
      </c>
      <c r="AQ202" s="780">
        <v>20827</v>
      </c>
      <c r="AR202" s="781" t="s">
        <v>88</v>
      </c>
      <c r="AS202" s="823" t="str">
        <f t="shared" si="42"/>
        <v>(Vacant)</v>
      </c>
      <c r="AT202" s="534"/>
      <c r="AU202" s="822" t="s">
        <v>246</v>
      </c>
      <c r="AV202" s="534" t="s">
        <v>333</v>
      </c>
      <c r="AW202" s="534" t="s">
        <v>247</v>
      </c>
      <c r="AX202" s="837" t="s">
        <v>92</v>
      </c>
      <c r="AY202" s="838" t="s">
        <v>93</v>
      </c>
    </row>
    <row r="203" spans="1:51" s="531" customFormat="1" ht="22.5" customHeight="1">
      <c r="A203" s="741" t="s">
        <v>1067</v>
      </c>
      <c r="B203" s="742" t="s">
        <v>189</v>
      </c>
      <c r="C203" s="423" t="s">
        <v>1066</v>
      </c>
      <c r="D203" s="757" t="s">
        <v>326</v>
      </c>
      <c r="E203" s="448">
        <f t="shared" si="46"/>
        <v>245880</v>
      </c>
      <c r="F203" s="448">
        <f t="shared" si="47"/>
        <v>249924</v>
      </c>
      <c r="G203" s="448">
        <v>175560</v>
      </c>
      <c r="H203" s="447">
        <v>2</v>
      </c>
      <c r="I203" s="770" t="s">
        <v>53</v>
      </c>
      <c r="J203" s="447" t="s">
        <v>54</v>
      </c>
      <c r="K203" s="447" t="s">
        <v>158</v>
      </c>
      <c r="L203" s="447" t="s">
        <v>56</v>
      </c>
      <c r="M203" s="774"/>
      <c r="N203" s="867"/>
      <c r="O203" s="774"/>
      <c r="P203" s="774"/>
      <c r="Q203" s="774"/>
      <c r="R203" s="774"/>
      <c r="S203" s="785"/>
      <c r="T203" s="780">
        <v>20827</v>
      </c>
      <c r="U203" s="781" t="s">
        <v>88</v>
      </c>
      <c r="V203" s="774"/>
      <c r="W203" s="868"/>
      <c r="X203" s="786"/>
      <c r="Y203" s="774"/>
      <c r="Z203" s="774"/>
      <c r="AA203" s="795"/>
      <c r="AB203" s="795"/>
      <c r="AC203" s="447" t="s">
        <v>64</v>
      </c>
      <c r="AD203" s="512" t="s">
        <v>102</v>
      </c>
      <c r="AE203" s="512"/>
      <c r="AF203" s="791">
        <v>20490</v>
      </c>
      <c r="AG203" s="530">
        <v>18661</v>
      </c>
      <c r="AH203" s="530">
        <v>20827</v>
      </c>
      <c r="AI203" s="530"/>
      <c r="AJ203" s="530">
        <f t="shared" si="41"/>
        <v>2166</v>
      </c>
      <c r="AK203" s="530"/>
      <c r="AL203" s="800" t="s">
        <v>66</v>
      </c>
      <c r="AM203" s="305" t="s">
        <v>1067</v>
      </c>
      <c r="AN203" s="423" t="s">
        <v>1066</v>
      </c>
      <c r="AO203" s="757" t="s">
        <v>326</v>
      </c>
      <c r="AP203" s="447">
        <v>2</v>
      </c>
      <c r="AQ203" s="780">
        <v>20827</v>
      </c>
      <c r="AR203" s="781" t="s">
        <v>88</v>
      </c>
      <c r="AS203" s="823" t="str">
        <f t="shared" si="42"/>
        <v>(Vacant)</v>
      </c>
      <c r="AT203" s="534"/>
      <c r="AU203" s="822" t="s">
        <v>246</v>
      </c>
      <c r="AV203" s="534" t="s">
        <v>333</v>
      </c>
      <c r="AW203" s="534" t="s">
        <v>247</v>
      </c>
      <c r="AX203" s="837" t="s">
        <v>92</v>
      </c>
      <c r="AY203" s="838" t="s">
        <v>93</v>
      </c>
    </row>
    <row r="204" spans="1:51" s="531" customFormat="1" ht="22.5" customHeight="1">
      <c r="A204" s="741" t="s">
        <v>1068</v>
      </c>
      <c r="B204" s="742" t="s">
        <v>189</v>
      </c>
      <c r="C204" s="423" t="s">
        <v>1066</v>
      </c>
      <c r="D204" s="757" t="s">
        <v>326</v>
      </c>
      <c r="E204" s="448">
        <f t="shared" si="46"/>
        <v>245880</v>
      </c>
      <c r="F204" s="448">
        <f t="shared" si="47"/>
        <v>249924</v>
      </c>
      <c r="G204" s="448">
        <v>175560</v>
      </c>
      <c r="H204" s="447">
        <v>2</v>
      </c>
      <c r="I204" s="770" t="s">
        <v>1069</v>
      </c>
      <c r="J204" s="447" t="s">
        <v>62</v>
      </c>
      <c r="K204" s="447" t="s">
        <v>158</v>
      </c>
      <c r="L204" s="447" t="s">
        <v>56</v>
      </c>
      <c r="M204" s="774" t="s">
        <v>189</v>
      </c>
      <c r="N204" s="545" t="s">
        <v>385</v>
      </c>
      <c r="O204" s="447" t="s">
        <v>1070</v>
      </c>
      <c r="P204" s="447" t="str">
        <f t="shared" si="39"/>
        <v>JAIME</v>
      </c>
      <c r="Q204" s="447"/>
      <c r="R204" s="447" t="s">
        <v>60</v>
      </c>
      <c r="S204" s="534" t="str">
        <f t="shared" si="40"/>
        <v xml:space="preserve">JAIME D. DEDUQUE </v>
      </c>
      <c r="T204" s="780">
        <v>20827</v>
      </c>
      <c r="U204" s="305" t="s">
        <v>1071</v>
      </c>
      <c r="V204" s="447" t="s">
        <v>62</v>
      </c>
      <c r="W204" s="472">
        <v>21152</v>
      </c>
      <c r="X204" s="498">
        <f t="shared" ca="1" si="45"/>
        <v>24953.538043402776</v>
      </c>
      <c r="Y204" s="447" t="s">
        <v>1072</v>
      </c>
      <c r="Z204" s="447"/>
      <c r="AA204" s="493">
        <v>31170</v>
      </c>
      <c r="AB204" s="493">
        <v>38624</v>
      </c>
      <c r="AC204" s="447" t="s">
        <v>64</v>
      </c>
      <c r="AD204" s="512" t="s">
        <v>102</v>
      </c>
      <c r="AE204" s="512"/>
      <c r="AF204" s="791">
        <v>20490</v>
      </c>
      <c r="AG204" s="530">
        <v>18661</v>
      </c>
      <c r="AH204" s="530">
        <v>20827</v>
      </c>
      <c r="AI204" s="530"/>
      <c r="AJ204" s="530">
        <f t="shared" si="41"/>
        <v>2166</v>
      </c>
      <c r="AK204" s="530"/>
      <c r="AL204" s="800" t="s">
        <v>66</v>
      </c>
      <c r="AM204" s="305" t="s">
        <v>1068</v>
      </c>
      <c r="AN204" s="423" t="s">
        <v>1066</v>
      </c>
      <c r="AO204" s="757" t="s">
        <v>326</v>
      </c>
      <c r="AP204" s="447">
        <v>2</v>
      </c>
      <c r="AQ204" s="780">
        <v>20827</v>
      </c>
      <c r="AR204" s="305" t="s">
        <v>1071</v>
      </c>
      <c r="AS204" s="821" t="str">
        <f t="shared" si="42"/>
        <v>With Incumbent</v>
      </c>
      <c r="AT204" s="534"/>
      <c r="AU204" s="822"/>
      <c r="AV204" s="534"/>
      <c r="AW204" s="534"/>
      <c r="AX204" s="837"/>
      <c r="AY204" s="838"/>
    </row>
    <row r="205" spans="1:51" s="531" customFormat="1" ht="22.5" customHeight="1">
      <c r="A205" s="741" t="s">
        <v>1073</v>
      </c>
      <c r="B205" s="742" t="s">
        <v>408</v>
      </c>
      <c r="C205" s="423" t="s">
        <v>1074</v>
      </c>
      <c r="D205" s="757" t="s">
        <v>1075</v>
      </c>
      <c r="E205" s="448">
        <f t="shared" si="46"/>
        <v>214560</v>
      </c>
      <c r="F205" s="448">
        <f t="shared" si="47"/>
        <v>214560</v>
      </c>
      <c r="G205" s="448" t="s">
        <v>131</v>
      </c>
      <c r="H205" s="447">
        <v>1</v>
      </c>
      <c r="I205" s="770" t="s">
        <v>53</v>
      </c>
      <c r="J205" s="447" t="s">
        <v>54</v>
      </c>
      <c r="K205" s="447" t="s">
        <v>158</v>
      </c>
      <c r="L205" s="447" t="s">
        <v>56</v>
      </c>
      <c r="M205" s="774" t="s">
        <v>189</v>
      </c>
      <c r="N205" s="545" t="s">
        <v>69</v>
      </c>
      <c r="O205" s="447" t="s">
        <v>70</v>
      </c>
      <c r="P205" s="447" t="str">
        <f t="shared" si="39"/>
        <v>ROBERT</v>
      </c>
      <c r="Q205" s="447" t="s">
        <v>80</v>
      </c>
      <c r="R205" s="447" t="s">
        <v>64</v>
      </c>
      <c r="S205" s="534" t="str">
        <f t="shared" si="40"/>
        <v>ROBERT P. MANGANGEY Jr.</v>
      </c>
      <c r="T205" s="780">
        <v>17880</v>
      </c>
      <c r="U205" s="781" t="s">
        <v>88</v>
      </c>
      <c r="V205" s="447" t="s">
        <v>62</v>
      </c>
      <c r="W205" s="472">
        <v>28376</v>
      </c>
      <c r="X205" s="498">
        <f t="shared" ca="1" si="45"/>
        <v>17729.538043402776</v>
      </c>
      <c r="Y205" s="447" t="s">
        <v>1076</v>
      </c>
      <c r="Z205" s="447"/>
      <c r="AA205" s="493">
        <v>37781</v>
      </c>
      <c r="AB205" s="493"/>
      <c r="AC205" s="447" t="s">
        <v>64</v>
      </c>
      <c r="AD205" s="512" t="s">
        <v>1077</v>
      </c>
      <c r="AE205" s="512"/>
      <c r="AF205" s="791">
        <v>17880</v>
      </c>
      <c r="AG205" s="530">
        <v>16101</v>
      </c>
      <c r="AH205" s="530">
        <v>17880</v>
      </c>
      <c r="AI205" s="530"/>
      <c r="AJ205" s="530">
        <f t="shared" si="41"/>
        <v>1779</v>
      </c>
      <c r="AK205" s="530"/>
      <c r="AL205" s="800" t="s">
        <v>66</v>
      </c>
      <c r="AM205" s="305" t="s">
        <v>1073</v>
      </c>
      <c r="AN205" s="423" t="s">
        <v>1074</v>
      </c>
      <c r="AO205" s="757" t="s">
        <v>1075</v>
      </c>
      <c r="AP205" s="447">
        <v>1</v>
      </c>
      <c r="AQ205" s="780">
        <v>17880</v>
      </c>
      <c r="AR205" s="781" t="s">
        <v>88</v>
      </c>
      <c r="AS205" s="823" t="str">
        <f t="shared" si="42"/>
        <v>(Vacant)</v>
      </c>
      <c r="AT205" s="534"/>
      <c r="AU205" s="822" t="s">
        <v>246</v>
      </c>
      <c r="AV205" s="534" t="s">
        <v>265</v>
      </c>
      <c r="AW205" s="534" t="s">
        <v>265</v>
      </c>
      <c r="AX205" s="837" t="s">
        <v>92</v>
      </c>
      <c r="AY205" s="838" t="s">
        <v>93</v>
      </c>
    </row>
    <row r="206" spans="1:51" s="531" customFormat="1" ht="22.5" customHeight="1">
      <c r="A206" s="741" t="s">
        <v>1078</v>
      </c>
      <c r="B206" s="742" t="s">
        <v>408</v>
      </c>
      <c r="C206" s="423" t="s">
        <v>1074</v>
      </c>
      <c r="D206" s="757" t="s">
        <v>1075</v>
      </c>
      <c r="E206" s="448">
        <f t="shared" si="46"/>
        <v>214560</v>
      </c>
      <c r="F206" s="448">
        <f t="shared" si="47"/>
        <v>225060</v>
      </c>
      <c r="G206" s="448">
        <v>164160</v>
      </c>
      <c r="H206" s="447">
        <v>4</v>
      </c>
      <c r="I206" s="770" t="s">
        <v>553</v>
      </c>
      <c r="J206" s="447" t="s">
        <v>62</v>
      </c>
      <c r="K206" s="447" t="s">
        <v>158</v>
      </c>
      <c r="L206" s="447" t="s">
        <v>56</v>
      </c>
      <c r="M206" s="774"/>
      <c r="N206" s="867"/>
      <c r="O206" s="774"/>
      <c r="P206" s="774"/>
      <c r="Q206" s="774"/>
      <c r="R206" s="774"/>
      <c r="S206" s="785"/>
      <c r="T206" s="780">
        <v>18755</v>
      </c>
      <c r="U206" s="781" t="s">
        <v>88</v>
      </c>
      <c r="V206" s="774"/>
      <c r="W206" s="868"/>
      <c r="X206" s="786"/>
      <c r="Y206" s="774"/>
      <c r="Z206" s="774"/>
      <c r="AA206" s="795"/>
      <c r="AB206" s="795"/>
      <c r="AC206" s="447" t="s">
        <v>64</v>
      </c>
      <c r="AD206" s="512"/>
      <c r="AE206" s="512"/>
      <c r="AF206" s="791">
        <v>17880</v>
      </c>
      <c r="AG206" s="530">
        <v>17089</v>
      </c>
      <c r="AH206" s="530">
        <v>18755</v>
      </c>
      <c r="AI206" s="530"/>
      <c r="AJ206" s="530">
        <f t="shared" si="41"/>
        <v>1666</v>
      </c>
      <c r="AK206" s="530"/>
      <c r="AL206" s="800" t="s">
        <v>66</v>
      </c>
      <c r="AM206" s="305" t="s">
        <v>1078</v>
      </c>
      <c r="AN206" s="423" t="s">
        <v>1074</v>
      </c>
      <c r="AO206" s="757" t="s">
        <v>1075</v>
      </c>
      <c r="AP206" s="447">
        <v>1</v>
      </c>
      <c r="AQ206" s="780">
        <v>17880</v>
      </c>
      <c r="AR206" s="781" t="s">
        <v>88</v>
      </c>
      <c r="AS206" s="823" t="str">
        <f t="shared" si="42"/>
        <v>(Vacant)</v>
      </c>
      <c r="AT206" s="534"/>
      <c r="AU206" s="822" t="s">
        <v>246</v>
      </c>
      <c r="AV206" s="534" t="s">
        <v>265</v>
      </c>
      <c r="AW206" s="534" t="s">
        <v>265</v>
      </c>
      <c r="AX206" s="837" t="s">
        <v>92</v>
      </c>
      <c r="AY206" s="838" t="s">
        <v>93</v>
      </c>
    </row>
    <row r="207" spans="1:51" s="531" customFormat="1" ht="22.5" hidden="1" customHeight="1">
      <c r="A207" s="741" t="s">
        <v>1079</v>
      </c>
      <c r="B207" s="742" t="s">
        <v>408</v>
      </c>
      <c r="C207" s="423" t="s">
        <v>1074</v>
      </c>
      <c r="D207" s="757" t="s">
        <v>1075</v>
      </c>
      <c r="E207" s="448">
        <f t="shared" si="46"/>
        <v>214560</v>
      </c>
      <c r="F207" s="448">
        <f t="shared" si="47"/>
        <v>214560</v>
      </c>
      <c r="G207" s="448">
        <v>160164</v>
      </c>
      <c r="H207" s="447">
        <v>1</v>
      </c>
      <c r="I207" s="770" t="s">
        <v>537</v>
      </c>
      <c r="J207" s="447" t="s">
        <v>62</v>
      </c>
      <c r="K207" s="447" t="s">
        <v>158</v>
      </c>
      <c r="L207" s="447" t="s">
        <v>56</v>
      </c>
      <c r="M207" s="447"/>
      <c r="N207" s="545" t="s">
        <v>235</v>
      </c>
      <c r="O207" s="447" t="s">
        <v>236</v>
      </c>
      <c r="P207" s="447" t="str">
        <f t="shared" si="39"/>
        <v>WILNELIA</v>
      </c>
      <c r="Q207" s="447"/>
      <c r="R207" s="447" t="s">
        <v>62</v>
      </c>
      <c r="S207" s="534" t="str">
        <f t="shared" si="40"/>
        <v xml:space="preserve">WILNELIA M. ACERET </v>
      </c>
      <c r="T207" s="780">
        <v>17880</v>
      </c>
      <c r="U207" s="781" t="s">
        <v>88</v>
      </c>
      <c r="V207" s="447"/>
      <c r="W207" s="472"/>
      <c r="X207" s="498"/>
      <c r="Y207" s="447"/>
      <c r="Z207" s="447"/>
      <c r="AA207" s="493"/>
      <c r="AB207" s="493"/>
      <c r="AC207" s="447"/>
      <c r="AD207" s="512"/>
      <c r="AE207" s="512"/>
      <c r="AF207" s="791">
        <v>17880</v>
      </c>
      <c r="AG207" s="530">
        <v>16101</v>
      </c>
      <c r="AH207" s="530">
        <v>17880</v>
      </c>
      <c r="AI207" s="530"/>
      <c r="AJ207" s="530">
        <f t="shared" si="41"/>
        <v>1779</v>
      </c>
      <c r="AK207" s="530"/>
      <c r="AL207" s="806" t="s">
        <v>126</v>
      </c>
      <c r="AM207" s="745"/>
      <c r="AN207" s="742"/>
      <c r="AO207" s="757"/>
      <c r="AP207" s="447"/>
      <c r="AQ207" s="780"/>
      <c r="AR207" s="781"/>
      <c r="AS207" s="781"/>
      <c r="AT207" s="534"/>
      <c r="AU207" s="822"/>
      <c r="AV207" s="534"/>
      <c r="AW207" s="534"/>
      <c r="AX207" s="837"/>
      <c r="AY207" s="838"/>
    </row>
    <row r="208" spans="1:51" s="531" customFormat="1" ht="22.5" hidden="1" customHeight="1">
      <c r="A208" s="741" t="s">
        <v>1080</v>
      </c>
      <c r="B208" s="742" t="s">
        <v>408</v>
      </c>
      <c r="C208" s="423" t="s">
        <v>1074</v>
      </c>
      <c r="D208" s="757" t="s">
        <v>1075</v>
      </c>
      <c r="E208" s="448">
        <f>14323*12</f>
        <v>171876</v>
      </c>
      <c r="F208" s="448">
        <f t="shared" si="47"/>
        <v>214560</v>
      </c>
      <c r="G208" s="448" t="s">
        <v>131</v>
      </c>
      <c r="H208" s="447">
        <v>1</v>
      </c>
      <c r="I208" s="770" t="s">
        <v>53</v>
      </c>
      <c r="J208" s="447" t="s">
        <v>54</v>
      </c>
      <c r="K208" s="447" t="s">
        <v>158</v>
      </c>
      <c r="L208" s="447" t="s">
        <v>56</v>
      </c>
      <c r="M208" s="447"/>
      <c r="N208" s="545"/>
      <c r="O208" s="447"/>
      <c r="P208" s="447" t="str">
        <f t="shared" si="39"/>
        <v/>
      </c>
      <c r="Q208" s="447"/>
      <c r="R208" s="447"/>
      <c r="S208" s="534" t="s">
        <v>1081</v>
      </c>
      <c r="T208" s="780">
        <v>17880</v>
      </c>
      <c r="U208" s="781" t="s">
        <v>88</v>
      </c>
      <c r="V208" s="447"/>
      <c r="W208" s="472"/>
      <c r="X208" s="447"/>
      <c r="Y208" s="447"/>
      <c r="Z208" s="447"/>
      <c r="AA208" s="493"/>
      <c r="AB208" s="493"/>
      <c r="AC208" s="447"/>
      <c r="AD208" s="512"/>
      <c r="AE208" s="512"/>
      <c r="AF208" s="791">
        <v>17880</v>
      </c>
      <c r="AG208" s="530">
        <v>16101</v>
      </c>
      <c r="AH208" s="530">
        <v>17880</v>
      </c>
      <c r="AI208" s="530"/>
      <c r="AJ208" s="530">
        <f t="shared" si="41"/>
        <v>1779</v>
      </c>
      <c r="AK208" s="530"/>
      <c r="AL208" s="806" t="s">
        <v>126</v>
      </c>
      <c r="AM208" s="745"/>
      <c r="AN208" s="742"/>
      <c r="AO208" s="757"/>
      <c r="AP208" s="447"/>
      <c r="AQ208" s="780"/>
      <c r="AR208" s="781"/>
      <c r="AS208" s="781"/>
      <c r="AT208" s="534"/>
      <c r="AU208" s="822"/>
      <c r="AV208" s="534"/>
      <c r="AW208" s="534"/>
      <c r="AX208" s="837"/>
      <c r="AY208" s="838"/>
    </row>
    <row r="209" spans="1:51" s="531" customFormat="1" ht="22.5" customHeight="1">
      <c r="A209" s="741" t="s">
        <v>1082</v>
      </c>
      <c r="B209" s="742" t="s">
        <v>408</v>
      </c>
      <c r="C209" s="423" t="s">
        <v>1074</v>
      </c>
      <c r="D209" s="757" t="s">
        <v>1075</v>
      </c>
      <c r="E209" s="448">
        <f t="shared" ref="E209:E272" si="48">AF209*12</f>
        <v>214560</v>
      </c>
      <c r="F209" s="448">
        <f t="shared" si="47"/>
        <v>214560</v>
      </c>
      <c r="G209" s="448">
        <v>168264</v>
      </c>
      <c r="H209" s="447">
        <v>1</v>
      </c>
      <c r="I209" s="770" t="s">
        <v>465</v>
      </c>
      <c r="J209" s="447" t="s">
        <v>64</v>
      </c>
      <c r="K209" s="447" t="s">
        <v>158</v>
      </c>
      <c r="L209" s="447" t="s">
        <v>56</v>
      </c>
      <c r="M209" s="447"/>
      <c r="N209" s="545" t="s">
        <v>562</v>
      </c>
      <c r="O209" s="447" t="s">
        <v>563</v>
      </c>
      <c r="P209" s="447" t="str">
        <f t="shared" si="39"/>
        <v>EMMANUEL</v>
      </c>
      <c r="Q209" s="447"/>
      <c r="R209" s="447" t="s">
        <v>81</v>
      </c>
      <c r="S209" s="534" t="str">
        <f t="shared" si="40"/>
        <v xml:space="preserve">EMMANUEL A. TURQUEZA </v>
      </c>
      <c r="T209" s="780">
        <v>17880</v>
      </c>
      <c r="U209" s="781" t="s">
        <v>88</v>
      </c>
      <c r="V209" s="447"/>
      <c r="W209" s="472"/>
      <c r="X209" s="498"/>
      <c r="Y209" s="447"/>
      <c r="Z209" s="447"/>
      <c r="AA209" s="493"/>
      <c r="AB209" s="493"/>
      <c r="AC209" s="447"/>
      <c r="AD209" s="512"/>
      <c r="AE209" s="512"/>
      <c r="AF209" s="791">
        <v>17880</v>
      </c>
      <c r="AG209" s="530">
        <v>16101</v>
      </c>
      <c r="AH209" s="530">
        <v>17880</v>
      </c>
      <c r="AI209" s="530"/>
      <c r="AJ209" s="530">
        <f t="shared" si="41"/>
        <v>1779</v>
      </c>
      <c r="AK209" s="530"/>
      <c r="AL209" s="800" t="s">
        <v>66</v>
      </c>
      <c r="AM209" s="305" t="s">
        <v>1082</v>
      </c>
      <c r="AN209" s="423" t="s">
        <v>1074</v>
      </c>
      <c r="AO209" s="757" t="s">
        <v>1075</v>
      </c>
      <c r="AP209" s="447">
        <v>1</v>
      </c>
      <c r="AQ209" s="780">
        <v>17880</v>
      </c>
      <c r="AR209" s="781" t="s">
        <v>88</v>
      </c>
      <c r="AS209" s="823" t="str">
        <f>IF(AR209="(Vacant)",AR209,IF(AR209="",AR209,"With Incumbent"))</f>
        <v>(Vacant)</v>
      </c>
      <c r="AT209" s="534"/>
      <c r="AU209" s="822" t="s">
        <v>246</v>
      </c>
      <c r="AV209" s="534" t="s">
        <v>265</v>
      </c>
      <c r="AW209" s="534" t="s">
        <v>265</v>
      </c>
      <c r="AX209" s="837" t="s">
        <v>92</v>
      </c>
      <c r="AY209" s="838" t="s">
        <v>93</v>
      </c>
    </row>
    <row r="210" spans="1:51" s="531" customFormat="1" ht="22.5" hidden="1" customHeight="1">
      <c r="A210" s="741" t="s">
        <v>1083</v>
      </c>
      <c r="B210" s="742" t="s">
        <v>408</v>
      </c>
      <c r="C210" s="423" t="s">
        <v>1074</v>
      </c>
      <c r="D210" s="757" t="s">
        <v>1075</v>
      </c>
      <c r="E210" s="448">
        <f t="shared" si="48"/>
        <v>214560</v>
      </c>
      <c r="F210" s="448">
        <f t="shared" si="47"/>
        <v>214560</v>
      </c>
      <c r="G210" s="448" t="s">
        <v>131</v>
      </c>
      <c r="H210" s="447">
        <v>1</v>
      </c>
      <c r="I210" s="770" t="s">
        <v>465</v>
      </c>
      <c r="J210" s="447" t="s">
        <v>64</v>
      </c>
      <c r="K210" s="447" t="s">
        <v>158</v>
      </c>
      <c r="L210" s="447" t="s">
        <v>56</v>
      </c>
      <c r="M210" s="447"/>
      <c r="N210" s="545"/>
      <c r="O210" s="447"/>
      <c r="P210" s="447" t="str">
        <f t="shared" si="39"/>
        <v/>
      </c>
      <c r="Q210" s="447"/>
      <c r="R210" s="447"/>
      <c r="S210" s="534" t="str">
        <f t="shared" si="40"/>
        <v xml:space="preserve"> .  </v>
      </c>
      <c r="T210" s="780">
        <v>17880</v>
      </c>
      <c r="U210" s="781" t="s">
        <v>88</v>
      </c>
      <c r="V210" s="447"/>
      <c r="W210" s="472"/>
      <c r="X210" s="447"/>
      <c r="Y210" s="447"/>
      <c r="Z210" s="447"/>
      <c r="AA210" s="493"/>
      <c r="AB210" s="493"/>
      <c r="AC210" s="447"/>
      <c r="AD210" s="512"/>
      <c r="AE210" s="512"/>
      <c r="AF210" s="791">
        <v>17880</v>
      </c>
      <c r="AG210" s="530">
        <v>16101</v>
      </c>
      <c r="AH210" s="530">
        <v>17880</v>
      </c>
      <c r="AI210" s="530"/>
      <c r="AJ210" s="530">
        <f t="shared" si="41"/>
        <v>1779</v>
      </c>
      <c r="AK210" s="530"/>
      <c r="AL210" s="806" t="s">
        <v>126</v>
      </c>
      <c r="AM210" s="745"/>
      <c r="AN210" s="742"/>
      <c r="AO210" s="757"/>
      <c r="AP210" s="447"/>
      <c r="AQ210" s="780"/>
      <c r="AR210" s="781"/>
      <c r="AS210" s="781"/>
      <c r="AT210" s="534"/>
      <c r="AU210" s="822"/>
      <c r="AV210" s="534"/>
      <c r="AW210" s="534"/>
      <c r="AX210" s="837"/>
      <c r="AY210" s="838"/>
    </row>
    <row r="211" spans="1:51" s="531" customFormat="1" ht="22.5" customHeight="1">
      <c r="A211" s="741" t="s">
        <v>1084</v>
      </c>
      <c r="B211" s="742" t="s">
        <v>408</v>
      </c>
      <c r="C211" s="423" t="s">
        <v>1074</v>
      </c>
      <c r="D211" s="757" t="s">
        <v>1075</v>
      </c>
      <c r="E211" s="448">
        <f t="shared" si="48"/>
        <v>214560</v>
      </c>
      <c r="F211" s="448">
        <f t="shared" si="47"/>
        <v>214560</v>
      </c>
      <c r="G211" s="448">
        <v>160164</v>
      </c>
      <c r="H211" s="447">
        <v>1</v>
      </c>
      <c r="I211" s="770" t="s">
        <v>537</v>
      </c>
      <c r="J211" s="447" t="s">
        <v>62</v>
      </c>
      <c r="K211" s="447" t="s">
        <v>158</v>
      </c>
      <c r="L211" s="447" t="s">
        <v>56</v>
      </c>
      <c r="M211" s="447"/>
      <c r="N211" s="545" t="s">
        <v>984</v>
      </c>
      <c r="O211" s="447" t="s">
        <v>985</v>
      </c>
      <c r="P211" s="447" t="str">
        <f t="shared" si="39"/>
        <v>DAYAN</v>
      </c>
      <c r="Q211" s="447"/>
      <c r="R211" s="447" t="s">
        <v>77</v>
      </c>
      <c r="S211" s="534" t="str">
        <f t="shared" si="40"/>
        <v xml:space="preserve">DAYAN S. WACNANG </v>
      </c>
      <c r="T211" s="780">
        <v>17880</v>
      </c>
      <c r="U211" s="781" t="s">
        <v>88</v>
      </c>
      <c r="V211" s="447"/>
      <c r="W211" s="472"/>
      <c r="X211" s="498"/>
      <c r="Y211" s="447"/>
      <c r="Z211" s="472"/>
      <c r="AA211" s="493"/>
      <c r="AB211" s="493"/>
      <c r="AC211" s="447"/>
      <c r="AD211" s="512"/>
      <c r="AE211" s="512"/>
      <c r="AF211" s="791">
        <v>17880</v>
      </c>
      <c r="AG211" s="530">
        <v>16101</v>
      </c>
      <c r="AH211" s="530">
        <v>17880</v>
      </c>
      <c r="AI211" s="530"/>
      <c r="AJ211" s="530">
        <f t="shared" si="41"/>
        <v>1779</v>
      </c>
      <c r="AK211" s="530"/>
      <c r="AL211" s="800" t="s">
        <v>66</v>
      </c>
      <c r="AM211" s="305" t="s">
        <v>1084</v>
      </c>
      <c r="AN211" s="423" t="s">
        <v>1074</v>
      </c>
      <c r="AO211" s="757" t="s">
        <v>1075</v>
      </c>
      <c r="AP211" s="447">
        <v>1</v>
      </c>
      <c r="AQ211" s="780">
        <v>17880</v>
      </c>
      <c r="AR211" s="781" t="s">
        <v>88</v>
      </c>
      <c r="AS211" s="823" t="str">
        <f t="shared" ref="AS211:AS216" si="49">IF(AR211="(Vacant)",AR211,IF(AR211="",AR211,"With Incumbent"))</f>
        <v>(Vacant)</v>
      </c>
      <c r="AT211" s="534"/>
      <c r="AU211" s="822" t="s">
        <v>246</v>
      </c>
      <c r="AV211" s="534" t="s">
        <v>265</v>
      </c>
      <c r="AW211" s="534" t="s">
        <v>265</v>
      </c>
      <c r="AX211" s="837" t="s">
        <v>92</v>
      </c>
      <c r="AY211" s="838" t="s">
        <v>93</v>
      </c>
    </row>
    <row r="212" spans="1:51" s="531" customFormat="1" ht="22.5" customHeight="1">
      <c r="A212" s="741" t="s">
        <v>1085</v>
      </c>
      <c r="B212" s="742" t="s">
        <v>408</v>
      </c>
      <c r="C212" s="423" t="s">
        <v>1074</v>
      </c>
      <c r="D212" s="757" t="s">
        <v>1075</v>
      </c>
      <c r="E212" s="448">
        <f t="shared" si="48"/>
        <v>214560</v>
      </c>
      <c r="F212" s="448">
        <f t="shared" si="47"/>
        <v>225060</v>
      </c>
      <c r="G212" s="448">
        <v>164160</v>
      </c>
      <c r="H212" s="447">
        <v>4</v>
      </c>
      <c r="I212" s="770" t="s">
        <v>600</v>
      </c>
      <c r="J212" s="447" t="s">
        <v>62</v>
      </c>
      <c r="K212" s="447" t="s">
        <v>158</v>
      </c>
      <c r="L212" s="447" t="s">
        <v>56</v>
      </c>
      <c r="M212" s="774"/>
      <c r="N212" s="545"/>
      <c r="O212" s="447"/>
      <c r="P212" s="447"/>
      <c r="Q212" s="447"/>
      <c r="R212" s="447"/>
      <c r="S212" s="534"/>
      <c r="T212" s="780">
        <v>18755</v>
      </c>
      <c r="U212" s="781" t="s">
        <v>88</v>
      </c>
      <c r="V212" s="447"/>
      <c r="W212" s="472"/>
      <c r="X212" s="498"/>
      <c r="Y212" s="447"/>
      <c r="Z212" s="447"/>
      <c r="AA212" s="493"/>
      <c r="AB212" s="493"/>
      <c r="AC212" s="447" t="s">
        <v>64</v>
      </c>
      <c r="AD212" s="512" t="s">
        <v>102</v>
      </c>
      <c r="AE212" s="512"/>
      <c r="AF212" s="791">
        <v>17880</v>
      </c>
      <c r="AG212" s="530">
        <v>17089</v>
      </c>
      <c r="AH212" s="530">
        <v>18755</v>
      </c>
      <c r="AI212" s="530"/>
      <c r="AJ212" s="530">
        <f t="shared" si="41"/>
        <v>1666</v>
      </c>
      <c r="AK212" s="530"/>
      <c r="AL212" s="800" t="s">
        <v>66</v>
      </c>
      <c r="AM212" s="305" t="s">
        <v>1085</v>
      </c>
      <c r="AN212" s="423" t="s">
        <v>1074</v>
      </c>
      <c r="AO212" s="757" t="s">
        <v>1075</v>
      </c>
      <c r="AP212" s="447">
        <v>1</v>
      </c>
      <c r="AQ212" s="780">
        <v>17880</v>
      </c>
      <c r="AR212" s="781" t="s">
        <v>88</v>
      </c>
      <c r="AS212" s="823" t="str">
        <f t="shared" si="49"/>
        <v>(Vacant)</v>
      </c>
      <c r="AT212" s="534"/>
      <c r="AU212" s="822" t="s">
        <v>246</v>
      </c>
      <c r="AV212" s="534" t="s">
        <v>265</v>
      </c>
      <c r="AW212" s="534" t="s">
        <v>265</v>
      </c>
      <c r="AX212" s="837" t="s">
        <v>92</v>
      </c>
      <c r="AY212" s="838" t="s">
        <v>93</v>
      </c>
    </row>
    <row r="213" spans="1:51" s="531" customFormat="1" ht="22.5" customHeight="1">
      <c r="A213" s="741" t="s">
        <v>1086</v>
      </c>
      <c r="B213" s="742" t="s">
        <v>408</v>
      </c>
      <c r="C213" s="423" t="s">
        <v>1074</v>
      </c>
      <c r="D213" s="757" t="s">
        <v>1075</v>
      </c>
      <c r="E213" s="448">
        <f t="shared" si="48"/>
        <v>214560</v>
      </c>
      <c r="F213" s="448">
        <f t="shared" si="47"/>
        <v>221484</v>
      </c>
      <c r="G213" s="448">
        <v>160164</v>
      </c>
      <c r="H213" s="447">
        <v>3</v>
      </c>
      <c r="I213" s="770" t="s">
        <v>1087</v>
      </c>
      <c r="J213" s="447" t="s">
        <v>62</v>
      </c>
      <c r="K213" s="447" t="s">
        <v>158</v>
      </c>
      <c r="L213" s="447" t="s">
        <v>56</v>
      </c>
      <c r="M213" s="616" t="s">
        <v>174</v>
      </c>
      <c r="N213" s="545" t="s">
        <v>1088</v>
      </c>
      <c r="O213" s="447" t="s">
        <v>1089</v>
      </c>
      <c r="P213" s="447" t="str">
        <f t="shared" si="39"/>
        <v>ROSELLE</v>
      </c>
      <c r="Q213" s="447"/>
      <c r="R213" s="447" t="s">
        <v>60</v>
      </c>
      <c r="S213" s="534" t="str">
        <f t="shared" si="40"/>
        <v xml:space="preserve">ROSELLE D. NANGLEGAN </v>
      </c>
      <c r="T213" s="780">
        <v>18457</v>
      </c>
      <c r="U213" s="305" t="s">
        <v>1090</v>
      </c>
      <c r="V213" s="447" t="s">
        <v>100</v>
      </c>
      <c r="W213" s="472">
        <v>28730</v>
      </c>
      <c r="X213" s="498">
        <f t="shared" ref="X213:X218" ca="1" si="50">(NOW()-W213)</f>
        <v>17375.538043287037</v>
      </c>
      <c r="Y213" s="447" t="s">
        <v>1091</v>
      </c>
      <c r="Z213" s="472">
        <v>37196</v>
      </c>
      <c r="AA213" s="493">
        <v>36951</v>
      </c>
      <c r="AB213" s="493">
        <v>37778</v>
      </c>
      <c r="AC213" s="447" t="s">
        <v>64</v>
      </c>
      <c r="AD213" s="512" t="s">
        <v>102</v>
      </c>
      <c r="AE213" s="512"/>
      <c r="AF213" s="791">
        <v>17880</v>
      </c>
      <c r="AG213" s="530">
        <v>16753</v>
      </c>
      <c r="AH213" s="530">
        <v>18457</v>
      </c>
      <c r="AI213" s="530"/>
      <c r="AJ213" s="530">
        <f t="shared" si="41"/>
        <v>1704</v>
      </c>
      <c r="AK213" s="530"/>
      <c r="AL213" s="800" t="s">
        <v>66</v>
      </c>
      <c r="AM213" s="305" t="s">
        <v>1086</v>
      </c>
      <c r="AN213" s="423" t="s">
        <v>1074</v>
      </c>
      <c r="AO213" s="757" t="s">
        <v>1075</v>
      </c>
      <c r="AP213" s="447">
        <v>3</v>
      </c>
      <c r="AQ213" s="780">
        <v>18457</v>
      </c>
      <c r="AR213" s="305" t="s">
        <v>1090</v>
      </c>
      <c r="AS213" s="821" t="str">
        <f t="shared" si="49"/>
        <v>With Incumbent</v>
      </c>
      <c r="AT213" s="534"/>
      <c r="AU213" s="822"/>
      <c r="AV213" s="534"/>
      <c r="AW213" s="534"/>
      <c r="AX213" s="837"/>
      <c r="AY213" s="838"/>
    </row>
    <row r="214" spans="1:51" s="531" customFormat="1" ht="22.5" hidden="1" customHeight="1">
      <c r="A214" s="741" t="s">
        <v>1092</v>
      </c>
      <c r="B214" s="742" t="s">
        <v>167</v>
      </c>
      <c r="C214" s="423" t="s">
        <v>1074</v>
      </c>
      <c r="D214" s="757" t="s">
        <v>1075</v>
      </c>
      <c r="E214" s="448">
        <f t="shared" si="48"/>
        <v>214560</v>
      </c>
      <c r="F214" s="448">
        <f t="shared" si="47"/>
        <v>225060</v>
      </c>
      <c r="G214" s="448">
        <v>164160</v>
      </c>
      <c r="H214" s="447">
        <v>4</v>
      </c>
      <c r="I214" s="770" t="s">
        <v>53</v>
      </c>
      <c r="J214" s="447" t="s">
        <v>54</v>
      </c>
      <c r="K214" s="447" t="s">
        <v>158</v>
      </c>
      <c r="L214" s="447" t="s">
        <v>56</v>
      </c>
      <c r="M214" s="616" t="s">
        <v>57</v>
      </c>
      <c r="N214" s="545" t="s">
        <v>1093</v>
      </c>
      <c r="O214" s="447" t="s">
        <v>841</v>
      </c>
      <c r="P214" s="447" t="str">
        <f t="shared" si="39"/>
        <v>CAROL</v>
      </c>
      <c r="Q214" s="447"/>
      <c r="R214" s="447" t="s">
        <v>177</v>
      </c>
      <c r="S214" s="534" t="str">
        <f t="shared" si="40"/>
        <v xml:space="preserve">CAROL G. GANO </v>
      </c>
      <c r="T214" s="780">
        <v>18755</v>
      </c>
      <c r="U214" s="305" t="s">
        <v>1094</v>
      </c>
      <c r="V214" s="447" t="s">
        <v>100</v>
      </c>
      <c r="W214" s="472">
        <v>25838</v>
      </c>
      <c r="X214" s="498">
        <f t="shared" ca="1" si="50"/>
        <v>20267.538043402776</v>
      </c>
      <c r="Y214" s="447" t="s">
        <v>1095</v>
      </c>
      <c r="Z214" s="447"/>
      <c r="AA214" s="493">
        <v>36374</v>
      </c>
      <c r="AB214" s="493">
        <v>36374</v>
      </c>
      <c r="AC214" s="447" t="s">
        <v>64</v>
      </c>
      <c r="AD214" s="512" t="s">
        <v>102</v>
      </c>
      <c r="AE214" s="512"/>
      <c r="AF214" s="791">
        <v>17880</v>
      </c>
      <c r="AG214" s="530">
        <v>17089</v>
      </c>
      <c r="AH214" s="530">
        <v>18755</v>
      </c>
      <c r="AI214" s="530"/>
      <c r="AJ214" s="530">
        <f t="shared" si="41"/>
        <v>1666</v>
      </c>
      <c r="AK214" s="530"/>
      <c r="AL214" s="803" t="s">
        <v>245</v>
      </c>
      <c r="AM214" s="305" t="s">
        <v>1092</v>
      </c>
      <c r="AN214" s="423" t="s">
        <v>1066</v>
      </c>
      <c r="AO214" s="757" t="s">
        <v>326</v>
      </c>
      <c r="AP214" s="447">
        <v>1</v>
      </c>
      <c r="AQ214" s="780">
        <v>20490</v>
      </c>
      <c r="AR214" s="305" t="s">
        <v>1094</v>
      </c>
      <c r="AS214" s="821" t="str">
        <f t="shared" si="49"/>
        <v>With Incumbent</v>
      </c>
      <c r="AT214" s="534"/>
      <c r="AU214" s="822"/>
      <c r="AV214" s="534"/>
      <c r="AW214" s="534"/>
      <c r="AX214" s="837"/>
      <c r="AY214" s="838"/>
    </row>
    <row r="215" spans="1:51" s="531" customFormat="1" ht="22.5" customHeight="1">
      <c r="A215" s="741" t="s">
        <v>1096</v>
      </c>
      <c r="B215" s="742" t="s">
        <v>1097</v>
      </c>
      <c r="C215" s="423" t="s">
        <v>1074</v>
      </c>
      <c r="D215" s="757" t="s">
        <v>1075</v>
      </c>
      <c r="E215" s="448">
        <f t="shared" si="48"/>
        <v>214560</v>
      </c>
      <c r="F215" s="448">
        <f t="shared" si="47"/>
        <v>214560</v>
      </c>
      <c r="G215" s="448" t="s">
        <v>131</v>
      </c>
      <c r="H215" s="447">
        <v>1</v>
      </c>
      <c r="I215" s="770" t="s">
        <v>53</v>
      </c>
      <c r="J215" s="447" t="s">
        <v>54</v>
      </c>
      <c r="K215" s="447" t="s">
        <v>158</v>
      </c>
      <c r="L215" s="447" t="s">
        <v>56</v>
      </c>
      <c r="M215" s="616" t="s">
        <v>408</v>
      </c>
      <c r="N215" s="545" t="s">
        <v>269</v>
      </c>
      <c r="O215" s="447" t="s">
        <v>270</v>
      </c>
      <c r="P215" s="447" t="str">
        <f t="shared" si="39"/>
        <v>RAYMUNDO JACINTO</v>
      </c>
      <c r="Q215" s="447"/>
      <c r="R215" s="447" t="s">
        <v>64</v>
      </c>
      <c r="S215" s="534" t="str">
        <f t="shared" si="40"/>
        <v xml:space="preserve">RAYMUNDO JACINTO P. BASCO </v>
      </c>
      <c r="T215" s="780">
        <v>17880</v>
      </c>
      <c r="U215" s="305" t="s">
        <v>271</v>
      </c>
      <c r="V215" s="447" t="s">
        <v>62</v>
      </c>
      <c r="W215" s="472">
        <v>28517</v>
      </c>
      <c r="X215" s="498">
        <f t="shared" ca="1" si="50"/>
        <v>17588.538043287037</v>
      </c>
      <c r="Y215" s="447" t="s">
        <v>272</v>
      </c>
      <c r="Z215" s="447"/>
      <c r="AA215" s="493">
        <v>38231</v>
      </c>
      <c r="AB215" s="869">
        <v>40262</v>
      </c>
      <c r="AC215" s="447" t="s">
        <v>64</v>
      </c>
      <c r="AD215" s="512" t="s">
        <v>102</v>
      </c>
      <c r="AE215" s="512"/>
      <c r="AF215" s="791">
        <v>17880</v>
      </c>
      <c r="AG215" s="530">
        <v>16101</v>
      </c>
      <c r="AH215" s="530">
        <v>17880</v>
      </c>
      <c r="AI215" s="530"/>
      <c r="AJ215" s="530">
        <f t="shared" si="41"/>
        <v>1779</v>
      </c>
      <c r="AK215" s="530"/>
      <c r="AL215" s="800" t="s">
        <v>66</v>
      </c>
      <c r="AM215" s="305" t="s">
        <v>1096</v>
      </c>
      <c r="AN215" s="423" t="s">
        <v>1074</v>
      </c>
      <c r="AO215" s="757" t="s">
        <v>1075</v>
      </c>
      <c r="AP215" s="447">
        <v>1</v>
      </c>
      <c r="AQ215" s="780">
        <v>17880</v>
      </c>
      <c r="AR215" s="873" t="s">
        <v>271</v>
      </c>
      <c r="AS215" s="821" t="str">
        <f t="shared" si="49"/>
        <v>With Incumbent</v>
      </c>
      <c r="AT215" s="534"/>
      <c r="AU215" s="822"/>
      <c r="AV215" s="534"/>
      <c r="AW215" s="534"/>
      <c r="AX215" s="837"/>
      <c r="AY215" s="838"/>
    </row>
    <row r="216" spans="1:51" s="531" customFormat="1" ht="22.5" customHeight="1">
      <c r="A216" s="741" t="s">
        <v>1098</v>
      </c>
      <c r="B216" s="742" t="s">
        <v>167</v>
      </c>
      <c r="C216" s="423" t="s">
        <v>1074</v>
      </c>
      <c r="D216" s="757" t="s">
        <v>1075</v>
      </c>
      <c r="E216" s="448">
        <f t="shared" si="48"/>
        <v>214560</v>
      </c>
      <c r="F216" s="448">
        <f t="shared" si="47"/>
        <v>221484</v>
      </c>
      <c r="G216" s="448">
        <v>164160</v>
      </c>
      <c r="H216" s="447">
        <v>3</v>
      </c>
      <c r="I216" s="770" t="s">
        <v>53</v>
      </c>
      <c r="J216" s="447" t="s">
        <v>62</v>
      </c>
      <c r="K216" s="447" t="s">
        <v>158</v>
      </c>
      <c r="L216" s="447" t="s">
        <v>56</v>
      </c>
      <c r="M216" s="447"/>
      <c r="N216" s="545"/>
      <c r="O216" s="447"/>
      <c r="P216" s="447"/>
      <c r="Q216" s="447"/>
      <c r="R216" s="447"/>
      <c r="S216" s="534"/>
      <c r="T216" s="780">
        <v>18457</v>
      </c>
      <c r="U216" s="781" t="s">
        <v>88</v>
      </c>
      <c r="V216" s="447"/>
      <c r="W216" s="472"/>
      <c r="X216" s="498"/>
      <c r="Y216" s="447"/>
      <c r="Z216" s="447"/>
      <c r="AA216" s="493"/>
      <c r="AB216" s="493"/>
      <c r="AC216" s="447" t="s">
        <v>64</v>
      </c>
      <c r="AD216" s="512" t="s">
        <v>102</v>
      </c>
      <c r="AE216" s="512"/>
      <c r="AF216" s="791">
        <v>17880</v>
      </c>
      <c r="AG216" s="530">
        <v>16753</v>
      </c>
      <c r="AH216" s="530">
        <v>18457</v>
      </c>
      <c r="AI216" s="530"/>
      <c r="AJ216" s="530">
        <f t="shared" si="41"/>
        <v>1704</v>
      </c>
      <c r="AK216" s="530"/>
      <c r="AL216" s="800" t="s">
        <v>66</v>
      </c>
      <c r="AM216" s="305" t="s">
        <v>1098</v>
      </c>
      <c r="AN216" s="423" t="s">
        <v>1074</v>
      </c>
      <c r="AO216" s="757" t="s">
        <v>1075</v>
      </c>
      <c r="AP216" s="447">
        <v>1</v>
      </c>
      <c r="AQ216" s="780">
        <v>17880</v>
      </c>
      <c r="AR216" s="781" t="s">
        <v>88</v>
      </c>
      <c r="AS216" s="823" t="str">
        <f t="shared" si="49"/>
        <v>(Vacant)</v>
      </c>
      <c r="AT216" s="534" t="s">
        <v>1099</v>
      </c>
      <c r="AU216" s="822" t="s">
        <v>246</v>
      </c>
      <c r="AV216" s="534" t="s">
        <v>265</v>
      </c>
      <c r="AW216" s="534" t="s">
        <v>265</v>
      </c>
      <c r="AX216" s="837" t="s">
        <v>92</v>
      </c>
      <c r="AY216" s="838" t="s">
        <v>1100</v>
      </c>
    </row>
    <row r="217" spans="1:51" s="531" customFormat="1" ht="22.5" hidden="1" customHeight="1">
      <c r="A217" s="741" t="s">
        <v>1101</v>
      </c>
      <c r="B217" s="742" t="s">
        <v>408</v>
      </c>
      <c r="C217" s="423" t="s">
        <v>1074</v>
      </c>
      <c r="D217" s="757" t="s">
        <v>1075</v>
      </c>
      <c r="E217" s="448">
        <f t="shared" si="48"/>
        <v>214560</v>
      </c>
      <c r="F217" s="448">
        <f t="shared" si="47"/>
        <v>214560</v>
      </c>
      <c r="G217" s="448">
        <v>164160</v>
      </c>
      <c r="H217" s="447">
        <v>1</v>
      </c>
      <c r="I217" s="770" t="s">
        <v>53</v>
      </c>
      <c r="J217" s="447" t="s">
        <v>54</v>
      </c>
      <c r="K217" s="447" t="s">
        <v>158</v>
      </c>
      <c r="L217" s="447" t="s">
        <v>56</v>
      </c>
      <c r="M217" s="616" t="s">
        <v>57</v>
      </c>
      <c r="N217" s="545" t="s">
        <v>1102</v>
      </c>
      <c r="O217" s="447" t="s">
        <v>1103</v>
      </c>
      <c r="P217" s="447" t="str">
        <f t="shared" si="39"/>
        <v>GLENJONAH</v>
      </c>
      <c r="Q217" s="447"/>
      <c r="R217" s="447" t="s">
        <v>62</v>
      </c>
      <c r="S217" s="534" t="str">
        <f t="shared" si="40"/>
        <v xml:space="preserve">GLENJONAH M. GAWE </v>
      </c>
      <c r="T217" s="780">
        <v>17880</v>
      </c>
      <c r="U217" s="781" t="s">
        <v>88</v>
      </c>
      <c r="V217" s="447"/>
      <c r="W217" s="472"/>
      <c r="X217" s="498"/>
      <c r="Y217" s="447"/>
      <c r="Z217" s="870"/>
      <c r="AA217" s="493"/>
      <c r="AB217" s="493"/>
      <c r="AC217" s="447"/>
      <c r="AD217" s="512"/>
      <c r="AE217" s="512"/>
      <c r="AF217" s="791">
        <v>17880</v>
      </c>
      <c r="AG217" s="530">
        <v>16101</v>
      </c>
      <c r="AH217" s="530">
        <v>17880</v>
      </c>
      <c r="AI217" s="530"/>
      <c r="AJ217" s="530">
        <f t="shared" si="41"/>
        <v>1779</v>
      </c>
      <c r="AK217" s="530"/>
      <c r="AL217" s="806" t="s">
        <v>126</v>
      </c>
      <c r="AM217" s="745"/>
      <c r="AN217" s="742"/>
      <c r="AO217" s="757"/>
      <c r="AP217" s="447"/>
      <c r="AQ217" s="780"/>
      <c r="AR217" s="781"/>
      <c r="AS217" s="781"/>
      <c r="AT217" s="534"/>
      <c r="AU217" s="822"/>
      <c r="AV217" s="534"/>
      <c r="AW217" s="534"/>
      <c r="AX217" s="837"/>
      <c r="AY217" s="838"/>
    </row>
    <row r="218" spans="1:51" s="531" customFormat="1" ht="22.5" customHeight="1">
      <c r="A218" s="741" t="s">
        <v>1104</v>
      </c>
      <c r="B218" s="742" t="s">
        <v>167</v>
      </c>
      <c r="C218" s="423" t="s">
        <v>1074</v>
      </c>
      <c r="D218" s="757" t="s">
        <v>1075</v>
      </c>
      <c r="E218" s="448">
        <f t="shared" si="48"/>
        <v>214560</v>
      </c>
      <c r="F218" s="448">
        <f t="shared" si="47"/>
        <v>214560</v>
      </c>
      <c r="G218" s="448" t="s">
        <v>131</v>
      </c>
      <c r="H218" s="447">
        <v>1</v>
      </c>
      <c r="I218" s="770" t="s">
        <v>1105</v>
      </c>
      <c r="J218" s="447" t="s">
        <v>54</v>
      </c>
      <c r="K218" s="447" t="s">
        <v>158</v>
      </c>
      <c r="L218" s="447" t="s">
        <v>56</v>
      </c>
      <c r="M218" s="616" t="s">
        <v>211</v>
      </c>
      <c r="N218" s="545" t="s">
        <v>733</v>
      </c>
      <c r="O218" s="447" t="s">
        <v>1106</v>
      </c>
      <c r="P218" s="447" t="str">
        <f t="shared" si="39"/>
        <v>LUCAS</v>
      </c>
      <c r="Q218" s="447"/>
      <c r="R218" s="447" t="s">
        <v>81</v>
      </c>
      <c r="S218" s="534" t="str">
        <f t="shared" si="40"/>
        <v xml:space="preserve">LUCAS A. ATING </v>
      </c>
      <c r="T218" s="780">
        <v>17880</v>
      </c>
      <c r="U218" s="305" t="s">
        <v>1107</v>
      </c>
      <c r="V218" s="447" t="s">
        <v>62</v>
      </c>
      <c r="W218" s="472">
        <v>28219</v>
      </c>
      <c r="X218" s="498">
        <f t="shared" ca="1" si="50"/>
        <v>17886.538043402776</v>
      </c>
      <c r="Y218" s="447" t="s">
        <v>1108</v>
      </c>
      <c r="Z218" s="447"/>
      <c r="AA218" s="493">
        <v>37293</v>
      </c>
      <c r="AB218" s="493">
        <v>39510</v>
      </c>
      <c r="AC218" s="447" t="s">
        <v>64</v>
      </c>
      <c r="AD218" s="512" t="s">
        <v>102</v>
      </c>
      <c r="AE218" s="512"/>
      <c r="AF218" s="791">
        <v>17880</v>
      </c>
      <c r="AG218" s="530">
        <v>16101</v>
      </c>
      <c r="AH218" s="530">
        <v>17880</v>
      </c>
      <c r="AI218" s="530"/>
      <c r="AJ218" s="530">
        <f t="shared" si="41"/>
        <v>1779</v>
      </c>
      <c r="AK218" s="530"/>
      <c r="AL218" s="800" t="s">
        <v>66</v>
      </c>
      <c r="AM218" s="305" t="s">
        <v>1104</v>
      </c>
      <c r="AN218" s="423" t="s">
        <v>1074</v>
      </c>
      <c r="AO218" s="757" t="s">
        <v>1075</v>
      </c>
      <c r="AP218" s="447">
        <v>1</v>
      </c>
      <c r="AQ218" s="780">
        <v>17880</v>
      </c>
      <c r="AR218" s="305" t="s">
        <v>1107</v>
      </c>
      <c r="AS218" s="821" t="str">
        <f>IF(AR218="(Vacant)",AR218,IF(AR218="",AR218,"With Incumbent"))</f>
        <v>With Incumbent</v>
      </c>
      <c r="AT218" s="534"/>
      <c r="AU218" s="822"/>
      <c r="AV218" s="534"/>
      <c r="AW218" s="534"/>
      <c r="AX218" s="837"/>
      <c r="AY218" s="838"/>
    </row>
    <row r="219" spans="1:51" s="531" customFormat="1" ht="22.5" hidden="1" customHeight="1">
      <c r="A219" s="741" t="s">
        <v>1109</v>
      </c>
      <c r="B219" s="742" t="s">
        <v>167</v>
      </c>
      <c r="C219" s="423" t="s">
        <v>1074</v>
      </c>
      <c r="D219" s="757" t="s">
        <v>1075</v>
      </c>
      <c r="E219" s="448">
        <f t="shared" si="48"/>
        <v>214560</v>
      </c>
      <c r="F219" s="448">
        <f t="shared" si="47"/>
        <v>221484</v>
      </c>
      <c r="G219" s="448">
        <v>164160</v>
      </c>
      <c r="H219" s="447">
        <v>3</v>
      </c>
      <c r="I219" s="770" t="s">
        <v>773</v>
      </c>
      <c r="J219" s="447" t="s">
        <v>62</v>
      </c>
      <c r="K219" s="447" t="s">
        <v>158</v>
      </c>
      <c r="L219" s="447" t="s">
        <v>56</v>
      </c>
      <c r="M219" s="447"/>
      <c r="N219" s="545"/>
      <c r="O219" s="447"/>
      <c r="P219" s="447"/>
      <c r="Q219" s="447"/>
      <c r="R219" s="447"/>
      <c r="S219" s="534"/>
      <c r="T219" s="780">
        <v>18457</v>
      </c>
      <c r="U219" s="781" t="s">
        <v>88</v>
      </c>
      <c r="V219" s="447"/>
      <c r="W219" s="472"/>
      <c r="X219" s="498"/>
      <c r="Y219" s="447"/>
      <c r="Z219" s="447"/>
      <c r="AA219" s="493"/>
      <c r="AB219" s="493"/>
      <c r="AC219" s="447" t="s">
        <v>64</v>
      </c>
      <c r="AD219" s="512" t="s">
        <v>102</v>
      </c>
      <c r="AE219" s="512"/>
      <c r="AF219" s="791">
        <v>17880</v>
      </c>
      <c r="AG219" s="530">
        <v>16753</v>
      </c>
      <c r="AH219" s="530">
        <v>18457</v>
      </c>
      <c r="AI219" s="530"/>
      <c r="AJ219" s="530">
        <f t="shared" si="41"/>
        <v>1704</v>
      </c>
      <c r="AK219" s="530"/>
      <c r="AL219" s="806" t="s">
        <v>126</v>
      </c>
      <c r="AM219" s="745"/>
      <c r="AN219" s="742"/>
      <c r="AO219" s="757"/>
      <c r="AP219" s="447"/>
      <c r="AQ219" s="780"/>
      <c r="AR219" s="781"/>
      <c r="AS219" s="781"/>
      <c r="AT219" s="534"/>
      <c r="AU219" s="822"/>
      <c r="AV219" s="534"/>
      <c r="AW219" s="534"/>
      <c r="AX219" s="837"/>
      <c r="AY219" s="838"/>
    </row>
    <row r="220" spans="1:51" s="531" customFormat="1" ht="22.5" customHeight="1">
      <c r="A220" s="741" t="s">
        <v>1110</v>
      </c>
      <c r="B220" s="742" t="s">
        <v>268</v>
      </c>
      <c r="C220" s="423" t="s">
        <v>1074</v>
      </c>
      <c r="D220" s="757" t="s">
        <v>1075</v>
      </c>
      <c r="E220" s="448">
        <f t="shared" si="48"/>
        <v>214560</v>
      </c>
      <c r="F220" s="448">
        <f t="shared" si="47"/>
        <v>221484</v>
      </c>
      <c r="G220" s="448">
        <v>160164</v>
      </c>
      <c r="H220" s="447">
        <v>3</v>
      </c>
      <c r="I220" s="770" t="s">
        <v>352</v>
      </c>
      <c r="J220" s="447" t="s">
        <v>64</v>
      </c>
      <c r="K220" s="447" t="s">
        <v>158</v>
      </c>
      <c r="L220" s="447" t="s">
        <v>56</v>
      </c>
      <c r="M220" s="774"/>
      <c r="N220" s="545"/>
      <c r="O220" s="447"/>
      <c r="P220" s="447"/>
      <c r="Q220" s="447"/>
      <c r="R220" s="447"/>
      <c r="S220" s="534"/>
      <c r="T220" s="780">
        <v>18457</v>
      </c>
      <c r="U220" s="781" t="s">
        <v>88</v>
      </c>
      <c r="V220" s="447"/>
      <c r="W220" s="472"/>
      <c r="X220" s="498"/>
      <c r="Y220" s="447"/>
      <c r="Z220" s="447"/>
      <c r="AA220" s="493"/>
      <c r="AB220" s="493"/>
      <c r="AC220" s="447" t="s">
        <v>64</v>
      </c>
      <c r="AD220" s="512" t="s">
        <v>102</v>
      </c>
      <c r="AE220" s="512"/>
      <c r="AF220" s="791">
        <v>17880</v>
      </c>
      <c r="AG220" s="530">
        <v>16753</v>
      </c>
      <c r="AH220" s="530">
        <v>18457</v>
      </c>
      <c r="AI220" s="530"/>
      <c r="AJ220" s="530">
        <f t="shared" si="41"/>
        <v>1704</v>
      </c>
      <c r="AK220" s="530"/>
      <c r="AL220" s="800" t="s">
        <v>66</v>
      </c>
      <c r="AM220" s="305" t="s">
        <v>1110</v>
      </c>
      <c r="AN220" s="423" t="s">
        <v>1074</v>
      </c>
      <c r="AO220" s="757" t="s">
        <v>1075</v>
      </c>
      <c r="AP220" s="447">
        <v>3</v>
      </c>
      <c r="AQ220" s="780">
        <v>18457</v>
      </c>
      <c r="AR220" s="781" t="s">
        <v>88</v>
      </c>
      <c r="AS220" s="823" t="str">
        <f>IF(AR220="(Vacant)",AR220,IF(AR220="",AR220,"With Incumbent"))</f>
        <v>(Vacant)</v>
      </c>
      <c r="AT220" s="534"/>
      <c r="AU220" s="822" t="s">
        <v>246</v>
      </c>
      <c r="AV220" s="534" t="s">
        <v>265</v>
      </c>
      <c r="AW220" s="534" t="s">
        <v>265</v>
      </c>
      <c r="AX220" s="837" t="s">
        <v>92</v>
      </c>
      <c r="AY220" s="838" t="s">
        <v>93</v>
      </c>
    </row>
    <row r="221" spans="1:51" s="531" customFormat="1" ht="22.5" customHeight="1">
      <c r="A221" s="741" t="s">
        <v>1111</v>
      </c>
      <c r="B221" s="742" t="s">
        <v>268</v>
      </c>
      <c r="C221" s="423" t="s">
        <v>1074</v>
      </c>
      <c r="D221" s="757" t="s">
        <v>1075</v>
      </c>
      <c r="E221" s="448">
        <f t="shared" si="48"/>
        <v>214560</v>
      </c>
      <c r="F221" s="448">
        <f t="shared" si="47"/>
        <v>214560</v>
      </c>
      <c r="G221" s="448" t="s">
        <v>131</v>
      </c>
      <c r="H221" s="447">
        <v>1</v>
      </c>
      <c r="I221" s="770" t="s">
        <v>760</v>
      </c>
      <c r="J221" s="447" t="s">
        <v>62</v>
      </c>
      <c r="K221" s="447" t="s">
        <v>158</v>
      </c>
      <c r="L221" s="447" t="s">
        <v>56</v>
      </c>
      <c r="M221" s="447" t="s">
        <v>268</v>
      </c>
      <c r="N221" s="545" t="s">
        <v>1112</v>
      </c>
      <c r="O221" s="447" t="s">
        <v>1113</v>
      </c>
      <c r="P221" s="447" t="str">
        <f t="shared" si="39"/>
        <v>JILL</v>
      </c>
      <c r="Q221" s="447"/>
      <c r="R221" s="447" t="s">
        <v>100</v>
      </c>
      <c r="S221" s="534" t="str">
        <f t="shared" si="40"/>
        <v xml:space="preserve">JILL F. FA-ED </v>
      </c>
      <c r="T221" s="780">
        <v>17880</v>
      </c>
      <c r="U221" s="305" t="s">
        <v>1114</v>
      </c>
      <c r="V221" s="447" t="s">
        <v>100</v>
      </c>
      <c r="W221" s="472">
        <v>26950</v>
      </c>
      <c r="X221" s="498">
        <f ca="1">(NOW()-W221)</f>
        <v>19155.538043402776</v>
      </c>
      <c r="Y221" s="447" t="s">
        <v>1115</v>
      </c>
      <c r="Z221" s="447"/>
      <c r="AA221" s="493">
        <v>37739</v>
      </c>
      <c r="AB221" s="493">
        <v>39510</v>
      </c>
      <c r="AC221" s="447" t="s">
        <v>64</v>
      </c>
      <c r="AD221" s="512" t="s">
        <v>84</v>
      </c>
      <c r="AE221" s="512" t="s">
        <v>1116</v>
      </c>
      <c r="AF221" s="791">
        <v>17880</v>
      </c>
      <c r="AG221" s="530">
        <v>16101</v>
      </c>
      <c r="AH221" s="530">
        <v>17880</v>
      </c>
      <c r="AI221" s="530"/>
      <c r="AJ221" s="530">
        <f t="shared" si="41"/>
        <v>1779</v>
      </c>
      <c r="AK221" s="530"/>
      <c r="AL221" s="800" t="s">
        <v>66</v>
      </c>
      <c r="AM221" s="305" t="s">
        <v>1111</v>
      </c>
      <c r="AN221" s="423" t="s">
        <v>1074</v>
      </c>
      <c r="AO221" s="757" t="s">
        <v>1075</v>
      </c>
      <c r="AP221" s="447">
        <v>1</v>
      </c>
      <c r="AQ221" s="780">
        <v>17880</v>
      </c>
      <c r="AR221" s="305" t="s">
        <v>1114</v>
      </c>
      <c r="AS221" s="821" t="str">
        <f>IF(AR221="(Vacant)",AR221,IF(AR221="",AR221,"With Incumbent"))</f>
        <v>With Incumbent</v>
      </c>
      <c r="AT221" s="534"/>
      <c r="AU221" s="822"/>
      <c r="AV221" s="534"/>
      <c r="AW221" s="534"/>
      <c r="AX221" s="837"/>
      <c r="AY221" s="838"/>
    </row>
    <row r="222" spans="1:51" s="531" customFormat="1" ht="22.5" customHeight="1">
      <c r="A222" s="741" t="s">
        <v>1117</v>
      </c>
      <c r="B222" s="742" t="s">
        <v>268</v>
      </c>
      <c r="C222" s="423" t="s">
        <v>1074</v>
      </c>
      <c r="D222" s="757" t="s">
        <v>1075</v>
      </c>
      <c r="E222" s="448">
        <f t="shared" si="48"/>
        <v>214560</v>
      </c>
      <c r="F222" s="448">
        <f t="shared" si="47"/>
        <v>221484</v>
      </c>
      <c r="G222" s="448">
        <v>160164</v>
      </c>
      <c r="H222" s="447">
        <v>3</v>
      </c>
      <c r="I222" s="770" t="s">
        <v>576</v>
      </c>
      <c r="J222" s="447" t="s">
        <v>62</v>
      </c>
      <c r="K222" s="447" t="s">
        <v>158</v>
      </c>
      <c r="L222" s="447" t="s">
        <v>56</v>
      </c>
      <c r="M222" s="616" t="s">
        <v>57</v>
      </c>
      <c r="N222" s="545" t="s">
        <v>1118</v>
      </c>
      <c r="O222" s="447" t="s">
        <v>1119</v>
      </c>
      <c r="P222" s="447" t="str">
        <f t="shared" si="39"/>
        <v>AMEURFINA</v>
      </c>
      <c r="Q222" s="447"/>
      <c r="R222" s="447" t="s">
        <v>122</v>
      </c>
      <c r="S222" s="534" t="str">
        <f t="shared" si="40"/>
        <v xml:space="preserve">AMEURFINA C. LAPASTORA </v>
      </c>
      <c r="T222" s="780">
        <v>18457</v>
      </c>
      <c r="U222" s="305" t="s">
        <v>1120</v>
      </c>
      <c r="V222" s="447" t="s">
        <v>100</v>
      </c>
      <c r="W222" s="472">
        <v>27469</v>
      </c>
      <c r="X222" s="498">
        <f ca="1">(NOW()-W222)</f>
        <v>18636.538043287037</v>
      </c>
      <c r="Y222" s="447" t="s">
        <v>1121</v>
      </c>
      <c r="Z222" s="447"/>
      <c r="AA222" s="493">
        <v>36220</v>
      </c>
      <c r="AB222" s="493">
        <v>37561</v>
      </c>
      <c r="AC222" s="447" t="s">
        <v>64</v>
      </c>
      <c r="AD222" s="512" t="s">
        <v>102</v>
      </c>
      <c r="AE222" s="512"/>
      <c r="AF222" s="791">
        <v>17880</v>
      </c>
      <c r="AG222" s="530">
        <v>16753</v>
      </c>
      <c r="AH222" s="530">
        <v>18457</v>
      </c>
      <c r="AI222" s="530"/>
      <c r="AJ222" s="530">
        <f t="shared" si="41"/>
        <v>1704</v>
      </c>
      <c r="AK222" s="530"/>
      <c r="AL222" s="800" t="s">
        <v>66</v>
      </c>
      <c r="AM222" s="305" t="s">
        <v>1117</v>
      </c>
      <c r="AN222" s="423" t="s">
        <v>1074</v>
      </c>
      <c r="AO222" s="757" t="s">
        <v>1075</v>
      </c>
      <c r="AP222" s="447">
        <v>3</v>
      </c>
      <c r="AQ222" s="780">
        <v>18457</v>
      </c>
      <c r="AR222" s="305" t="s">
        <v>1120</v>
      </c>
      <c r="AS222" s="821" t="str">
        <f>IF(AR222="(Vacant)",AR222,IF(AR222="",AR222,"With Incumbent"))</f>
        <v>With Incumbent</v>
      </c>
      <c r="AT222" s="534"/>
      <c r="AU222" s="822"/>
      <c r="AV222" s="534"/>
      <c r="AW222" s="534"/>
      <c r="AX222" s="837"/>
      <c r="AY222" s="838"/>
    </row>
    <row r="223" spans="1:51" s="531" customFormat="1" ht="22.5" hidden="1" customHeight="1">
      <c r="A223" s="741" t="s">
        <v>1122</v>
      </c>
      <c r="B223" s="742" t="s">
        <v>408</v>
      </c>
      <c r="C223" s="423" t="s">
        <v>1074</v>
      </c>
      <c r="D223" s="757" t="s">
        <v>1075</v>
      </c>
      <c r="E223" s="448">
        <f t="shared" si="48"/>
        <v>214560</v>
      </c>
      <c r="F223" s="448">
        <f t="shared" si="47"/>
        <v>214560</v>
      </c>
      <c r="G223" s="448" t="s">
        <v>131</v>
      </c>
      <c r="H223" s="447">
        <v>1</v>
      </c>
      <c r="I223" s="770" t="s">
        <v>1123</v>
      </c>
      <c r="J223" s="447" t="s">
        <v>62</v>
      </c>
      <c r="K223" s="447" t="s">
        <v>158</v>
      </c>
      <c r="L223" s="447" t="s">
        <v>56</v>
      </c>
      <c r="M223" s="447"/>
      <c r="N223" s="545"/>
      <c r="O223" s="447"/>
      <c r="P223" s="447" t="str">
        <f t="shared" ref="P223:P284" si="51">UPPER(O223)</f>
        <v/>
      </c>
      <c r="Q223" s="447"/>
      <c r="R223" s="447"/>
      <c r="S223" s="534" t="str">
        <f t="shared" si="40"/>
        <v xml:space="preserve"> .  </v>
      </c>
      <c r="T223" s="780">
        <v>17880</v>
      </c>
      <c r="U223" s="781" t="s">
        <v>88</v>
      </c>
      <c r="V223" s="447"/>
      <c r="W223" s="472"/>
      <c r="X223" s="447"/>
      <c r="Y223" s="447"/>
      <c r="Z223" s="447"/>
      <c r="AA223" s="493"/>
      <c r="AB223" s="493"/>
      <c r="AC223" s="447"/>
      <c r="AD223" s="512"/>
      <c r="AE223" s="512"/>
      <c r="AF223" s="791">
        <v>17880</v>
      </c>
      <c r="AG223" s="530">
        <v>16101</v>
      </c>
      <c r="AH223" s="530">
        <v>17880</v>
      </c>
      <c r="AI223" s="530"/>
      <c r="AJ223" s="530">
        <f t="shared" ref="AJ223:AJ284" si="52">AH223-AG223</f>
        <v>1779</v>
      </c>
      <c r="AK223" s="530"/>
      <c r="AL223" s="806" t="s">
        <v>126</v>
      </c>
      <c r="AM223" s="745"/>
      <c r="AN223" s="742"/>
      <c r="AO223" s="757"/>
      <c r="AP223" s="447"/>
      <c r="AQ223" s="780"/>
      <c r="AR223" s="781"/>
      <c r="AS223" s="781"/>
      <c r="AT223" s="534"/>
      <c r="AU223" s="822"/>
      <c r="AV223" s="534"/>
      <c r="AW223" s="534"/>
      <c r="AX223" s="837"/>
      <c r="AY223" s="838"/>
    </row>
    <row r="224" spans="1:51" s="531" customFormat="1" ht="22.5" customHeight="1">
      <c r="A224" s="741" t="s">
        <v>1124</v>
      </c>
      <c r="B224" s="742" t="s">
        <v>174</v>
      </c>
      <c r="C224" s="423" t="s">
        <v>1074</v>
      </c>
      <c r="D224" s="757" t="s">
        <v>1075</v>
      </c>
      <c r="E224" s="448">
        <f>14323*12</f>
        <v>171876</v>
      </c>
      <c r="F224" s="448">
        <f t="shared" si="47"/>
        <v>214560</v>
      </c>
      <c r="G224" s="448">
        <v>160164</v>
      </c>
      <c r="H224" s="447">
        <v>1</v>
      </c>
      <c r="I224" s="770" t="s">
        <v>1027</v>
      </c>
      <c r="J224" s="447" t="s">
        <v>62</v>
      </c>
      <c r="K224" s="447" t="s">
        <v>158</v>
      </c>
      <c r="L224" s="447" t="s">
        <v>56</v>
      </c>
      <c r="M224" s="616" t="s">
        <v>181</v>
      </c>
      <c r="N224" s="545" t="s">
        <v>1125</v>
      </c>
      <c r="O224" s="447" t="s">
        <v>1126</v>
      </c>
      <c r="P224" s="447" t="str">
        <f t="shared" si="51"/>
        <v>MARY BETH</v>
      </c>
      <c r="Q224" s="447"/>
      <c r="R224" s="447" t="s">
        <v>81</v>
      </c>
      <c r="S224" s="534" t="str">
        <f t="shared" si="40"/>
        <v xml:space="preserve">MARY BETH A. MICU </v>
      </c>
      <c r="T224" s="780">
        <v>17880</v>
      </c>
      <c r="U224" s="305" t="s">
        <v>1127</v>
      </c>
      <c r="V224" s="447" t="s">
        <v>100</v>
      </c>
      <c r="W224" s="472">
        <v>29486</v>
      </c>
      <c r="X224" s="498">
        <f ca="1">(NOW()-W224)</f>
        <v>16619.538043402776</v>
      </c>
      <c r="Y224" s="447" t="s">
        <v>1128</v>
      </c>
      <c r="Z224" s="447"/>
      <c r="AA224" s="493">
        <v>37655</v>
      </c>
      <c r="AB224" s="493">
        <v>39874</v>
      </c>
      <c r="AC224" s="447" t="s">
        <v>64</v>
      </c>
      <c r="AD224" s="512" t="s">
        <v>102</v>
      </c>
      <c r="AE224" s="512"/>
      <c r="AF224" s="791">
        <v>17880</v>
      </c>
      <c r="AG224" s="530">
        <v>16101</v>
      </c>
      <c r="AH224" s="530">
        <v>17880</v>
      </c>
      <c r="AI224" s="530"/>
      <c r="AJ224" s="530">
        <f t="shared" si="52"/>
        <v>1779</v>
      </c>
      <c r="AK224" s="530"/>
      <c r="AL224" s="800" t="s">
        <v>66</v>
      </c>
      <c r="AM224" s="305" t="s">
        <v>1124</v>
      </c>
      <c r="AN224" s="423" t="s">
        <v>1074</v>
      </c>
      <c r="AO224" s="757" t="s">
        <v>1075</v>
      </c>
      <c r="AP224" s="447">
        <v>1</v>
      </c>
      <c r="AQ224" s="780">
        <v>17880</v>
      </c>
      <c r="AR224" s="305" t="s">
        <v>1127</v>
      </c>
      <c r="AS224" s="821" t="str">
        <f>IF(AR224="(Vacant)",AR224,IF(AR224="",AR224,"With Incumbent"))</f>
        <v>With Incumbent</v>
      </c>
      <c r="AT224" s="534"/>
      <c r="AU224" s="822"/>
      <c r="AV224" s="534"/>
      <c r="AW224" s="534"/>
      <c r="AX224" s="837"/>
      <c r="AY224" s="838"/>
    </row>
    <row r="225" spans="1:51" s="531" customFormat="1" ht="22.5" customHeight="1">
      <c r="A225" s="741" t="s">
        <v>1129</v>
      </c>
      <c r="B225" s="742" t="s">
        <v>174</v>
      </c>
      <c r="C225" s="423" t="s">
        <v>1074</v>
      </c>
      <c r="D225" s="757" t="s">
        <v>1075</v>
      </c>
      <c r="E225" s="448">
        <f t="shared" si="48"/>
        <v>214560</v>
      </c>
      <c r="F225" s="448">
        <f t="shared" si="47"/>
        <v>221484</v>
      </c>
      <c r="G225" s="448">
        <v>160164</v>
      </c>
      <c r="H225" s="447">
        <v>3</v>
      </c>
      <c r="I225" s="770" t="s">
        <v>53</v>
      </c>
      <c r="J225" s="447" t="s">
        <v>54</v>
      </c>
      <c r="K225" s="447" t="s">
        <v>158</v>
      </c>
      <c r="L225" s="447" t="s">
        <v>56</v>
      </c>
      <c r="M225" s="447"/>
      <c r="N225" s="545"/>
      <c r="O225" s="447"/>
      <c r="P225" s="447"/>
      <c r="Q225" s="447"/>
      <c r="R225" s="447"/>
      <c r="S225" s="534"/>
      <c r="T225" s="780">
        <v>18457</v>
      </c>
      <c r="U225" s="781" t="s">
        <v>88</v>
      </c>
      <c r="V225" s="447"/>
      <c r="W225" s="472"/>
      <c r="X225" s="498"/>
      <c r="Y225" s="447"/>
      <c r="Z225" s="447"/>
      <c r="AA225" s="493"/>
      <c r="AB225" s="493"/>
      <c r="AC225" s="447" t="s">
        <v>64</v>
      </c>
      <c r="AD225" s="512" t="s">
        <v>102</v>
      </c>
      <c r="AE225" s="512"/>
      <c r="AF225" s="791">
        <v>17880</v>
      </c>
      <c r="AG225" s="530">
        <v>16753</v>
      </c>
      <c r="AH225" s="530">
        <v>18457</v>
      </c>
      <c r="AI225" s="530"/>
      <c r="AJ225" s="530">
        <f t="shared" si="52"/>
        <v>1704</v>
      </c>
      <c r="AK225" s="530"/>
      <c r="AL225" s="800" t="s">
        <v>66</v>
      </c>
      <c r="AM225" s="305" t="s">
        <v>1129</v>
      </c>
      <c r="AN225" s="423" t="s">
        <v>1074</v>
      </c>
      <c r="AO225" s="757" t="s">
        <v>1075</v>
      </c>
      <c r="AP225" s="447">
        <v>1</v>
      </c>
      <c r="AQ225" s="780">
        <v>17880</v>
      </c>
      <c r="AR225" s="781" t="s">
        <v>88</v>
      </c>
      <c r="AS225" s="823" t="str">
        <f>IF(AR225="(Vacant)",AR225,IF(AR225="",AR225,"With Incumbent"))</f>
        <v>(Vacant)</v>
      </c>
      <c r="AT225" s="534"/>
      <c r="AU225" s="822" t="s">
        <v>246</v>
      </c>
      <c r="AV225" s="534" t="s">
        <v>265</v>
      </c>
      <c r="AW225" s="534" t="s">
        <v>265</v>
      </c>
      <c r="AX225" s="837" t="s">
        <v>92</v>
      </c>
      <c r="AY225" s="838" t="s">
        <v>93</v>
      </c>
    </row>
    <row r="226" spans="1:51" s="531" customFormat="1" ht="22.5" hidden="1" customHeight="1">
      <c r="A226" s="741" t="s">
        <v>1130</v>
      </c>
      <c r="B226" s="742" t="s">
        <v>174</v>
      </c>
      <c r="C226" s="423" t="s">
        <v>1074</v>
      </c>
      <c r="D226" s="757" t="s">
        <v>1075</v>
      </c>
      <c r="E226" s="448">
        <f t="shared" si="48"/>
        <v>214560</v>
      </c>
      <c r="F226" s="448">
        <f t="shared" si="47"/>
        <v>214560</v>
      </c>
      <c r="G226" s="448" t="s">
        <v>131</v>
      </c>
      <c r="H226" s="447">
        <v>1</v>
      </c>
      <c r="I226" s="770" t="s">
        <v>845</v>
      </c>
      <c r="J226" s="447" t="s">
        <v>62</v>
      </c>
      <c r="K226" s="447" t="s">
        <v>158</v>
      </c>
      <c r="L226" s="447" t="s">
        <v>56</v>
      </c>
      <c r="M226" s="447"/>
      <c r="N226" s="545"/>
      <c r="O226" s="447"/>
      <c r="P226" s="447" t="str">
        <f t="shared" si="51"/>
        <v/>
      </c>
      <c r="Q226" s="447"/>
      <c r="R226" s="447"/>
      <c r="S226" s="534" t="str">
        <f t="shared" ref="S226:S284" si="53">P226&amp;" "&amp;R226&amp;"."&amp;" "&amp;N226&amp;" "&amp;Q226</f>
        <v xml:space="preserve"> .  </v>
      </c>
      <c r="T226" s="780">
        <v>17880</v>
      </c>
      <c r="U226" s="781" t="s">
        <v>88</v>
      </c>
      <c r="V226" s="447"/>
      <c r="W226" s="472"/>
      <c r="X226" s="447"/>
      <c r="Y226" s="447"/>
      <c r="Z226" s="447"/>
      <c r="AA226" s="493"/>
      <c r="AB226" s="493"/>
      <c r="AC226" s="447"/>
      <c r="AD226" s="512"/>
      <c r="AE226" s="512"/>
      <c r="AF226" s="791">
        <v>17880</v>
      </c>
      <c r="AG226" s="530">
        <v>16101</v>
      </c>
      <c r="AH226" s="530">
        <v>17880</v>
      </c>
      <c r="AI226" s="530"/>
      <c r="AJ226" s="530">
        <f t="shared" si="52"/>
        <v>1779</v>
      </c>
      <c r="AK226" s="530"/>
      <c r="AL226" s="806" t="s">
        <v>126</v>
      </c>
      <c r="AM226" s="745"/>
      <c r="AN226" s="742"/>
      <c r="AO226" s="757"/>
      <c r="AP226" s="447"/>
      <c r="AQ226" s="780"/>
      <c r="AR226" s="781"/>
      <c r="AS226" s="781"/>
      <c r="AT226" s="534"/>
      <c r="AU226" s="822"/>
      <c r="AV226" s="534"/>
      <c r="AW226" s="534"/>
      <c r="AX226" s="837"/>
      <c r="AY226" s="838"/>
    </row>
    <row r="227" spans="1:51" s="531" customFormat="1" ht="22.5" customHeight="1">
      <c r="A227" s="741" t="s">
        <v>1131</v>
      </c>
      <c r="B227" s="742" t="s">
        <v>174</v>
      </c>
      <c r="C227" s="423" t="s">
        <v>1074</v>
      </c>
      <c r="D227" s="757" t="s">
        <v>1075</v>
      </c>
      <c r="E227" s="448">
        <f t="shared" si="48"/>
        <v>214560</v>
      </c>
      <c r="F227" s="448">
        <f t="shared" si="47"/>
        <v>221484</v>
      </c>
      <c r="G227" s="448">
        <v>160164</v>
      </c>
      <c r="H227" s="447">
        <v>3</v>
      </c>
      <c r="I227" s="770" t="s">
        <v>487</v>
      </c>
      <c r="J227" s="447" t="s">
        <v>64</v>
      </c>
      <c r="K227" s="447" t="s">
        <v>158</v>
      </c>
      <c r="L227" s="447" t="s">
        <v>56</v>
      </c>
      <c r="M227" s="616" t="s">
        <v>268</v>
      </c>
      <c r="N227" s="545" t="s">
        <v>1132</v>
      </c>
      <c r="O227" s="447" t="s">
        <v>1133</v>
      </c>
      <c r="P227" s="447" t="str">
        <f t="shared" si="51"/>
        <v>DOMINGO</v>
      </c>
      <c r="Q227" s="447"/>
      <c r="R227" s="447" t="s">
        <v>177</v>
      </c>
      <c r="S227" s="534" t="str">
        <f t="shared" si="53"/>
        <v xml:space="preserve">DOMINGO G. MABIASAN </v>
      </c>
      <c r="T227" s="780">
        <v>18457</v>
      </c>
      <c r="U227" s="305" t="s">
        <v>1134</v>
      </c>
      <c r="V227" s="447" t="s">
        <v>62</v>
      </c>
      <c r="W227" s="472">
        <v>26023</v>
      </c>
      <c r="X227" s="498">
        <f t="shared" ref="X227:X241" ca="1" si="54">(NOW()-W227)</f>
        <v>20082.538043402776</v>
      </c>
      <c r="Y227" s="447" t="s">
        <v>1135</v>
      </c>
      <c r="Z227" s="472">
        <v>37316</v>
      </c>
      <c r="AA227" s="493">
        <v>34700</v>
      </c>
      <c r="AB227" s="493">
        <v>38018</v>
      </c>
      <c r="AC227" s="447" t="s">
        <v>64</v>
      </c>
      <c r="AD227" s="512" t="s">
        <v>102</v>
      </c>
      <c r="AE227" s="512"/>
      <c r="AF227" s="791">
        <v>17880</v>
      </c>
      <c r="AG227" s="530">
        <v>16753</v>
      </c>
      <c r="AH227" s="530">
        <v>18457</v>
      </c>
      <c r="AI227" s="530"/>
      <c r="AJ227" s="530">
        <f t="shared" si="52"/>
        <v>1704</v>
      </c>
      <c r="AK227" s="530"/>
      <c r="AL227" s="800" t="s">
        <v>66</v>
      </c>
      <c r="AM227" s="305" t="s">
        <v>1131</v>
      </c>
      <c r="AN227" s="423" t="s">
        <v>1074</v>
      </c>
      <c r="AO227" s="757" t="s">
        <v>1075</v>
      </c>
      <c r="AP227" s="447">
        <v>3</v>
      </c>
      <c r="AQ227" s="780">
        <v>18457</v>
      </c>
      <c r="AR227" s="305" t="s">
        <v>1134</v>
      </c>
      <c r="AS227" s="821" t="str">
        <f>IF(AR227="(Vacant)",AR227,IF(AR227="",AR227,"With Incumbent"))</f>
        <v>With Incumbent</v>
      </c>
      <c r="AT227" s="534"/>
      <c r="AU227" s="822"/>
      <c r="AV227" s="534"/>
      <c r="AW227" s="534"/>
      <c r="AX227" s="837"/>
      <c r="AY227" s="838"/>
    </row>
    <row r="228" spans="1:51" s="531" customFormat="1" ht="22.5" hidden="1" customHeight="1">
      <c r="A228" s="741" t="s">
        <v>1136</v>
      </c>
      <c r="B228" s="742" t="s">
        <v>174</v>
      </c>
      <c r="C228" s="423" t="s">
        <v>1074</v>
      </c>
      <c r="D228" s="757" t="s">
        <v>1075</v>
      </c>
      <c r="E228" s="448">
        <f t="shared" si="48"/>
        <v>214560</v>
      </c>
      <c r="F228" s="448">
        <f t="shared" si="47"/>
        <v>221484</v>
      </c>
      <c r="G228" s="448">
        <v>160164</v>
      </c>
      <c r="H228" s="447">
        <v>3</v>
      </c>
      <c r="I228" s="770" t="s">
        <v>53</v>
      </c>
      <c r="J228" s="447" t="s">
        <v>54</v>
      </c>
      <c r="K228" s="447" t="s">
        <v>158</v>
      </c>
      <c r="L228" s="447" t="s">
        <v>56</v>
      </c>
      <c r="M228" s="616" t="s">
        <v>268</v>
      </c>
      <c r="N228" s="545" t="s">
        <v>780</v>
      </c>
      <c r="O228" s="447" t="s">
        <v>781</v>
      </c>
      <c r="P228" s="447" t="str">
        <f t="shared" si="51"/>
        <v>LOURDES CLAIRE</v>
      </c>
      <c r="Q228" s="447"/>
      <c r="R228" s="447" t="s">
        <v>100</v>
      </c>
      <c r="S228" s="534" t="str">
        <f t="shared" si="53"/>
        <v xml:space="preserve">LOURDES CLAIRE F. PEEL </v>
      </c>
      <c r="T228" s="780">
        <v>18457</v>
      </c>
      <c r="U228" s="781" t="s">
        <v>88</v>
      </c>
      <c r="V228" s="447" t="s">
        <v>100</v>
      </c>
      <c r="W228" s="472">
        <v>28328</v>
      </c>
      <c r="X228" s="498">
        <f t="shared" ca="1" si="54"/>
        <v>17777.538043287037</v>
      </c>
      <c r="Y228" s="447" t="s">
        <v>783</v>
      </c>
      <c r="Z228" s="447"/>
      <c r="AA228" s="493">
        <v>37378</v>
      </c>
      <c r="AB228" s="493">
        <v>37673</v>
      </c>
      <c r="AC228" s="447" t="s">
        <v>64</v>
      </c>
      <c r="AD228" s="512" t="s">
        <v>102</v>
      </c>
      <c r="AE228" s="512"/>
      <c r="AF228" s="791">
        <v>17880</v>
      </c>
      <c r="AG228" s="530">
        <v>16753</v>
      </c>
      <c r="AH228" s="530">
        <v>18457</v>
      </c>
      <c r="AI228" s="530"/>
      <c r="AJ228" s="530">
        <f t="shared" si="52"/>
        <v>1704</v>
      </c>
      <c r="AK228" s="530"/>
      <c r="AL228" s="806" t="s">
        <v>126</v>
      </c>
      <c r="AM228" s="745"/>
      <c r="AN228" s="742"/>
      <c r="AO228" s="757"/>
      <c r="AP228" s="447"/>
      <c r="AQ228" s="780"/>
      <c r="AR228" s="781"/>
      <c r="AS228" s="781"/>
      <c r="AT228" s="534"/>
      <c r="AU228" s="822"/>
      <c r="AV228" s="534"/>
      <c r="AW228" s="534"/>
      <c r="AX228" s="837"/>
      <c r="AY228" s="838"/>
    </row>
    <row r="229" spans="1:51" s="531" customFormat="1" ht="22.5" customHeight="1">
      <c r="A229" s="741" t="s">
        <v>1137</v>
      </c>
      <c r="B229" s="742" t="s">
        <v>211</v>
      </c>
      <c r="C229" s="423" t="s">
        <v>1074</v>
      </c>
      <c r="D229" s="757" t="s">
        <v>1075</v>
      </c>
      <c r="E229" s="448">
        <f t="shared" si="48"/>
        <v>214560</v>
      </c>
      <c r="F229" s="448">
        <f t="shared" si="47"/>
        <v>221484</v>
      </c>
      <c r="G229" s="448">
        <v>160164</v>
      </c>
      <c r="H229" s="447">
        <v>3</v>
      </c>
      <c r="I229" s="770" t="s">
        <v>494</v>
      </c>
      <c r="J229" s="447" t="s">
        <v>64</v>
      </c>
      <c r="K229" s="447" t="s">
        <v>158</v>
      </c>
      <c r="L229" s="447" t="s">
        <v>56</v>
      </c>
      <c r="M229" s="616" t="s">
        <v>57</v>
      </c>
      <c r="N229" s="545" t="s">
        <v>1138</v>
      </c>
      <c r="O229" s="447" t="s">
        <v>1139</v>
      </c>
      <c r="P229" s="447" t="str">
        <f t="shared" si="51"/>
        <v>DAN JOEL</v>
      </c>
      <c r="Q229" s="447"/>
      <c r="R229" s="447" t="s">
        <v>77</v>
      </c>
      <c r="S229" s="534" t="str">
        <f t="shared" si="53"/>
        <v xml:space="preserve">DAN JOEL S. RULLAN </v>
      </c>
      <c r="T229" s="780">
        <v>18457</v>
      </c>
      <c r="U229" s="305" t="s">
        <v>1140</v>
      </c>
      <c r="V229" s="447" t="s">
        <v>62</v>
      </c>
      <c r="W229" s="472">
        <v>25113</v>
      </c>
      <c r="X229" s="498">
        <f t="shared" ca="1" si="54"/>
        <v>20992.538043287037</v>
      </c>
      <c r="Y229" s="447" t="s">
        <v>1141</v>
      </c>
      <c r="Z229" s="472">
        <v>37211</v>
      </c>
      <c r="AA229" s="493">
        <v>34738</v>
      </c>
      <c r="AB229" s="493">
        <v>37773</v>
      </c>
      <c r="AC229" s="447" t="s">
        <v>64</v>
      </c>
      <c r="AD229" s="512" t="s">
        <v>102</v>
      </c>
      <c r="AE229" s="512"/>
      <c r="AF229" s="791">
        <v>17880</v>
      </c>
      <c r="AG229" s="530">
        <v>16753</v>
      </c>
      <c r="AH229" s="530">
        <v>18457</v>
      </c>
      <c r="AI229" s="530"/>
      <c r="AJ229" s="530">
        <f t="shared" si="52"/>
        <v>1704</v>
      </c>
      <c r="AK229" s="530"/>
      <c r="AL229" s="800" t="s">
        <v>66</v>
      </c>
      <c r="AM229" s="305" t="s">
        <v>1137</v>
      </c>
      <c r="AN229" s="423" t="s">
        <v>1074</v>
      </c>
      <c r="AO229" s="757" t="s">
        <v>1075</v>
      </c>
      <c r="AP229" s="447">
        <v>3</v>
      </c>
      <c r="AQ229" s="780">
        <v>18457</v>
      </c>
      <c r="AR229" s="305" t="s">
        <v>1140</v>
      </c>
      <c r="AS229" s="821" t="str">
        <f>IF(AR229="(Vacant)",AR229,IF(AR229="",AR229,"With Incumbent"))</f>
        <v>With Incumbent</v>
      </c>
      <c r="AT229" s="534"/>
      <c r="AU229" s="822"/>
      <c r="AV229" s="534"/>
      <c r="AW229" s="534"/>
      <c r="AX229" s="837"/>
      <c r="AY229" s="838"/>
    </row>
    <row r="230" spans="1:51" s="531" customFormat="1" ht="22.5" customHeight="1">
      <c r="A230" s="741" t="s">
        <v>1142</v>
      </c>
      <c r="B230" s="742" t="s">
        <v>211</v>
      </c>
      <c r="C230" s="423" t="s">
        <v>1074</v>
      </c>
      <c r="D230" s="757" t="s">
        <v>1075</v>
      </c>
      <c r="E230" s="448">
        <f t="shared" si="48"/>
        <v>214560</v>
      </c>
      <c r="F230" s="448">
        <f t="shared" si="47"/>
        <v>217992</v>
      </c>
      <c r="G230" s="448">
        <v>160164</v>
      </c>
      <c r="H230" s="447">
        <v>2</v>
      </c>
      <c r="I230" s="770" t="s">
        <v>465</v>
      </c>
      <c r="J230" s="447" t="s">
        <v>64</v>
      </c>
      <c r="K230" s="447" t="s">
        <v>158</v>
      </c>
      <c r="L230" s="447" t="s">
        <v>56</v>
      </c>
      <c r="M230" s="616" t="s">
        <v>189</v>
      </c>
      <c r="N230" s="545" t="s">
        <v>1143</v>
      </c>
      <c r="O230" s="447" t="s">
        <v>1144</v>
      </c>
      <c r="P230" s="447" t="str">
        <f t="shared" si="51"/>
        <v>JULIET</v>
      </c>
      <c r="Q230" s="447"/>
      <c r="R230" s="447" t="s">
        <v>115</v>
      </c>
      <c r="S230" s="534" t="str">
        <f t="shared" si="53"/>
        <v xml:space="preserve">JULIET B. GUMANGAN </v>
      </c>
      <c r="T230" s="780">
        <v>18166</v>
      </c>
      <c r="U230" s="305" t="s">
        <v>1145</v>
      </c>
      <c r="V230" s="447" t="s">
        <v>100</v>
      </c>
      <c r="W230" s="472">
        <v>29362</v>
      </c>
      <c r="X230" s="498">
        <f t="shared" ca="1" si="54"/>
        <v>16743.538043402776</v>
      </c>
      <c r="Y230" s="447" t="s">
        <v>1146</v>
      </c>
      <c r="Z230" s="447"/>
      <c r="AA230" s="493">
        <v>37600</v>
      </c>
      <c r="AB230" s="493">
        <v>38226</v>
      </c>
      <c r="AC230" s="447" t="s">
        <v>64</v>
      </c>
      <c r="AD230" s="512" t="s">
        <v>102</v>
      </c>
      <c r="AE230" s="512"/>
      <c r="AF230" s="791">
        <v>17880</v>
      </c>
      <c r="AG230" s="530">
        <v>16424</v>
      </c>
      <c r="AH230" s="530">
        <v>18166</v>
      </c>
      <c r="AI230" s="530"/>
      <c r="AJ230" s="530">
        <f t="shared" si="52"/>
        <v>1742</v>
      </c>
      <c r="AK230" s="530"/>
      <c r="AL230" s="800" t="s">
        <v>66</v>
      </c>
      <c r="AM230" s="305" t="s">
        <v>1142</v>
      </c>
      <c r="AN230" s="423" t="s">
        <v>1074</v>
      </c>
      <c r="AO230" s="757" t="s">
        <v>1075</v>
      </c>
      <c r="AP230" s="447">
        <v>2</v>
      </c>
      <c r="AQ230" s="780">
        <v>18166</v>
      </c>
      <c r="AR230" s="305" t="s">
        <v>1145</v>
      </c>
      <c r="AS230" s="821" t="str">
        <f>IF(AR230="(Vacant)",AR230,IF(AR230="",AR230,"With Incumbent"))</f>
        <v>With Incumbent</v>
      </c>
      <c r="AT230" s="534"/>
      <c r="AU230" s="822"/>
      <c r="AV230" s="534"/>
      <c r="AW230" s="534"/>
      <c r="AX230" s="837"/>
      <c r="AY230" s="838"/>
    </row>
    <row r="231" spans="1:51" s="531" customFormat="1" ht="22.5" hidden="1" customHeight="1">
      <c r="A231" s="741" t="s">
        <v>1147</v>
      </c>
      <c r="B231" s="742" t="s">
        <v>211</v>
      </c>
      <c r="C231" s="423" t="s">
        <v>1074</v>
      </c>
      <c r="D231" s="757" t="s">
        <v>1075</v>
      </c>
      <c r="E231" s="448">
        <f t="shared" si="48"/>
        <v>214560</v>
      </c>
      <c r="F231" s="448">
        <f t="shared" si="47"/>
        <v>217992</v>
      </c>
      <c r="G231" s="448">
        <v>156252</v>
      </c>
      <c r="H231" s="447">
        <v>2</v>
      </c>
      <c r="I231" s="770" t="s">
        <v>53</v>
      </c>
      <c r="J231" s="447" t="s">
        <v>54</v>
      </c>
      <c r="K231" s="447" t="s">
        <v>158</v>
      </c>
      <c r="L231" s="447" t="s">
        <v>56</v>
      </c>
      <c r="M231" s="447"/>
      <c r="N231" s="545"/>
      <c r="O231" s="447"/>
      <c r="P231" s="447"/>
      <c r="Q231" s="447"/>
      <c r="R231" s="447"/>
      <c r="S231" s="534"/>
      <c r="T231" s="780">
        <v>18166</v>
      </c>
      <c r="U231" s="781" t="s">
        <v>88</v>
      </c>
      <c r="V231" s="447"/>
      <c r="W231" s="472"/>
      <c r="X231" s="498"/>
      <c r="Y231" s="447"/>
      <c r="Z231" s="447"/>
      <c r="AA231" s="493"/>
      <c r="AB231" s="493"/>
      <c r="AC231" s="447" t="s">
        <v>64</v>
      </c>
      <c r="AD231" s="512" t="s">
        <v>102</v>
      </c>
      <c r="AE231" s="512"/>
      <c r="AF231" s="791">
        <v>17880</v>
      </c>
      <c r="AG231" s="530">
        <v>16424</v>
      </c>
      <c r="AH231" s="530">
        <v>18166</v>
      </c>
      <c r="AI231" s="530"/>
      <c r="AJ231" s="530">
        <f t="shared" si="52"/>
        <v>1742</v>
      </c>
      <c r="AK231" s="530"/>
      <c r="AL231" s="806" t="s">
        <v>126</v>
      </c>
      <c r="AM231" s="745"/>
      <c r="AN231" s="742"/>
      <c r="AO231" s="757"/>
      <c r="AP231" s="447"/>
      <c r="AQ231" s="780"/>
      <c r="AR231" s="781"/>
      <c r="AS231" s="781"/>
      <c r="AT231" s="534"/>
      <c r="AU231" s="822"/>
      <c r="AV231" s="534"/>
      <c r="AW231" s="534"/>
      <c r="AX231" s="837"/>
      <c r="AY231" s="838"/>
    </row>
    <row r="232" spans="1:51" s="531" customFormat="1" ht="22.5" hidden="1" customHeight="1">
      <c r="A232" s="741" t="s">
        <v>1148</v>
      </c>
      <c r="B232" s="742" t="s">
        <v>211</v>
      </c>
      <c r="C232" s="423" t="s">
        <v>1074</v>
      </c>
      <c r="D232" s="757" t="s">
        <v>1075</v>
      </c>
      <c r="E232" s="448">
        <f t="shared" si="48"/>
        <v>214560</v>
      </c>
      <c r="F232" s="448">
        <f t="shared" si="47"/>
        <v>221484</v>
      </c>
      <c r="G232" s="448">
        <v>160164</v>
      </c>
      <c r="H232" s="447">
        <v>3</v>
      </c>
      <c r="I232" s="770" t="s">
        <v>527</v>
      </c>
      <c r="J232" s="447" t="s">
        <v>64</v>
      </c>
      <c r="K232" s="447" t="s">
        <v>158</v>
      </c>
      <c r="L232" s="447" t="s">
        <v>56</v>
      </c>
      <c r="M232" s="447"/>
      <c r="N232" s="545"/>
      <c r="O232" s="447"/>
      <c r="P232" s="447"/>
      <c r="Q232" s="447"/>
      <c r="R232" s="447"/>
      <c r="S232" s="534"/>
      <c r="T232" s="780">
        <v>18457</v>
      </c>
      <c r="U232" s="781" t="s">
        <v>88</v>
      </c>
      <c r="V232" s="447"/>
      <c r="W232" s="472"/>
      <c r="X232" s="498"/>
      <c r="Y232" s="447"/>
      <c r="Z232" s="447"/>
      <c r="AA232" s="493"/>
      <c r="AB232" s="493"/>
      <c r="AC232" s="447" t="s">
        <v>64</v>
      </c>
      <c r="AD232" s="512" t="s">
        <v>102</v>
      </c>
      <c r="AE232" s="512"/>
      <c r="AF232" s="791">
        <v>17880</v>
      </c>
      <c r="AG232" s="530">
        <v>16753</v>
      </c>
      <c r="AH232" s="530">
        <v>18457</v>
      </c>
      <c r="AI232" s="530"/>
      <c r="AJ232" s="530">
        <f t="shared" si="52"/>
        <v>1704</v>
      </c>
      <c r="AK232" s="530"/>
      <c r="AL232" s="806" t="s">
        <v>126</v>
      </c>
      <c r="AM232" s="745"/>
      <c r="AN232" s="742"/>
      <c r="AO232" s="757"/>
      <c r="AP232" s="447"/>
      <c r="AQ232" s="780"/>
      <c r="AR232" s="781"/>
      <c r="AS232" s="781"/>
      <c r="AT232" s="534"/>
      <c r="AU232" s="822"/>
      <c r="AV232" s="534"/>
      <c r="AW232" s="534"/>
      <c r="AX232" s="837"/>
      <c r="AY232" s="838"/>
    </row>
    <row r="233" spans="1:51" s="531" customFormat="1" ht="22.5" customHeight="1">
      <c r="A233" s="741" t="s">
        <v>1149</v>
      </c>
      <c r="B233" s="742" t="s">
        <v>181</v>
      </c>
      <c r="C233" s="423" t="s">
        <v>1074</v>
      </c>
      <c r="D233" s="757" t="s">
        <v>1075</v>
      </c>
      <c r="E233" s="448">
        <f t="shared" si="48"/>
        <v>214560</v>
      </c>
      <c r="F233" s="448">
        <f t="shared" si="47"/>
        <v>221484</v>
      </c>
      <c r="G233" s="448">
        <v>160164</v>
      </c>
      <c r="H233" s="447">
        <v>3</v>
      </c>
      <c r="I233" s="770" t="s">
        <v>1150</v>
      </c>
      <c r="J233" s="447" t="s">
        <v>62</v>
      </c>
      <c r="K233" s="447" t="s">
        <v>158</v>
      </c>
      <c r="L233" s="447" t="s">
        <v>56</v>
      </c>
      <c r="M233" s="616" t="s">
        <v>57</v>
      </c>
      <c r="N233" s="545" t="s">
        <v>1151</v>
      </c>
      <c r="O233" s="447" t="s">
        <v>1152</v>
      </c>
      <c r="P233" s="447" t="str">
        <f t="shared" si="51"/>
        <v>DENIS</v>
      </c>
      <c r="Q233" s="447"/>
      <c r="R233" s="447" t="s">
        <v>170</v>
      </c>
      <c r="S233" s="534" t="str">
        <f t="shared" si="53"/>
        <v xml:space="preserve">DENIS I. EVANGELISTA </v>
      </c>
      <c r="T233" s="780">
        <v>18457</v>
      </c>
      <c r="U233" s="305" t="s">
        <v>1153</v>
      </c>
      <c r="V233" s="447" t="s">
        <v>62</v>
      </c>
      <c r="W233" s="472">
        <v>27636</v>
      </c>
      <c r="X233" s="498">
        <f t="shared" ca="1" si="54"/>
        <v>18469.538043402776</v>
      </c>
      <c r="Y233" s="447" t="s">
        <v>1154</v>
      </c>
      <c r="Z233" s="447"/>
      <c r="AA233" s="493">
        <v>37355</v>
      </c>
      <c r="AB233" s="493">
        <v>38018</v>
      </c>
      <c r="AC233" s="447" t="s">
        <v>64</v>
      </c>
      <c r="AD233" s="512" t="s">
        <v>102</v>
      </c>
      <c r="AE233" s="512"/>
      <c r="AF233" s="791">
        <v>17880</v>
      </c>
      <c r="AG233" s="530">
        <v>16753</v>
      </c>
      <c r="AH233" s="530">
        <v>18457</v>
      </c>
      <c r="AI233" s="530"/>
      <c r="AJ233" s="530">
        <f t="shared" si="52"/>
        <v>1704</v>
      </c>
      <c r="AK233" s="530"/>
      <c r="AL233" s="800" t="s">
        <v>66</v>
      </c>
      <c r="AM233" s="305" t="s">
        <v>1149</v>
      </c>
      <c r="AN233" s="423" t="s">
        <v>1074</v>
      </c>
      <c r="AO233" s="757" t="s">
        <v>1075</v>
      </c>
      <c r="AP233" s="447">
        <v>3</v>
      </c>
      <c r="AQ233" s="780">
        <v>18457</v>
      </c>
      <c r="AR233" s="305" t="s">
        <v>1153</v>
      </c>
      <c r="AS233" s="821" t="str">
        <f>IF(AR233="(Vacant)",AR233,IF(AR233="",AR233,"With Incumbent"))</f>
        <v>With Incumbent</v>
      </c>
      <c r="AT233" s="534"/>
      <c r="AU233" s="822"/>
      <c r="AV233" s="534"/>
      <c r="AW233" s="534"/>
      <c r="AX233" s="837"/>
      <c r="AY233" s="838"/>
    </row>
    <row r="234" spans="1:51" s="531" customFormat="1" ht="22.5" customHeight="1">
      <c r="A234" s="741" t="s">
        <v>1155</v>
      </c>
      <c r="B234" s="742" t="s">
        <v>181</v>
      </c>
      <c r="C234" s="423" t="s">
        <v>1074</v>
      </c>
      <c r="D234" s="757" t="s">
        <v>1075</v>
      </c>
      <c r="E234" s="448">
        <f t="shared" si="48"/>
        <v>214560</v>
      </c>
      <c r="F234" s="448">
        <f t="shared" si="47"/>
        <v>221484</v>
      </c>
      <c r="G234" s="448">
        <v>160164</v>
      </c>
      <c r="H234" s="447">
        <v>3</v>
      </c>
      <c r="I234" s="770" t="s">
        <v>197</v>
      </c>
      <c r="J234" s="447" t="s">
        <v>64</v>
      </c>
      <c r="K234" s="447" t="s">
        <v>158</v>
      </c>
      <c r="L234" s="447" t="s">
        <v>56</v>
      </c>
      <c r="M234" s="616" t="s">
        <v>57</v>
      </c>
      <c r="N234" s="545" t="s">
        <v>1156</v>
      </c>
      <c r="O234" s="447" t="s">
        <v>1157</v>
      </c>
      <c r="P234" s="447" t="str">
        <f t="shared" si="51"/>
        <v>EUCHOLS</v>
      </c>
      <c r="Q234" s="447"/>
      <c r="R234" s="447" t="s">
        <v>64</v>
      </c>
      <c r="S234" s="534" t="str">
        <f t="shared" si="53"/>
        <v xml:space="preserve">EUCHOLS P. MANACNIS </v>
      </c>
      <c r="T234" s="780">
        <v>18457</v>
      </c>
      <c r="U234" s="305" t="s">
        <v>1158</v>
      </c>
      <c r="V234" s="447" t="s">
        <v>62</v>
      </c>
      <c r="W234" s="472">
        <v>28260</v>
      </c>
      <c r="X234" s="498">
        <f t="shared" ca="1" si="54"/>
        <v>17845.538043402776</v>
      </c>
      <c r="Y234" s="447" t="s">
        <v>1159</v>
      </c>
      <c r="Z234" s="447"/>
      <c r="AA234" s="493">
        <v>37595</v>
      </c>
      <c r="AB234" s="493">
        <v>38018</v>
      </c>
      <c r="AC234" s="447" t="s">
        <v>64</v>
      </c>
      <c r="AD234" s="512" t="s">
        <v>102</v>
      </c>
      <c r="AE234" s="512"/>
      <c r="AF234" s="791">
        <v>17880</v>
      </c>
      <c r="AG234" s="530">
        <v>16753</v>
      </c>
      <c r="AH234" s="530">
        <v>18457</v>
      </c>
      <c r="AI234" s="530"/>
      <c r="AJ234" s="530">
        <f t="shared" si="52"/>
        <v>1704</v>
      </c>
      <c r="AK234" s="530"/>
      <c r="AL234" s="800" t="s">
        <v>66</v>
      </c>
      <c r="AM234" s="305" t="s">
        <v>1155</v>
      </c>
      <c r="AN234" s="423" t="s">
        <v>1074</v>
      </c>
      <c r="AO234" s="757" t="s">
        <v>1075</v>
      </c>
      <c r="AP234" s="447">
        <v>3</v>
      </c>
      <c r="AQ234" s="780">
        <v>18457</v>
      </c>
      <c r="AR234" s="305" t="s">
        <v>1158</v>
      </c>
      <c r="AS234" s="821" t="str">
        <f>IF(AR234="(Vacant)",AR234,IF(AR234="",AR234,"With Incumbent"))</f>
        <v>With Incumbent</v>
      </c>
      <c r="AT234" s="534"/>
      <c r="AU234" s="822"/>
      <c r="AV234" s="534"/>
      <c r="AW234" s="534"/>
      <c r="AX234" s="837"/>
      <c r="AY234" s="838"/>
    </row>
    <row r="235" spans="1:51" s="531" customFormat="1" ht="22.5" hidden="1" customHeight="1">
      <c r="A235" s="741" t="s">
        <v>1160</v>
      </c>
      <c r="B235" s="742" t="s">
        <v>211</v>
      </c>
      <c r="C235" s="423" t="s">
        <v>1074</v>
      </c>
      <c r="D235" s="757" t="s">
        <v>1075</v>
      </c>
      <c r="E235" s="448">
        <f t="shared" si="48"/>
        <v>214560</v>
      </c>
      <c r="F235" s="448">
        <f t="shared" si="47"/>
        <v>221484</v>
      </c>
      <c r="G235" s="448">
        <v>160164</v>
      </c>
      <c r="H235" s="447">
        <v>3</v>
      </c>
      <c r="I235" s="770" t="s">
        <v>494</v>
      </c>
      <c r="J235" s="447" t="s">
        <v>64</v>
      </c>
      <c r="K235" s="447" t="s">
        <v>158</v>
      </c>
      <c r="L235" s="447" t="s">
        <v>56</v>
      </c>
      <c r="M235" s="616" t="s">
        <v>57</v>
      </c>
      <c r="N235" s="545" t="s">
        <v>69</v>
      </c>
      <c r="O235" s="447" t="s">
        <v>1161</v>
      </c>
      <c r="P235" s="447" t="str">
        <f t="shared" si="51"/>
        <v>MA. TERESA</v>
      </c>
      <c r="Q235" s="447"/>
      <c r="R235" s="447" t="s">
        <v>81</v>
      </c>
      <c r="S235" s="534" t="str">
        <f t="shared" si="53"/>
        <v xml:space="preserve">MA. TERESA A. MANGANGEY </v>
      </c>
      <c r="T235" s="780">
        <v>18457</v>
      </c>
      <c r="U235" s="305" t="s">
        <v>1162</v>
      </c>
      <c r="V235" s="447" t="s">
        <v>100</v>
      </c>
      <c r="W235" s="472">
        <v>25727</v>
      </c>
      <c r="X235" s="498">
        <f t="shared" ca="1" si="54"/>
        <v>20378.538043287037</v>
      </c>
      <c r="Y235" s="447" t="s">
        <v>1163</v>
      </c>
      <c r="Z235" s="447"/>
      <c r="AA235" s="493">
        <v>36069</v>
      </c>
      <c r="AB235" s="493">
        <v>37561</v>
      </c>
      <c r="AC235" s="447" t="s">
        <v>64</v>
      </c>
      <c r="AD235" s="512" t="s">
        <v>102</v>
      </c>
      <c r="AE235" s="512"/>
      <c r="AF235" s="791">
        <v>17880</v>
      </c>
      <c r="AG235" s="530">
        <v>16753</v>
      </c>
      <c r="AH235" s="530">
        <v>18457</v>
      </c>
      <c r="AI235" s="530"/>
      <c r="AJ235" s="530">
        <f t="shared" si="52"/>
        <v>1704</v>
      </c>
      <c r="AK235" s="530"/>
      <c r="AL235" s="806" t="s">
        <v>126</v>
      </c>
      <c r="AM235" s="745"/>
      <c r="AN235" s="742"/>
      <c r="AO235" s="757"/>
      <c r="AP235" s="447"/>
      <c r="AQ235" s="780"/>
      <c r="AR235" s="305"/>
      <c r="AS235" s="305"/>
      <c r="AT235" s="534" t="s">
        <v>127</v>
      </c>
      <c r="AU235" s="822"/>
      <c r="AV235" s="534"/>
      <c r="AW235" s="534"/>
      <c r="AX235" s="837"/>
      <c r="AY235" s="838" t="s">
        <v>1164</v>
      </c>
    </row>
    <row r="236" spans="1:51" s="531" customFormat="1" ht="22.5" customHeight="1">
      <c r="A236" s="741" t="s">
        <v>1165</v>
      </c>
      <c r="B236" s="742" t="s">
        <v>174</v>
      </c>
      <c r="C236" s="423" t="s">
        <v>1074</v>
      </c>
      <c r="D236" s="757" t="s">
        <v>1075</v>
      </c>
      <c r="E236" s="448">
        <f t="shared" si="48"/>
        <v>214560</v>
      </c>
      <c r="F236" s="448">
        <f t="shared" si="47"/>
        <v>225060</v>
      </c>
      <c r="G236" s="448">
        <v>164160</v>
      </c>
      <c r="H236" s="447">
        <v>4</v>
      </c>
      <c r="I236" s="770" t="s">
        <v>487</v>
      </c>
      <c r="J236" s="447" t="s">
        <v>64</v>
      </c>
      <c r="K236" s="447" t="s">
        <v>158</v>
      </c>
      <c r="L236" s="447" t="s">
        <v>56</v>
      </c>
      <c r="M236" s="616" t="s">
        <v>167</v>
      </c>
      <c r="N236" s="545" t="s">
        <v>1166</v>
      </c>
      <c r="O236" s="447" t="s">
        <v>501</v>
      </c>
      <c r="P236" s="447" t="str">
        <f t="shared" si="51"/>
        <v>FRANCISCO</v>
      </c>
      <c r="Q236" s="447"/>
      <c r="R236" s="447" t="s">
        <v>72</v>
      </c>
      <c r="S236" s="534" t="str">
        <f t="shared" si="53"/>
        <v xml:space="preserve">FRANCISCO L. DE LUNA </v>
      </c>
      <c r="T236" s="780">
        <v>18755</v>
      </c>
      <c r="U236" s="305" t="s">
        <v>1167</v>
      </c>
      <c r="V236" s="447" t="s">
        <v>62</v>
      </c>
      <c r="W236" s="472">
        <v>21613</v>
      </c>
      <c r="X236" s="498">
        <f t="shared" ca="1" si="54"/>
        <v>24492.538043402776</v>
      </c>
      <c r="Y236" s="447" t="s">
        <v>1168</v>
      </c>
      <c r="Z236" s="447"/>
      <c r="AA236" s="493">
        <v>34827</v>
      </c>
      <c r="AB236" s="493">
        <v>36306</v>
      </c>
      <c r="AC236" s="447" t="s">
        <v>64</v>
      </c>
      <c r="AD236" s="512" t="s">
        <v>102</v>
      </c>
      <c r="AE236" s="512"/>
      <c r="AF236" s="791">
        <v>17880</v>
      </c>
      <c r="AG236" s="530">
        <v>17089</v>
      </c>
      <c r="AH236" s="530">
        <v>18755</v>
      </c>
      <c r="AI236" s="530"/>
      <c r="AJ236" s="530">
        <f t="shared" si="52"/>
        <v>1666</v>
      </c>
      <c r="AK236" s="530"/>
      <c r="AL236" s="800" t="s">
        <v>66</v>
      </c>
      <c r="AM236" s="305" t="s">
        <v>1165</v>
      </c>
      <c r="AN236" s="423" t="s">
        <v>1074</v>
      </c>
      <c r="AO236" s="757" t="s">
        <v>1075</v>
      </c>
      <c r="AP236" s="447">
        <v>4</v>
      </c>
      <c r="AQ236" s="780">
        <v>18755</v>
      </c>
      <c r="AR236" s="305" t="s">
        <v>1167</v>
      </c>
      <c r="AS236" s="821" t="str">
        <f>IF(AR236="(Vacant)",AR236,IF(AR236="",AR236,"With Incumbent"))</f>
        <v>With Incumbent</v>
      </c>
      <c r="AT236" s="534"/>
      <c r="AU236" s="822"/>
      <c r="AV236" s="534"/>
      <c r="AW236" s="534"/>
      <c r="AX236" s="837"/>
      <c r="AY236" s="838"/>
    </row>
    <row r="237" spans="1:51" s="531" customFormat="1" ht="22.5" hidden="1" customHeight="1">
      <c r="A237" s="741"/>
      <c r="B237" s="742" t="s">
        <v>51</v>
      </c>
      <c r="C237" s="423"/>
      <c r="D237" s="757"/>
      <c r="E237" s="448">
        <f t="shared" si="48"/>
        <v>152820</v>
      </c>
      <c r="F237" s="448">
        <f t="shared" si="47"/>
        <v>155292</v>
      </c>
      <c r="G237" s="448">
        <v>114960</v>
      </c>
      <c r="H237" s="447">
        <v>2</v>
      </c>
      <c r="I237" s="770" t="s">
        <v>53</v>
      </c>
      <c r="J237" s="447" t="s">
        <v>54</v>
      </c>
      <c r="K237" s="447" t="s">
        <v>81</v>
      </c>
      <c r="L237" s="447" t="s">
        <v>56</v>
      </c>
      <c r="M237" s="447" t="s">
        <v>57</v>
      </c>
      <c r="N237" s="545" t="s">
        <v>379</v>
      </c>
      <c r="O237" s="447" t="s">
        <v>380</v>
      </c>
      <c r="P237" s="447" t="str">
        <f t="shared" si="51"/>
        <v>ZALDY</v>
      </c>
      <c r="Q237" s="447"/>
      <c r="R237" s="447" t="s">
        <v>115</v>
      </c>
      <c r="S237" s="534" t="str">
        <f t="shared" si="53"/>
        <v xml:space="preserve">ZALDY B. PAPAT-IW </v>
      </c>
      <c r="T237" s="780"/>
      <c r="U237" s="305"/>
      <c r="V237" s="424" t="s">
        <v>62</v>
      </c>
      <c r="W237" s="472">
        <v>27757</v>
      </c>
      <c r="X237" s="498">
        <f t="shared" ca="1" si="54"/>
        <v>18348.538043402776</v>
      </c>
      <c r="Y237" s="424" t="s">
        <v>382</v>
      </c>
      <c r="Z237" s="424"/>
      <c r="AA237" s="495">
        <v>37655</v>
      </c>
      <c r="AB237" s="495">
        <v>38607</v>
      </c>
      <c r="AC237" s="424" t="s">
        <v>64</v>
      </c>
      <c r="AD237" s="516" t="s">
        <v>215</v>
      </c>
      <c r="AE237" s="512"/>
      <c r="AF237" s="791">
        <v>12735</v>
      </c>
      <c r="AG237" s="530">
        <v>11871</v>
      </c>
      <c r="AH237" s="530">
        <v>12941</v>
      </c>
      <c r="AI237" s="530"/>
      <c r="AJ237" s="530">
        <f t="shared" si="52"/>
        <v>1070</v>
      </c>
      <c r="AK237" s="530"/>
      <c r="AL237" s="800" t="s">
        <v>1169</v>
      </c>
      <c r="AM237" s="305" t="s">
        <v>377</v>
      </c>
      <c r="AN237" s="423" t="s">
        <v>1170</v>
      </c>
      <c r="AO237" s="757" t="s">
        <v>223</v>
      </c>
      <c r="AP237" s="447">
        <v>2</v>
      </c>
      <c r="AQ237" s="780">
        <v>12941</v>
      </c>
      <c r="AR237" s="305" t="s">
        <v>381</v>
      </c>
      <c r="AS237" s="821" t="str">
        <f>IF(AR237="(Vacant)",AR237,IF(AR237="",AR237,"With Incumbent"))</f>
        <v>With Incumbent</v>
      </c>
      <c r="AT237" s="534"/>
      <c r="AU237" s="822"/>
      <c r="AV237" s="534"/>
      <c r="AW237" s="534"/>
      <c r="AX237" s="837"/>
      <c r="AY237" s="838"/>
    </row>
    <row r="238" spans="1:51" s="531" customFormat="1" ht="22.5" customHeight="1">
      <c r="A238" s="741" t="s">
        <v>1171</v>
      </c>
      <c r="B238" s="742" t="s">
        <v>408</v>
      </c>
      <c r="C238" s="423" t="s">
        <v>358</v>
      </c>
      <c r="D238" s="757" t="s">
        <v>223</v>
      </c>
      <c r="E238" s="448">
        <f t="shared" si="48"/>
        <v>152820</v>
      </c>
      <c r="F238" s="448">
        <f t="shared" si="47"/>
        <v>152820</v>
      </c>
      <c r="G238" s="448" t="s">
        <v>131</v>
      </c>
      <c r="H238" s="447">
        <v>1</v>
      </c>
      <c r="I238" s="770" t="s">
        <v>465</v>
      </c>
      <c r="J238" s="447" t="s">
        <v>64</v>
      </c>
      <c r="K238" s="447" t="s">
        <v>81</v>
      </c>
      <c r="L238" s="447" t="s">
        <v>56</v>
      </c>
      <c r="M238" s="616" t="s">
        <v>189</v>
      </c>
      <c r="N238" s="545" t="s">
        <v>1172</v>
      </c>
      <c r="O238" s="447" t="s">
        <v>1173</v>
      </c>
      <c r="P238" s="447" t="str">
        <f t="shared" si="51"/>
        <v>RAMON</v>
      </c>
      <c r="Q238" s="447"/>
      <c r="R238" s="447" t="s">
        <v>115</v>
      </c>
      <c r="S238" s="534" t="str">
        <f t="shared" si="53"/>
        <v xml:space="preserve">RAMON B. NEDIC </v>
      </c>
      <c r="T238" s="780">
        <v>12735</v>
      </c>
      <c r="U238" s="305" t="s">
        <v>1174</v>
      </c>
      <c r="V238" s="424" t="s">
        <v>62</v>
      </c>
      <c r="W238" s="472">
        <v>26907</v>
      </c>
      <c r="X238" s="498">
        <f t="shared" ca="1" si="54"/>
        <v>19198.538043287037</v>
      </c>
      <c r="Y238" s="424">
        <v>190301517</v>
      </c>
      <c r="Z238" s="424"/>
      <c r="AA238" s="495">
        <v>40273</v>
      </c>
      <c r="AB238" s="495">
        <v>40273</v>
      </c>
      <c r="AC238" s="424" t="s">
        <v>64</v>
      </c>
      <c r="AD238" s="516" t="s">
        <v>102</v>
      </c>
      <c r="AE238" s="512"/>
      <c r="AF238" s="791">
        <v>12735</v>
      </c>
      <c r="AG238" s="530">
        <v>11636</v>
      </c>
      <c r="AH238" s="530">
        <v>12735</v>
      </c>
      <c r="AI238" s="530"/>
      <c r="AJ238" s="530">
        <f t="shared" si="52"/>
        <v>1099</v>
      </c>
      <c r="AK238" s="530"/>
      <c r="AL238" s="800" t="s">
        <v>66</v>
      </c>
      <c r="AM238" s="305" t="s">
        <v>1171</v>
      </c>
      <c r="AN238" s="423" t="s">
        <v>358</v>
      </c>
      <c r="AO238" s="757" t="s">
        <v>223</v>
      </c>
      <c r="AP238" s="447">
        <v>1</v>
      </c>
      <c r="AQ238" s="780">
        <v>12735</v>
      </c>
      <c r="AR238" s="305" t="s">
        <v>1174</v>
      </c>
      <c r="AS238" s="821" t="str">
        <f>IF(AR238="(Vacant)",AR238,IF(AR238="",AR238,"With Incumbent"))</f>
        <v>With Incumbent</v>
      </c>
      <c r="AT238" s="534"/>
      <c r="AU238" s="822"/>
      <c r="AV238" s="534"/>
      <c r="AW238" s="534"/>
      <c r="AX238" s="837"/>
      <c r="AY238" s="838"/>
    </row>
    <row r="239" spans="1:51" s="531" customFormat="1" ht="22.5" customHeight="1">
      <c r="A239" s="741" t="s">
        <v>1175</v>
      </c>
      <c r="B239" s="742" t="s">
        <v>167</v>
      </c>
      <c r="C239" s="423" t="s">
        <v>358</v>
      </c>
      <c r="D239" s="757" t="s">
        <v>223</v>
      </c>
      <c r="E239" s="448">
        <f t="shared" si="48"/>
        <v>152820</v>
      </c>
      <c r="F239" s="448">
        <f t="shared" si="47"/>
        <v>157812</v>
      </c>
      <c r="G239" s="448">
        <v>117828</v>
      </c>
      <c r="H239" s="447">
        <v>3</v>
      </c>
      <c r="I239" s="770" t="s">
        <v>197</v>
      </c>
      <c r="J239" s="447" t="s">
        <v>64</v>
      </c>
      <c r="K239" s="447" t="s">
        <v>81</v>
      </c>
      <c r="L239" s="447" t="s">
        <v>56</v>
      </c>
      <c r="M239" s="616" t="s">
        <v>57</v>
      </c>
      <c r="N239" s="545" t="s">
        <v>1176</v>
      </c>
      <c r="O239" s="447" t="s">
        <v>1177</v>
      </c>
      <c r="P239" s="447" t="str">
        <f t="shared" si="51"/>
        <v>RONALD</v>
      </c>
      <c r="Q239" s="447"/>
      <c r="R239" s="447" t="s">
        <v>158</v>
      </c>
      <c r="S239" s="534" t="str">
        <f t="shared" si="53"/>
        <v xml:space="preserve">RONALD T. GAL </v>
      </c>
      <c r="T239" s="780">
        <v>13151</v>
      </c>
      <c r="U239" s="305" t="s">
        <v>1178</v>
      </c>
      <c r="V239" s="447" t="s">
        <v>62</v>
      </c>
      <c r="W239" s="472">
        <v>27842</v>
      </c>
      <c r="X239" s="498">
        <f t="shared" ca="1" si="54"/>
        <v>18263.538043402776</v>
      </c>
      <c r="Y239" s="447" t="s">
        <v>1179</v>
      </c>
      <c r="Z239" s="447"/>
      <c r="AA239" s="493">
        <v>36145</v>
      </c>
      <c r="AB239" s="493">
        <v>37809</v>
      </c>
      <c r="AC239" s="447" t="s">
        <v>64</v>
      </c>
      <c r="AD239" s="512" t="s">
        <v>215</v>
      </c>
      <c r="AE239" s="512"/>
      <c r="AF239" s="791">
        <v>12735</v>
      </c>
      <c r="AG239" s="530">
        <v>12110</v>
      </c>
      <c r="AH239" s="872">
        <v>13151</v>
      </c>
      <c r="AI239" s="530"/>
      <c r="AJ239" s="530">
        <f t="shared" si="52"/>
        <v>1041</v>
      </c>
      <c r="AK239" s="530"/>
      <c r="AL239" s="800" t="s">
        <v>66</v>
      </c>
      <c r="AM239" s="305" t="s">
        <v>1175</v>
      </c>
      <c r="AN239" s="423" t="s">
        <v>358</v>
      </c>
      <c r="AO239" s="757" t="s">
        <v>223</v>
      </c>
      <c r="AP239" s="447">
        <v>3</v>
      </c>
      <c r="AQ239" s="780">
        <v>13151</v>
      </c>
      <c r="AR239" s="305" t="s">
        <v>1178</v>
      </c>
      <c r="AS239" s="821" t="str">
        <f>IF(AR239="(Vacant)",AR239,IF(AR239="",AR239,"With Incumbent"))</f>
        <v>With Incumbent</v>
      </c>
      <c r="AT239" s="534"/>
      <c r="AU239" s="822"/>
      <c r="AV239" s="534"/>
      <c r="AW239" s="534"/>
      <c r="AX239" s="837"/>
      <c r="AY239" s="838"/>
    </row>
    <row r="240" spans="1:51" s="531" customFormat="1" ht="22.5" customHeight="1">
      <c r="A240" s="741" t="s">
        <v>1180</v>
      </c>
      <c r="B240" s="742" t="s">
        <v>268</v>
      </c>
      <c r="C240" s="423" t="s">
        <v>358</v>
      </c>
      <c r="D240" s="757" t="s">
        <v>223</v>
      </c>
      <c r="E240" s="448">
        <f t="shared" si="48"/>
        <v>152820</v>
      </c>
      <c r="F240" s="448">
        <f t="shared" si="47"/>
        <v>163008</v>
      </c>
      <c r="G240" s="448">
        <v>126876</v>
      </c>
      <c r="H240" s="447">
        <v>5</v>
      </c>
      <c r="I240" s="770" t="s">
        <v>352</v>
      </c>
      <c r="J240" s="447" t="s">
        <v>64</v>
      </c>
      <c r="K240" s="447" t="s">
        <v>81</v>
      </c>
      <c r="L240" s="447" t="s">
        <v>56</v>
      </c>
      <c r="M240" s="447" t="s">
        <v>268</v>
      </c>
      <c r="N240" s="545" t="s">
        <v>1181</v>
      </c>
      <c r="O240" s="447" t="s">
        <v>1182</v>
      </c>
      <c r="P240" s="447" t="str">
        <f t="shared" si="51"/>
        <v>FIDELA</v>
      </c>
      <c r="Q240" s="447"/>
      <c r="R240" s="447" t="s">
        <v>158</v>
      </c>
      <c r="S240" s="534" t="str">
        <f t="shared" si="53"/>
        <v xml:space="preserve">FIDELA T. FAGUINGAS </v>
      </c>
      <c r="T240" s="780">
        <v>13584</v>
      </c>
      <c r="U240" s="305" t="s">
        <v>1183</v>
      </c>
      <c r="V240" s="447" t="s">
        <v>100</v>
      </c>
      <c r="W240" s="472">
        <v>18377</v>
      </c>
      <c r="X240" s="498">
        <f t="shared" ca="1" si="54"/>
        <v>27728.538043287037</v>
      </c>
      <c r="Y240" s="447" t="s">
        <v>1184</v>
      </c>
      <c r="Z240" s="447"/>
      <c r="AA240" s="493">
        <v>28734</v>
      </c>
      <c r="AB240" s="493">
        <v>34915</v>
      </c>
      <c r="AC240" s="447" t="s">
        <v>64</v>
      </c>
      <c r="AD240" s="512" t="s">
        <v>102</v>
      </c>
      <c r="AE240" s="512"/>
      <c r="AF240" s="791">
        <v>12735</v>
      </c>
      <c r="AG240" s="530">
        <v>12607</v>
      </c>
      <c r="AH240" s="530">
        <v>13584</v>
      </c>
      <c r="AI240" s="530"/>
      <c r="AJ240" s="530">
        <f t="shared" si="52"/>
        <v>977</v>
      </c>
      <c r="AK240" s="530"/>
      <c r="AL240" s="800" t="s">
        <v>66</v>
      </c>
      <c r="AM240" s="305" t="s">
        <v>1180</v>
      </c>
      <c r="AN240" s="423" t="s">
        <v>358</v>
      </c>
      <c r="AO240" s="757" t="s">
        <v>223</v>
      </c>
      <c r="AP240" s="447">
        <v>5</v>
      </c>
      <c r="AQ240" s="780">
        <v>13584</v>
      </c>
      <c r="AR240" s="305" t="s">
        <v>1183</v>
      </c>
      <c r="AS240" s="821" t="str">
        <f>IF(AR240="(Vacant)",AR240,IF(AR240="",AR240,"With Incumbent"))</f>
        <v>With Incumbent</v>
      </c>
      <c r="AT240" s="534"/>
      <c r="AU240" s="822"/>
      <c r="AV240" s="534"/>
      <c r="AW240" s="534"/>
      <c r="AX240" s="837"/>
      <c r="AY240" s="838"/>
    </row>
    <row r="241" spans="1:51" s="531" customFormat="1" ht="22.5" hidden="1" customHeight="1">
      <c r="A241" s="741" t="s">
        <v>1185</v>
      </c>
      <c r="B241" s="742" t="s">
        <v>174</v>
      </c>
      <c r="C241" s="423" t="s">
        <v>358</v>
      </c>
      <c r="D241" s="757" t="s">
        <v>223</v>
      </c>
      <c r="E241" s="448">
        <f t="shared" si="48"/>
        <v>152820</v>
      </c>
      <c r="F241" s="448">
        <f t="shared" si="47"/>
        <v>168420</v>
      </c>
      <c r="G241" s="448">
        <v>130044</v>
      </c>
      <c r="H241" s="447">
        <v>7</v>
      </c>
      <c r="I241" s="770" t="s">
        <v>487</v>
      </c>
      <c r="J241" s="447" t="s">
        <v>64</v>
      </c>
      <c r="K241" s="447" t="s">
        <v>81</v>
      </c>
      <c r="L241" s="447" t="s">
        <v>56</v>
      </c>
      <c r="M241" s="447" t="s">
        <v>174</v>
      </c>
      <c r="N241" s="545" t="s">
        <v>1186</v>
      </c>
      <c r="O241" s="447" t="s">
        <v>1187</v>
      </c>
      <c r="P241" s="447" t="str">
        <f t="shared" si="51"/>
        <v>DENNIS</v>
      </c>
      <c r="Q241" s="447"/>
      <c r="R241" s="447" t="s">
        <v>115</v>
      </c>
      <c r="S241" s="534" t="str">
        <f t="shared" si="53"/>
        <v xml:space="preserve">DENNIS B. ALCAYNA </v>
      </c>
      <c r="T241" s="780">
        <v>14035</v>
      </c>
      <c r="U241" s="305" t="s">
        <v>1188</v>
      </c>
      <c r="V241" s="424" t="s">
        <v>62</v>
      </c>
      <c r="W241" s="472">
        <v>22725</v>
      </c>
      <c r="X241" s="498">
        <f t="shared" ca="1" si="54"/>
        <v>23380.538043402776</v>
      </c>
      <c r="Y241" s="424" t="s">
        <v>1189</v>
      </c>
      <c r="Z241" s="871">
        <v>32580</v>
      </c>
      <c r="AA241" s="495">
        <v>31049</v>
      </c>
      <c r="AB241" s="495">
        <v>33025</v>
      </c>
      <c r="AC241" s="424" t="s">
        <v>64</v>
      </c>
      <c r="AD241" s="516" t="s">
        <v>215</v>
      </c>
      <c r="AE241" s="512"/>
      <c r="AF241" s="791">
        <v>12735</v>
      </c>
      <c r="AG241" s="530">
        <v>13128</v>
      </c>
      <c r="AH241" s="530">
        <v>14035</v>
      </c>
      <c r="AI241" s="530"/>
      <c r="AJ241" s="530">
        <f t="shared" si="52"/>
        <v>907</v>
      </c>
      <c r="AK241" s="530"/>
      <c r="AL241" s="806" t="s">
        <v>126</v>
      </c>
      <c r="AM241" s="745"/>
      <c r="AN241" s="742"/>
      <c r="AO241" s="757"/>
      <c r="AP241" s="447"/>
      <c r="AQ241" s="780"/>
      <c r="AR241" s="305"/>
      <c r="AS241" s="305"/>
      <c r="AT241" s="534" t="s">
        <v>127</v>
      </c>
      <c r="AU241" s="822"/>
      <c r="AV241" s="534"/>
      <c r="AW241" s="534"/>
      <c r="AX241" s="837"/>
      <c r="AY241" s="838" t="s">
        <v>1190</v>
      </c>
    </row>
    <row r="242" spans="1:51" s="531" customFormat="1" ht="22.5" customHeight="1">
      <c r="A242" s="741" t="s">
        <v>1191</v>
      </c>
      <c r="B242" s="742" t="s">
        <v>211</v>
      </c>
      <c r="C242" s="423" t="s">
        <v>358</v>
      </c>
      <c r="D242" s="757" t="s">
        <v>223</v>
      </c>
      <c r="E242" s="448">
        <f t="shared" si="48"/>
        <v>152820</v>
      </c>
      <c r="F242" s="448">
        <f t="shared" si="47"/>
        <v>152820</v>
      </c>
      <c r="G242" s="448" t="s">
        <v>131</v>
      </c>
      <c r="H242" s="447">
        <v>1</v>
      </c>
      <c r="I242" s="770" t="s">
        <v>53</v>
      </c>
      <c r="J242" s="447" t="s">
        <v>54</v>
      </c>
      <c r="K242" s="447" t="s">
        <v>81</v>
      </c>
      <c r="L242" s="447" t="s">
        <v>56</v>
      </c>
      <c r="M242" s="447"/>
      <c r="N242" s="545"/>
      <c r="O242" s="447"/>
      <c r="P242" s="447" t="str">
        <f t="shared" si="51"/>
        <v/>
      </c>
      <c r="Q242" s="447"/>
      <c r="R242" s="447"/>
      <c r="S242" s="534" t="str">
        <f t="shared" si="53"/>
        <v xml:space="preserve"> .  </v>
      </c>
      <c r="T242" s="780">
        <v>12735</v>
      </c>
      <c r="U242" s="781" t="s">
        <v>88</v>
      </c>
      <c r="V242" s="447"/>
      <c r="W242" s="472"/>
      <c r="X242" s="447"/>
      <c r="Y242" s="447"/>
      <c r="Z242" s="447"/>
      <c r="AA242" s="493"/>
      <c r="AB242" s="493"/>
      <c r="AC242" s="447"/>
      <c r="AD242" s="512"/>
      <c r="AE242" s="512"/>
      <c r="AF242" s="791">
        <v>12735</v>
      </c>
      <c r="AG242" s="530">
        <v>11636</v>
      </c>
      <c r="AH242" s="530">
        <v>12735</v>
      </c>
      <c r="AI242" s="530"/>
      <c r="AJ242" s="530">
        <f t="shared" si="52"/>
        <v>1099</v>
      </c>
      <c r="AK242" s="530"/>
      <c r="AL242" s="800" t="s">
        <v>66</v>
      </c>
      <c r="AM242" s="305" t="s">
        <v>1191</v>
      </c>
      <c r="AN242" s="423" t="s">
        <v>358</v>
      </c>
      <c r="AO242" s="757" t="s">
        <v>223</v>
      </c>
      <c r="AP242" s="447">
        <v>7</v>
      </c>
      <c r="AQ242" s="780">
        <v>14035</v>
      </c>
      <c r="AR242" s="781" t="s">
        <v>88</v>
      </c>
      <c r="AS242" s="823" t="str">
        <f>IF(AR242="(Vacant)",AR242,IF(AR242="",AR242,"With Incumbent"))</f>
        <v>(Vacant)</v>
      </c>
      <c r="AT242" s="534" t="s">
        <v>1192</v>
      </c>
      <c r="AU242" s="822" t="s">
        <v>414</v>
      </c>
      <c r="AV242" s="534" t="s">
        <v>333</v>
      </c>
      <c r="AW242" s="534" t="s">
        <v>334</v>
      </c>
      <c r="AX242" s="837" t="s">
        <v>415</v>
      </c>
      <c r="AY242" s="838" t="s">
        <v>1193</v>
      </c>
    </row>
    <row r="243" spans="1:51" s="531" customFormat="1" ht="22.5" customHeight="1">
      <c r="A243" s="741" t="s">
        <v>1194</v>
      </c>
      <c r="B243" s="742" t="s">
        <v>189</v>
      </c>
      <c r="C243" s="423" t="s">
        <v>358</v>
      </c>
      <c r="D243" s="757" t="s">
        <v>223</v>
      </c>
      <c r="E243" s="448">
        <f t="shared" si="48"/>
        <v>152820</v>
      </c>
      <c r="F243" s="448">
        <f t="shared" si="47"/>
        <v>160392</v>
      </c>
      <c r="G243" s="448">
        <v>123792</v>
      </c>
      <c r="H243" s="447">
        <v>4</v>
      </c>
      <c r="I243" s="770" t="s">
        <v>197</v>
      </c>
      <c r="J243" s="447" t="s">
        <v>64</v>
      </c>
      <c r="K243" s="447" t="s">
        <v>81</v>
      </c>
      <c r="L243" s="447" t="s">
        <v>56</v>
      </c>
      <c r="M243" s="616" t="s">
        <v>268</v>
      </c>
      <c r="N243" s="545" t="s">
        <v>1195</v>
      </c>
      <c r="O243" s="447" t="s">
        <v>1196</v>
      </c>
      <c r="P243" s="447" t="str">
        <f t="shared" si="51"/>
        <v>MARILYN</v>
      </c>
      <c r="Q243" s="447"/>
      <c r="R243" s="447" t="s">
        <v>55</v>
      </c>
      <c r="S243" s="534" t="str">
        <f t="shared" si="53"/>
        <v xml:space="preserve">MARILYN K. TAMI-ING </v>
      </c>
      <c r="T243" s="780">
        <v>13366</v>
      </c>
      <c r="U243" s="305" t="s">
        <v>1197</v>
      </c>
      <c r="V243" s="447" t="s">
        <v>100</v>
      </c>
      <c r="W243" s="472">
        <v>23642</v>
      </c>
      <c r="X243" s="498">
        <f t="shared" ref="X243:X256" ca="1" si="55">(NOW()-W243)</f>
        <v>22463.538043287037</v>
      </c>
      <c r="Y243" s="447" t="s">
        <v>1198</v>
      </c>
      <c r="Z243" s="447"/>
      <c r="AA243" s="493">
        <v>35066</v>
      </c>
      <c r="AB243" s="493">
        <v>36084</v>
      </c>
      <c r="AC243" s="447" t="s">
        <v>64</v>
      </c>
      <c r="AD243" s="512" t="s">
        <v>215</v>
      </c>
      <c r="AE243" s="512"/>
      <c r="AF243" s="791">
        <v>12735</v>
      </c>
      <c r="AG243" s="530">
        <v>12357</v>
      </c>
      <c r="AH243" s="530">
        <v>13366</v>
      </c>
      <c r="AI243" s="530"/>
      <c r="AJ243" s="530">
        <f t="shared" si="52"/>
        <v>1009</v>
      </c>
      <c r="AK243" s="530"/>
      <c r="AL243" s="800" t="s">
        <v>66</v>
      </c>
      <c r="AM243" s="305" t="s">
        <v>1194</v>
      </c>
      <c r="AN243" s="423" t="s">
        <v>358</v>
      </c>
      <c r="AO243" s="757" t="s">
        <v>223</v>
      </c>
      <c r="AP243" s="447">
        <v>4</v>
      </c>
      <c r="AQ243" s="780">
        <v>13366</v>
      </c>
      <c r="AR243" s="305" t="s">
        <v>1197</v>
      </c>
      <c r="AS243" s="821" t="str">
        <f>IF(AR243="(Vacant)",AR243,IF(AR243="",AR243,"With Incumbent"))</f>
        <v>With Incumbent</v>
      </c>
      <c r="AT243" s="534"/>
      <c r="AU243" s="822"/>
      <c r="AV243" s="534"/>
      <c r="AW243" s="534"/>
      <c r="AX243" s="837"/>
      <c r="AY243" s="838"/>
    </row>
    <row r="244" spans="1:51" s="531" customFormat="1" ht="22.5" hidden="1" customHeight="1">
      <c r="A244" s="741" t="s">
        <v>1199</v>
      </c>
      <c r="B244" s="742" t="s">
        <v>181</v>
      </c>
      <c r="C244" s="423" t="s">
        <v>358</v>
      </c>
      <c r="D244" s="757" t="s">
        <v>223</v>
      </c>
      <c r="E244" s="448">
        <f t="shared" si="48"/>
        <v>152820</v>
      </c>
      <c r="F244" s="448">
        <f t="shared" si="47"/>
        <v>152820</v>
      </c>
      <c r="G244" s="448">
        <v>114960</v>
      </c>
      <c r="H244" s="447">
        <v>1</v>
      </c>
      <c r="I244" s="770" t="s">
        <v>223</v>
      </c>
      <c r="J244" s="447" t="s">
        <v>64</v>
      </c>
      <c r="K244" s="447" t="s">
        <v>81</v>
      </c>
      <c r="L244" s="447" t="s">
        <v>56</v>
      </c>
      <c r="M244" s="447" t="s">
        <v>181</v>
      </c>
      <c r="N244" s="545" t="s">
        <v>1200</v>
      </c>
      <c r="O244" s="447" t="s">
        <v>1126</v>
      </c>
      <c r="P244" s="447" t="str">
        <f t="shared" si="51"/>
        <v>MARY BETH</v>
      </c>
      <c r="Q244" s="447"/>
      <c r="R244" s="447" t="s">
        <v>60</v>
      </c>
      <c r="S244" s="534"/>
      <c r="T244" s="780">
        <v>12735</v>
      </c>
      <c r="U244" s="781" t="s">
        <v>88</v>
      </c>
      <c r="V244" s="447"/>
      <c r="W244" s="472"/>
      <c r="X244" s="498"/>
      <c r="Y244" s="447"/>
      <c r="Z244" s="447"/>
      <c r="AA244" s="493"/>
      <c r="AB244" s="493"/>
      <c r="AC244" s="447"/>
      <c r="AD244" s="512"/>
      <c r="AE244" s="512"/>
      <c r="AF244" s="791">
        <v>12735</v>
      </c>
      <c r="AG244" s="530">
        <v>11636</v>
      </c>
      <c r="AH244" s="530">
        <v>12735</v>
      </c>
      <c r="AI244" s="530"/>
      <c r="AJ244" s="530">
        <f t="shared" si="52"/>
        <v>1099</v>
      </c>
      <c r="AK244" s="530"/>
      <c r="AL244" s="806" t="s">
        <v>126</v>
      </c>
      <c r="AM244" s="745"/>
      <c r="AN244" s="742"/>
      <c r="AO244" s="757"/>
      <c r="AP244" s="447"/>
      <c r="AQ244" s="780"/>
      <c r="AR244" s="781"/>
      <c r="AS244" s="781"/>
      <c r="AT244" s="534"/>
      <c r="AU244" s="822"/>
      <c r="AV244" s="534"/>
      <c r="AW244" s="534"/>
      <c r="AX244" s="837"/>
      <c r="AY244" s="838"/>
    </row>
    <row r="245" spans="1:51" s="531" customFormat="1" ht="22.5" customHeight="1">
      <c r="A245" s="741" t="s">
        <v>1201</v>
      </c>
      <c r="B245" s="742" t="s">
        <v>408</v>
      </c>
      <c r="C245" s="423" t="s">
        <v>372</v>
      </c>
      <c r="D245" s="757" t="s">
        <v>223</v>
      </c>
      <c r="E245" s="448">
        <f t="shared" si="48"/>
        <v>152820</v>
      </c>
      <c r="F245" s="448">
        <f t="shared" si="47"/>
        <v>168420</v>
      </c>
      <c r="G245" s="448">
        <v>130044</v>
      </c>
      <c r="H245" s="447">
        <v>7</v>
      </c>
      <c r="I245" s="770" t="s">
        <v>465</v>
      </c>
      <c r="J245" s="447" t="s">
        <v>64</v>
      </c>
      <c r="K245" s="447" t="s">
        <v>81</v>
      </c>
      <c r="L245" s="447" t="s">
        <v>56</v>
      </c>
      <c r="M245" s="447" t="s">
        <v>408</v>
      </c>
      <c r="N245" s="545" t="s">
        <v>1202</v>
      </c>
      <c r="O245" s="447" t="s">
        <v>1203</v>
      </c>
      <c r="P245" s="447" t="str">
        <f t="shared" si="51"/>
        <v>RUBY</v>
      </c>
      <c r="Q245" s="447"/>
      <c r="R245" s="447" t="s">
        <v>1204</v>
      </c>
      <c r="S245" s="534" t="str">
        <f t="shared" si="53"/>
        <v xml:space="preserve">RUBY Q. PACAMO </v>
      </c>
      <c r="T245" s="780">
        <v>14035</v>
      </c>
      <c r="U245" s="305" t="s">
        <v>1205</v>
      </c>
      <c r="V245" s="447" t="s">
        <v>100</v>
      </c>
      <c r="W245" s="472">
        <v>23478</v>
      </c>
      <c r="X245" s="498">
        <f t="shared" ca="1" si="55"/>
        <v>22627.538043402776</v>
      </c>
      <c r="Y245" s="447" t="s">
        <v>1206</v>
      </c>
      <c r="Z245" s="447"/>
      <c r="AA245" s="493">
        <v>33484</v>
      </c>
      <c r="AB245" s="493">
        <v>33484</v>
      </c>
      <c r="AC245" s="447" t="s">
        <v>64</v>
      </c>
      <c r="AD245" s="512" t="s">
        <v>215</v>
      </c>
      <c r="AE245" s="512" t="s">
        <v>1207</v>
      </c>
      <c r="AF245" s="791">
        <v>12735</v>
      </c>
      <c r="AG245" s="530">
        <v>13128</v>
      </c>
      <c r="AH245" s="530">
        <v>14035</v>
      </c>
      <c r="AI245" s="530"/>
      <c r="AJ245" s="530">
        <f t="shared" si="52"/>
        <v>907</v>
      </c>
      <c r="AK245" s="530"/>
      <c r="AL245" s="800" t="s">
        <v>66</v>
      </c>
      <c r="AM245" s="305" t="s">
        <v>1201</v>
      </c>
      <c r="AN245" s="423" t="s">
        <v>372</v>
      </c>
      <c r="AO245" s="757" t="s">
        <v>223</v>
      </c>
      <c r="AP245" s="447">
        <v>7</v>
      </c>
      <c r="AQ245" s="780">
        <v>14035</v>
      </c>
      <c r="AR245" s="305" t="s">
        <v>1205</v>
      </c>
      <c r="AS245" s="821" t="str">
        <f t="shared" ref="AS245:AS250" si="56">IF(AR245="(Vacant)",AR245,IF(AR245="",AR245,"With Incumbent"))</f>
        <v>With Incumbent</v>
      </c>
      <c r="AT245" s="534"/>
      <c r="AU245" s="822"/>
      <c r="AV245" s="534"/>
      <c r="AW245" s="534"/>
      <c r="AX245" s="837"/>
      <c r="AY245" s="838"/>
    </row>
    <row r="246" spans="1:51" s="531" customFormat="1" ht="22.5" customHeight="1">
      <c r="A246" s="741" t="s">
        <v>1208</v>
      </c>
      <c r="B246" s="742" t="s">
        <v>167</v>
      </c>
      <c r="C246" s="423" t="s">
        <v>372</v>
      </c>
      <c r="D246" s="757" t="s">
        <v>223</v>
      </c>
      <c r="E246" s="448">
        <f t="shared" si="48"/>
        <v>152820</v>
      </c>
      <c r="F246" s="448">
        <f t="shared" si="47"/>
        <v>163008</v>
      </c>
      <c r="G246" s="448">
        <v>123792</v>
      </c>
      <c r="H246" s="447">
        <v>5</v>
      </c>
      <c r="I246" s="770" t="s">
        <v>197</v>
      </c>
      <c r="J246" s="447" t="s">
        <v>64</v>
      </c>
      <c r="K246" s="447" t="s">
        <v>81</v>
      </c>
      <c r="L246" s="447" t="s">
        <v>56</v>
      </c>
      <c r="M246" s="447" t="s">
        <v>167</v>
      </c>
      <c r="N246" s="545" t="s">
        <v>1209</v>
      </c>
      <c r="O246" s="447" t="s">
        <v>1210</v>
      </c>
      <c r="P246" s="447" t="str">
        <f t="shared" si="51"/>
        <v>DOMINGA</v>
      </c>
      <c r="Q246" s="447"/>
      <c r="R246" s="447" t="s">
        <v>81</v>
      </c>
      <c r="S246" s="534" t="str">
        <f t="shared" si="53"/>
        <v xml:space="preserve">DOMINGA A. VICENTE </v>
      </c>
      <c r="T246" s="780">
        <v>13584</v>
      </c>
      <c r="U246" s="305" t="s">
        <v>1211</v>
      </c>
      <c r="V246" s="447" t="s">
        <v>100</v>
      </c>
      <c r="W246" s="472">
        <v>25047</v>
      </c>
      <c r="X246" s="498">
        <f t="shared" ca="1" si="55"/>
        <v>21058.538043287037</v>
      </c>
      <c r="Y246" s="447" t="s">
        <v>1212</v>
      </c>
      <c r="Z246" s="447"/>
      <c r="AA246" s="493">
        <v>33040</v>
      </c>
      <c r="AB246" s="493">
        <v>35096</v>
      </c>
      <c r="AC246" s="447" t="s">
        <v>64</v>
      </c>
      <c r="AD246" s="512" t="s">
        <v>102</v>
      </c>
      <c r="AE246" s="512"/>
      <c r="AF246" s="791">
        <v>12735</v>
      </c>
      <c r="AG246" s="530">
        <v>12607</v>
      </c>
      <c r="AH246" s="530">
        <v>13584</v>
      </c>
      <c r="AI246" s="530"/>
      <c r="AJ246" s="530">
        <f t="shared" si="52"/>
        <v>977</v>
      </c>
      <c r="AK246" s="530"/>
      <c r="AL246" s="800" t="s">
        <v>66</v>
      </c>
      <c r="AM246" s="305" t="s">
        <v>1208</v>
      </c>
      <c r="AN246" s="423" t="s">
        <v>372</v>
      </c>
      <c r="AO246" s="757" t="s">
        <v>223</v>
      </c>
      <c r="AP246" s="447">
        <v>5</v>
      </c>
      <c r="AQ246" s="780">
        <v>13584</v>
      </c>
      <c r="AR246" s="305" t="s">
        <v>1211</v>
      </c>
      <c r="AS246" s="821" t="str">
        <f t="shared" si="56"/>
        <v>With Incumbent</v>
      </c>
      <c r="AT246" s="534"/>
      <c r="AU246" s="822"/>
      <c r="AV246" s="534"/>
      <c r="AW246" s="534"/>
      <c r="AX246" s="837"/>
      <c r="AY246" s="838"/>
    </row>
    <row r="247" spans="1:51" s="531" customFormat="1" ht="22.5" customHeight="1">
      <c r="A247" s="741" t="s">
        <v>1213</v>
      </c>
      <c r="B247" s="742" t="s">
        <v>268</v>
      </c>
      <c r="C247" s="423" t="s">
        <v>372</v>
      </c>
      <c r="D247" s="757" t="s">
        <v>223</v>
      </c>
      <c r="E247" s="448">
        <f t="shared" si="48"/>
        <v>152820</v>
      </c>
      <c r="F247" s="448">
        <f t="shared" si="47"/>
        <v>165684</v>
      </c>
      <c r="G247" s="448">
        <v>126876</v>
      </c>
      <c r="H247" s="447">
        <v>6</v>
      </c>
      <c r="I247" s="770" t="s">
        <v>352</v>
      </c>
      <c r="J247" s="447" t="s">
        <v>64</v>
      </c>
      <c r="K247" s="447" t="s">
        <v>81</v>
      </c>
      <c r="L247" s="447" t="s">
        <v>56</v>
      </c>
      <c r="M247" s="447" t="s">
        <v>268</v>
      </c>
      <c r="N247" s="545" t="s">
        <v>1214</v>
      </c>
      <c r="O247" s="447" t="s">
        <v>1215</v>
      </c>
      <c r="P247" s="447" t="str">
        <f t="shared" si="51"/>
        <v>ELISA</v>
      </c>
      <c r="Q247" s="447"/>
      <c r="R247" s="447" t="s">
        <v>77</v>
      </c>
      <c r="S247" s="534" t="str">
        <f t="shared" si="53"/>
        <v xml:space="preserve">ELISA S. DUMALSIN </v>
      </c>
      <c r="T247" s="780">
        <v>13807</v>
      </c>
      <c r="U247" s="305" t="s">
        <v>1216</v>
      </c>
      <c r="V247" s="447" t="s">
        <v>100</v>
      </c>
      <c r="W247" s="472">
        <v>23774</v>
      </c>
      <c r="X247" s="498">
        <f t="shared" ca="1" si="55"/>
        <v>22331.538043402776</v>
      </c>
      <c r="Y247" s="447" t="s">
        <v>1217</v>
      </c>
      <c r="Z247" s="472">
        <v>34344</v>
      </c>
      <c r="AA247" s="493">
        <v>32509</v>
      </c>
      <c r="AB247" s="493">
        <v>34344</v>
      </c>
      <c r="AC247" s="447" t="s">
        <v>64</v>
      </c>
      <c r="AD247" s="512" t="s">
        <v>102</v>
      </c>
      <c r="AE247" s="512"/>
      <c r="AF247" s="791">
        <v>12735</v>
      </c>
      <c r="AG247" s="530">
        <v>12864</v>
      </c>
      <c r="AH247" s="530">
        <v>13807</v>
      </c>
      <c r="AI247" s="530"/>
      <c r="AJ247" s="530">
        <f t="shared" si="52"/>
        <v>943</v>
      </c>
      <c r="AK247" s="530"/>
      <c r="AL247" s="800" t="s">
        <v>66</v>
      </c>
      <c r="AM247" s="305" t="s">
        <v>1213</v>
      </c>
      <c r="AN247" s="423" t="s">
        <v>372</v>
      </c>
      <c r="AO247" s="757" t="s">
        <v>223</v>
      </c>
      <c r="AP247" s="447">
        <v>6</v>
      </c>
      <c r="AQ247" s="780">
        <v>13807</v>
      </c>
      <c r="AR247" s="305" t="s">
        <v>1216</v>
      </c>
      <c r="AS247" s="821" t="str">
        <f t="shared" si="56"/>
        <v>With Incumbent</v>
      </c>
      <c r="AT247" s="534"/>
      <c r="AU247" s="822"/>
      <c r="AV247" s="534"/>
      <c r="AW247" s="534"/>
      <c r="AX247" s="837"/>
      <c r="AY247" s="838"/>
    </row>
    <row r="248" spans="1:51" s="531" customFormat="1" ht="22.5" customHeight="1">
      <c r="A248" s="741" t="s">
        <v>1218</v>
      </c>
      <c r="B248" s="742" t="s">
        <v>174</v>
      </c>
      <c r="C248" s="423" t="s">
        <v>372</v>
      </c>
      <c r="D248" s="757" t="s">
        <v>223</v>
      </c>
      <c r="E248" s="448">
        <f t="shared" si="48"/>
        <v>152820</v>
      </c>
      <c r="F248" s="448">
        <f t="shared" si="47"/>
        <v>163008</v>
      </c>
      <c r="G248" s="448">
        <v>123792</v>
      </c>
      <c r="H248" s="447">
        <v>5</v>
      </c>
      <c r="I248" s="770" t="s">
        <v>487</v>
      </c>
      <c r="J248" s="447" t="s">
        <v>64</v>
      </c>
      <c r="K248" s="447" t="s">
        <v>81</v>
      </c>
      <c r="L248" s="447" t="s">
        <v>56</v>
      </c>
      <c r="M248" s="447" t="s">
        <v>174</v>
      </c>
      <c r="N248" s="545" t="s">
        <v>1219</v>
      </c>
      <c r="O248" s="447" t="s">
        <v>1220</v>
      </c>
      <c r="P248" s="447" t="str">
        <f t="shared" si="51"/>
        <v>ROSEMARIE</v>
      </c>
      <c r="Q248" s="447"/>
      <c r="R248" s="447" t="s">
        <v>115</v>
      </c>
      <c r="S248" s="534" t="str">
        <f t="shared" si="53"/>
        <v xml:space="preserve">ROSEMARIE B. BINTUDAN </v>
      </c>
      <c r="T248" s="780">
        <v>13584</v>
      </c>
      <c r="U248" s="305" t="s">
        <v>1221</v>
      </c>
      <c r="V248" s="447" t="s">
        <v>100</v>
      </c>
      <c r="W248" s="472">
        <v>22138</v>
      </c>
      <c r="X248" s="498">
        <f t="shared" ca="1" si="55"/>
        <v>23967.538043402776</v>
      </c>
      <c r="Y248" s="447" t="s">
        <v>1222</v>
      </c>
      <c r="Z248" s="472">
        <v>32567</v>
      </c>
      <c r="AA248" s="493">
        <v>30926</v>
      </c>
      <c r="AB248" s="493">
        <v>35643</v>
      </c>
      <c r="AC248" s="447" t="s">
        <v>64</v>
      </c>
      <c r="AD248" s="512" t="s">
        <v>215</v>
      </c>
      <c r="AE248" s="512"/>
      <c r="AF248" s="791">
        <v>12735</v>
      </c>
      <c r="AG248" s="530">
        <v>12607</v>
      </c>
      <c r="AH248" s="530">
        <v>13584</v>
      </c>
      <c r="AI248" s="530"/>
      <c r="AJ248" s="530">
        <f t="shared" si="52"/>
        <v>977</v>
      </c>
      <c r="AK248" s="530"/>
      <c r="AL248" s="800" t="s">
        <v>66</v>
      </c>
      <c r="AM248" s="305" t="s">
        <v>1218</v>
      </c>
      <c r="AN248" s="423" t="s">
        <v>372</v>
      </c>
      <c r="AO248" s="757" t="s">
        <v>223</v>
      </c>
      <c r="AP248" s="447">
        <v>5</v>
      </c>
      <c r="AQ248" s="780">
        <v>13584</v>
      </c>
      <c r="AR248" s="305" t="s">
        <v>1221</v>
      </c>
      <c r="AS248" s="821" t="str">
        <f t="shared" si="56"/>
        <v>With Incumbent</v>
      </c>
      <c r="AT248" s="534"/>
      <c r="AU248" s="822"/>
      <c r="AV248" s="534"/>
      <c r="AW248" s="534"/>
      <c r="AX248" s="837"/>
      <c r="AY248" s="838"/>
    </row>
    <row r="249" spans="1:51" s="531" customFormat="1" ht="22.5" customHeight="1">
      <c r="A249" s="741" t="s">
        <v>1223</v>
      </c>
      <c r="B249" s="742" t="s">
        <v>211</v>
      </c>
      <c r="C249" s="423" t="s">
        <v>372</v>
      </c>
      <c r="D249" s="757" t="s">
        <v>223</v>
      </c>
      <c r="E249" s="448">
        <f t="shared" si="48"/>
        <v>152820</v>
      </c>
      <c r="F249" s="448">
        <f t="shared" si="47"/>
        <v>160392</v>
      </c>
      <c r="G249" s="448">
        <v>120768</v>
      </c>
      <c r="H249" s="447">
        <v>4</v>
      </c>
      <c r="I249" s="770" t="s">
        <v>494</v>
      </c>
      <c r="J249" s="447" t="s">
        <v>64</v>
      </c>
      <c r="K249" s="447" t="s">
        <v>81</v>
      </c>
      <c r="L249" s="447" t="s">
        <v>56</v>
      </c>
      <c r="M249" s="447" t="s">
        <v>211</v>
      </c>
      <c r="N249" s="545" t="s">
        <v>1224</v>
      </c>
      <c r="O249" s="447" t="s">
        <v>1225</v>
      </c>
      <c r="P249" s="447" t="str">
        <f t="shared" si="51"/>
        <v>MARIA</v>
      </c>
      <c r="Q249" s="447"/>
      <c r="R249" s="447" t="s">
        <v>81</v>
      </c>
      <c r="S249" s="534" t="str">
        <f t="shared" si="53"/>
        <v xml:space="preserve">MARIA A. GUIAWAN </v>
      </c>
      <c r="T249" s="780">
        <v>13366</v>
      </c>
      <c r="U249" s="305" t="s">
        <v>1226</v>
      </c>
      <c r="V249" s="447" t="s">
        <v>100</v>
      </c>
      <c r="W249" s="472">
        <v>26580</v>
      </c>
      <c r="X249" s="498">
        <f t="shared" ca="1" si="55"/>
        <v>19525.538043287037</v>
      </c>
      <c r="Y249" s="447" t="s">
        <v>1227</v>
      </c>
      <c r="Z249" s="472">
        <v>36404</v>
      </c>
      <c r="AA249" s="493">
        <v>36353</v>
      </c>
      <c r="AB249" s="493">
        <v>36404</v>
      </c>
      <c r="AC249" s="447" t="s">
        <v>64</v>
      </c>
      <c r="AD249" s="512" t="s">
        <v>215</v>
      </c>
      <c r="AE249" s="512" t="s">
        <v>1207</v>
      </c>
      <c r="AF249" s="791">
        <v>12735</v>
      </c>
      <c r="AG249" s="530">
        <v>12357</v>
      </c>
      <c r="AH249" s="530">
        <v>13366</v>
      </c>
      <c r="AI249" s="530"/>
      <c r="AJ249" s="530">
        <f t="shared" si="52"/>
        <v>1009</v>
      </c>
      <c r="AK249" s="530"/>
      <c r="AL249" s="800" t="s">
        <v>66</v>
      </c>
      <c r="AM249" s="305" t="s">
        <v>1223</v>
      </c>
      <c r="AN249" s="423" t="s">
        <v>372</v>
      </c>
      <c r="AO249" s="757" t="s">
        <v>223</v>
      </c>
      <c r="AP249" s="447">
        <v>4</v>
      </c>
      <c r="AQ249" s="780">
        <v>13366</v>
      </c>
      <c r="AR249" s="305" t="s">
        <v>1226</v>
      </c>
      <c r="AS249" s="821" t="str">
        <f t="shared" si="56"/>
        <v>With Incumbent</v>
      </c>
      <c r="AT249" s="534"/>
      <c r="AU249" s="822"/>
      <c r="AV249" s="534"/>
      <c r="AW249" s="534"/>
      <c r="AX249" s="837"/>
      <c r="AY249" s="838"/>
    </row>
    <row r="250" spans="1:51" s="531" customFormat="1" ht="22.5" customHeight="1">
      <c r="A250" s="741" t="s">
        <v>1228</v>
      </c>
      <c r="B250" s="742" t="s">
        <v>189</v>
      </c>
      <c r="C250" s="423" t="s">
        <v>372</v>
      </c>
      <c r="D250" s="757" t="s">
        <v>223</v>
      </c>
      <c r="E250" s="448">
        <f t="shared" si="48"/>
        <v>152820</v>
      </c>
      <c r="F250" s="448">
        <f t="shared" si="47"/>
        <v>157812</v>
      </c>
      <c r="G250" s="448">
        <v>117828</v>
      </c>
      <c r="H250" s="447">
        <v>3</v>
      </c>
      <c r="I250" s="770" t="s">
        <v>197</v>
      </c>
      <c r="J250" s="447" t="s">
        <v>64</v>
      </c>
      <c r="K250" s="447" t="s">
        <v>81</v>
      </c>
      <c r="L250" s="447" t="s">
        <v>56</v>
      </c>
      <c r="M250" s="447"/>
      <c r="N250" s="545" t="s">
        <v>1229</v>
      </c>
      <c r="O250" s="447" t="s">
        <v>1230</v>
      </c>
      <c r="P250" s="447" t="str">
        <f t="shared" si="51"/>
        <v>MA. CONSOLACION</v>
      </c>
      <c r="Q250" s="447"/>
      <c r="R250" s="447" t="s">
        <v>60</v>
      </c>
      <c r="S250" s="534" t="str">
        <f t="shared" si="53"/>
        <v xml:space="preserve">MA. CONSOLACION D. SALIBAD </v>
      </c>
      <c r="T250" s="780">
        <v>13151</v>
      </c>
      <c r="U250" s="781" t="s">
        <v>88</v>
      </c>
      <c r="V250" s="447" t="s">
        <v>100</v>
      </c>
      <c r="W250" s="472">
        <v>29798</v>
      </c>
      <c r="X250" s="498">
        <f t="shared" ca="1" si="55"/>
        <v>16307.538043402776</v>
      </c>
      <c r="Y250" s="447" t="s">
        <v>1231</v>
      </c>
      <c r="Z250" s="447"/>
      <c r="AA250" s="493">
        <v>37586</v>
      </c>
      <c r="AB250" s="493"/>
      <c r="AC250" s="447" t="s">
        <v>64</v>
      </c>
      <c r="AD250" s="512" t="s">
        <v>102</v>
      </c>
      <c r="AE250" s="512"/>
      <c r="AF250" s="791">
        <v>12735</v>
      </c>
      <c r="AG250" s="530">
        <v>12110</v>
      </c>
      <c r="AH250" s="530">
        <v>13151</v>
      </c>
      <c r="AI250" s="530"/>
      <c r="AJ250" s="530">
        <f t="shared" si="52"/>
        <v>1041</v>
      </c>
      <c r="AK250" s="530"/>
      <c r="AL250" s="800" t="s">
        <v>66</v>
      </c>
      <c r="AM250" s="305" t="s">
        <v>1228</v>
      </c>
      <c r="AN250" s="423" t="s">
        <v>372</v>
      </c>
      <c r="AO250" s="757" t="s">
        <v>223</v>
      </c>
      <c r="AP250" s="447">
        <v>3</v>
      </c>
      <c r="AQ250" s="780">
        <v>13584</v>
      </c>
      <c r="AR250" s="781" t="s">
        <v>88</v>
      </c>
      <c r="AS250" s="823" t="str">
        <f t="shared" si="56"/>
        <v>(Vacant)</v>
      </c>
      <c r="AT250" s="534" t="s">
        <v>1232</v>
      </c>
      <c r="AU250" s="822" t="s">
        <v>414</v>
      </c>
      <c r="AV250" s="534" t="s">
        <v>333</v>
      </c>
      <c r="AW250" s="534" t="s">
        <v>334</v>
      </c>
      <c r="AX250" s="837" t="s">
        <v>415</v>
      </c>
      <c r="AY250" s="838" t="s">
        <v>1233</v>
      </c>
    </row>
    <row r="251" spans="1:51" s="531" customFormat="1" ht="22.5" hidden="1" customHeight="1">
      <c r="A251" s="741" t="s">
        <v>1234</v>
      </c>
      <c r="B251" s="742" t="s">
        <v>181</v>
      </c>
      <c r="C251" s="423" t="s">
        <v>372</v>
      </c>
      <c r="D251" s="757" t="s">
        <v>223</v>
      </c>
      <c r="E251" s="448">
        <f t="shared" si="48"/>
        <v>152820</v>
      </c>
      <c r="F251" s="448">
        <f t="shared" si="47"/>
        <v>163008</v>
      </c>
      <c r="G251" s="448">
        <v>123792</v>
      </c>
      <c r="H251" s="447">
        <v>5</v>
      </c>
      <c r="I251" s="770" t="s">
        <v>223</v>
      </c>
      <c r="J251" s="447" t="s">
        <v>64</v>
      </c>
      <c r="K251" s="447" t="s">
        <v>81</v>
      </c>
      <c r="L251" s="447" t="s">
        <v>56</v>
      </c>
      <c r="M251" s="447" t="s">
        <v>181</v>
      </c>
      <c r="N251" s="545" t="s">
        <v>1235</v>
      </c>
      <c r="O251" s="447" t="s">
        <v>1236</v>
      </c>
      <c r="P251" s="447" t="str">
        <f t="shared" si="51"/>
        <v>JUDITH</v>
      </c>
      <c r="Q251" s="447"/>
      <c r="R251" s="447" t="s">
        <v>115</v>
      </c>
      <c r="S251" s="534" t="str">
        <f t="shared" si="53"/>
        <v xml:space="preserve">JUDITH B. TAMOT </v>
      </c>
      <c r="T251" s="780">
        <v>13584</v>
      </c>
      <c r="U251" s="305" t="s">
        <v>1237</v>
      </c>
      <c r="V251" s="447" t="s">
        <v>100</v>
      </c>
      <c r="W251" s="472">
        <v>23473</v>
      </c>
      <c r="X251" s="498">
        <f t="shared" ca="1" si="55"/>
        <v>22632.538043287037</v>
      </c>
      <c r="Y251" s="447" t="s">
        <v>1238</v>
      </c>
      <c r="Z251" s="447"/>
      <c r="AA251" s="493">
        <v>35254</v>
      </c>
      <c r="AB251" s="493">
        <v>35254</v>
      </c>
      <c r="AC251" s="447" t="s">
        <v>64</v>
      </c>
      <c r="AD251" s="512" t="s">
        <v>102</v>
      </c>
      <c r="AE251" s="512"/>
      <c r="AF251" s="791">
        <v>12735</v>
      </c>
      <c r="AG251" s="530">
        <v>12607</v>
      </c>
      <c r="AH251" s="530">
        <v>13584</v>
      </c>
      <c r="AI251" s="530"/>
      <c r="AJ251" s="530">
        <f t="shared" si="52"/>
        <v>977</v>
      </c>
      <c r="AK251" s="530"/>
      <c r="AL251" s="806" t="s">
        <v>126</v>
      </c>
      <c r="AM251" s="745"/>
      <c r="AN251" s="742"/>
      <c r="AO251" s="757"/>
      <c r="AP251" s="447"/>
      <c r="AQ251" s="780"/>
      <c r="AR251" s="305"/>
      <c r="AS251" s="305"/>
      <c r="AT251" s="534" t="s">
        <v>127</v>
      </c>
      <c r="AU251" s="822"/>
      <c r="AV251" s="534"/>
      <c r="AW251" s="534"/>
      <c r="AX251" s="837"/>
      <c r="AY251" s="838" t="s">
        <v>1239</v>
      </c>
    </row>
    <row r="252" spans="1:51" s="531" customFormat="1" ht="22.5" hidden="1" customHeight="1">
      <c r="A252" s="741" t="s">
        <v>1240</v>
      </c>
      <c r="B252" s="742" t="s">
        <v>181</v>
      </c>
      <c r="C252" s="423" t="s">
        <v>210</v>
      </c>
      <c r="D252" s="757" t="s">
        <v>487</v>
      </c>
      <c r="E252" s="448">
        <f t="shared" si="48"/>
        <v>130296</v>
      </c>
      <c r="F252" s="448">
        <f t="shared" si="47"/>
        <v>147084</v>
      </c>
      <c r="G252" s="448">
        <v>110100</v>
      </c>
      <c r="H252" s="447">
        <v>3</v>
      </c>
      <c r="I252" s="770" t="s">
        <v>223</v>
      </c>
      <c r="J252" s="447" t="s">
        <v>64</v>
      </c>
      <c r="K252" s="447" t="s">
        <v>81</v>
      </c>
      <c r="L252" s="447" t="s">
        <v>56</v>
      </c>
      <c r="M252" s="447" t="s">
        <v>181</v>
      </c>
      <c r="N252" s="545" t="s">
        <v>1241</v>
      </c>
      <c r="O252" s="447" t="s">
        <v>1242</v>
      </c>
      <c r="P252" s="447" t="str">
        <f t="shared" si="51"/>
        <v>JOEY PAUL</v>
      </c>
      <c r="Q252" s="447"/>
      <c r="R252" s="447" t="s">
        <v>115</v>
      </c>
      <c r="S252" s="534" t="str">
        <f t="shared" si="53"/>
        <v xml:space="preserve">JOEY PAUL B. ALCANTARA </v>
      </c>
      <c r="T252" s="780">
        <v>12257</v>
      </c>
      <c r="U252" s="305" t="s">
        <v>1243</v>
      </c>
      <c r="V252" s="447" t="s">
        <v>62</v>
      </c>
      <c r="W252" s="472">
        <v>28909</v>
      </c>
      <c r="X252" s="498">
        <f t="shared" ca="1" si="55"/>
        <v>17196.538043287037</v>
      </c>
      <c r="Y252" s="447" t="s">
        <v>1244</v>
      </c>
      <c r="Z252" s="447"/>
      <c r="AA252" s="493">
        <v>37392</v>
      </c>
      <c r="AB252" s="493">
        <v>37655</v>
      </c>
      <c r="AC252" s="447" t="s">
        <v>64</v>
      </c>
      <c r="AD252" s="512" t="s">
        <v>102</v>
      </c>
      <c r="AE252" s="512"/>
      <c r="AF252" s="791">
        <v>10858</v>
      </c>
      <c r="AG252" s="530">
        <v>11302</v>
      </c>
      <c r="AH252" s="530">
        <v>12257</v>
      </c>
      <c r="AI252" s="530"/>
      <c r="AJ252" s="530">
        <f t="shared" si="52"/>
        <v>955</v>
      </c>
      <c r="AK252" s="530"/>
      <c r="AL252" s="817" t="s">
        <v>245</v>
      </c>
      <c r="AM252" s="305" t="s">
        <v>1240</v>
      </c>
      <c r="AN252" s="423" t="s">
        <v>1245</v>
      </c>
      <c r="AO252" s="757" t="s">
        <v>197</v>
      </c>
      <c r="AP252" s="447">
        <v>8</v>
      </c>
      <c r="AQ252" s="780">
        <v>12257</v>
      </c>
      <c r="AR252" s="305" t="s">
        <v>1243</v>
      </c>
      <c r="AS252" s="821" t="str">
        <f>IF(AR252="(Vacant)",AR252,IF(AR252="",AR252,"With Incumbent"))</f>
        <v>With Incumbent</v>
      </c>
      <c r="AT252" s="534"/>
      <c r="AU252" s="822"/>
      <c r="AV252" s="534"/>
      <c r="AW252" s="534"/>
      <c r="AX252" s="837"/>
      <c r="AY252" s="838"/>
    </row>
    <row r="253" spans="1:51" s="531" customFormat="1" ht="22.5" hidden="1" customHeight="1">
      <c r="A253" s="741"/>
      <c r="B253" s="742"/>
      <c r="C253" s="423"/>
      <c r="D253" s="757"/>
      <c r="E253" s="448">
        <f t="shared" si="48"/>
        <v>132744</v>
      </c>
      <c r="F253" s="448">
        <f t="shared" si="47"/>
        <v>132744</v>
      </c>
      <c r="G253" s="448">
        <v>102912</v>
      </c>
      <c r="H253" s="447">
        <v>1</v>
      </c>
      <c r="I253" s="770" t="s">
        <v>53</v>
      </c>
      <c r="J253" s="447" t="s">
        <v>54</v>
      </c>
      <c r="K253" s="447" t="s">
        <v>81</v>
      </c>
      <c r="L253" s="447" t="s">
        <v>56</v>
      </c>
      <c r="M253" s="447"/>
      <c r="N253" s="545"/>
      <c r="O253" s="447"/>
      <c r="P253" s="447"/>
      <c r="Q253" s="447"/>
      <c r="R253" s="447"/>
      <c r="S253" s="534" t="s">
        <v>392</v>
      </c>
      <c r="T253" s="780"/>
      <c r="U253" s="781"/>
      <c r="V253" s="447"/>
      <c r="W253" s="472"/>
      <c r="X253" s="498"/>
      <c r="Y253" s="447"/>
      <c r="Z253" s="447"/>
      <c r="AA253" s="493"/>
      <c r="AB253" s="493"/>
      <c r="AC253" s="447"/>
      <c r="AD253" s="512"/>
      <c r="AE253" s="512"/>
      <c r="AF253" s="791">
        <v>11062</v>
      </c>
      <c r="AG253" s="530">
        <v>10133</v>
      </c>
      <c r="AH253" s="530">
        <v>11062</v>
      </c>
      <c r="AI253" s="530"/>
      <c r="AJ253" s="530">
        <f t="shared" si="52"/>
        <v>929</v>
      </c>
      <c r="AK253" s="530"/>
      <c r="AL253" s="800" t="s">
        <v>1246</v>
      </c>
      <c r="AM253" s="305" t="s">
        <v>390</v>
      </c>
      <c r="AN253" s="423" t="s">
        <v>119</v>
      </c>
      <c r="AO253" s="757" t="s">
        <v>197</v>
      </c>
      <c r="AP253" s="447">
        <v>8</v>
      </c>
      <c r="AQ253" s="780">
        <v>14267</v>
      </c>
      <c r="AR253" s="781" t="s">
        <v>88</v>
      </c>
      <c r="AS253" s="823" t="str">
        <f t="shared" ref="AS253:AS269" si="57">IF(AR253="(Vacant)",AR253,IF(AR253="",AR253,"With Incumbent"))</f>
        <v>(Vacant)</v>
      </c>
      <c r="AT253" s="534" t="s">
        <v>1247</v>
      </c>
      <c r="AU253" s="822" t="s">
        <v>1248</v>
      </c>
      <c r="AV253" s="534" t="s">
        <v>265</v>
      </c>
      <c r="AW253" s="534" t="s">
        <v>265</v>
      </c>
      <c r="AX253" s="837" t="s">
        <v>1249</v>
      </c>
      <c r="AY253" s="838" t="s">
        <v>1250</v>
      </c>
    </row>
    <row r="254" spans="1:51" s="531" customFormat="1" ht="22.5" customHeight="1">
      <c r="A254" s="741" t="s">
        <v>1251</v>
      </c>
      <c r="B254" s="742" t="s">
        <v>408</v>
      </c>
      <c r="C254" s="423" t="s">
        <v>119</v>
      </c>
      <c r="D254" s="757" t="s">
        <v>197</v>
      </c>
      <c r="E254" s="448">
        <f t="shared" si="48"/>
        <v>132744</v>
      </c>
      <c r="F254" s="448">
        <f t="shared" si="47"/>
        <v>148764</v>
      </c>
      <c r="G254" s="448">
        <v>119352</v>
      </c>
      <c r="H254" s="447">
        <v>8</v>
      </c>
      <c r="I254" s="770" t="s">
        <v>465</v>
      </c>
      <c r="J254" s="447" t="s">
        <v>64</v>
      </c>
      <c r="K254" s="447" t="s">
        <v>81</v>
      </c>
      <c r="L254" s="447" t="s">
        <v>56</v>
      </c>
      <c r="M254" s="447" t="s">
        <v>408</v>
      </c>
      <c r="N254" s="545" t="s">
        <v>1252</v>
      </c>
      <c r="O254" s="447" t="s">
        <v>1253</v>
      </c>
      <c r="P254" s="447" t="str">
        <f t="shared" si="51"/>
        <v>ROMEO</v>
      </c>
      <c r="Q254" s="447"/>
      <c r="R254" s="447" t="s">
        <v>251</v>
      </c>
      <c r="S254" s="534" t="str">
        <f t="shared" si="53"/>
        <v xml:space="preserve">ROMEO J. ASTUDILLO </v>
      </c>
      <c r="T254" s="780">
        <v>12397</v>
      </c>
      <c r="U254" s="305" t="s">
        <v>1254</v>
      </c>
      <c r="V254" s="447" t="s">
        <v>62</v>
      </c>
      <c r="W254" s="472">
        <v>17701</v>
      </c>
      <c r="X254" s="498">
        <f t="shared" ca="1" si="55"/>
        <v>28404.538043402776</v>
      </c>
      <c r="Y254" s="447" t="s">
        <v>1255</v>
      </c>
      <c r="Z254" s="447"/>
      <c r="AA254" s="493">
        <v>27435</v>
      </c>
      <c r="AB254" s="493">
        <v>27435</v>
      </c>
      <c r="AC254" s="447" t="s">
        <v>64</v>
      </c>
      <c r="AD254" s="512" t="s">
        <v>125</v>
      </c>
      <c r="AE254" s="512"/>
      <c r="AF254" s="791">
        <v>11062</v>
      </c>
      <c r="AG254" s="530">
        <v>11669</v>
      </c>
      <c r="AH254" s="530">
        <v>12397</v>
      </c>
      <c r="AI254" s="530"/>
      <c r="AJ254" s="530">
        <f t="shared" si="52"/>
        <v>728</v>
      </c>
      <c r="AK254" s="530"/>
      <c r="AL254" s="800" t="s">
        <v>66</v>
      </c>
      <c r="AM254" s="305" t="s">
        <v>1251</v>
      </c>
      <c r="AN254" s="423" t="s">
        <v>119</v>
      </c>
      <c r="AO254" s="757" t="s">
        <v>197</v>
      </c>
      <c r="AP254" s="447">
        <v>8</v>
      </c>
      <c r="AQ254" s="780">
        <v>12397</v>
      </c>
      <c r="AR254" s="305" t="s">
        <v>1254</v>
      </c>
      <c r="AS254" s="821" t="str">
        <f t="shared" si="57"/>
        <v>With Incumbent</v>
      </c>
      <c r="AT254" s="534"/>
      <c r="AU254" s="822"/>
      <c r="AV254" s="534"/>
      <c r="AW254" s="534"/>
      <c r="AX254" s="837"/>
      <c r="AY254" s="838"/>
    </row>
    <row r="255" spans="1:51" s="531" customFormat="1" ht="22.5" customHeight="1">
      <c r="A255" s="741" t="s">
        <v>1256</v>
      </c>
      <c r="B255" s="742" t="s">
        <v>167</v>
      </c>
      <c r="C255" s="423" t="s">
        <v>119</v>
      </c>
      <c r="D255" s="757" t="s">
        <v>197</v>
      </c>
      <c r="E255" s="448">
        <f t="shared" si="48"/>
        <v>132744</v>
      </c>
      <c r="F255" s="448">
        <f t="shared" si="47"/>
        <v>143964</v>
      </c>
      <c r="G255" s="448">
        <v>110832</v>
      </c>
      <c r="H255" s="447">
        <v>6</v>
      </c>
      <c r="I255" s="770" t="s">
        <v>53</v>
      </c>
      <c r="J255" s="447" t="s">
        <v>54</v>
      </c>
      <c r="K255" s="447" t="s">
        <v>81</v>
      </c>
      <c r="L255" s="447" t="s">
        <v>56</v>
      </c>
      <c r="M255" s="447" t="s">
        <v>167</v>
      </c>
      <c r="N255" s="545" t="s">
        <v>1257</v>
      </c>
      <c r="O255" s="447" t="s">
        <v>930</v>
      </c>
      <c r="P255" s="447" t="str">
        <f t="shared" si="51"/>
        <v>ARTHUR</v>
      </c>
      <c r="Q255" s="447"/>
      <c r="R255" s="447" t="s">
        <v>81</v>
      </c>
      <c r="S255" s="534" t="str">
        <f t="shared" si="53"/>
        <v xml:space="preserve">ARTHUR A. LUCIO </v>
      </c>
      <c r="T255" s="780">
        <v>11997</v>
      </c>
      <c r="U255" s="305" t="s">
        <v>1258</v>
      </c>
      <c r="V255" s="447" t="s">
        <v>62</v>
      </c>
      <c r="W255" s="472">
        <v>23278</v>
      </c>
      <c r="X255" s="498">
        <f t="shared" ca="1" si="55"/>
        <v>22827.538043287037</v>
      </c>
      <c r="Y255" s="447" t="s">
        <v>1259</v>
      </c>
      <c r="Z255" s="447"/>
      <c r="AA255" s="493">
        <v>34151</v>
      </c>
      <c r="AB255" s="493">
        <v>34151</v>
      </c>
      <c r="AC255" s="447" t="s">
        <v>64</v>
      </c>
      <c r="AD255" s="512" t="s">
        <v>138</v>
      </c>
      <c r="AE255" s="512"/>
      <c r="AF255" s="791">
        <v>11062</v>
      </c>
      <c r="AG255" s="530">
        <v>11206</v>
      </c>
      <c r="AH255" s="530">
        <v>11997</v>
      </c>
      <c r="AI255" s="530"/>
      <c r="AJ255" s="530">
        <f t="shared" si="52"/>
        <v>791</v>
      </c>
      <c r="AK255" s="530"/>
      <c r="AL255" s="800" t="s">
        <v>66</v>
      </c>
      <c r="AM255" s="305" t="s">
        <v>1256</v>
      </c>
      <c r="AN255" s="423" t="s">
        <v>119</v>
      </c>
      <c r="AO255" s="757" t="s">
        <v>197</v>
      </c>
      <c r="AP255" s="447">
        <v>6</v>
      </c>
      <c r="AQ255" s="780">
        <v>11997</v>
      </c>
      <c r="AR255" s="305" t="s">
        <v>1258</v>
      </c>
      <c r="AS255" s="821" t="str">
        <f t="shared" si="57"/>
        <v>With Incumbent</v>
      </c>
      <c r="AT255" s="534"/>
      <c r="AU255" s="822"/>
      <c r="AV255" s="534"/>
      <c r="AW255" s="534"/>
      <c r="AX255" s="837"/>
      <c r="AY255" s="838"/>
    </row>
    <row r="256" spans="1:51" s="531" customFormat="1" ht="22.5" customHeight="1">
      <c r="A256" s="741" t="s">
        <v>1260</v>
      </c>
      <c r="B256" s="742" t="s">
        <v>268</v>
      </c>
      <c r="C256" s="423" t="s">
        <v>119</v>
      </c>
      <c r="D256" s="757" t="s">
        <v>197</v>
      </c>
      <c r="E256" s="448">
        <f t="shared" si="48"/>
        <v>132744</v>
      </c>
      <c r="F256" s="448">
        <f t="shared" si="47"/>
        <v>146328</v>
      </c>
      <c r="G256" s="448">
        <v>116436</v>
      </c>
      <c r="H256" s="447">
        <v>7</v>
      </c>
      <c r="I256" s="770" t="s">
        <v>352</v>
      </c>
      <c r="J256" s="447" t="s">
        <v>64</v>
      </c>
      <c r="K256" s="447" t="s">
        <v>81</v>
      </c>
      <c r="L256" s="447" t="s">
        <v>56</v>
      </c>
      <c r="M256" s="447" t="s">
        <v>268</v>
      </c>
      <c r="N256" s="545" t="s">
        <v>1261</v>
      </c>
      <c r="O256" s="447" t="s">
        <v>1262</v>
      </c>
      <c r="P256" s="447" t="str">
        <f t="shared" si="51"/>
        <v>JAMES</v>
      </c>
      <c r="Q256" s="447"/>
      <c r="R256" s="447" t="s">
        <v>1263</v>
      </c>
      <c r="S256" s="534" t="str">
        <f t="shared" si="53"/>
        <v xml:space="preserve">JAMES Y. ALOCOD </v>
      </c>
      <c r="T256" s="780">
        <v>12194</v>
      </c>
      <c r="U256" s="305" t="s">
        <v>1264</v>
      </c>
      <c r="V256" s="447" t="s">
        <v>62</v>
      </c>
      <c r="W256" s="472">
        <v>20641</v>
      </c>
      <c r="X256" s="498">
        <f t="shared" ca="1" si="55"/>
        <v>25464.538043402776</v>
      </c>
      <c r="Y256" s="447" t="s">
        <v>1265</v>
      </c>
      <c r="Z256" s="447"/>
      <c r="AA256" s="493">
        <v>32685</v>
      </c>
      <c r="AB256" s="493">
        <v>32685</v>
      </c>
      <c r="AC256" s="447" t="s">
        <v>64</v>
      </c>
      <c r="AD256" s="512" t="s">
        <v>228</v>
      </c>
      <c r="AE256" s="512"/>
      <c r="AF256" s="791">
        <v>11062</v>
      </c>
      <c r="AG256" s="530">
        <v>11434</v>
      </c>
      <c r="AH256" s="530">
        <v>12194</v>
      </c>
      <c r="AI256" s="530"/>
      <c r="AJ256" s="530">
        <f t="shared" si="52"/>
        <v>760</v>
      </c>
      <c r="AK256" s="530"/>
      <c r="AL256" s="800" t="s">
        <v>66</v>
      </c>
      <c r="AM256" s="305" t="s">
        <v>1260</v>
      </c>
      <c r="AN256" s="423" t="s">
        <v>119</v>
      </c>
      <c r="AO256" s="757" t="s">
        <v>197</v>
      </c>
      <c r="AP256" s="447">
        <v>7</v>
      </c>
      <c r="AQ256" s="780">
        <v>12194</v>
      </c>
      <c r="AR256" s="305" t="s">
        <v>1264</v>
      </c>
      <c r="AS256" s="821" t="str">
        <f t="shared" si="57"/>
        <v>With Incumbent</v>
      </c>
      <c r="AT256" s="534"/>
      <c r="AU256" s="822"/>
      <c r="AV256" s="534"/>
      <c r="AW256" s="534"/>
      <c r="AX256" s="837"/>
      <c r="AY256" s="838"/>
    </row>
    <row r="257" spans="1:51" s="531" customFormat="1" ht="22.5" customHeight="1">
      <c r="A257" s="741" t="s">
        <v>1266</v>
      </c>
      <c r="B257" s="742" t="s">
        <v>174</v>
      </c>
      <c r="C257" s="423" t="s">
        <v>119</v>
      </c>
      <c r="D257" s="757" t="s">
        <v>197</v>
      </c>
      <c r="E257" s="448">
        <f t="shared" si="48"/>
        <v>132744</v>
      </c>
      <c r="F257" s="448">
        <f t="shared" si="47"/>
        <v>132744</v>
      </c>
      <c r="G257" s="448" t="s">
        <v>131</v>
      </c>
      <c r="H257" s="447">
        <v>1</v>
      </c>
      <c r="I257" s="770" t="s">
        <v>487</v>
      </c>
      <c r="J257" s="447" t="s">
        <v>64</v>
      </c>
      <c r="K257" s="447" t="s">
        <v>81</v>
      </c>
      <c r="L257" s="447" t="s">
        <v>56</v>
      </c>
      <c r="M257" s="447"/>
      <c r="N257" s="545"/>
      <c r="O257" s="447"/>
      <c r="P257" s="447" t="str">
        <f t="shared" si="51"/>
        <v/>
      </c>
      <c r="Q257" s="447"/>
      <c r="R257" s="447"/>
      <c r="S257" s="534" t="s">
        <v>1267</v>
      </c>
      <c r="T257" s="780">
        <v>11062</v>
      </c>
      <c r="U257" s="781" t="s">
        <v>88</v>
      </c>
      <c r="V257" s="447"/>
      <c r="W257" s="472"/>
      <c r="X257" s="447"/>
      <c r="Y257" s="447"/>
      <c r="Z257" s="447"/>
      <c r="AA257" s="493"/>
      <c r="AB257" s="493"/>
      <c r="AC257" s="447"/>
      <c r="AD257" s="512"/>
      <c r="AE257" s="512"/>
      <c r="AF257" s="791">
        <v>11062</v>
      </c>
      <c r="AG257" s="530">
        <v>10133</v>
      </c>
      <c r="AH257" s="530">
        <v>11062</v>
      </c>
      <c r="AI257" s="530"/>
      <c r="AJ257" s="530">
        <f t="shared" si="52"/>
        <v>929</v>
      </c>
      <c r="AK257" s="530"/>
      <c r="AL257" s="800" t="s">
        <v>66</v>
      </c>
      <c r="AM257" s="305" t="s">
        <v>1266</v>
      </c>
      <c r="AN257" s="423" t="s">
        <v>119</v>
      </c>
      <c r="AO257" s="757" t="s">
        <v>197</v>
      </c>
      <c r="AP257" s="447">
        <v>8</v>
      </c>
      <c r="AQ257" s="780">
        <v>14267</v>
      </c>
      <c r="AR257" s="781" t="s">
        <v>88</v>
      </c>
      <c r="AS257" s="823" t="str">
        <f t="shared" si="57"/>
        <v>(Vacant)</v>
      </c>
      <c r="AT257" s="534" t="s">
        <v>1268</v>
      </c>
      <c r="AU257" s="822" t="s">
        <v>1248</v>
      </c>
      <c r="AV257" s="534" t="s">
        <v>265</v>
      </c>
      <c r="AW257" s="534" t="s">
        <v>265</v>
      </c>
      <c r="AX257" s="837" t="s">
        <v>1249</v>
      </c>
      <c r="AY257" s="838" t="s">
        <v>1269</v>
      </c>
    </row>
    <row r="258" spans="1:51" s="531" customFormat="1" ht="22.5" customHeight="1">
      <c r="A258" s="741" t="s">
        <v>1270</v>
      </c>
      <c r="B258" s="742" t="s">
        <v>211</v>
      </c>
      <c r="C258" s="423" t="s">
        <v>119</v>
      </c>
      <c r="D258" s="757" t="s">
        <v>197</v>
      </c>
      <c r="E258" s="448">
        <f t="shared" si="48"/>
        <v>132744</v>
      </c>
      <c r="F258" s="448">
        <f t="shared" si="47"/>
        <v>143964</v>
      </c>
      <c r="G258" s="448">
        <v>110832</v>
      </c>
      <c r="H258" s="447">
        <v>6</v>
      </c>
      <c r="I258" s="770" t="s">
        <v>494</v>
      </c>
      <c r="J258" s="447" t="s">
        <v>64</v>
      </c>
      <c r="K258" s="447" t="s">
        <v>81</v>
      </c>
      <c r="L258" s="447" t="s">
        <v>56</v>
      </c>
      <c r="M258" s="447" t="s">
        <v>211</v>
      </c>
      <c r="N258" s="545" t="s">
        <v>1271</v>
      </c>
      <c r="O258" s="447" t="s">
        <v>1272</v>
      </c>
      <c r="P258" s="447" t="str">
        <f t="shared" si="51"/>
        <v>WILFRED</v>
      </c>
      <c r="Q258" s="447"/>
      <c r="R258" s="447" t="s">
        <v>54</v>
      </c>
      <c r="S258" s="534" t="str">
        <f t="shared" si="53"/>
        <v xml:space="preserve">WILFRED R. BACDAYAN </v>
      </c>
      <c r="T258" s="780">
        <v>11997</v>
      </c>
      <c r="U258" s="305" t="s">
        <v>1273</v>
      </c>
      <c r="V258" s="447" t="s">
        <v>62</v>
      </c>
      <c r="W258" s="472">
        <v>24419</v>
      </c>
      <c r="X258" s="498">
        <f ca="1">(NOW()-W258)</f>
        <v>21686.538043402776</v>
      </c>
      <c r="Y258" s="447" t="s">
        <v>1274</v>
      </c>
      <c r="Z258" s="447"/>
      <c r="AA258" s="493">
        <v>34408</v>
      </c>
      <c r="AB258" s="493">
        <v>34408</v>
      </c>
      <c r="AC258" s="447" t="s">
        <v>64</v>
      </c>
      <c r="AD258" s="512" t="s">
        <v>215</v>
      </c>
      <c r="AE258" s="512"/>
      <c r="AF258" s="791">
        <v>11062</v>
      </c>
      <c r="AG258" s="530">
        <v>11206</v>
      </c>
      <c r="AH258" s="530">
        <v>11997</v>
      </c>
      <c r="AI258" s="530"/>
      <c r="AJ258" s="530">
        <f t="shared" si="52"/>
        <v>791</v>
      </c>
      <c r="AK258" s="530"/>
      <c r="AL258" s="800" t="s">
        <v>66</v>
      </c>
      <c r="AM258" s="305" t="s">
        <v>1270</v>
      </c>
      <c r="AN258" s="423" t="s">
        <v>119</v>
      </c>
      <c r="AO258" s="757" t="s">
        <v>197</v>
      </c>
      <c r="AP258" s="447">
        <v>6</v>
      </c>
      <c r="AQ258" s="780">
        <v>11997</v>
      </c>
      <c r="AR258" s="305" t="s">
        <v>1273</v>
      </c>
      <c r="AS258" s="821" t="str">
        <f t="shared" si="57"/>
        <v>With Incumbent</v>
      </c>
      <c r="AT258" s="534"/>
      <c r="AU258" s="822"/>
      <c r="AV258" s="534"/>
      <c r="AW258" s="534"/>
      <c r="AX258" s="837"/>
      <c r="AY258" s="838"/>
    </row>
    <row r="259" spans="1:51" s="531" customFormat="1" ht="22.5" customHeight="1">
      <c r="A259" s="741" t="s">
        <v>1275</v>
      </c>
      <c r="B259" s="742" t="s">
        <v>181</v>
      </c>
      <c r="C259" s="423" t="s">
        <v>267</v>
      </c>
      <c r="D259" s="757" t="s">
        <v>407</v>
      </c>
      <c r="E259" s="448">
        <f t="shared" si="48"/>
        <v>114432</v>
      </c>
      <c r="F259" s="448">
        <f t="shared" si="47"/>
        <v>114432</v>
      </c>
      <c r="G259" s="448" t="s">
        <v>131</v>
      </c>
      <c r="H259" s="447">
        <v>1</v>
      </c>
      <c r="I259" s="770" t="s">
        <v>223</v>
      </c>
      <c r="J259" s="447" t="s">
        <v>64</v>
      </c>
      <c r="K259" s="447" t="s">
        <v>81</v>
      </c>
      <c r="L259" s="447" t="s">
        <v>56</v>
      </c>
      <c r="M259" s="447"/>
      <c r="N259" s="545"/>
      <c r="O259" s="447"/>
      <c r="P259" s="447" t="str">
        <f t="shared" si="51"/>
        <v/>
      </c>
      <c r="Q259" s="447"/>
      <c r="R259" s="447"/>
      <c r="S259" s="534" t="s">
        <v>1276</v>
      </c>
      <c r="T259" s="780">
        <v>9536</v>
      </c>
      <c r="U259" s="781" t="s">
        <v>88</v>
      </c>
      <c r="V259" s="447"/>
      <c r="W259" s="472"/>
      <c r="X259" s="447"/>
      <c r="Y259" s="447"/>
      <c r="Z259" s="447"/>
      <c r="AA259" s="493"/>
      <c r="AB259" s="493"/>
      <c r="AC259" s="447"/>
      <c r="AD259" s="512"/>
      <c r="AE259" s="512"/>
      <c r="AF259" s="791">
        <v>9536</v>
      </c>
      <c r="AG259" s="530">
        <v>8713</v>
      </c>
      <c r="AH259" s="530">
        <v>9536</v>
      </c>
      <c r="AI259" s="530"/>
      <c r="AJ259" s="530">
        <f t="shared" si="52"/>
        <v>823</v>
      </c>
      <c r="AK259" s="530"/>
      <c r="AL259" s="800" t="s">
        <v>66</v>
      </c>
      <c r="AM259" s="305" t="s">
        <v>1275</v>
      </c>
      <c r="AN259" s="423" t="s">
        <v>267</v>
      </c>
      <c r="AO259" s="757" t="s">
        <v>407</v>
      </c>
      <c r="AP259" s="447">
        <v>1</v>
      </c>
      <c r="AQ259" s="780">
        <v>9536</v>
      </c>
      <c r="AR259" s="781" t="s">
        <v>88</v>
      </c>
      <c r="AS259" s="823" t="str">
        <f t="shared" si="57"/>
        <v>(Vacant)</v>
      </c>
      <c r="AT259" s="534"/>
      <c r="AU259" s="822" t="s">
        <v>414</v>
      </c>
      <c r="AV259" s="534" t="s">
        <v>265</v>
      </c>
      <c r="AW259" s="534" t="s">
        <v>265</v>
      </c>
      <c r="AX259" s="837" t="s">
        <v>415</v>
      </c>
      <c r="AY259" s="838" t="s">
        <v>93</v>
      </c>
    </row>
    <row r="260" spans="1:51" s="531" customFormat="1" ht="22.5" customHeight="1">
      <c r="A260" s="741" t="s">
        <v>1277</v>
      </c>
      <c r="B260" s="742" t="s">
        <v>408</v>
      </c>
      <c r="C260" s="423" t="s">
        <v>267</v>
      </c>
      <c r="D260" s="757" t="s">
        <v>407</v>
      </c>
      <c r="E260" s="448">
        <f t="shared" si="48"/>
        <v>114432</v>
      </c>
      <c r="F260" s="448">
        <f t="shared" si="47"/>
        <v>114432</v>
      </c>
      <c r="G260" s="448" t="s">
        <v>131</v>
      </c>
      <c r="H260" s="447">
        <v>1</v>
      </c>
      <c r="I260" s="770" t="s">
        <v>465</v>
      </c>
      <c r="J260" s="447" t="s">
        <v>64</v>
      </c>
      <c r="K260" s="447" t="s">
        <v>81</v>
      </c>
      <c r="L260" s="447" t="s">
        <v>56</v>
      </c>
      <c r="M260" s="447"/>
      <c r="N260" s="545"/>
      <c r="O260" s="447"/>
      <c r="P260" s="447" t="str">
        <f t="shared" si="51"/>
        <v/>
      </c>
      <c r="Q260" s="447"/>
      <c r="R260" s="447"/>
      <c r="S260" s="534" t="str">
        <f t="shared" si="53"/>
        <v xml:space="preserve"> .  </v>
      </c>
      <c r="T260" s="780">
        <v>9536</v>
      </c>
      <c r="U260" s="781" t="s">
        <v>88</v>
      </c>
      <c r="V260" s="447"/>
      <c r="W260" s="472"/>
      <c r="X260" s="447"/>
      <c r="Y260" s="447"/>
      <c r="Z260" s="447"/>
      <c r="AA260" s="493"/>
      <c r="AB260" s="493"/>
      <c r="AC260" s="447"/>
      <c r="AD260" s="512"/>
      <c r="AE260" s="512"/>
      <c r="AF260" s="791">
        <v>9536</v>
      </c>
      <c r="AG260" s="530">
        <v>8713</v>
      </c>
      <c r="AH260" s="530">
        <v>9536</v>
      </c>
      <c r="AI260" s="530"/>
      <c r="AJ260" s="530">
        <f t="shared" si="52"/>
        <v>823</v>
      </c>
      <c r="AK260" s="530"/>
      <c r="AL260" s="800" t="s">
        <v>66</v>
      </c>
      <c r="AM260" s="305" t="s">
        <v>1277</v>
      </c>
      <c r="AN260" s="423" t="s">
        <v>267</v>
      </c>
      <c r="AO260" s="757" t="s">
        <v>407</v>
      </c>
      <c r="AP260" s="447">
        <v>1</v>
      </c>
      <c r="AQ260" s="780">
        <v>9536</v>
      </c>
      <c r="AR260" s="781" t="s">
        <v>88</v>
      </c>
      <c r="AS260" s="823" t="str">
        <f t="shared" si="57"/>
        <v>(Vacant)</v>
      </c>
      <c r="AT260" s="534"/>
      <c r="AU260" s="822" t="s">
        <v>414</v>
      </c>
      <c r="AV260" s="534" t="s">
        <v>265</v>
      </c>
      <c r="AW260" s="534" t="s">
        <v>265</v>
      </c>
      <c r="AX260" s="837" t="s">
        <v>415</v>
      </c>
      <c r="AY260" s="838" t="s">
        <v>93</v>
      </c>
    </row>
    <row r="261" spans="1:51" s="531" customFormat="1" ht="22.5" customHeight="1">
      <c r="A261" s="741" t="s">
        <v>1278</v>
      </c>
      <c r="B261" s="742" t="s">
        <v>167</v>
      </c>
      <c r="C261" s="423" t="s">
        <v>267</v>
      </c>
      <c r="D261" s="757" t="s">
        <v>407</v>
      </c>
      <c r="E261" s="448">
        <f t="shared" si="48"/>
        <v>114432</v>
      </c>
      <c r="F261" s="448">
        <f t="shared" si="47"/>
        <v>120096</v>
      </c>
      <c r="G261" s="448">
        <v>92688</v>
      </c>
      <c r="H261" s="447">
        <v>4</v>
      </c>
      <c r="I261" s="770" t="s">
        <v>197</v>
      </c>
      <c r="J261" s="447" t="s">
        <v>64</v>
      </c>
      <c r="K261" s="447" t="s">
        <v>81</v>
      </c>
      <c r="L261" s="447" t="s">
        <v>56</v>
      </c>
      <c r="M261" s="447" t="s">
        <v>167</v>
      </c>
      <c r="N261" s="545" t="s">
        <v>1279</v>
      </c>
      <c r="O261" s="447" t="s">
        <v>1280</v>
      </c>
      <c r="P261" s="447" t="str">
        <f t="shared" si="51"/>
        <v>GINA</v>
      </c>
      <c r="Q261" s="447"/>
      <c r="R261" s="447" t="s">
        <v>177</v>
      </c>
      <c r="S261" s="534" t="str">
        <f t="shared" si="53"/>
        <v xml:space="preserve">GINA G. BALASO </v>
      </c>
      <c r="T261" s="780">
        <v>10008</v>
      </c>
      <c r="U261" s="305" t="s">
        <v>1281</v>
      </c>
      <c r="V261" s="447" t="s">
        <v>100</v>
      </c>
      <c r="W261" s="472">
        <v>25439</v>
      </c>
      <c r="X261" s="498">
        <f ca="1">(NOW()-W261)</f>
        <v>20666.538043402776</v>
      </c>
      <c r="Y261" s="447" t="s">
        <v>1282</v>
      </c>
      <c r="Z261" s="447"/>
      <c r="AA261" s="493">
        <v>34652</v>
      </c>
      <c r="AB261" s="493">
        <v>36115</v>
      </c>
      <c r="AC261" s="447" t="s">
        <v>64</v>
      </c>
      <c r="AD261" s="512" t="s">
        <v>215</v>
      </c>
      <c r="AE261" s="512"/>
      <c r="AF261" s="791">
        <v>9536</v>
      </c>
      <c r="AG261" s="530">
        <v>9252</v>
      </c>
      <c r="AH261" s="530">
        <v>10008</v>
      </c>
      <c r="AI261" s="530"/>
      <c r="AJ261" s="530">
        <f t="shared" si="52"/>
        <v>756</v>
      </c>
      <c r="AK261" s="530"/>
      <c r="AL261" s="800" t="s">
        <v>66</v>
      </c>
      <c r="AM261" s="305" t="s">
        <v>1278</v>
      </c>
      <c r="AN261" s="423" t="s">
        <v>267</v>
      </c>
      <c r="AO261" s="757" t="s">
        <v>407</v>
      </c>
      <c r="AP261" s="447">
        <v>4</v>
      </c>
      <c r="AQ261" s="780">
        <v>10008</v>
      </c>
      <c r="AR261" s="305" t="s">
        <v>1281</v>
      </c>
      <c r="AS261" s="821" t="str">
        <f t="shared" si="57"/>
        <v>With Incumbent</v>
      </c>
      <c r="AT261" s="534"/>
      <c r="AU261" s="822"/>
      <c r="AV261" s="534"/>
      <c r="AW261" s="534"/>
      <c r="AX261" s="837"/>
      <c r="AY261" s="838"/>
    </row>
    <row r="262" spans="1:51" s="531" customFormat="1" ht="22.5" customHeight="1">
      <c r="A262" s="741" t="s">
        <v>1283</v>
      </c>
      <c r="B262" s="742" t="s">
        <v>268</v>
      </c>
      <c r="C262" s="423" t="s">
        <v>267</v>
      </c>
      <c r="D262" s="757" t="s">
        <v>407</v>
      </c>
      <c r="E262" s="448">
        <f t="shared" si="48"/>
        <v>114432</v>
      </c>
      <c r="F262" s="448">
        <f t="shared" si="47"/>
        <v>114432</v>
      </c>
      <c r="G262" s="448">
        <v>88224</v>
      </c>
      <c r="H262" s="447">
        <v>1</v>
      </c>
      <c r="I262" s="770" t="s">
        <v>352</v>
      </c>
      <c r="J262" s="447" t="s">
        <v>64</v>
      </c>
      <c r="K262" s="447" t="s">
        <v>81</v>
      </c>
      <c r="L262" s="447" t="s">
        <v>56</v>
      </c>
      <c r="M262" s="447"/>
      <c r="N262" s="545"/>
      <c r="O262" s="447"/>
      <c r="P262" s="447"/>
      <c r="Q262" s="447"/>
      <c r="R262" s="447"/>
      <c r="S262" s="534"/>
      <c r="T262" s="780">
        <v>9536</v>
      </c>
      <c r="U262" s="781" t="s">
        <v>88</v>
      </c>
      <c r="V262" s="447"/>
      <c r="W262" s="472"/>
      <c r="X262" s="498"/>
      <c r="Y262" s="447"/>
      <c r="Z262" s="447"/>
      <c r="AA262" s="493"/>
      <c r="AB262" s="493"/>
      <c r="AC262" s="447"/>
      <c r="AD262" s="512"/>
      <c r="AE262" s="512"/>
      <c r="AF262" s="791">
        <v>9536</v>
      </c>
      <c r="AG262" s="530">
        <v>8713</v>
      </c>
      <c r="AH262" s="530">
        <v>9536</v>
      </c>
      <c r="AI262" s="530"/>
      <c r="AJ262" s="530">
        <f t="shared" si="52"/>
        <v>823</v>
      </c>
      <c r="AK262" s="530"/>
      <c r="AL262" s="800" t="s">
        <v>66</v>
      </c>
      <c r="AM262" s="305" t="s">
        <v>1283</v>
      </c>
      <c r="AN262" s="423" t="s">
        <v>267</v>
      </c>
      <c r="AO262" s="757" t="s">
        <v>407</v>
      </c>
      <c r="AP262" s="447">
        <v>1</v>
      </c>
      <c r="AQ262" s="780">
        <v>9536</v>
      </c>
      <c r="AR262" s="781" t="s">
        <v>88</v>
      </c>
      <c r="AS262" s="823" t="str">
        <f t="shared" si="57"/>
        <v>(Vacant)</v>
      </c>
      <c r="AT262" s="534"/>
      <c r="AU262" s="822" t="s">
        <v>414</v>
      </c>
      <c r="AV262" s="534" t="s">
        <v>265</v>
      </c>
      <c r="AW262" s="534" t="s">
        <v>265</v>
      </c>
      <c r="AX262" s="837" t="s">
        <v>415</v>
      </c>
      <c r="AY262" s="838" t="s">
        <v>93</v>
      </c>
    </row>
    <row r="263" spans="1:51" s="531" customFormat="1" ht="22.5" customHeight="1">
      <c r="A263" s="741" t="s">
        <v>1284</v>
      </c>
      <c r="B263" s="742" t="s">
        <v>174</v>
      </c>
      <c r="C263" s="423" t="s">
        <v>267</v>
      </c>
      <c r="D263" s="757" t="s">
        <v>407</v>
      </c>
      <c r="E263" s="448">
        <f t="shared" si="48"/>
        <v>114432</v>
      </c>
      <c r="F263" s="448">
        <f t="shared" si="47"/>
        <v>114432</v>
      </c>
      <c r="G263" s="448" t="s">
        <v>131</v>
      </c>
      <c r="H263" s="447">
        <v>1</v>
      </c>
      <c r="I263" s="770" t="s">
        <v>487</v>
      </c>
      <c r="J263" s="447" t="s">
        <v>64</v>
      </c>
      <c r="K263" s="447" t="s">
        <v>81</v>
      </c>
      <c r="L263" s="447" t="s">
        <v>56</v>
      </c>
      <c r="M263" s="447"/>
      <c r="N263" s="545"/>
      <c r="O263" s="447"/>
      <c r="P263" s="447" t="str">
        <f t="shared" si="51"/>
        <v/>
      </c>
      <c r="Q263" s="447"/>
      <c r="R263" s="447"/>
      <c r="S263" s="534" t="str">
        <f t="shared" si="53"/>
        <v xml:space="preserve"> .  </v>
      </c>
      <c r="T263" s="780">
        <v>9536</v>
      </c>
      <c r="U263" s="781" t="s">
        <v>88</v>
      </c>
      <c r="V263" s="447"/>
      <c r="W263" s="472"/>
      <c r="X263" s="447"/>
      <c r="Y263" s="447"/>
      <c r="Z263" s="447"/>
      <c r="AA263" s="493"/>
      <c r="AB263" s="493"/>
      <c r="AC263" s="447"/>
      <c r="AD263" s="512"/>
      <c r="AE263" s="512"/>
      <c r="AF263" s="791">
        <v>9536</v>
      </c>
      <c r="AG263" s="530">
        <v>8713</v>
      </c>
      <c r="AH263" s="530">
        <v>9536</v>
      </c>
      <c r="AI263" s="530"/>
      <c r="AJ263" s="530">
        <f t="shared" si="52"/>
        <v>823</v>
      </c>
      <c r="AK263" s="530"/>
      <c r="AL263" s="800" t="s">
        <v>66</v>
      </c>
      <c r="AM263" s="305" t="s">
        <v>1284</v>
      </c>
      <c r="AN263" s="423" t="s">
        <v>267</v>
      </c>
      <c r="AO263" s="757" t="s">
        <v>407</v>
      </c>
      <c r="AP263" s="447">
        <v>1</v>
      </c>
      <c r="AQ263" s="780">
        <v>9536</v>
      </c>
      <c r="AR263" s="781" t="s">
        <v>88</v>
      </c>
      <c r="AS263" s="823" t="str">
        <f t="shared" si="57"/>
        <v>(Vacant)</v>
      </c>
      <c r="AT263" s="534"/>
      <c r="AU263" s="822" t="s">
        <v>414</v>
      </c>
      <c r="AV263" s="534" t="s">
        <v>265</v>
      </c>
      <c r="AW263" s="534" t="s">
        <v>265</v>
      </c>
      <c r="AX263" s="837" t="s">
        <v>415</v>
      </c>
      <c r="AY263" s="838" t="s">
        <v>93</v>
      </c>
    </row>
    <row r="264" spans="1:51" s="531" customFormat="1" ht="22.5" customHeight="1">
      <c r="A264" s="741" t="s">
        <v>1285</v>
      </c>
      <c r="B264" s="742" t="s">
        <v>211</v>
      </c>
      <c r="C264" s="423" t="s">
        <v>267</v>
      </c>
      <c r="D264" s="757" t="s">
        <v>407</v>
      </c>
      <c r="E264" s="448">
        <f t="shared" si="48"/>
        <v>114432</v>
      </c>
      <c r="F264" s="448">
        <f t="shared" si="47"/>
        <v>116280</v>
      </c>
      <c r="G264" s="448">
        <v>88224</v>
      </c>
      <c r="H264" s="447">
        <v>2</v>
      </c>
      <c r="I264" s="770" t="s">
        <v>494</v>
      </c>
      <c r="J264" s="447" t="s">
        <v>64</v>
      </c>
      <c r="K264" s="447" t="s">
        <v>81</v>
      </c>
      <c r="L264" s="447" t="s">
        <v>56</v>
      </c>
      <c r="M264" s="616" t="s">
        <v>57</v>
      </c>
      <c r="N264" s="545" t="s">
        <v>1286</v>
      </c>
      <c r="O264" s="447" t="s">
        <v>1287</v>
      </c>
      <c r="P264" s="447" t="str">
        <f t="shared" si="51"/>
        <v>RANDY</v>
      </c>
      <c r="Q264" s="447"/>
      <c r="R264" s="447" t="s">
        <v>158</v>
      </c>
      <c r="S264" s="534" t="str">
        <f t="shared" si="53"/>
        <v xml:space="preserve">RANDY T. LUMA-ANG </v>
      </c>
      <c r="T264" s="780">
        <v>9690</v>
      </c>
      <c r="U264" s="305" t="s">
        <v>1288</v>
      </c>
      <c r="V264" s="447" t="s">
        <v>62</v>
      </c>
      <c r="W264" s="472">
        <v>29139</v>
      </c>
      <c r="X264" s="498">
        <f t="shared" ref="X264:X270" ca="1" si="58">(NOW()-W264)</f>
        <v>16966.538043287037</v>
      </c>
      <c r="Y264" s="447" t="s">
        <v>1289</v>
      </c>
      <c r="Z264" s="447"/>
      <c r="AA264" s="493">
        <v>38200</v>
      </c>
      <c r="AB264" s="493">
        <v>38200</v>
      </c>
      <c r="AC264" s="447" t="s">
        <v>64</v>
      </c>
      <c r="AD264" s="512" t="s">
        <v>102</v>
      </c>
      <c r="AE264" s="512"/>
      <c r="AF264" s="791">
        <v>9536</v>
      </c>
      <c r="AG264" s="530">
        <v>8888</v>
      </c>
      <c r="AH264" s="530">
        <v>9690</v>
      </c>
      <c r="AI264" s="530"/>
      <c r="AJ264" s="530">
        <f t="shared" si="52"/>
        <v>802</v>
      </c>
      <c r="AK264" s="530"/>
      <c r="AL264" s="800" t="s">
        <v>66</v>
      </c>
      <c r="AM264" s="305" t="s">
        <v>1285</v>
      </c>
      <c r="AN264" s="423" t="s">
        <v>267</v>
      </c>
      <c r="AO264" s="757" t="s">
        <v>407</v>
      </c>
      <c r="AP264" s="447">
        <v>2</v>
      </c>
      <c r="AQ264" s="780">
        <v>9690</v>
      </c>
      <c r="AR264" s="305" t="s">
        <v>1288</v>
      </c>
      <c r="AS264" s="821" t="str">
        <f t="shared" si="57"/>
        <v>With Incumbent</v>
      </c>
      <c r="AT264" s="534"/>
      <c r="AU264" s="822"/>
      <c r="AV264" s="534"/>
      <c r="AW264" s="534"/>
      <c r="AX264" s="837"/>
      <c r="AY264" s="838"/>
    </row>
    <row r="265" spans="1:51" s="531" customFormat="1" ht="22.5" customHeight="1">
      <c r="A265" s="741" t="s">
        <v>1290</v>
      </c>
      <c r="B265" s="742" t="s">
        <v>189</v>
      </c>
      <c r="C265" s="423" t="s">
        <v>267</v>
      </c>
      <c r="D265" s="757" t="s">
        <v>407</v>
      </c>
      <c r="E265" s="448">
        <f t="shared" si="48"/>
        <v>114432</v>
      </c>
      <c r="F265" s="448">
        <f t="shared" si="47"/>
        <v>114432</v>
      </c>
      <c r="G265" s="448">
        <v>88224</v>
      </c>
      <c r="H265" s="447">
        <v>1</v>
      </c>
      <c r="I265" s="770" t="s">
        <v>197</v>
      </c>
      <c r="J265" s="447" t="s">
        <v>64</v>
      </c>
      <c r="K265" s="447" t="s">
        <v>81</v>
      </c>
      <c r="L265" s="447" t="s">
        <v>56</v>
      </c>
      <c r="M265" s="774"/>
      <c r="N265" s="545"/>
      <c r="O265" s="447"/>
      <c r="P265" s="447"/>
      <c r="Q265" s="447"/>
      <c r="R265" s="447"/>
      <c r="S265" s="534"/>
      <c r="T265" s="780">
        <v>9536</v>
      </c>
      <c r="U265" s="781" t="s">
        <v>88</v>
      </c>
      <c r="V265" s="447"/>
      <c r="W265" s="472"/>
      <c r="X265" s="498"/>
      <c r="Y265" s="447"/>
      <c r="Z265" s="447"/>
      <c r="AA265" s="493"/>
      <c r="AB265" s="493"/>
      <c r="AC265" s="447"/>
      <c r="AD265" s="512"/>
      <c r="AE265" s="512"/>
      <c r="AF265" s="791">
        <v>9536</v>
      </c>
      <c r="AG265" s="530">
        <v>8713</v>
      </c>
      <c r="AH265" s="530">
        <v>9536</v>
      </c>
      <c r="AI265" s="530"/>
      <c r="AJ265" s="530">
        <f t="shared" si="52"/>
        <v>823</v>
      </c>
      <c r="AK265" s="530"/>
      <c r="AL265" s="800" t="s">
        <v>66</v>
      </c>
      <c r="AM265" s="305" t="s">
        <v>1290</v>
      </c>
      <c r="AN265" s="423" t="s">
        <v>267</v>
      </c>
      <c r="AO265" s="757" t="s">
        <v>407</v>
      </c>
      <c r="AP265" s="447">
        <v>1</v>
      </c>
      <c r="AQ265" s="780">
        <v>9536</v>
      </c>
      <c r="AR265" s="781" t="s">
        <v>88</v>
      </c>
      <c r="AS265" s="823" t="str">
        <f t="shared" si="57"/>
        <v>(Vacant)</v>
      </c>
      <c r="AT265" s="534"/>
      <c r="AU265" s="822" t="s">
        <v>414</v>
      </c>
      <c r="AV265" s="534" t="s">
        <v>265</v>
      </c>
      <c r="AW265" s="534" t="s">
        <v>265</v>
      </c>
      <c r="AX265" s="837" t="s">
        <v>415</v>
      </c>
      <c r="AY265" s="838" t="s">
        <v>93</v>
      </c>
    </row>
    <row r="266" spans="1:51" s="531" customFormat="1" ht="22.5" customHeight="1">
      <c r="A266" s="741" t="s">
        <v>1291</v>
      </c>
      <c r="B266" s="742" t="s">
        <v>181</v>
      </c>
      <c r="C266" s="423" t="s">
        <v>140</v>
      </c>
      <c r="D266" s="757" t="s">
        <v>420</v>
      </c>
      <c r="E266" s="448">
        <f t="shared" si="48"/>
        <v>106248</v>
      </c>
      <c r="F266" s="448">
        <f t="shared" ref="F266:F284" si="59">+AH266*12</f>
        <v>109704</v>
      </c>
      <c r="G266" s="448">
        <v>81696</v>
      </c>
      <c r="H266" s="447">
        <v>3</v>
      </c>
      <c r="I266" s="770" t="s">
        <v>223</v>
      </c>
      <c r="J266" s="447" t="s">
        <v>64</v>
      </c>
      <c r="K266" s="447" t="s">
        <v>81</v>
      </c>
      <c r="L266" s="447" t="s">
        <v>56</v>
      </c>
      <c r="M266" s="447" t="s">
        <v>181</v>
      </c>
      <c r="N266" s="545" t="s">
        <v>1125</v>
      </c>
      <c r="O266" s="447" t="s">
        <v>1292</v>
      </c>
      <c r="P266" s="447" t="str">
        <f t="shared" si="51"/>
        <v>BENELITO</v>
      </c>
      <c r="Q266" s="447"/>
      <c r="R266" s="447" t="s">
        <v>251</v>
      </c>
      <c r="S266" s="534" t="str">
        <f t="shared" si="53"/>
        <v xml:space="preserve">BENELITO J. MICU </v>
      </c>
      <c r="T266" s="780">
        <v>9142</v>
      </c>
      <c r="U266" s="305" t="s">
        <v>1293</v>
      </c>
      <c r="V266" s="447" t="s">
        <v>62</v>
      </c>
      <c r="W266" s="472">
        <v>28414</v>
      </c>
      <c r="X266" s="498">
        <f t="shared" ca="1" si="58"/>
        <v>17691.538043287037</v>
      </c>
      <c r="Y266" s="447" t="s">
        <v>1294</v>
      </c>
      <c r="Z266" s="447"/>
      <c r="AA266" s="493">
        <v>37606</v>
      </c>
      <c r="AB266" s="493">
        <v>37305</v>
      </c>
      <c r="AC266" s="447" t="s">
        <v>64</v>
      </c>
      <c r="AD266" s="512" t="s">
        <v>1295</v>
      </c>
      <c r="AE266" s="512"/>
      <c r="AF266" s="791">
        <v>8854</v>
      </c>
      <c r="AG266" s="530">
        <v>8409</v>
      </c>
      <c r="AH266" s="530">
        <v>9142</v>
      </c>
      <c r="AI266" s="530"/>
      <c r="AJ266" s="530">
        <f t="shared" si="52"/>
        <v>733</v>
      </c>
      <c r="AK266" s="530"/>
      <c r="AL266" s="817" t="s">
        <v>66</v>
      </c>
      <c r="AM266" s="305" t="s">
        <v>1291</v>
      </c>
      <c r="AN266" s="423" t="s">
        <v>1296</v>
      </c>
      <c r="AO266" s="757" t="s">
        <v>420</v>
      </c>
      <c r="AP266" s="447">
        <v>3</v>
      </c>
      <c r="AQ266" s="780">
        <v>9142</v>
      </c>
      <c r="AR266" s="305" t="s">
        <v>1293</v>
      </c>
      <c r="AS266" s="821" t="str">
        <f t="shared" si="57"/>
        <v>With Incumbent</v>
      </c>
      <c r="AT266" s="534"/>
      <c r="AU266" s="822"/>
      <c r="AV266" s="534"/>
      <c r="AW266" s="534"/>
      <c r="AX266" s="837"/>
      <c r="AY266" s="838"/>
    </row>
    <row r="267" spans="1:51" s="531" customFormat="1" ht="22.5" customHeight="1">
      <c r="A267" s="741" t="s">
        <v>1297</v>
      </c>
      <c r="B267" s="742" t="s">
        <v>408</v>
      </c>
      <c r="C267" s="423" t="s">
        <v>140</v>
      </c>
      <c r="D267" s="757" t="s">
        <v>420</v>
      </c>
      <c r="E267" s="448">
        <f t="shared" si="48"/>
        <v>106248</v>
      </c>
      <c r="F267" s="448">
        <f t="shared" si="59"/>
        <v>119004</v>
      </c>
      <c r="G267" s="448">
        <v>92412</v>
      </c>
      <c r="H267" s="447">
        <v>8</v>
      </c>
      <c r="I267" s="770" t="s">
        <v>465</v>
      </c>
      <c r="J267" s="447" t="s">
        <v>64</v>
      </c>
      <c r="K267" s="447" t="s">
        <v>81</v>
      </c>
      <c r="L267" s="447" t="s">
        <v>56</v>
      </c>
      <c r="M267" s="447" t="s">
        <v>408</v>
      </c>
      <c r="N267" s="545" t="s">
        <v>327</v>
      </c>
      <c r="O267" s="447" t="s">
        <v>711</v>
      </c>
      <c r="P267" s="447" t="str">
        <f t="shared" si="51"/>
        <v>ROLANDO</v>
      </c>
      <c r="Q267" s="447"/>
      <c r="R267" s="447" t="s">
        <v>54</v>
      </c>
      <c r="S267" s="534" t="str">
        <f t="shared" si="53"/>
        <v xml:space="preserve">ROLANDO R. BRIONES </v>
      </c>
      <c r="T267" s="780">
        <v>9917</v>
      </c>
      <c r="U267" s="305" t="s">
        <v>1298</v>
      </c>
      <c r="V267" s="447" t="s">
        <v>62</v>
      </c>
      <c r="W267" s="472">
        <v>22999</v>
      </c>
      <c r="X267" s="498">
        <f t="shared" ca="1" si="58"/>
        <v>23106.538043402776</v>
      </c>
      <c r="Y267" s="447" t="s">
        <v>1299</v>
      </c>
      <c r="Z267" s="447"/>
      <c r="AA267" s="493">
        <v>32580</v>
      </c>
      <c r="AB267" s="493">
        <v>32580</v>
      </c>
      <c r="AC267" s="447" t="s">
        <v>64</v>
      </c>
      <c r="AD267" s="512" t="s">
        <v>1295</v>
      </c>
      <c r="AE267" s="512"/>
      <c r="AF267" s="791">
        <v>8854</v>
      </c>
      <c r="AG267" s="530">
        <v>9301</v>
      </c>
      <c r="AH267" s="530">
        <v>9917</v>
      </c>
      <c r="AI267" s="530"/>
      <c r="AJ267" s="530">
        <f t="shared" si="52"/>
        <v>616</v>
      </c>
      <c r="AK267" s="530"/>
      <c r="AL267" s="817" t="s">
        <v>66</v>
      </c>
      <c r="AM267" s="305" t="s">
        <v>1297</v>
      </c>
      <c r="AN267" s="423" t="s">
        <v>1296</v>
      </c>
      <c r="AO267" s="757" t="s">
        <v>420</v>
      </c>
      <c r="AP267" s="447">
        <v>8</v>
      </c>
      <c r="AQ267" s="780">
        <v>9917</v>
      </c>
      <c r="AR267" s="305" t="s">
        <v>1298</v>
      </c>
      <c r="AS267" s="821" t="str">
        <f t="shared" si="57"/>
        <v>With Incumbent</v>
      </c>
      <c r="AT267" s="534"/>
      <c r="AU267" s="822"/>
      <c r="AV267" s="534"/>
      <c r="AW267" s="534"/>
      <c r="AX267" s="837"/>
      <c r="AY267" s="838"/>
    </row>
    <row r="268" spans="1:51" s="531" customFormat="1" ht="22.5" customHeight="1">
      <c r="A268" s="741" t="s">
        <v>1300</v>
      </c>
      <c r="B268" s="742" t="s">
        <v>167</v>
      </c>
      <c r="C268" s="423" t="s">
        <v>140</v>
      </c>
      <c r="D268" s="757" t="s">
        <v>420</v>
      </c>
      <c r="E268" s="448">
        <f t="shared" si="48"/>
        <v>106248</v>
      </c>
      <c r="F268" s="448">
        <f t="shared" si="59"/>
        <v>111504</v>
      </c>
      <c r="G268" s="448">
        <v>83724</v>
      </c>
      <c r="H268" s="447">
        <v>4</v>
      </c>
      <c r="I268" s="770" t="s">
        <v>197</v>
      </c>
      <c r="J268" s="447" t="s">
        <v>64</v>
      </c>
      <c r="K268" s="447" t="s">
        <v>81</v>
      </c>
      <c r="L268" s="447" t="s">
        <v>56</v>
      </c>
      <c r="M268" s="616" t="s">
        <v>57</v>
      </c>
      <c r="N268" s="545" t="s">
        <v>1301</v>
      </c>
      <c r="O268" s="447" t="s">
        <v>1302</v>
      </c>
      <c r="P268" s="447" t="str">
        <f t="shared" si="51"/>
        <v>JASON</v>
      </c>
      <c r="Q268" s="447"/>
      <c r="R268" s="447" t="s">
        <v>77</v>
      </c>
      <c r="S268" s="534" t="str">
        <f t="shared" si="53"/>
        <v xml:space="preserve">JASON S. BALTING </v>
      </c>
      <c r="T268" s="780">
        <v>9292</v>
      </c>
      <c r="U268" s="305" t="s">
        <v>1303</v>
      </c>
      <c r="V268" s="447" t="s">
        <v>62</v>
      </c>
      <c r="W268" s="472">
        <v>26319</v>
      </c>
      <c r="X268" s="498">
        <f t="shared" ca="1" si="58"/>
        <v>19786.538043402776</v>
      </c>
      <c r="Y268" s="447" t="s">
        <v>1304</v>
      </c>
      <c r="Z268" s="447"/>
      <c r="AA268" s="493">
        <v>36356</v>
      </c>
      <c r="AB268" s="493">
        <v>36356</v>
      </c>
      <c r="AC268" s="447" t="s">
        <v>64</v>
      </c>
      <c r="AD268" s="512" t="s">
        <v>138</v>
      </c>
      <c r="AE268" s="512"/>
      <c r="AF268" s="791">
        <v>8854</v>
      </c>
      <c r="AG268" s="530">
        <v>8580</v>
      </c>
      <c r="AH268" s="530">
        <v>9292</v>
      </c>
      <c r="AI268" s="530"/>
      <c r="AJ268" s="530">
        <f t="shared" si="52"/>
        <v>712</v>
      </c>
      <c r="AK268" s="530"/>
      <c r="AL268" s="817" t="s">
        <v>66</v>
      </c>
      <c r="AM268" s="305" t="s">
        <v>1300</v>
      </c>
      <c r="AN268" s="423" t="s">
        <v>1296</v>
      </c>
      <c r="AO268" s="757" t="s">
        <v>420</v>
      </c>
      <c r="AP268" s="447">
        <v>4</v>
      </c>
      <c r="AQ268" s="780">
        <v>9292</v>
      </c>
      <c r="AR268" s="305" t="s">
        <v>1303</v>
      </c>
      <c r="AS268" s="821" t="str">
        <f t="shared" si="57"/>
        <v>With Incumbent</v>
      </c>
      <c r="AT268" s="534"/>
      <c r="AU268" s="822"/>
      <c r="AV268" s="534"/>
      <c r="AW268" s="534"/>
      <c r="AX268" s="837"/>
      <c r="AY268" s="838"/>
    </row>
    <row r="269" spans="1:51" s="531" customFormat="1" ht="22.5" customHeight="1">
      <c r="A269" s="741" t="s">
        <v>1305</v>
      </c>
      <c r="B269" s="742" t="s">
        <v>268</v>
      </c>
      <c r="C269" s="423" t="s">
        <v>140</v>
      </c>
      <c r="D269" s="757" t="s">
        <v>420</v>
      </c>
      <c r="E269" s="448">
        <f t="shared" si="48"/>
        <v>106248</v>
      </c>
      <c r="F269" s="448">
        <f t="shared" si="59"/>
        <v>119004</v>
      </c>
      <c r="G269" s="448">
        <v>94740</v>
      </c>
      <c r="H269" s="447">
        <v>8</v>
      </c>
      <c r="I269" s="770" t="s">
        <v>352</v>
      </c>
      <c r="J269" s="447" t="s">
        <v>64</v>
      </c>
      <c r="K269" s="447" t="s">
        <v>81</v>
      </c>
      <c r="L269" s="447" t="s">
        <v>56</v>
      </c>
      <c r="M269" s="447" t="s">
        <v>268</v>
      </c>
      <c r="N269" s="545" t="s">
        <v>1306</v>
      </c>
      <c r="O269" s="447" t="s">
        <v>1307</v>
      </c>
      <c r="P269" s="447" t="str">
        <f t="shared" si="51"/>
        <v>ROLAND</v>
      </c>
      <c r="Q269" s="447"/>
      <c r="R269" s="447" t="s">
        <v>813</v>
      </c>
      <c r="S269" s="534" t="str">
        <f t="shared" si="53"/>
        <v xml:space="preserve">ROLAND W. SANCHEZ </v>
      </c>
      <c r="T269" s="780">
        <v>9917</v>
      </c>
      <c r="U269" s="305" t="s">
        <v>1308</v>
      </c>
      <c r="V269" s="447" t="s">
        <v>62</v>
      </c>
      <c r="W269" s="472">
        <v>20344</v>
      </c>
      <c r="X269" s="498">
        <f t="shared" ca="1" si="58"/>
        <v>25761.538043287037</v>
      </c>
      <c r="Y269" s="447" t="s">
        <v>1309</v>
      </c>
      <c r="Z269" s="447"/>
      <c r="AA269" s="493">
        <v>28467</v>
      </c>
      <c r="AB269" s="493">
        <v>28467</v>
      </c>
      <c r="AC269" s="447" t="s">
        <v>64</v>
      </c>
      <c r="AD269" s="512" t="s">
        <v>138</v>
      </c>
      <c r="AE269" s="512"/>
      <c r="AF269" s="791">
        <v>8854</v>
      </c>
      <c r="AG269" s="530">
        <v>9301</v>
      </c>
      <c r="AH269" s="530">
        <v>9917</v>
      </c>
      <c r="AI269" s="530"/>
      <c r="AJ269" s="530">
        <f t="shared" si="52"/>
        <v>616</v>
      </c>
      <c r="AK269" s="530"/>
      <c r="AL269" s="817" t="s">
        <v>66</v>
      </c>
      <c r="AM269" s="305" t="s">
        <v>1305</v>
      </c>
      <c r="AN269" s="423" t="s">
        <v>1296</v>
      </c>
      <c r="AO269" s="757" t="s">
        <v>420</v>
      </c>
      <c r="AP269" s="447">
        <v>8</v>
      </c>
      <c r="AQ269" s="780">
        <v>9917</v>
      </c>
      <c r="AR269" s="305" t="s">
        <v>1308</v>
      </c>
      <c r="AS269" s="821" t="str">
        <f t="shared" si="57"/>
        <v>With Incumbent</v>
      </c>
      <c r="AT269" s="534"/>
      <c r="AU269" s="822"/>
      <c r="AV269" s="534"/>
      <c r="AW269" s="534"/>
      <c r="AX269" s="837"/>
      <c r="AY269" s="838"/>
    </row>
    <row r="270" spans="1:51" s="531" customFormat="1" ht="22.5" customHeight="1">
      <c r="A270" s="741" t="s">
        <v>1310</v>
      </c>
      <c r="B270" s="742" t="s">
        <v>174</v>
      </c>
      <c r="C270" s="423" t="s">
        <v>140</v>
      </c>
      <c r="D270" s="757" t="s">
        <v>420</v>
      </c>
      <c r="E270" s="448">
        <f t="shared" si="48"/>
        <v>106248</v>
      </c>
      <c r="F270" s="448">
        <f t="shared" si="59"/>
        <v>117072</v>
      </c>
      <c r="G270" s="448">
        <v>90180</v>
      </c>
      <c r="H270" s="447">
        <v>7</v>
      </c>
      <c r="I270" s="770" t="s">
        <v>487</v>
      </c>
      <c r="J270" s="447" t="s">
        <v>64</v>
      </c>
      <c r="K270" s="447" t="s">
        <v>81</v>
      </c>
      <c r="L270" s="447" t="s">
        <v>56</v>
      </c>
      <c r="M270" s="447" t="s">
        <v>174</v>
      </c>
      <c r="N270" s="545" t="s">
        <v>1311</v>
      </c>
      <c r="O270" s="447" t="s">
        <v>1312</v>
      </c>
      <c r="P270" s="447" t="str">
        <f t="shared" si="51"/>
        <v>JULIUS</v>
      </c>
      <c r="Q270" s="447"/>
      <c r="R270" s="447" t="s">
        <v>122</v>
      </c>
      <c r="S270" s="534" t="str">
        <f t="shared" si="53"/>
        <v xml:space="preserve">JULIUS C. INHUMANG </v>
      </c>
      <c r="T270" s="780">
        <v>9756</v>
      </c>
      <c r="U270" s="305" t="s">
        <v>1313</v>
      </c>
      <c r="V270" s="447" t="s">
        <v>62</v>
      </c>
      <c r="W270" s="472">
        <v>20643</v>
      </c>
      <c r="X270" s="498">
        <f t="shared" ca="1" si="58"/>
        <v>25462.538043402776</v>
      </c>
      <c r="Y270" s="447" t="s">
        <v>1314</v>
      </c>
      <c r="Z270" s="447"/>
      <c r="AA270" s="493">
        <v>33591</v>
      </c>
      <c r="AB270" s="493">
        <v>33591</v>
      </c>
      <c r="AC270" s="447" t="s">
        <v>64</v>
      </c>
      <c r="AD270" s="512" t="s">
        <v>1295</v>
      </c>
      <c r="AE270" s="512"/>
      <c r="AF270" s="791">
        <v>8854</v>
      </c>
      <c r="AG270" s="530">
        <v>9113</v>
      </c>
      <c r="AH270" s="530">
        <v>9756</v>
      </c>
      <c r="AI270" s="530"/>
      <c r="AJ270" s="530">
        <f t="shared" si="52"/>
        <v>643</v>
      </c>
      <c r="AK270" s="530"/>
      <c r="AL270" s="817" t="s">
        <v>66</v>
      </c>
      <c r="AM270" s="305" t="s">
        <v>1310</v>
      </c>
      <c r="AN270" s="423" t="s">
        <v>1296</v>
      </c>
      <c r="AO270" s="757" t="s">
        <v>420</v>
      </c>
      <c r="AP270" s="447">
        <v>7</v>
      </c>
      <c r="AQ270" s="780">
        <v>9756</v>
      </c>
      <c r="AR270" s="305" t="s">
        <v>1313</v>
      </c>
      <c r="AS270" s="853" t="str">
        <f>IF(AR270="(Vacant)",AR270,IF(AR270="",AR270,IF(AR270="To be Abolished",AR270,"With Incumbent")))</f>
        <v>With Incumbent</v>
      </c>
      <c r="AT270" s="856" t="s">
        <v>446</v>
      </c>
      <c r="AU270" s="857"/>
      <c r="AV270" s="856"/>
      <c r="AW270" s="856"/>
      <c r="AX270" s="862"/>
      <c r="AY270" s="921" t="s">
        <v>447</v>
      </c>
    </row>
    <row r="271" spans="1:51" s="531" customFormat="1" ht="22.5" customHeight="1">
      <c r="A271" s="741" t="s">
        <v>1315</v>
      </c>
      <c r="B271" s="742" t="s">
        <v>211</v>
      </c>
      <c r="C271" s="423" t="s">
        <v>140</v>
      </c>
      <c r="D271" s="757" t="s">
        <v>420</v>
      </c>
      <c r="E271" s="448">
        <f t="shared" si="48"/>
        <v>106248</v>
      </c>
      <c r="F271" s="448">
        <f t="shared" si="59"/>
        <v>106248</v>
      </c>
      <c r="G271" s="448" t="s">
        <v>131</v>
      </c>
      <c r="H271" s="447">
        <v>1</v>
      </c>
      <c r="I271" s="770" t="s">
        <v>494</v>
      </c>
      <c r="J271" s="447" t="s">
        <v>64</v>
      </c>
      <c r="K271" s="447" t="s">
        <v>81</v>
      </c>
      <c r="L271" s="447" t="s">
        <v>56</v>
      </c>
      <c r="M271" s="447"/>
      <c r="N271" s="545"/>
      <c r="O271" s="447"/>
      <c r="P271" s="447" t="str">
        <f t="shared" si="51"/>
        <v/>
      </c>
      <c r="Q271" s="447"/>
      <c r="R271" s="447"/>
      <c r="S271" s="534" t="s">
        <v>1316</v>
      </c>
      <c r="T271" s="780">
        <v>8854</v>
      </c>
      <c r="U271" s="781" t="s">
        <v>88</v>
      </c>
      <c r="V271" s="447"/>
      <c r="W271" s="472"/>
      <c r="X271" s="447"/>
      <c r="Y271" s="447"/>
      <c r="Z271" s="447"/>
      <c r="AA271" s="493"/>
      <c r="AB271" s="493"/>
      <c r="AC271" s="447"/>
      <c r="AD271" s="512"/>
      <c r="AE271" s="512"/>
      <c r="AF271" s="791">
        <v>8854</v>
      </c>
      <c r="AG271" s="530">
        <v>8080</v>
      </c>
      <c r="AH271" s="530">
        <v>8854</v>
      </c>
      <c r="AI271" s="530"/>
      <c r="AJ271" s="530">
        <f t="shared" si="52"/>
        <v>774</v>
      </c>
      <c r="AK271" s="530"/>
      <c r="AL271" s="817" t="s">
        <v>66</v>
      </c>
      <c r="AM271" s="305" t="s">
        <v>1315</v>
      </c>
      <c r="AN271" s="423" t="s">
        <v>1296</v>
      </c>
      <c r="AO271" s="757" t="s">
        <v>420</v>
      </c>
      <c r="AP271" s="447">
        <v>1</v>
      </c>
      <c r="AQ271" s="780">
        <v>8854</v>
      </c>
      <c r="AR271" s="781" t="s">
        <v>397</v>
      </c>
      <c r="AS271" s="853" t="str">
        <f>IF(AR271="(Vacant)",AR271,IF(AR271="",AR271,IF(AR271="To be Abolished",AR271,"With Incumbent")))</f>
        <v>To be Abolished</v>
      </c>
      <c r="AT271" s="534"/>
      <c r="AU271" s="822"/>
      <c r="AV271" s="534"/>
      <c r="AW271" s="534"/>
      <c r="AX271" s="837"/>
      <c r="AY271" s="838"/>
    </row>
    <row r="272" spans="1:51" s="531" customFormat="1" ht="22.5" customHeight="1">
      <c r="A272" s="741" t="s">
        <v>1317</v>
      </c>
      <c r="B272" s="742" t="s">
        <v>189</v>
      </c>
      <c r="C272" s="423" t="s">
        <v>140</v>
      </c>
      <c r="D272" s="757" t="s">
        <v>420</v>
      </c>
      <c r="E272" s="448">
        <f t="shared" si="48"/>
        <v>106248</v>
      </c>
      <c r="F272" s="448">
        <f t="shared" si="59"/>
        <v>119004</v>
      </c>
      <c r="G272" s="448">
        <v>92412</v>
      </c>
      <c r="H272" s="447">
        <v>8</v>
      </c>
      <c r="I272" s="770" t="s">
        <v>197</v>
      </c>
      <c r="J272" s="447" t="s">
        <v>64</v>
      </c>
      <c r="K272" s="447" t="s">
        <v>64</v>
      </c>
      <c r="L272" s="447" t="s">
        <v>56</v>
      </c>
      <c r="M272" s="616" t="s">
        <v>408</v>
      </c>
      <c r="N272" s="545" t="s">
        <v>1318</v>
      </c>
      <c r="O272" s="447" t="s">
        <v>1319</v>
      </c>
      <c r="P272" s="447" t="str">
        <f t="shared" si="51"/>
        <v>CARLOS</v>
      </c>
      <c r="Q272" s="447"/>
      <c r="R272" s="447" t="s">
        <v>64</v>
      </c>
      <c r="S272" s="534" t="str">
        <f t="shared" si="53"/>
        <v xml:space="preserve">CARLOS P. BARGAS </v>
      </c>
      <c r="T272" s="780">
        <v>9917</v>
      </c>
      <c r="U272" s="305" t="s">
        <v>1320</v>
      </c>
      <c r="V272" s="447" t="s">
        <v>62</v>
      </c>
      <c r="W272" s="472">
        <v>19164</v>
      </c>
      <c r="X272" s="498">
        <f t="shared" ref="X272:X284" ca="1" si="60">(NOW()-W272)</f>
        <v>26941.538043287037</v>
      </c>
      <c r="Y272" s="447" t="s">
        <v>1321</v>
      </c>
      <c r="Z272" s="447"/>
      <c r="AA272" s="493">
        <v>32531</v>
      </c>
      <c r="AB272" s="493">
        <v>32531</v>
      </c>
      <c r="AC272" s="447" t="s">
        <v>64</v>
      </c>
      <c r="AD272" s="512" t="s">
        <v>1295</v>
      </c>
      <c r="AE272" s="512"/>
      <c r="AF272" s="791">
        <v>8854</v>
      </c>
      <c r="AG272" s="530">
        <v>9301</v>
      </c>
      <c r="AH272" s="530">
        <v>9917</v>
      </c>
      <c r="AI272" s="530"/>
      <c r="AJ272" s="530">
        <f t="shared" si="52"/>
        <v>616</v>
      </c>
      <c r="AK272" s="530"/>
      <c r="AL272" s="817" t="s">
        <v>66</v>
      </c>
      <c r="AM272" s="305" t="s">
        <v>1317</v>
      </c>
      <c r="AN272" s="423" t="s">
        <v>1296</v>
      </c>
      <c r="AO272" s="757" t="s">
        <v>420</v>
      </c>
      <c r="AP272" s="447">
        <v>8</v>
      </c>
      <c r="AQ272" s="780">
        <v>9917</v>
      </c>
      <c r="AR272" s="305" t="s">
        <v>1320</v>
      </c>
      <c r="AS272" s="853" t="str">
        <f>IF(AR272="(Vacant)",AR272,IF(AR272="",AR272,IF(AR272="To be Abolished",AR272,"With Incumbent")))</f>
        <v>With Incumbent</v>
      </c>
      <c r="AT272" s="856" t="s">
        <v>446</v>
      </c>
      <c r="AU272" s="857"/>
      <c r="AV272" s="856"/>
      <c r="AW272" s="856"/>
      <c r="AX272" s="862"/>
      <c r="AY272" s="921" t="s">
        <v>447</v>
      </c>
    </row>
    <row r="273" spans="1:51" s="531" customFormat="1" ht="22.5" hidden="1" customHeight="1">
      <c r="A273" s="741" t="s">
        <v>1322</v>
      </c>
      <c r="B273" s="742" t="s">
        <v>174</v>
      </c>
      <c r="C273" s="423" t="s">
        <v>449</v>
      </c>
      <c r="D273" s="757" t="s">
        <v>440</v>
      </c>
      <c r="E273" s="448">
        <f t="shared" ref="E273:E284" si="61">AF273*12</f>
        <v>98268</v>
      </c>
      <c r="F273" s="448">
        <f t="shared" si="59"/>
        <v>110040</v>
      </c>
      <c r="G273" s="448">
        <v>86928</v>
      </c>
      <c r="H273" s="447">
        <v>8</v>
      </c>
      <c r="I273" s="770" t="s">
        <v>487</v>
      </c>
      <c r="J273" s="447" t="s">
        <v>64</v>
      </c>
      <c r="K273" s="447" t="s">
        <v>81</v>
      </c>
      <c r="L273" s="447" t="s">
        <v>56</v>
      </c>
      <c r="M273" s="447" t="s">
        <v>174</v>
      </c>
      <c r="N273" s="545" t="s">
        <v>1323</v>
      </c>
      <c r="O273" s="447" t="s">
        <v>852</v>
      </c>
      <c r="P273" s="447" t="str">
        <f t="shared" si="51"/>
        <v>JOHNNY</v>
      </c>
      <c r="Q273" s="447"/>
      <c r="R273" s="447" t="s">
        <v>813</v>
      </c>
      <c r="S273" s="534" t="str">
        <f t="shared" si="53"/>
        <v xml:space="preserve">JOHNNY W. TALUPA </v>
      </c>
      <c r="T273" s="780">
        <v>9170</v>
      </c>
      <c r="U273" s="305" t="s">
        <v>1324</v>
      </c>
      <c r="V273" s="447" t="s">
        <v>62</v>
      </c>
      <c r="W273" s="472">
        <v>18920</v>
      </c>
      <c r="X273" s="498">
        <f t="shared" ca="1" si="60"/>
        <v>27185.538043402776</v>
      </c>
      <c r="Y273" s="447" t="s">
        <v>1325</v>
      </c>
      <c r="Z273" s="447"/>
      <c r="AA273" s="493">
        <v>31260</v>
      </c>
      <c r="AB273" s="493">
        <v>31260</v>
      </c>
      <c r="AC273" s="447" t="s">
        <v>64</v>
      </c>
      <c r="AD273" s="512" t="s">
        <v>1326</v>
      </c>
      <c r="AE273" s="512"/>
      <c r="AF273" s="791">
        <v>8189</v>
      </c>
      <c r="AG273" s="530">
        <v>8569</v>
      </c>
      <c r="AH273" s="530">
        <v>9170</v>
      </c>
      <c r="AI273" s="530"/>
      <c r="AJ273" s="530">
        <f t="shared" si="52"/>
        <v>601</v>
      </c>
      <c r="AK273" s="530"/>
      <c r="AL273" s="806" t="s">
        <v>126</v>
      </c>
      <c r="AM273" s="745"/>
      <c r="AN273" s="742"/>
      <c r="AO273" s="757"/>
      <c r="AP273" s="447"/>
      <c r="AQ273" s="780"/>
      <c r="AR273" s="305"/>
      <c r="AS273" s="305"/>
      <c r="AT273" s="534" t="s">
        <v>446</v>
      </c>
      <c r="AU273" s="822"/>
      <c r="AV273" s="534"/>
      <c r="AW273" s="534"/>
      <c r="AX273" s="837"/>
      <c r="AY273" s="838"/>
    </row>
    <row r="274" spans="1:51" s="531" customFormat="1" ht="22.5" hidden="1" customHeight="1">
      <c r="A274" s="741" t="s">
        <v>1327</v>
      </c>
      <c r="B274" s="742" t="s">
        <v>211</v>
      </c>
      <c r="C274" s="423" t="s">
        <v>449</v>
      </c>
      <c r="D274" s="757" t="s">
        <v>440</v>
      </c>
      <c r="E274" s="448">
        <f t="shared" si="61"/>
        <v>98268</v>
      </c>
      <c r="F274" s="448">
        <f t="shared" si="59"/>
        <v>108264</v>
      </c>
      <c r="G274" s="448">
        <v>82728</v>
      </c>
      <c r="H274" s="447">
        <v>7</v>
      </c>
      <c r="I274" s="770" t="s">
        <v>494</v>
      </c>
      <c r="J274" s="447" t="s">
        <v>64</v>
      </c>
      <c r="K274" s="447" t="s">
        <v>81</v>
      </c>
      <c r="L274" s="447" t="s">
        <v>56</v>
      </c>
      <c r="M274" s="447" t="s">
        <v>211</v>
      </c>
      <c r="N274" s="545" t="s">
        <v>1328</v>
      </c>
      <c r="O274" s="447" t="s">
        <v>521</v>
      </c>
      <c r="P274" s="447" t="str">
        <f t="shared" si="51"/>
        <v>MARVIN</v>
      </c>
      <c r="Q274" s="447"/>
      <c r="R274" s="447" t="s">
        <v>100</v>
      </c>
      <c r="S274" s="534" t="str">
        <f t="shared" si="53"/>
        <v xml:space="preserve">MARVIN F. FERNANDO </v>
      </c>
      <c r="T274" s="780">
        <v>9022</v>
      </c>
      <c r="U274" s="305" t="s">
        <v>1329</v>
      </c>
      <c r="V274" s="447" t="s">
        <v>62</v>
      </c>
      <c r="W274" s="472">
        <v>23494</v>
      </c>
      <c r="X274" s="498">
        <f t="shared" ca="1" si="60"/>
        <v>22611.538043402776</v>
      </c>
      <c r="Y274" s="447" t="s">
        <v>1330</v>
      </c>
      <c r="Z274" s="447"/>
      <c r="AA274" s="493">
        <v>33175</v>
      </c>
      <c r="AB274" s="493">
        <v>33175</v>
      </c>
      <c r="AC274" s="447" t="s">
        <v>64</v>
      </c>
      <c r="AD274" s="512" t="s">
        <v>1331</v>
      </c>
      <c r="AE274" s="512"/>
      <c r="AF274" s="791">
        <v>8189</v>
      </c>
      <c r="AG274" s="530">
        <v>8397</v>
      </c>
      <c r="AH274" s="530">
        <v>9022</v>
      </c>
      <c r="AI274" s="530"/>
      <c r="AJ274" s="530">
        <f t="shared" si="52"/>
        <v>625</v>
      </c>
      <c r="AK274" s="530"/>
      <c r="AL274" s="803" t="s">
        <v>245</v>
      </c>
      <c r="AM274" s="305" t="s">
        <v>1327</v>
      </c>
      <c r="AN274" s="423" t="s">
        <v>1332</v>
      </c>
      <c r="AO274" s="757" t="s">
        <v>440</v>
      </c>
      <c r="AP274" s="447">
        <v>7</v>
      </c>
      <c r="AQ274" s="780">
        <v>9022</v>
      </c>
      <c r="AR274" s="305" t="s">
        <v>1329</v>
      </c>
      <c r="AS274" s="821" t="str">
        <f>IF(AR274="(Vacant)",AR274,IF(AR274="",AR274,"With Incumbent"))</f>
        <v>With Incumbent</v>
      </c>
      <c r="AT274" s="534"/>
      <c r="AU274" s="822"/>
      <c r="AV274" s="534"/>
      <c r="AW274" s="534"/>
      <c r="AX274" s="837"/>
      <c r="AY274" s="838"/>
    </row>
    <row r="275" spans="1:51" s="531" customFormat="1" ht="22.5" hidden="1" customHeight="1">
      <c r="A275" s="741" t="s">
        <v>1333</v>
      </c>
      <c r="B275" s="742" t="s">
        <v>408</v>
      </c>
      <c r="C275" s="423" t="s">
        <v>449</v>
      </c>
      <c r="D275" s="757" t="s">
        <v>440</v>
      </c>
      <c r="E275" s="448">
        <f t="shared" si="61"/>
        <v>98268</v>
      </c>
      <c r="F275" s="448">
        <f t="shared" si="59"/>
        <v>110040</v>
      </c>
      <c r="G275" s="448">
        <v>84792</v>
      </c>
      <c r="H275" s="447">
        <v>8</v>
      </c>
      <c r="I275" s="770" t="s">
        <v>465</v>
      </c>
      <c r="J275" s="447" t="s">
        <v>64</v>
      </c>
      <c r="K275" s="447" t="s">
        <v>81</v>
      </c>
      <c r="L275" s="447" t="s">
        <v>56</v>
      </c>
      <c r="M275" s="447" t="s">
        <v>408</v>
      </c>
      <c r="N275" s="545" t="s">
        <v>1334</v>
      </c>
      <c r="O275" s="447" t="s">
        <v>1335</v>
      </c>
      <c r="P275" s="447" t="str">
        <f t="shared" si="51"/>
        <v>MELCHOR</v>
      </c>
      <c r="Q275" s="447"/>
      <c r="R275" s="447" t="s">
        <v>158</v>
      </c>
      <c r="S275" s="534" t="str">
        <f t="shared" si="53"/>
        <v xml:space="preserve">MELCHOR T. ADAME </v>
      </c>
      <c r="T275" s="780">
        <v>9170</v>
      </c>
      <c r="U275" s="305" t="s">
        <v>1336</v>
      </c>
      <c r="V275" s="447" t="s">
        <v>62</v>
      </c>
      <c r="W275" s="472">
        <v>21921</v>
      </c>
      <c r="X275" s="498">
        <f t="shared" ca="1" si="60"/>
        <v>24184.538043287037</v>
      </c>
      <c r="Y275" s="447" t="s">
        <v>1337</v>
      </c>
      <c r="Z275" s="447"/>
      <c r="AA275" s="493">
        <v>32559</v>
      </c>
      <c r="AB275" s="493">
        <v>32559</v>
      </c>
      <c r="AC275" s="447" t="s">
        <v>64</v>
      </c>
      <c r="AD275" s="512" t="s">
        <v>138</v>
      </c>
      <c r="AE275" s="512"/>
      <c r="AF275" s="791">
        <v>8189</v>
      </c>
      <c r="AG275" s="530">
        <v>8569</v>
      </c>
      <c r="AH275" s="530">
        <v>9170</v>
      </c>
      <c r="AI275" s="530"/>
      <c r="AJ275" s="530">
        <f t="shared" si="52"/>
        <v>601</v>
      </c>
      <c r="AK275" s="530"/>
      <c r="AL275" s="806" t="s">
        <v>126</v>
      </c>
      <c r="AM275" s="745"/>
      <c r="AN275" s="742"/>
      <c r="AO275" s="757"/>
      <c r="AP275" s="447"/>
      <c r="AQ275" s="780"/>
      <c r="AR275" s="305"/>
      <c r="AS275" s="305"/>
      <c r="AT275" s="534" t="s">
        <v>446</v>
      </c>
      <c r="AU275" s="822"/>
      <c r="AV275" s="534"/>
      <c r="AW275" s="534"/>
      <c r="AX275" s="837"/>
      <c r="AY275" s="838"/>
    </row>
    <row r="276" spans="1:51" s="531" customFormat="1" ht="22.5" hidden="1" customHeight="1">
      <c r="A276" s="741" t="s">
        <v>1338</v>
      </c>
      <c r="B276" s="742" t="s">
        <v>181</v>
      </c>
      <c r="C276" s="423" t="s">
        <v>449</v>
      </c>
      <c r="D276" s="757" t="s">
        <v>440</v>
      </c>
      <c r="E276" s="448">
        <f t="shared" si="61"/>
        <v>98268</v>
      </c>
      <c r="F276" s="448">
        <f t="shared" si="59"/>
        <v>104796</v>
      </c>
      <c r="G276" s="448">
        <v>78756</v>
      </c>
      <c r="H276" s="447">
        <v>5</v>
      </c>
      <c r="I276" s="770" t="s">
        <v>223</v>
      </c>
      <c r="J276" s="447" t="s">
        <v>64</v>
      </c>
      <c r="K276" s="447" t="s">
        <v>81</v>
      </c>
      <c r="L276" s="447" t="s">
        <v>56</v>
      </c>
      <c r="M276" s="447" t="s">
        <v>181</v>
      </c>
      <c r="N276" s="545" t="s">
        <v>1339</v>
      </c>
      <c r="O276" s="447" t="s">
        <v>1340</v>
      </c>
      <c r="P276" s="447" t="str">
        <f t="shared" si="51"/>
        <v>JOSELITA</v>
      </c>
      <c r="Q276" s="447"/>
      <c r="R276" s="447" t="s">
        <v>54</v>
      </c>
      <c r="S276" s="534" t="str">
        <f t="shared" si="53"/>
        <v xml:space="preserve">JOSELITA R. CUYUGAN </v>
      </c>
      <c r="T276" s="780">
        <v>8733</v>
      </c>
      <c r="U276" s="305" t="s">
        <v>1341</v>
      </c>
      <c r="V276" s="447" t="s">
        <v>100</v>
      </c>
      <c r="W276" s="472">
        <v>21306</v>
      </c>
      <c r="X276" s="498">
        <f t="shared" ca="1" si="60"/>
        <v>24799.538043402776</v>
      </c>
      <c r="Y276" s="447" t="s">
        <v>1342</v>
      </c>
      <c r="Z276" s="447"/>
      <c r="AA276" s="493">
        <v>35457</v>
      </c>
      <c r="AB276" s="493">
        <v>35457</v>
      </c>
      <c r="AC276" s="447" t="s">
        <v>64</v>
      </c>
      <c r="AD276" s="512" t="s">
        <v>1331</v>
      </c>
      <c r="AE276" s="512"/>
      <c r="AF276" s="791">
        <v>8189</v>
      </c>
      <c r="AG276" s="530">
        <v>8065</v>
      </c>
      <c r="AH276" s="530">
        <v>8733</v>
      </c>
      <c r="AI276" s="530"/>
      <c r="AJ276" s="530">
        <f t="shared" si="52"/>
        <v>668</v>
      </c>
      <c r="AK276" s="530"/>
      <c r="AL276" s="806" t="s">
        <v>126</v>
      </c>
      <c r="AM276" s="745"/>
      <c r="AN276" s="742"/>
      <c r="AO276" s="757"/>
      <c r="AP276" s="447"/>
      <c r="AQ276" s="780"/>
      <c r="AR276" s="305"/>
      <c r="AS276" s="305"/>
      <c r="AT276" s="534" t="s">
        <v>446</v>
      </c>
      <c r="AU276" s="822"/>
      <c r="AV276" s="534"/>
      <c r="AW276" s="534"/>
      <c r="AX276" s="837"/>
      <c r="AY276" s="838"/>
    </row>
    <row r="277" spans="1:51" s="531" customFormat="1" ht="22.5" hidden="1" customHeight="1">
      <c r="A277" s="741" t="s">
        <v>1343</v>
      </c>
      <c r="B277" s="742" t="s">
        <v>167</v>
      </c>
      <c r="C277" s="423" t="s">
        <v>449</v>
      </c>
      <c r="D277" s="757" t="s">
        <v>440</v>
      </c>
      <c r="E277" s="448">
        <f t="shared" si="61"/>
        <v>98268</v>
      </c>
      <c r="F277" s="448">
        <f t="shared" si="59"/>
        <v>103128</v>
      </c>
      <c r="G277" s="448">
        <v>78744</v>
      </c>
      <c r="H277" s="447">
        <v>4</v>
      </c>
      <c r="I277" s="770" t="s">
        <v>197</v>
      </c>
      <c r="J277" s="447" t="s">
        <v>64</v>
      </c>
      <c r="K277" s="447" t="s">
        <v>81</v>
      </c>
      <c r="L277" s="447" t="s">
        <v>56</v>
      </c>
      <c r="M277" s="447" t="s">
        <v>167</v>
      </c>
      <c r="N277" s="545" t="s">
        <v>1344</v>
      </c>
      <c r="O277" s="447" t="s">
        <v>1287</v>
      </c>
      <c r="P277" s="447" t="str">
        <f t="shared" si="51"/>
        <v>RANDY</v>
      </c>
      <c r="Q277" s="447"/>
      <c r="R277" s="447" t="s">
        <v>62</v>
      </c>
      <c r="S277" s="534" t="str">
        <f t="shared" si="53"/>
        <v xml:space="preserve">RANDY M. VENTURINA </v>
      </c>
      <c r="T277" s="780">
        <v>8594</v>
      </c>
      <c r="U277" s="305" t="s">
        <v>1345</v>
      </c>
      <c r="V277" s="447" t="s">
        <v>62</v>
      </c>
      <c r="W277" s="472">
        <v>27087</v>
      </c>
      <c r="X277" s="498">
        <f t="shared" ca="1" si="60"/>
        <v>19018.538043402776</v>
      </c>
      <c r="Y277" s="447" t="s">
        <v>1346</v>
      </c>
      <c r="Z277" s="447"/>
      <c r="AA277" s="493">
        <v>35096</v>
      </c>
      <c r="AB277" s="493">
        <v>36130</v>
      </c>
      <c r="AC277" s="447" t="s">
        <v>64</v>
      </c>
      <c r="AD277" s="512" t="s">
        <v>1331</v>
      </c>
      <c r="AE277" s="512"/>
      <c r="AF277" s="791">
        <v>8189</v>
      </c>
      <c r="AG277" s="530">
        <v>7906</v>
      </c>
      <c r="AH277" s="530">
        <v>8594</v>
      </c>
      <c r="AI277" s="530"/>
      <c r="AJ277" s="530">
        <f t="shared" si="52"/>
        <v>688</v>
      </c>
      <c r="AK277" s="530"/>
      <c r="AL277" s="806" t="s">
        <v>126</v>
      </c>
      <c r="AM277" s="745"/>
      <c r="AN277" s="742"/>
      <c r="AO277" s="757"/>
      <c r="AP277" s="447"/>
      <c r="AQ277" s="780"/>
      <c r="AR277" s="305"/>
      <c r="AS277" s="305"/>
      <c r="AT277" s="534" t="s">
        <v>446</v>
      </c>
      <c r="AU277" s="822"/>
      <c r="AV277" s="534"/>
      <c r="AW277" s="534"/>
      <c r="AX277" s="837"/>
      <c r="AY277" s="838"/>
    </row>
    <row r="278" spans="1:51" s="531" customFormat="1" ht="22.5" hidden="1" customHeight="1">
      <c r="A278" s="741" t="s">
        <v>1347</v>
      </c>
      <c r="B278" s="742" t="s">
        <v>268</v>
      </c>
      <c r="C278" s="423" t="s">
        <v>449</v>
      </c>
      <c r="D278" s="757" t="s">
        <v>440</v>
      </c>
      <c r="E278" s="448">
        <f t="shared" si="61"/>
        <v>98268</v>
      </c>
      <c r="F278" s="448">
        <f t="shared" si="59"/>
        <v>103128</v>
      </c>
      <c r="G278" s="448">
        <v>76824</v>
      </c>
      <c r="H278" s="447">
        <v>4</v>
      </c>
      <c r="I278" s="770" t="s">
        <v>352</v>
      </c>
      <c r="J278" s="447" t="s">
        <v>64</v>
      </c>
      <c r="K278" s="447" t="s">
        <v>81</v>
      </c>
      <c r="L278" s="447" t="s">
        <v>56</v>
      </c>
      <c r="M278" s="447" t="s">
        <v>268</v>
      </c>
      <c r="N278" s="545" t="s">
        <v>1348</v>
      </c>
      <c r="O278" s="447" t="s">
        <v>1349</v>
      </c>
      <c r="P278" s="447" t="str">
        <f t="shared" si="51"/>
        <v>JAYVEE</v>
      </c>
      <c r="Q278" s="447"/>
      <c r="R278" s="447" t="s">
        <v>62</v>
      </c>
      <c r="S278" s="534" t="str">
        <f t="shared" si="53"/>
        <v xml:space="preserve">JAYVEE M. BANDONILL </v>
      </c>
      <c r="T278" s="780">
        <v>8594</v>
      </c>
      <c r="U278" s="305" t="s">
        <v>1350</v>
      </c>
      <c r="V278" s="447" t="s">
        <v>62</v>
      </c>
      <c r="W278" s="472">
        <v>24896</v>
      </c>
      <c r="X278" s="498">
        <f t="shared" ca="1" si="60"/>
        <v>21209.538043287037</v>
      </c>
      <c r="Y278" s="447" t="s">
        <v>1351</v>
      </c>
      <c r="Z278" s="447"/>
      <c r="AA278" s="493">
        <v>32804</v>
      </c>
      <c r="AB278" s="493">
        <v>36325</v>
      </c>
      <c r="AC278" s="447" t="s">
        <v>64</v>
      </c>
      <c r="AD278" s="512" t="s">
        <v>138</v>
      </c>
      <c r="AE278" s="512"/>
      <c r="AF278" s="791">
        <v>8189</v>
      </c>
      <c r="AG278" s="530">
        <v>7906</v>
      </c>
      <c r="AH278" s="530">
        <v>8594</v>
      </c>
      <c r="AI278" s="530"/>
      <c r="AJ278" s="530">
        <f t="shared" si="52"/>
        <v>688</v>
      </c>
      <c r="AK278" s="530"/>
      <c r="AL278" s="806" t="s">
        <v>126</v>
      </c>
      <c r="AM278" s="745"/>
      <c r="AN278" s="742"/>
      <c r="AO278" s="757"/>
      <c r="AP278" s="447"/>
      <c r="AQ278" s="780"/>
      <c r="AR278" s="305"/>
      <c r="AS278" s="305"/>
      <c r="AT278" s="534" t="s">
        <v>127</v>
      </c>
      <c r="AU278" s="822"/>
      <c r="AV278" s="534"/>
      <c r="AW278" s="534"/>
      <c r="AX278" s="837"/>
      <c r="AY278" s="838" t="s">
        <v>1352</v>
      </c>
    </row>
    <row r="279" spans="1:51" s="531" customFormat="1" ht="22.5" customHeight="1">
      <c r="A279" s="741" t="s">
        <v>1353</v>
      </c>
      <c r="B279" s="742" t="s">
        <v>167</v>
      </c>
      <c r="C279" s="423" t="s">
        <v>457</v>
      </c>
      <c r="D279" s="757" t="s">
        <v>458</v>
      </c>
      <c r="E279" s="448">
        <f t="shared" si="61"/>
        <v>90900</v>
      </c>
      <c r="F279" s="448">
        <f t="shared" si="59"/>
        <v>93840</v>
      </c>
      <c r="G279" s="448">
        <v>70476</v>
      </c>
      <c r="H279" s="447">
        <v>3</v>
      </c>
      <c r="I279" s="770" t="s">
        <v>197</v>
      </c>
      <c r="J279" s="447" t="s">
        <v>64</v>
      </c>
      <c r="K279" s="447" t="s">
        <v>81</v>
      </c>
      <c r="L279" s="447" t="s">
        <v>1354</v>
      </c>
      <c r="M279" s="447" t="s">
        <v>167</v>
      </c>
      <c r="N279" s="545" t="s">
        <v>307</v>
      </c>
      <c r="O279" s="447" t="s">
        <v>1355</v>
      </c>
      <c r="P279" s="447" t="str">
        <f t="shared" si="51"/>
        <v>CRISANTO</v>
      </c>
      <c r="Q279" s="447"/>
      <c r="R279" s="447" t="s">
        <v>170</v>
      </c>
      <c r="S279" s="534" t="str">
        <f t="shared" si="53"/>
        <v xml:space="preserve">CRISANTO I. SAINGAN </v>
      </c>
      <c r="T279" s="780">
        <v>7820</v>
      </c>
      <c r="U279" s="305" t="s">
        <v>1356</v>
      </c>
      <c r="V279" s="447" t="s">
        <v>62</v>
      </c>
      <c r="W279" s="472">
        <v>27739</v>
      </c>
      <c r="X279" s="498">
        <f t="shared" ca="1" si="60"/>
        <v>18366.538043402776</v>
      </c>
      <c r="Y279" s="447" t="s">
        <v>362</v>
      </c>
      <c r="Z279" s="447"/>
      <c r="AA279" s="493">
        <v>37165</v>
      </c>
      <c r="AB279" s="493">
        <v>37165</v>
      </c>
      <c r="AC279" s="447" t="s">
        <v>64</v>
      </c>
      <c r="AD279" s="512" t="s">
        <v>102</v>
      </c>
      <c r="AE279" s="512"/>
      <c r="AF279" s="791">
        <v>7575</v>
      </c>
      <c r="AG279" s="530">
        <v>7140</v>
      </c>
      <c r="AH279" s="530">
        <v>7820</v>
      </c>
      <c r="AI279" s="530"/>
      <c r="AJ279" s="530">
        <f t="shared" si="52"/>
        <v>680</v>
      </c>
      <c r="AK279" s="530"/>
      <c r="AL279" s="817" t="s">
        <v>66</v>
      </c>
      <c r="AM279" s="305" t="s">
        <v>1353</v>
      </c>
      <c r="AN279" s="423" t="s">
        <v>1357</v>
      </c>
      <c r="AO279" s="757" t="s">
        <v>458</v>
      </c>
      <c r="AP279" s="447">
        <v>3</v>
      </c>
      <c r="AQ279" s="780">
        <v>7820</v>
      </c>
      <c r="AR279" s="305" t="s">
        <v>1356</v>
      </c>
      <c r="AS279" s="821" t="str">
        <f t="shared" ref="AS279:AS284" si="62">IF(AR279="(Vacant)",AR279,IF(AR279="",AR279,"With Incumbent"))</f>
        <v>With Incumbent</v>
      </c>
      <c r="AT279" s="534"/>
      <c r="AU279" s="822"/>
      <c r="AV279" s="534"/>
      <c r="AW279" s="534"/>
      <c r="AX279" s="837"/>
      <c r="AY279" s="838"/>
    </row>
    <row r="280" spans="1:51" s="531" customFormat="1" ht="22.5" customHeight="1">
      <c r="A280" s="741" t="s">
        <v>1358</v>
      </c>
      <c r="B280" s="742" t="s">
        <v>181</v>
      </c>
      <c r="C280" s="423" t="s">
        <v>457</v>
      </c>
      <c r="D280" s="757" t="s">
        <v>458</v>
      </c>
      <c r="E280" s="448">
        <f t="shared" si="61"/>
        <v>90900</v>
      </c>
      <c r="F280" s="448">
        <f t="shared" si="59"/>
        <v>96924</v>
      </c>
      <c r="G280" s="448">
        <v>72240</v>
      </c>
      <c r="H280" s="447">
        <v>5</v>
      </c>
      <c r="I280" s="770" t="s">
        <v>223</v>
      </c>
      <c r="J280" s="447" t="s">
        <v>64</v>
      </c>
      <c r="K280" s="447" t="s">
        <v>81</v>
      </c>
      <c r="L280" s="447" t="s">
        <v>56</v>
      </c>
      <c r="M280" s="447" t="s">
        <v>181</v>
      </c>
      <c r="N280" s="545" t="s">
        <v>1359</v>
      </c>
      <c r="O280" s="447" t="s">
        <v>1360</v>
      </c>
      <c r="P280" s="447" t="str">
        <f t="shared" si="51"/>
        <v>MERLYN</v>
      </c>
      <c r="Q280" s="447"/>
      <c r="R280" s="447" t="s">
        <v>62</v>
      </c>
      <c r="S280" s="534" t="str">
        <f t="shared" si="53"/>
        <v xml:space="preserve">MERLYN M. DANGEL </v>
      </c>
      <c r="T280" s="780">
        <v>8077</v>
      </c>
      <c r="U280" s="305" t="s">
        <v>1361</v>
      </c>
      <c r="V280" s="447" t="s">
        <v>100</v>
      </c>
      <c r="W280" s="472">
        <v>20771</v>
      </c>
      <c r="X280" s="498">
        <f t="shared" ca="1" si="60"/>
        <v>25334.538043402776</v>
      </c>
      <c r="Y280" s="447" t="s">
        <v>1362</v>
      </c>
      <c r="Z280" s="447"/>
      <c r="AA280" s="493">
        <v>35254</v>
      </c>
      <c r="AB280" s="493">
        <v>35254</v>
      </c>
      <c r="AC280" s="447" t="s">
        <v>64</v>
      </c>
      <c r="AD280" s="512" t="s">
        <v>138</v>
      </c>
      <c r="AE280" s="512"/>
      <c r="AF280" s="791">
        <v>7575</v>
      </c>
      <c r="AG280" s="530">
        <v>7432</v>
      </c>
      <c r="AH280" s="530">
        <v>8077</v>
      </c>
      <c r="AI280" s="530"/>
      <c r="AJ280" s="530">
        <f t="shared" si="52"/>
        <v>645</v>
      </c>
      <c r="AK280" s="530"/>
      <c r="AL280" s="817" t="s">
        <v>66</v>
      </c>
      <c r="AM280" s="305" t="s">
        <v>1358</v>
      </c>
      <c r="AN280" s="423" t="s">
        <v>1357</v>
      </c>
      <c r="AO280" s="757" t="s">
        <v>458</v>
      </c>
      <c r="AP280" s="447">
        <v>5</v>
      </c>
      <c r="AQ280" s="780">
        <v>8077</v>
      </c>
      <c r="AR280" s="305" t="s">
        <v>1361</v>
      </c>
      <c r="AS280" s="821" t="str">
        <f t="shared" si="62"/>
        <v>With Incumbent</v>
      </c>
      <c r="AT280" s="534"/>
      <c r="AU280" s="822"/>
      <c r="AV280" s="534"/>
      <c r="AW280" s="534"/>
      <c r="AX280" s="837"/>
      <c r="AY280" s="838"/>
    </row>
    <row r="281" spans="1:51" s="531" customFormat="1" ht="22.5" customHeight="1">
      <c r="A281" s="741" t="s">
        <v>1363</v>
      </c>
      <c r="B281" s="742" t="s">
        <v>268</v>
      </c>
      <c r="C281" s="423" t="s">
        <v>457</v>
      </c>
      <c r="D281" s="757" t="s">
        <v>458</v>
      </c>
      <c r="E281" s="448">
        <f t="shared" si="61"/>
        <v>90900</v>
      </c>
      <c r="F281" s="448">
        <f t="shared" si="59"/>
        <v>95364</v>
      </c>
      <c r="G281" s="448">
        <v>70476</v>
      </c>
      <c r="H281" s="447">
        <v>4</v>
      </c>
      <c r="I281" s="770" t="s">
        <v>352</v>
      </c>
      <c r="J281" s="447" t="s">
        <v>64</v>
      </c>
      <c r="K281" s="447" t="s">
        <v>81</v>
      </c>
      <c r="L281" s="447" t="s">
        <v>56</v>
      </c>
      <c r="M281" s="447" t="s">
        <v>268</v>
      </c>
      <c r="N281" s="545" t="s">
        <v>1364</v>
      </c>
      <c r="O281" s="447" t="s">
        <v>1365</v>
      </c>
      <c r="P281" s="447" t="str">
        <f t="shared" si="51"/>
        <v>WILMON</v>
      </c>
      <c r="Q281" s="447"/>
      <c r="R281" s="447" t="s">
        <v>100</v>
      </c>
      <c r="S281" s="534" t="str">
        <f t="shared" si="53"/>
        <v xml:space="preserve">WILMON F. LOMAS-E </v>
      </c>
      <c r="T281" s="780">
        <v>7947</v>
      </c>
      <c r="U281" s="305" t="s">
        <v>1366</v>
      </c>
      <c r="V281" s="447" t="s">
        <v>62</v>
      </c>
      <c r="W281" s="472">
        <v>21829</v>
      </c>
      <c r="X281" s="498">
        <f t="shared" ca="1" si="60"/>
        <v>24276.538043287037</v>
      </c>
      <c r="Y281" s="447" t="s">
        <v>1367</v>
      </c>
      <c r="Z281" s="447"/>
      <c r="AA281" s="493">
        <v>36356</v>
      </c>
      <c r="AB281" s="493">
        <v>36356</v>
      </c>
      <c r="AC281" s="447" t="s">
        <v>64</v>
      </c>
      <c r="AD281" s="512" t="s">
        <v>138</v>
      </c>
      <c r="AE281" s="512"/>
      <c r="AF281" s="791">
        <v>7575</v>
      </c>
      <c r="AG281" s="530">
        <v>7285</v>
      </c>
      <c r="AH281" s="530">
        <v>7947</v>
      </c>
      <c r="AI281" s="530"/>
      <c r="AJ281" s="530">
        <f t="shared" si="52"/>
        <v>662</v>
      </c>
      <c r="AK281" s="530"/>
      <c r="AL281" s="817" t="s">
        <v>66</v>
      </c>
      <c r="AM281" s="305" t="s">
        <v>1363</v>
      </c>
      <c r="AN281" s="423" t="s">
        <v>1357</v>
      </c>
      <c r="AO281" s="757" t="s">
        <v>458</v>
      </c>
      <c r="AP281" s="447">
        <v>4</v>
      </c>
      <c r="AQ281" s="780">
        <v>7947</v>
      </c>
      <c r="AR281" s="305" t="s">
        <v>1366</v>
      </c>
      <c r="AS281" s="821" t="str">
        <f t="shared" si="62"/>
        <v>With Incumbent</v>
      </c>
      <c r="AT281" s="534"/>
      <c r="AU281" s="822"/>
      <c r="AV281" s="534"/>
      <c r="AW281" s="534"/>
      <c r="AX281" s="837"/>
      <c r="AY281" s="838"/>
    </row>
    <row r="282" spans="1:51" s="531" customFormat="1" ht="22.5" customHeight="1">
      <c r="A282" s="741" t="s">
        <v>1368</v>
      </c>
      <c r="B282" s="742" t="s">
        <v>174</v>
      </c>
      <c r="C282" s="423" t="s">
        <v>457</v>
      </c>
      <c r="D282" s="757" t="s">
        <v>458</v>
      </c>
      <c r="E282" s="448">
        <f t="shared" si="61"/>
        <v>90900</v>
      </c>
      <c r="F282" s="448">
        <f t="shared" si="59"/>
        <v>101760</v>
      </c>
      <c r="G282" s="448">
        <v>79740</v>
      </c>
      <c r="H282" s="447">
        <v>8</v>
      </c>
      <c r="I282" s="770" t="s">
        <v>487</v>
      </c>
      <c r="J282" s="447" t="s">
        <v>64</v>
      </c>
      <c r="K282" s="447" t="s">
        <v>81</v>
      </c>
      <c r="L282" s="447" t="s">
        <v>56</v>
      </c>
      <c r="M282" s="447"/>
      <c r="N282" s="545" t="s">
        <v>1369</v>
      </c>
      <c r="O282" s="447" t="s">
        <v>1370</v>
      </c>
      <c r="P282" s="447" t="str">
        <f t="shared" si="51"/>
        <v>JOSEPH</v>
      </c>
      <c r="Q282" s="447"/>
      <c r="R282" s="447" t="s">
        <v>115</v>
      </c>
      <c r="S282" s="534" t="str">
        <f t="shared" si="53"/>
        <v xml:space="preserve">JOSEPH B. BUYUCCAN </v>
      </c>
      <c r="T282" s="780">
        <v>8480</v>
      </c>
      <c r="U282" s="781" t="s">
        <v>88</v>
      </c>
      <c r="V282" s="447" t="s">
        <v>62</v>
      </c>
      <c r="W282" s="472">
        <v>18231</v>
      </c>
      <c r="X282" s="498">
        <f t="shared" ca="1" si="60"/>
        <v>27874.538043402776</v>
      </c>
      <c r="Y282" s="447" t="s">
        <v>1371</v>
      </c>
      <c r="Z282" s="447"/>
      <c r="AA282" s="493">
        <v>30761</v>
      </c>
      <c r="AB282" s="493"/>
      <c r="AC282" s="447" t="s">
        <v>64</v>
      </c>
      <c r="AD282" s="512" t="s">
        <v>1326</v>
      </c>
      <c r="AE282" s="512"/>
      <c r="AF282" s="791">
        <v>7575</v>
      </c>
      <c r="AG282" s="530">
        <v>7895</v>
      </c>
      <c r="AH282" s="530">
        <v>8480</v>
      </c>
      <c r="AI282" s="530"/>
      <c r="AJ282" s="530">
        <f t="shared" si="52"/>
        <v>585</v>
      </c>
      <c r="AK282" s="530"/>
      <c r="AL282" s="817" t="s">
        <v>66</v>
      </c>
      <c r="AM282" s="305" t="s">
        <v>1368</v>
      </c>
      <c r="AN282" s="423" t="s">
        <v>1357</v>
      </c>
      <c r="AO282" s="757" t="s">
        <v>458</v>
      </c>
      <c r="AP282" s="447">
        <v>8</v>
      </c>
      <c r="AQ282" s="780">
        <v>8480</v>
      </c>
      <c r="AR282" s="781" t="s">
        <v>397</v>
      </c>
      <c r="AS282" s="853" t="str">
        <f>IF(AR282="(Vacant)",AR282,IF(AR282="",AR282,IF(AR282="To be Abolished",AR282,"With Incumbent")))</f>
        <v>To be Abolished</v>
      </c>
      <c r="AT282" s="534"/>
      <c r="AU282" s="822"/>
      <c r="AV282" s="534"/>
      <c r="AW282" s="534"/>
      <c r="AX282" s="837"/>
      <c r="AY282" s="838"/>
    </row>
    <row r="283" spans="1:51" s="531" customFormat="1" ht="22.5" customHeight="1">
      <c r="A283" s="741" t="s">
        <v>1372</v>
      </c>
      <c r="B283" s="742" t="s">
        <v>211</v>
      </c>
      <c r="C283" s="423" t="s">
        <v>457</v>
      </c>
      <c r="D283" s="757" t="s">
        <v>458</v>
      </c>
      <c r="E283" s="448">
        <f t="shared" si="61"/>
        <v>90900</v>
      </c>
      <c r="F283" s="448">
        <f t="shared" si="59"/>
        <v>98508</v>
      </c>
      <c r="G283" s="448">
        <v>74052</v>
      </c>
      <c r="H283" s="447">
        <v>6</v>
      </c>
      <c r="I283" s="770" t="s">
        <v>494</v>
      </c>
      <c r="J283" s="447" t="s">
        <v>64</v>
      </c>
      <c r="K283" s="447" t="s">
        <v>81</v>
      </c>
      <c r="L283" s="447" t="s">
        <v>56</v>
      </c>
      <c r="M283" s="447" t="s">
        <v>211</v>
      </c>
      <c r="N283" s="545" t="s">
        <v>1373</v>
      </c>
      <c r="O283" s="447" t="s">
        <v>1374</v>
      </c>
      <c r="P283" s="447" t="str">
        <f t="shared" si="51"/>
        <v>NELSON</v>
      </c>
      <c r="Q283" s="447"/>
      <c r="R283" s="447" t="s">
        <v>62</v>
      </c>
      <c r="S283" s="534" t="str">
        <f t="shared" si="53"/>
        <v xml:space="preserve">NELSON M. KIBAYEN </v>
      </c>
      <c r="T283" s="780">
        <v>8209</v>
      </c>
      <c r="U283" s="305" t="s">
        <v>1375</v>
      </c>
      <c r="V283" s="447" t="s">
        <v>62</v>
      </c>
      <c r="W283" s="472">
        <v>22444</v>
      </c>
      <c r="X283" s="498">
        <f t="shared" ca="1" si="60"/>
        <v>23661.538043287037</v>
      </c>
      <c r="Y283" s="447" t="s">
        <v>1376</v>
      </c>
      <c r="Z283" s="447"/>
      <c r="AA283" s="493">
        <v>34408</v>
      </c>
      <c r="AB283" s="493">
        <v>34408</v>
      </c>
      <c r="AC283" s="447" t="s">
        <v>64</v>
      </c>
      <c r="AD283" s="512" t="s">
        <v>138</v>
      </c>
      <c r="AE283" s="512"/>
      <c r="AF283" s="791">
        <v>7575</v>
      </c>
      <c r="AG283" s="530">
        <v>7583</v>
      </c>
      <c r="AH283" s="530">
        <v>8209</v>
      </c>
      <c r="AI283" s="530"/>
      <c r="AJ283" s="530">
        <f t="shared" si="52"/>
        <v>626</v>
      </c>
      <c r="AK283" s="530"/>
      <c r="AL283" s="817" t="s">
        <v>66</v>
      </c>
      <c r="AM283" s="305" t="s">
        <v>1372</v>
      </c>
      <c r="AN283" s="423" t="s">
        <v>1357</v>
      </c>
      <c r="AO283" s="757" t="s">
        <v>458</v>
      </c>
      <c r="AP283" s="447">
        <v>6</v>
      </c>
      <c r="AQ283" s="780">
        <v>8209</v>
      </c>
      <c r="AR283" s="305" t="s">
        <v>1375</v>
      </c>
      <c r="AS283" s="821" t="str">
        <f t="shared" si="62"/>
        <v>With Incumbent</v>
      </c>
      <c r="AT283" s="534"/>
      <c r="AU283" s="822"/>
      <c r="AV283" s="534"/>
      <c r="AW283" s="534"/>
      <c r="AX283" s="837"/>
      <c r="AY283" s="838"/>
    </row>
    <row r="284" spans="1:51" s="531" customFormat="1" ht="22.5" customHeight="1">
      <c r="A284" s="741" t="s">
        <v>1377</v>
      </c>
      <c r="B284" s="874" t="s">
        <v>408</v>
      </c>
      <c r="C284" s="423" t="s">
        <v>457</v>
      </c>
      <c r="D284" s="757" t="s">
        <v>458</v>
      </c>
      <c r="E284" s="875">
        <f t="shared" si="61"/>
        <v>90900</v>
      </c>
      <c r="F284" s="875">
        <f t="shared" si="59"/>
        <v>92364</v>
      </c>
      <c r="G284" s="875">
        <v>67080</v>
      </c>
      <c r="H284" s="447">
        <v>2</v>
      </c>
      <c r="I284" s="887" t="s">
        <v>465</v>
      </c>
      <c r="J284" s="492" t="s">
        <v>64</v>
      </c>
      <c r="K284" s="492" t="s">
        <v>81</v>
      </c>
      <c r="L284" s="492" t="s">
        <v>56</v>
      </c>
      <c r="M284" s="492" t="s">
        <v>408</v>
      </c>
      <c r="N284" s="888" t="s">
        <v>554</v>
      </c>
      <c r="O284" s="492" t="s">
        <v>1378</v>
      </c>
      <c r="P284" s="492" t="str">
        <f t="shared" si="51"/>
        <v>SUZETTE</v>
      </c>
      <c r="Q284" s="492"/>
      <c r="R284" s="492" t="s">
        <v>115</v>
      </c>
      <c r="S284" s="896" t="str">
        <f t="shared" si="53"/>
        <v xml:space="preserve">SUZETTE B. BRAGAS </v>
      </c>
      <c r="T284" s="780">
        <v>7697</v>
      </c>
      <c r="U284" s="305" t="s">
        <v>1379</v>
      </c>
      <c r="V284" s="492" t="s">
        <v>100</v>
      </c>
      <c r="W284" s="897">
        <v>30493</v>
      </c>
      <c r="X284" s="898">
        <f t="shared" ca="1" si="60"/>
        <v>15612.538043402776</v>
      </c>
      <c r="Y284" s="492"/>
      <c r="Z284" s="492"/>
      <c r="AA284" s="902">
        <v>38393</v>
      </c>
      <c r="AB284" s="902">
        <v>38393</v>
      </c>
      <c r="AC284" s="492" t="s">
        <v>64</v>
      </c>
      <c r="AD284" s="903" t="s">
        <v>138</v>
      </c>
      <c r="AE284" s="903"/>
      <c r="AF284" s="791">
        <v>7575</v>
      </c>
      <c r="AG284" s="530">
        <v>7000</v>
      </c>
      <c r="AH284" s="530">
        <v>7697</v>
      </c>
      <c r="AI284" s="530"/>
      <c r="AJ284" s="530">
        <f t="shared" si="52"/>
        <v>697</v>
      </c>
      <c r="AK284" s="530"/>
      <c r="AL284" s="817" t="s">
        <v>66</v>
      </c>
      <c r="AM284" s="305" t="s">
        <v>1377</v>
      </c>
      <c r="AN284" s="423" t="s">
        <v>1357</v>
      </c>
      <c r="AO284" s="757" t="s">
        <v>458</v>
      </c>
      <c r="AP284" s="447">
        <v>2</v>
      </c>
      <c r="AQ284" s="780">
        <v>7697</v>
      </c>
      <c r="AR284" s="545" t="s">
        <v>1379</v>
      </c>
      <c r="AS284" s="821" t="str">
        <f t="shared" si="62"/>
        <v>With Incumbent</v>
      </c>
      <c r="AT284" s="534"/>
      <c r="AU284" s="822"/>
      <c r="AV284" s="534"/>
      <c r="AW284" s="534"/>
      <c r="AX284" s="837"/>
      <c r="AY284" s="838"/>
    </row>
    <row r="285" spans="1:51" s="531" customFormat="1" ht="22.5" hidden="1" customHeight="1">
      <c r="A285" s="744" t="s">
        <v>147</v>
      </c>
      <c r="B285" s="447"/>
      <c r="C285" s="746"/>
      <c r="D285" s="747">
        <f>COUNTIF(D86:D284,"&lt;&gt;")</f>
        <v>188</v>
      </c>
      <c r="E285" s="448"/>
      <c r="F285" s="448"/>
      <c r="G285" s="448"/>
      <c r="H285" s="447"/>
      <c r="I285" s="770"/>
      <c r="J285" s="447"/>
      <c r="K285" s="447"/>
      <c r="L285" s="447"/>
      <c r="M285" s="447"/>
      <c r="N285" s="545"/>
      <c r="O285" s="447"/>
      <c r="P285" s="447"/>
      <c r="Q285" s="447"/>
      <c r="R285" s="447"/>
      <c r="S285" s="545"/>
      <c r="T285" s="780"/>
      <c r="U285" s="545"/>
      <c r="V285" s="447"/>
      <c r="W285" s="472"/>
      <c r="X285" s="498"/>
      <c r="Y285" s="447"/>
      <c r="Z285" s="447"/>
      <c r="AA285" s="493"/>
      <c r="AB285" s="493"/>
      <c r="AC285" s="447"/>
      <c r="AD285" s="512"/>
      <c r="AE285" s="512"/>
      <c r="AF285" s="904"/>
      <c r="AG285" s="908"/>
      <c r="AH285" s="908"/>
      <c r="AI285" s="908"/>
      <c r="AJ285" s="908"/>
      <c r="AK285" s="909"/>
      <c r="AL285" s="804"/>
      <c r="AM285" s="808" t="s">
        <v>147</v>
      </c>
      <c r="AN285" s="746"/>
      <c r="AO285" s="747">
        <f>COUNTIF(AO86:AO284,"&lt;&gt;")</f>
        <v>175</v>
      </c>
      <c r="AP285" s="447"/>
      <c r="AQ285" s="780"/>
      <c r="AR285" s="545"/>
      <c r="AS285" s="916"/>
      <c r="AT285" s="534"/>
      <c r="AU285" s="822"/>
      <c r="AV285" s="534"/>
      <c r="AW285" s="534"/>
      <c r="AX285" s="837"/>
      <c r="AY285" s="838"/>
    </row>
    <row r="286" spans="1:51" s="531" customFormat="1" ht="22.5" hidden="1" customHeight="1">
      <c r="A286" s="876" t="s">
        <v>1380</v>
      </c>
      <c r="B286" s="565"/>
      <c r="C286" s="551"/>
      <c r="D286" s="877">
        <f>+D285+D84+D23+D49+D36</f>
        <v>248</v>
      </c>
      <c r="E286" s="462"/>
      <c r="F286" s="462"/>
      <c r="G286" s="462"/>
      <c r="H286" s="565"/>
      <c r="I286" s="889"/>
      <c r="J286" s="565"/>
      <c r="K286" s="565"/>
      <c r="L286" s="565"/>
      <c r="M286" s="565"/>
      <c r="N286" s="890"/>
      <c r="O286" s="565"/>
      <c r="P286" s="565"/>
      <c r="Q286" s="565"/>
      <c r="R286" s="565"/>
      <c r="S286" s="890"/>
      <c r="T286" s="899"/>
      <c r="U286" s="890"/>
      <c r="V286" s="565"/>
      <c r="W286" s="581"/>
      <c r="X286" s="596"/>
      <c r="Y286" s="565"/>
      <c r="Z286" s="565"/>
      <c r="AA286" s="594"/>
      <c r="AB286" s="594"/>
      <c r="AC286" s="565"/>
      <c r="AD286" s="608"/>
      <c r="AE286" s="608"/>
      <c r="AF286" s="905"/>
      <c r="AG286" s="910"/>
      <c r="AH286" s="910"/>
      <c r="AI286" s="910"/>
      <c r="AJ286" s="910"/>
      <c r="AK286" s="911"/>
      <c r="AL286" s="912"/>
      <c r="AM286" s="913" t="s">
        <v>1380</v>
      </c>
      <c r="AN286" s="914"/>
      <c r="AO286" s="877">
        <f>+AO285+AO84+AO23+AO49+AO36</f>
        <v>227</v>
      </c>
      <c r="AP286" s="565"/>
      <c r="AQ286" s="899"/>
      <c r="AR286" s="890"/>
      <c r="AS286" s="917"/>
      <c r="AT286" s="918"/>
      <c r="AU286" s="919"/>
      <c r="AV286" s="918"/>
      <c r="AW286" s="918"/>
      <c r="AX286" s="920"/>
      <c r="AY286" s="518"/>
    </row>
    <row r="287" spans="1:51" s="149" customFormat="1" ht="16.5" customHeight="1">
      <c r="A287" s="320"/>
      <c r="B287" s="528"/>
      <c r="C287" s="321"/>
      <c r="D287" s="587"/>
      <c r="E287" s="571"/>
      <c r="F287" s="571"/>
      <c r="G287" s="878"/>
      <c r="H287" s="528"/>
      <c r="I287" s="891"/>
      <c r="J287" s="528"/>
      <c r="K287" s="528"/>
      <c r="L287" s="556"/>
      <c r="M287" s="556"/>
      <c r="N287" s="892"/>
      <c r="O287" s="556"/>
      <c r="P287" s="556"/>
      <c r="Q287" s="556"/>
      <c r="R287" s="556"/>
      <c r="S287" s="892"/>
      <c r="T287" s="892"/>
      <c r="U287" s="320"/>
      <c r="V287" s="528"/>
      <c r="W287" s="585"/>
      <c r="X287" s="602"/>
      <c r="Y287" s="528"/>
      <c r="Z287" s="528"/>
      <c r="AA287" s="600"/>
      <c r="AB287" s="600"/>
      <c r="AC287" s="528"/>
      <c r="AD287" s="613"/>
      <c r="AE287" s="613"/>
      <c r="AF287" s="614"/>
      <c r="AG287" s="615"/>
      <c r="AH287" s="615"/>
      <c r="AI287" s="615"/>
      <c r="AJ287" s="615"/>
      <c r="AK287" s="615"/>
      <c r="AL287" s="528"/>
      <c r="AM287" s="320"/>
      <c r="AN287" s="321"/>
      <c r="AO287" s="587"/>
      <c r="AP287" s="528"/>
      <c r="AQ287" s="892"/>
      <c r="AR287" s="320"/>
      <c r="AS287" s="320"/>
      <c r="AT287" s="320"/>
      <c r="AU287" s="320"/>
      <c r="AV287" s="320"/>
      <c r="AW287" s="320"/>
      <c r="AX287" s="320"/>
      <c r="AY287" s="320"/>
    </row>
    <row r="288" spans="1:51" s="149" customFormat="1" ht="16.5" customHeight="1">
      <c r="A288" s="320"/>
      <c r="B288" s="528"/>
      <c r="C288" s="321"/>
      <c r="D288" s="587"/>
      <c r="E288" s="571"/>
      <c r="F288" s="571"/>
      <c r="G288" s="878"/>
      <c r="H288" s="528"/>
      <c r="I288" s="891"/>
      <c r="J288" s="528"/>
      <c r="K288" s="528"/>
      <c r="L288" s="556"/>
      <c r="M288" s="556"/>
      <c r="N288" s="892"/>
      <c r="O288" s="556"/>
      <c r="P288" s="556"/>
      <c r="Q288" s="556"/>
      <c r="R288" s="556"/>
      <c r="S288" s="892"/>
      <c r="T288" s="892"/>
      <c r="U288" s="320"/>
      <c r="V288" s="528"/>
      <c r="W288" s="585"/>
      <c r="X288" s="602"/>
      <c r="Y288" s="528"/>
      <c r="Z288" s="528"/>
      <c r="AA288" s="600"/>
      <c r="AB288" s="600"/>
      <c r="AC288" s="528"/>
      <c r="AD288" s="613"/>
      <c r="AE288" s="613"/>
      <c r="AF288" s="614"/>
      <c r="AG288" s="615"/>
      <c r="AH288" s="615"/>
      <c r="AI288" s="615"/>
      <c r="AJ288" s="615"/>
      <c r="AK288" s="615"/>
      <c r="AL288" s="528"/>
      <c r="AM288" s="320" t="s">
        <v>1381</v>
      </c>
      <c r="AN288" s="321"/>
      <c r="AO288" s="587"/>
      <c r="AP288" s="528"/>
      <c r="AQ288" s="892"/>
      <c r="AR288" s="320"/>
      <c r="AS288" s="320"/>
      <c r="AT288" s="320"/>
      <c r="AU288" s="320"/>
      <c r="AV288" s="320"/>
      <c r="AW288" s="320"/>
      <c r="AX288" s="320"/>
      <c r="AY288" s="320"/>
    </row>
    <row r="289" spans="1:51" s="149" customFormat="1" ht="16.5" customHeight="1">
      <c r="A289" s="320"/>
      <c r="B289" s="528"/>
      <c r="C289" s="321"/>
      <c r="D289" s="587"/>
      <c r="E289" s="571"/>
      <c r="F289" s="571"/>
      <c r="G289" s="878"/>
      <c r="H289" s="528"/>
      <c r="I289" s="891"/>
      <c r="J289" s="528"/>
      <c r="K289" s="528"/>
      <c r="L289" s="556"/>
      <c r="M289" s="556"/>
      <c r="N289" s="892"/>
      <c r="O289" s="556"/>
      <c r="P289" s="556"/>
      <c r="Q289" s="556"/>
      <c r="R289" s="556"/>
      <c r="S289" s="892"/>
      <c r="T289" s="892"/>
      <c r="U289" s="320"/>
      <c r="V289" s="528"/>
      <c r="W289" s="585"/>
      <c r="X289" s="602"/>
      <c r="Y289" s="528"/>
      <c r="Z289" s="528"/>
      <c r="AA289" s="600"/>
      <c r="AB289" s="600"/>
      <c r="AC289" s="528"/>
      <c r="AD289" s="613"/>
      <c r="AE289" s="613"/>
      <c r="AF289" s="614"/>
      <c r="AG289" s="615"/>
      <c r="AH289" s="615"/>
      <c r="AI289" s="615"/>
      <c r="AJ289" s="615"/>
      <c r="AK289" s="615"/>
      <c r="AL289" s="528"/>
      <c r="AM289" s="320"/>
      <c r="AN289" s="321"/>
      <c r="AO289" s="587"/>
      <c r="AP289" s="528"/>
      <c r="AQ289" s="892"/>
      <c r="AR289" s="320"/>
      <c r="AS289" s="320"/>
      <c r="AT289" s="320"/>
      <c r="AU289" s="320"/>
      <c r="AV289" s="320"/>
      <c r="AW289" s="320"/>
      <c r="AX289" s="320"/>
      <c r="AY289" s="320"/>
    </row>
    <row r="290" spans="1:51" ht="14.25" customHeight="1">
      <c r="A290" s="879"/>
      <c r="B290" s="879"/>
      <c r="AG290" s="299" t="s">
        <v>1382</v>
      </c>
      <c r="AL290" s="879"/>
      <c r="AM290" s="1018" t="s">
        <v>1383</v>
      </c>
      <c r="AN290" s="1018"/>
      <c r="AO290" s="1018"/>
    </row>
    <row r="291" spans="1:51" s="561" customFormat="1" ht="9.75" customHeight="1">
      <c r="A291" s="880" t="str">
        <f ca="1">CONCATENATE("\\LAPTOP\ADMIN\",CELL("FILENAME"),CELL("address"),"\NORMAN\",MONTH(NOW())&amp;"/",DAY(NOW())&amp;"/",YEAR(NOW())&amp;"/"&amp;" ",HOUR(NOW())&amp;":",MINUTE(NOW())&amp;":",SECOND(NOW()))</f>
        <v>\\LAPTOP\ADMIN\D:\YHUMIES FILES\Yhumies Drive\RHRMSPB\[list of positions.xlsx]list of positions'[list of positions.xlsx]list of positions'!$F$5\NORMAN\3/24/2026/ 12:54:47</v>
      </c>
      <c r="B291" s="880"/>
      <c r="D291" s="881"/>
      <c r="N291" s="560"/>
      <c r="AL291" s="880"/>
      <c r="AM291" s="1019" t="s">
        <v>1384</v>
      </c>
      <c r="AN291" s="1019"/>
      <c r="AO291" s="1019"/>
    </row>
    <row r="293" spans="1:51">
      <c r="AH293" s="299" t="s">
        <v>44</v>
      </c>
      <c r="AO293" s="325">
        <f>COUNTIF(AN9:AN286,"Local Government Operations Officer V")</f>
        <v>97</v>
      </c>
    </row>
    <row r="294" spans="1:51" s="149" customFormat="1" ht="16.5" hidden="1" customHeight="1">
      <c r="A294" s="882" t="s">
        <v>796</v>
      </c>
      <c r="B294" s="883" t="s">
        <v>268</v>
      </c>
      <c r="C294" s="884" t="s">
        <v>165</v>
      </c>
      <c r="D294" s="885" t="s">
        <v>536</v>
      </c>
      <c r="E294" s="760">
        <v>348624</v>
      </c>
      <c r="F294" s="760">
        <v>365892</v>
      </c>
      <c r="G294" s="844">
        <v>253020</v>
      </c>
      <c r="H294" s="886">
        <v>4</v>
      </c>
      <c r="I294" s="893" t="s">
        <v>760</v>
      </c>
      <c r="J294" s="886" t="s">
        <v>62</v>
      </c>
      <c r="K294" s="886" t="s">
        <v>158</v>
      </c>
      <c r="L294" s="894" t="s">
        <v>56</v>
      </c>
      <c r="M294" s="894" t="s">
        <v>268</v>
      </c>
      <c r="N294" s="895" t="s">
        <v>761</v>
      </c>
      <c r="O294" s="894" t="s">
        <v>762</v>
      </c>
      <c r="P294" s="894" t="s">
        <v>763</v>
      </c>
      <c r="Q294" s="894"/>
      <c r="R294" s="894" t="s">
        <v>72</v>
      </c>
      <c r="S294" s="895" t="s">
        <v>764</v>
      </c>
      <c r="T294" s="895"/>
      <c r="U294" s="882" t="s">
        <v>797</v>
      </c>
      <c r="V294" s="886" t="s">
        <v>62</v>
      </c>
      <c r="W294" s="900">
        <v>22814</v>
      </c>
      <c r="X294" s="901">
        <v>17575.785289814801</v>
      </c>
      <c r="Y294" s="886" t="s">
        <v>765</v>
      </c>
      <c r="Z294" s="886"/>
      <c r="AA294" s="906">
        <v>33743</v>
      </c>
      <c r="AB294" s="906">
        <v>36000</v>
      </c>
      <c r="AC294" s="886" t="s">
        <v>64</v>
      </c>
      <c r="AD294" s="907" t="s">
        <v>102</v>
      </c>
      <c r="AE294" s="907"/>
      <c r="AF294" s="614">
        <v>29052</v>
      </c>
      <c r="AG294" s="615">
        <v>26842</v>
      </c>
      <c r="AH294" s="615">
        <v>30491</v>
      </c>
      <c r="AI294" s="915"/>
      <c r="AJ294" s="615">
        <v>3649</v>
      </c>
      <c r="AK294" s="615"/>
      <c r="AL294" s="883" t="s">
        <v>245</v>
      </c>
      <c r="AM294" s="882" t="s">
        <v>796</v>
      </c>
      <c r="AN294" s="884" t="s">
        <v>157</v>
      </c>
      <c r="AO294" s="885" t="s">
        <v>285</v>
      </c>
      <c r="AP294" s="886">
        <v>4</v>
      </c>
      <c r="AQ294" s="895"/>
      <c r="AR294" s="882" t="s">
        <v>797</v>
      </c>
      <c r="AS294" s="882"/>
      <c r="AT294" s="882"/>
      <c r="AU294" s="882"/>
      <c r="AV294" s="882"/>
      <c r="AW294" s="882"/>
      <c r="AX294" s="882"/>
      <c r="AY294" s="882"/>
    </row>
    <row r="295" spans="1:51" s="149" customFormat="1" ht="16.5" hidden="1" customHeight="1">
      <c r="A295" s="882" t="s">
        <v>832</v>
      </c>
      <c r="B295" s="883" t="s">
        <v>174</v>
      </c>
      <c r="C295" s="884" t="s">
        <v>165</v>
      </c>
      <c r="D295" s="885" t="s">
        <v>536</v>
      </c>
      <c r="E295" s="760">
        <v>348624</v>
      </c>
      <c r="F295" s="760">
        <v>348624</v>
      </c>
      <c r="G295" s="844">
        <v>265824</v>
      </c>
      <c r="H295" s="886">
        <v>1</v>
      </c>
      <c r="I295" s="893" t="s">
        <v>833</v>
      </c>
      <c r="J295" s="886" t="s">
        <v>62</v>
      </c>
      <c r="K295" s="886" t="s">
        <v>158</v>
      </c>
      <c r="L295" s="894" t="s">
        <v>56</v>
      </c>
      <c r="M295" s="894" t="s">
        <v>174</v>
      </c>
      <c r="N295" s="895" t="s">
        <v>834</v>
      </c>
      <c r="O295" s="894" t="s">
        <v>835</v>
      </c>
      <c r="P295" s="894" t="s">
        <v>980</v>
      </c>
      <c r="Q295" s="894"/>
      <c r="R295" s="894" t="s">
        <v>72</v>
      </c>
      <c r="S295" s="895" t="s">
        <v>981</v>
      </c>
      <c r="T295" s="895"/>
      <c r="U295" s="882" t="s">
        <v>836</v>
      </c>
      <c r="V295" s="886" t="s">
        <v>100</v>
      </c>
      <c r="W295" s="900">
        <v>24875</v>
      </c>
      <c r="X295" s="901">
        <v>15514.785289814799</v>
      </c>
      <c r="Y295" s="886" t="s">
        <v>837</v>
      </c>
      <c r="Z295" s="886"/>
      <c r="AA295" s="906">
        <v>35731</v>
      </c>
      <c r="AB295" s="906">
        <v>40262</v>
      </c>
      <c r="AC295" s="886" t="s">
        <v>64</v>
      </c>
      <c r="AD295" s="907" t="s">
        <v>102</v>
      </c>
      <c r="AE295" s="907"/>
      <c r="AF295" s="614">
        <v>29052</v>
      </c>
      <c r="AG295" s="615">
        <v>25295</v>
      </c>
      <c r="AH295" s="615">
        <v>29052</v>
      </c>
      <c r="AI295" s="615"/>
      <c r="AJ295" s="615">
        <v>3757</v>
      </c>
      <c r="AK295" s="615"/>
      <c r="AL295" s="883" t="s">
        <v>245</v>
      </c>
      <c r="AM295" s="882" t="s">
        <v>832</v>
      </c>
      <c r="AN295" s="884" t="s">
        <v>157</v>
      </c>
      <c r="AO295" s="885" t="s">
        <v>285</v>
      </c>
      <c r="AP295" s="886">
        <v>1</v>
      </c>
      <c r="AQ295" s="895"/>
      <c r="AR295" s="882" t="s">
        <v>836</v>
      </c>
      <c r="AS295" s="882"/>
      <c r="AT295" s="882"/>
      <c r="AU295" s="882"/>
      <c r="AV295" s="882"/>
      <c r="AW295" s="882"/>
      <c r="AX295" s="882"/>
      <c r="AY295" s="882"/>
    </row>
    <row r="296" spans="1:51" s="149" customFormat="1" ht="16.5" hidden="1" customHeight="1">
      <c r="A296" s="882" t="s">
        <v>894</v>
      </c>
      <c r="B296" s="883" t="s">
        <v>211</v>
      </c>
      <c r="C296" s="884" t="s">
        <v>165</v>
      </c>
      <c r="D296" s="885" t="s">
        <v>536</v>
      </c>
      <c r="E296" s="760">
        <v>348624</v>
      </c>
      <c r="F296" s="760">
        <v>371856</v>
      </c>
      <c r="G296" s="844">
        <v>253020</v>
      </c>
      <c r="H296" s="886">
        <v>5</v>
      </c>
      <c r="I296" s="893" t="s">
        <v>895</v>
      </c>
      <c r="J296" s="886" t="s">
        <v>62</v>
      </c>
      <c r="K296" s="886" t="s">
        <v>158</v>
      </c>
      <c r="L296" s="894" t="s">
        <v>56</v>
      </c>
      <c r="M296" s="894" t="s">
        <v>211</v>
      </c>
      <c r="N296" s="895" t="s">
        <v>896</v>
      </c>
      <c r="O296" s="894" t="s">
        <v>897</v>
      </c>
      <c r="P296" s="894" t="s">
        <v>1060</v>
      </c>
      <c r="Q296" s="894"/>
      <c r="R296" s="894" t="s">
        <v>115</v>
      </c>
      <c r="S296" s="895" t="s">
        <v>1061</v>
      </c>
      <c r="T296" s="895"/>
      <c r="U296" s="882" t="s">
        <v>898</v>
      </c>
      <c r="V296" s="886" t="s">
        <v>100</v>
      </c>
      <c r="W296" s="900">
        <v>20117</v>
      </c>
      <c r="X296" s="901">
        <v>20272.785289814801</v>
      </c>
      <c r="Y296" s="886" t="s">
        <v>899</v>
      </c>
      <c r="Z296" s="886"/>
      <c r="AA296" s="906">
        <v>27120</v>
      </c>
      <c r="AB296" s="906">
        <v>35374</v>
      </c>
      <c r="AC296" s="886" t="s">
        <v>64</v>
      </c>
      <c r="AD296" s="907" t="s">
        <v>102</v>
      </c>
      <c r="AE296" s="907"/>
      <c r="AF296" s="614">
        <v>29052</v>
      </c>
      <c r="AG296" s="615">
        <v>27381</v>
      </c>
      <c r="AH296" s="615">
        <v>30988</v>
      </c>
      <c r="AI296" s="615"/>
      <c r="AJ296" s="615">
        <v>3607</v>
      </c>
      <c r="AK296" s="615"/>
      <c r="AL296" s="883" t="s">
        <v>245</v>
      </c>
      <c r="AM296" s="882" t="s">
        <v>894</v>
      </c>
      <c r="AN296" s="884" t="s">
        <v>157</v>
      </c>
      <c r="AO296" s="885" t="s">
        <v>285</v>
      </c>
      <c r="AP296" s="886">
        <v>5</v>
      </c>
      <c r="AQ296" s="895"/>
      <c r="AR296" s="882" t="s">
        <v>898</v>
      </c>
      <c r="AS296" s="882"/>
      <c r="AT296" s="882"/>
      <c r="AU296" s="882"/>
      <c r="AV296" s="882"/>
      <c r="AW296" s="882"/>
      <c r="AX296" s="882"/>
      <c r="AY296" s="882"/>
    </row>
    <row r="305" spans="34:34">
      <c r="AH305" s="299" t="s">
        <v>1385</v>
      </c>
    </row>
  </sheetData>
  <autoFilter ref="A10:AY286" xr:uid="{00000000-0009-0000-0000-000000000000}">
    <filterColumn colId="37">
      <filters>
        <filter val="Retained"/>
      </filters>
    </filterColumn>
    <sortState xmlns:xlrd2="http://schemas.microsoft.com/office/spreadsheetml/2017/richdata2" ref="A10:AY286">
      <sortCondition descending="1" ref="AL9:AL279"/>
    </sortState>
  </autoFilter>
  <mergeCells count="24">
    <mergeCell ref="A1:AY1"/>
    <mergeCell ref="A2:AY2"/>
    <mergeCell ref="A3:AY3"/>
    <mergeCell ref="A4:L4"/>
    <mergeCell ref="U4:AE4"/>
    <mergeCell ref="A5:AY5"/>
    <mergeCell ref="E6:F6"/>
    <mergeCell ref="I6:K6"/>
    <mergeCell ref="A7:U7"/>
    <mergeCell ref="AM7:AS7"/>
    <mergeCell ref="AU7:AX7"/>
    <mergeCell ref="AT7:AT8"/>
    <mergeCell ref="AY7:AY8"/>
    <mergeCell ref="AM290:AO290"/>
    <mergeCell ref="AM291:AO291"/>
    <mergeCell ref="V6:V8"/>
    <mergeCell ref="W6:W8"/>
    <mergeCell ref="Y6:Y8"/>
    <mergeCell ref="AA6:AA8"/>
    <mergeCell ref="AB6:AB8"/>
    <mergeCell ref="AC6:AC8"/>
    <mergeCell ref="AD6:AD8"/>
    <mergeCell ref="AE6:AE9"/>
    <mergeCell ref="AL7:AL8"/>
  </mergeCells>
  <printOptions horizontalCentered="1"/>
  <pageMargins left="0.15902777777777799" right="1.18888888888889" top="0.42916666666666697" bottom="0.359027777777778" header="0.31805555555555598" footer="0.25"/>
  <pageSetup paperSize="5" orientation="landscape" verticalDpi="72" r:id="rId1"/>
  <headerFooter alignWithMargins="0">
    <oddFooter>&amp;L&amp;P of &amp;N</oddFooter>
  </headerFooter>
  <legacyDrawing r:id="rId2"/>
  <extLst>
    <ext xmlns:x14="http://schemas.microsoft.com/office/spreadsheetml/2009/9/main" uri="{CCE6A557-97BC-4b89-ADB6-D9C93CAAB3DF}">
      <x14:dataValidations xmlns:xm="http://schemas.microsoft.com/office/excel/2006/main" count="1">
        <x14:dataValidation allowBlank="1" showInputMessage="1" showErrorMessage="1" xr:uid="{00000000-0002-0000-0000-000000000000}">
          <xm:sqref>AF4 KB4 TX4 ADT4 ANP4 AXL4 BHH4 BRD4 CAZ4 CKV4 CUR4 DEN4 DOJ4 DYF4 EIB4 ERX4 FBT4 FLP4 FVL4 GFH4 GPD4 GYZ4 HIV4 HSR4 ICN4 IMJ4 IWF4 JGB4 JPX4 JZT4 KJP4 KTL4 LDH4 LND4 LWZ4 MGV4 MQR4 NAN4 NKJ4 NUF4 OEB4 ONX4 OXT4 PHP4 PRL4 QBH4 QLD4 QUZ4 REV4 ROR4 RYN4 SIJ4 SSF4 TCB4 TLX4 TVT4 UFP4 UPL4 UZH4 VJD4 VSZ4 WCV4 WMR4 WWN4 T205 AH205 JP205 KD205 TL205 TZ205 ADH205 ADV205 AND205 ANR205 AWZ205 AXN205 BGV205 BHJ205 BQR205 BRF205 CAN205 CBB205 CKJ205 CKX205 CUF205 CUT205 DEB205 DEP205 DNX205 DOL205 DXT205 DYH205 EHP205 EID205 ERL205 ERZ205 FBH205 FBV205 FLD205 FLR205 FUZ205 FVN205 GEV205 GFJ205 GOR205 GPF205 GYN205 GZB205 HIJ205 HIX205 HSF205 HST205 ICB205 ICP205 ILX205 IML205 IVT205 IWH205 JFP205 JGD205 JPL205 JPZ205 JZH205 JZV205 KJD205 KJR205 KSZ205 KTN205 LCV205 LDJ205 LMR205 LNF205 LWN205 LXB205 MGJ205 MGX205 MQF205 MQT205 NAB205 NAP205 NJX205 NKL205 NTT205 NUH205 ODP205 OED205 ONL205 ONZ205 OXH205 OXV205 PHD205 PHR205 PQZ205 PRN205 QAV205 QBJ205 QKR205 QLF205 QUN205 QVB205 REJ205 REX205 ROF205 ROT205 RYB205 RYP205 SHX205 SIL205 SRT205 SSH205 TBP205 TCD205 TLL205 TLZ205 TVH205 TVV205 UFD205 UFR205 UOZ205 UPN205 UYV205 UZJ205 VIR205 VJF205 VSN205 VTB205 WCJ205 WCX205 WMF205 WMT205 WWB205 WWP205 T215 AH215 JP215 KD215 TL215 TZ215 ADH215 ADV215 AND215 ANR215 AWZ215 AXN215 BGV215 BHJ215 BQR215 BRF215 CAN215 CBB215 CKJ215 CKX215 CUF215 CUT215 DEB215 DEP215 DNX215 DOL215 DXT215 DYH215 EHP215 EID215 ERL215 ERZ215 FBH215 FBV215 FLD215 FLR215 FUZ215 FVN215 GEV215 GFJ215 GOR215 GPF215 GYN215 GZB215 HIJ215 HIX215 HSF215 HST215 ICB215 ICP215 ILX215 IML215 IVT215 IWH215 JFP215 JGD215 JPL215 JPZ215 JZH215 JZV215 KJD215 KJR215 KSZ215 KTN215 LCV215 LDJ215 LMR215 LNF215 LWN215 LXB215 MGJ215 MGX215 MQF215 MQT215 NAB215 NAP215 NJX215 NKL215 NTT215 NUH215 ODP215 OED215 ONL215 ONZ215 OXH215 OXV215 PHD215 PHR215 PQZ215 PRN215 QAV215 QBJ215 QKR215 QLF215 QUN215 QVB215 REJ215 REX215 ROF215 ROT215 RYB215 RYP215 SHX215 SIL215 SRT215 SSH215 TBP215 TCD215 TLL215 TLZ215 TVH215 TVV215 UFD215 UFR215 UOZ215 UPN215 UYV215 UZJ215 VIR215 VJF215 VSN215 VTB215 WCJ215 WCX215 WMF215 WMT215 WWB215 WWP215 T221 AH221 AQ221 JP221 KD221 KM221 TL221 TZ221 UI221 ADH221 ADV221 AEE221 AND221 ANR221 AOA221 AWZ221 AXN221 AXW221 BGV221 BHJ221 BHS221 BQR221 BRF221 BRO221 CAN221 CBB221 CBK221 CKJ221 CKX221 CLG221 CUF221 CUT221 CVC221 DEB221 DEP221 DEY221 DNX221 DOL221 DOU221 DXT221 DYH221 DYQ221 EHP221 EID221 EIM221 ERL221 ERZ221 ESI221 FBH221 FBV221 FCE221 FLD221 FLR221 FMA221 FUZ221 FVN221 FVW221 GEV221 GFJ221 GFS221 GOR221 GPF221 GPO221 GYN221 GZB221 GZK221 HIJ221 HIX221 HJG221 HSF221 HST221 HTC221 ICB221 ICP221 ICY221 ILX221 IML221 IMU221 IVT221 IWH221 IWQ221 JFP221 JGD221 JGM221 JPL221 JPZ221 JQI221 JZH221 JZV221 KAE221 KJD221 KJR221 KKA221 KSZ221 KTN221 KTW221 LCV221 LDJ221 LDS221 LMR221 LNF221 LNO221 LWN221 LXB221 LXK221 MGJ221 MGX221 MHG221 MQF221 MQT221 MRC221 NAB221 NAP221 NAY221 NJX221 NKL221 NKU221 NTT221 NUH221 NUQ221 ODP221 OED221 OEM221 ONL221 ONZ221 OOI221 OXH221 OXV221 OYE221 PHD221 PHR221 PIA221 PQZ221 PRN221 PRW221 QAV221 QBJ221 QBS221 QKR221 QLF221 QLO221 QUN221 QVB221 QVK221 REJ221 REX221 RFG221 ROF221 ROT221 RPC221 RYB221 RYP221 RYY221 SHX221 SIL221 SIU221 SRT221 SSH221 SSQ221 TBP221 TCD221 TCM221 TLL221 TLZ221 TMI221 TVH221 TVV221 TWE221 UFD221 UFR221 UGA221 UOZ221 UPN221 UPW221 UYV221 UZJ221 UZS221 VIR221 VJF221 VJO221 VSN221 VTB221 VTK221 WCJ221 WCX221 WDG221 WMF221 WMT221 WNC221 WWB221 WWP221 WWY221 T226 AH226 JP226 KD226 TL226 TZ226 ADH226 ADV226 AND226 ANR226 AWZ226 AXN226 BGV226 BHJ226 BQR226 BRF226 CAN226 CBB226 CKJ226 CKX226 CUF226 CUT226 DEB226 DEP226 DNX226 DOL226 DXT226 DYH226 EHP226 EID226 ERL226 ERZ226 FBH226 FBV226 FLD226 FLR226 FUZ226 FVN226 GEV226 GFJ226 GOR226 GPF226 GYN226 GZB226 HIJ226 HIX226 HSF226 HST226 ICB226 ICP226 ILX226 IML226 IVT226 IWH226 JFP226 JGD226 JPL226 JPZ226 JZH226 JZV226 KJD226 KJR226 KSZ226 KTN226 LCV226 LDJ226 LMR226 LNF226 LWN226 LXB226 MGJ226 MGX226 MQF226 MQT226 NAB226 NAP226 NJX226 NKL226 NTT226 NUH226 ODP226 OED226 ONL226 ONZ226 OXH226 OXV226 PHD226 PHR226 PQZ226 PRN226 QAV226 QBJ226 QKR226 QLF226 QUN226 QVB226 REJ226 REX226 ROF226 ROT226 RYB226 RYP226 SHX226 SIL226 SRT226 SSH226 TBP226 TCD226 TLL226 TLZ226 TVH226 TVV226 UFD226 UFR226 UOZ226 UPN226 UYV226 UZJ226 VIR226 VJF226 VSN226 VTB226 WCJ226 WCX226 WMF226 WMT226 WWB226 WWP226 AF65540 KB65540 TX65540 ADT65540 ANP65540 AXL65540 BHH65540 BRD65540 CAZ65540 CKV65540 CUR65540 DEN65540 DOJ65540 DYF65540 EIB65540 ERX65540 FBT65540 FLP65540 FVL65540 GFH65540 GPD65540 GYZ65540 HIV65540 HSR65540 ICN65540 IMJ65540 IWF65540 JGB65540 JPX65540 JZT65540 KJP65540 KTL65540 LDH65540 LND65540 LWZ65540 MGV65540 MQR65540 NAN65540 NKJ65540 NUF65540 OEB65540 ONX65540 OXT65540 PHP65540 PRL65540 QBH65540 QLD65540 QUZ65540 REV65540 ROR65540 RYN65540 SIJ65540 SSF65540 TCB65540 TLX65540 TVT65540 UFP65540 UPL65540 UZH65540 VJD65540 VSZ65540 WCV65540 WMR65540 WWN65540 T65741 AH65741 JP65741 KD65741 TL65741 TZ65741 ADH65741 ADV65741 AND65741 ANR65741 AWZ65741 AXN65741 BGV65741 BHJ65741 BQR65741 BRF65741 CAN65741 CBB65741 CKJ65741 CKX65741 CUF65741 CUT65741 DEB65741 DEP65741 DNX65741 DOL65741 DXT65741 DYH65741 EHP65741 EID65741 ERL65741 ERZ65741 FBH65741 FBV65741 FLD65741 FLR65741 FUZ65741 FVN65741 GEV65741 GFJ65741 GOR65741 GPF65741 GYN65741 GZB65741 HIJ65741 HIX65741 HSF65741 HST65741 ICB65741 ICP65741 ILX65741 IML65741 IVT65741 IWH65741 JFP65741 JGD65741 JPL65741 JPZ65741 JZH65741 JZV65741 KJD65741 KJR65741 KSZ65741 KTN65741 LCV65741 LDJ65741 LMR65741 LNF65741 LWN65741 LXB65741 MGJ65741 MGX65741 MQF65741 MQT65741 NAB65741 NAP65741 NJX65741 NKL65741 NTT65741 NUH65741 ODP65741 OED65741 ONL65741 ONZ65741 OXH65741 OXV65741 PHD65741 PHR65741 PQZ65741 PRN65741 QAV65741 QBJ65741 QKR65741 QLF65741 QUN65741 QVB65741 REJ65741 REX65741 ROF65741 ROT65741 RYB65741 RYP65741 SHX65741 SIL65741 SRT65741 SSH65741 TBP65741 TCD65741 TLL65741 TLZ65741 TVH65741 TVV65741 UFD65741 UFR65741 UOZ65741 UPN65741 UYV65741 UZJ65741 VIR65741 VJF65741 VSN65741 VTB65741 WCJ65741 WCX65741 WMF65741 WMT65741 WWB65741 WWP65741 T65751 AH65751 JP65751 KD65751 TL65751 TZ65751 ADH65751 ADV65751 AND65751 ANR65751 AWZ65751 AXN65751 BGV65751 BHJ65751 BQR65751 BRF65751 CAN65751 CBB65751 CKJ65751 CKX65751 CUF65751 CUT65751 DEB65751 DEP65751 DNX65751 DOL65751 DXT65751 DYH65751 EHP65751 EID65751 ERL65751 ERZ65751 FBH65751 FBV65751 FLD65751 FLR65751 FUZ65751 FVN65751 GEV65751 GFJ65751 GOR65751 GPF65751 GYN65751 GZB65751 HIJ65751 HIX65751 HSF65751 HST65751 ICB65751 ICP65751 ILX65751 IML65751 IVT65751 IWH65751 JFP65751 JGD65751 JPL65751 JPZ65751 JZH65751 JZV65751 KJD65751 KJR65751 KSZ65751 KTN65751 LCV65751 LDJ65751 LMR65751 LNF65751 LWN65751 LXB65751 MGJ65751 MGX65751 MQF65751 MQT65751 NAB65751 NAP65751 NJX65751 NKL65751 NTT65751 NUH65751 ODP65751 OED65751 ONL65751 ONZ65751 OXH65751 OXV65751 PHD65751 PHR65751 PQZ65751 PRN65751 QAV65751 QBJ65751 QKR65751 QLF65751 QUN65751 QVB65751 REJ65751 REX65751 ROF65751 ROT65751 RYB65751 RYP65751 SHX65751 SIL65751 SRT65751 SSH65751 TBP65751 TCD65751 TLL65751 TLZ65751 TVH65751 TVV65751 UFD65751 UFR65751 UOZ65751 UPN65751 UYV65751 UZJ65751 VIR65751 VJF65751 VSN65751 VTB65751 WCJ65751 WCX65751 WMF65751 WMT65751 WWB65751 WWP65751 T65757 AH65757 AQ65757 JP65757 KD65757 KM65757 TL65757 TZ65757 UI65757 ADH65757 ADV65757 AEE65757 AND65757 ANR65757 AOA65757 AWZ65757 AXN65757 AXW65757 BGV65757 BHJ65757 BHS65757 BQR65757 BRF65757 BRO65757 CAN65757 CBB65757 CBK65757 CKJ65757 CKX65757 CLG65757 CUF65757 CUT65757 CVC65757 DEB65757 DEP65757 DEY65757 DNX65757 DOL65757 DOU65757 DXT65757 DYH65757 DYQ65757 EHP65757 EID65757 EIM65757 ERL65757 ERZ65757 ESI65757 FBH65757 FBV65757 FCE65757 FLD65757 FLR65757 FMA65757 FUZ65757 FVN65757 FVW65757 GEV65757 GFJ65757 GFS65757 GOR65757 GPF65757 GPO65757 GYN65757 GZB65757 GZK65757 HIJ65757 HIX65757 HJG65757 HSF65757 HST65757 HTC65757 ICB65757 ICP65757 ICY65757 ILX65757 IML65757 IMU65757 IVT65757 IWH65757 IWQ65757 JFP65757 JGD65757 JGM65757 JPL65757 JPZ65757 JQI65757 JZH65757 JZV65757 KAE65757 KJD65757 KJR65757 KKA65757 KSZ65757 KTN65757 KTW65757 LCV65757 LDJ65757 LDS65757 LMR65757 LNF65757 LNO65757 LWN65757 LXB65757 LXK65757 MGJ65757 MGX65757 MHG65757 MQF65757 MQT65757 MRC65757 NAB65757 NAP65757 NAY65757 NJX65757 NKL65757 NKU65757 NTT65757 NUH65757 NUQ65757 ODP65757 OED65757 OEM65757 ONL65757 ONZ65757 OOI65757 OXH65757 OXV65757 OYE65757 PHD65757 PHR65757 PIA65757 PQZ65757 PRN65757 PRW65757 QAV65757 QBJ65757 QBS65757 QKR65757 QLF65757 QLO65757 QUN65757 QVB65757 QVK65757 REJ65757 REX65757 RFG65757 ROF65757 ROT65757 RPC65757 RYB65757 RYP65757 RYY65757 SHX65757 SIL65757 SIU65757 SRT65757 SSH65757 SSQ65757 TBP65757 TCD65757 TCM65757 TLL65757 TLZ65757 TMI65757 TVH65757 TVV65757 TWE65757 UFD65757 UFR65757 UGA65757 UOZ65757 UPN65757 UPW65757 UYV65757 UZJ65757 UZS65757 VIR65757 VJF65757 VJO65757 VSN65757 VTB65757 VTK65757 WCJ65757 WCX65757 WDG65757 WMF65757 WMT65757 WNC65757 WWB65757 WWP65757 WWY65757 T65762 AH65762 JP65762 KD65762 TL65762 TZ65762 ADH65762 ADV65762 AND65762 ANR65762 AWZ65762 AXN65762 BGV65762 BHJ65762 BQR65762 BRF65762 CAN65762 CBB65762 CKJ65762 CKX65762 CUF65762 CUT65762 DEB65762 DEP65762 DNX65762 DOL65762 DXT65762 DYH65762 EHP65762 EID65762 ERL65762 ERZ65762 FBH65762 FBV65762 FLD65762 FLR65762 FUZ65762 FVN65762 GEV65762 GFJ65762 GOR65762 GPF65762 GYN65762 GZB65762 HIJ65762 HIX65762 HSF65762 HST65762 ICB65762 ICP65762 ILX65762 IML65762 IVT65762 IWH65762 JFP65762 JGD65762 JPL65762 JPZ65762 JZH65762 JZV65762 KJD65762 KJR65762 KSZ65762 KTN65762 LCV65762 LDJ65762 LMR65762 LNF65762 LWN65762 LXB65762 MGJ65762 MGX65762 MQF65762 MQT65762 NAB65762 NAP65762 NJX65762 NKL65762 NTT65762 NUH65762 ODP65762 OED65762 ONL65762 ONZ65762 OXH65762 OXV65762 PHD65762 PHR65762 PQZ65762 PRN65762 QAV65762 QBJ65762 QKR65762 QLF65762 QUN65762 QVB65762 REJ65762 REX65762 ROF65762 ROT65762 RYB65762 RYP65762 SHX65762 SIL65762 SRT65762 SSH65762 TBP65762 TCD65762 TLL65762 TLZ65762 TVH65762 TVV65762 UFD65762 UFR65762 UOZ65762 UPN65762 UYV65762 UZJ65762 VIR65762 VJF65762 VSN65762 VTB65762 WCJ65762 WCX65762 WMF65762 WMT65762 WWB65762 WWP65762 AF131076 KB131076 TX131076 ADT131076 ANP131076 AXL131076 BHH131076 BRD131076 CAZ131076 CKV131076 CUR131076 DEN131076 DOJ131076 DYF131076 EIB131076 ERX131076 FBT131076 FLP131076 FVL131076 GFH131076 GPD131076 GYZ131076 HIV131076 HSR131076 ICN131076 IMJ131076 IWF131076 JGB131076 JPX131076 JZT131076 KJP131076 KTL131076 LDH131076 LND131076 LWZ131076 MGV131076 MQR131076 NAN131076 NKJ131076 NUF131076 OEB131076 ONX131076 OXT131076 PHP131076 PRL131076 QBH131076 QLD131076 QUZ131076 REV131076 ROR131076 RYN131076 SIJ131076 SSF131076 TCB131076 TLX131076 TVT131076 UFP131076 UPL131076 UZH131076 VJD131076 VSZ131076 WCV131076 WMR131076 WWN131076 T131277 AH131277 JP131277 KD131277 TL131277 TZ131277 ADH131277 ADV131277 AND131277 ANR131277 AWZ131277 AXN131277 BGV131277 BHJ131277 BQR131277 BRF131277 CAN131277 CBB131277 CKJ131277 CKX131277 CUF131277 CUT131277 DEB131277 DEP131277 DNX131277 DOL131277 DXT131277 DYH131277 EHP131277 EID131277 ERL131277 ERZ131277 FBH131277 FBV131277 FLD131277 FLR131277 FUZ131277 FVN131277 GEV131277 GFJ131277 GOR131277 GPF131277 GYN131277 GZB131277 HIJ131277 HIX131277 HSF131277 HST131277 ICB131277 ICP131277 ILX131277 IML131277 IVT131277 IWH131277 JFP131277 JGD131277 JPL131277 JPZ131277 JZH131277 JZV131277 KJD131277 KJR131277 KSZ131277 KTN131277 LCV131277 LDJ131277 LMR131277 LNF131277 LWN131277 LXB131277 MGJ131277 MGX131277 MQF131277 MQT131277 NAB131277 NAP131277 NJX131277 NKL131277 NTT131277 NUH131277 ODP131277 OED131277 ONL131277 ONZ131277 OXH131277 OXV131277 PHD131277 PHR131277 PQZ131277 PRN131277 QAV131277 QBJ131277 QKR131277 QLF131277 QUN131277 QVB131277 REJ131277 REX131277 ROF131277 ROT131277 RYB131277 RYP131277 SHX131277 SIL131277 SRT131277 SSH131277 TBP131277 TCD131277 TLL131277 TLZ131277 TVH131277 TVV131277 UFD131277 UFR131277 UOZ131277 UPN131277 UYV131277 UZJ131277 VIR131277 VJF131277 VSN131277 VTB131277 WCJ131277 WCX131277 WMF131277 WMT131277 WWB131277 WWP131277 T131287 AH131287 JP131287 KD131287 TL131287 TZ131287 ADH131287 ADV131287 AND131287 ANR131287 AWZ131287 AXN131287 BGV131287 BHJ131287 BQR131287 BRF131287 CAN131287 CBB131287 CKJ131287 CKX131287 CUF131287 CUT131287 DEB131287 DEP131287 DNX131287 DOL131287 DXT131287 DYH131287 EHP131287 EID131287 ERL131287 ERZ131287 FBH131287 FBV131287 FLD131287 FLR131287 FUZ131287 FVN131287 GEV131287 GFJ131287 GOR131287 GPF131287 GYN131287 GZB131287 HIJ131287 HIX131287 HSF131287 HST131287 ICB131287 ICP131287 ILX131287 IML131287 IVT131287 IWH131287 JFP131287 JGD131287 JPL131287 JPZ131287 JZH131287 JZV131287 KJD131287 KJR131287 KSZ131287 KTN131287 LCV131287 LDJ131287 LMR131287 LNF131287 LWN131287 LXB131287 MGJ131287 MGX131287 MQF131287 MQT131287 NAB131287 NAP131287 NJX131287 NKL131287 NTT131287 NUH131287 ODP131287 OED131287 ONL131287 ONZ131287 OXH131287 OXV131287 PHD131287 PHR131287 PQZ131287 PRN131287 QAV131287 QBJ131287 QKR131287 QLF131287 QUN131287 QVB131287 REJ131287 REX131287 ROF131287 ROT131287 RYB131287 RYP131287 SHX131287 SIL131287 SRT131287 SSH131287 TBP131287 TCD131287 TLL131287 TLZ131287 TVH131287 TVV131287 UFD131287 UFR131287 UOZ131287 UPN131287 UYV131287 UZJ131287 VIR131287 VJF131287 VSN131287 VTB131287 WCJ131287 WCX131287 WMF131287 WMT131287 WWB131287 WWP131287 T131293 AH131293 AQ131293 JP131293 KD131293 KM131293 TL131293 TZ131293 UI131293 ADH131293 ADV131293 AEE131293 AND131293 ANR131293 AOA131293 AWZ131293 AXN131293 AXW131293 BGV131293 BHJ131293 BHS131293 BQR131293 BRF131293 BRO131293 CAN131293 CBB131293 CBK131293 CKJ131293 CKX131293 CLG131293 CUF131293 CUT131293 CVC131293 DEB131293 DEP131293 DEY131293 DNX131293 DOL131293 DOU131293 DXT131293 DYH131293 DYQ131293 EHP131293 EID131293 EIM131293 ERL131293 ERZ131293 ESI131293 FBH131293 FBV131293 FCE131293 FLD131293 FLR131293 FMA131293 FUZ131293 FVN131293 FVW131293 GEV131293 GFJ131293 GFS131293 GOR131293 GPF131293 GPO131293 GYN131293 GZB131293 GZK131293 HIJ131293 HIX131293 HJG131293 HSF131293 HST131293 HTC131293 ICB131293 ICP131293 ICY131293 ILX131293 IML131293 IMU131293 IVT131293 IWH131293 IWQ131293 JFP131293 JGD131293 JGM131293 JPL131293 JPZ131293 JQI131293 JZH131293 JZV131293 KAE131293 KJD131293 KJR131293 KKA131293 KSZ131293 KTN131293 KTW131293 LCV131293 LDJ131293 LDS131293 LMR131293 LNF131293 LNO131293 LWN131293 LXB131293 LXK131293 MGJ131293 MGX131293 MHG131293 MQF131293 MQT131293 MRC131293 NAB131293 NAP131293 NAY131293 NJX131293 NKL131293 NKU131293 NTT131293 NUH131293 NUQ131293 ODP131293 OED131293 OEM131293 ONL131293 ONZ131293 OOI131293 OXH131293 OXV131293 OYE131293 PHD131293 PHR131293 PIA131293 PQZ131293 PRN131293 PRW131293 QAV131293 QBJ131293 QBS131293 QKR131293 QLF131293 QLO131293 QUN131293 QVB131293 QVK131293 REJ131293 REX131293 RFG131293 ROF131293 ROT131293 RPC131293 RYB131293 RYP131293 RYY131293 SHX131293 SIL131293 SIU131293 SRT131293 SSH131293 SSQ131293 TBP131293 TCD131293 TCM131293 TLL131293 TLZ131293 TMI131293 TVH131293 TVV131293 TWE131293 UFD131293 UFR131293 UGA131293 UOZ131293 UPN131293 UPW131293 UYV131293 UZJ131293 UZS131293 VIR131293 VJF131293 VJO131293 VSN131293 VTB131293 VTK131293 WCJ131293 WCX131293 WDG131293 WMF131293 WMT131293 WNC131293 WWB131293 WWP131293 WWY131293 T131298 AH131298 JP131298 KD131298 TL131298 TZ131298 ADH131298 ADV131298 AND131298 ANR131298 AWZ131298 AXN131298 BGV131298 BHJ131298 BQR131298 BRF131298 CAN131298 CBB131298 CKJ131298 CKX131298 CUF131298 CUT131298 DEB131298 DEP131298 DNX131298 DOL131298 DXT131298 DYH131298 EHP131298 EID131298 ERL131298 ERZ131298 FBH131298 FBV131298 FLD131298 FLR131298 FUZ131298 FVN131298 GEV131298 GFJ131298 GOR131298 GPF131298 GYN131298 GZB131298 HIJ131298 HIX131298 HSF131298 HST131298 ICB131298 ICP131298 ILX131298 IML131298 IVT131298 IWH131298 JFP131298 JGD131298 JPL131298 JPZ131298 JZH131298 JZV131298 KJD131298 KJR131298 KSZ131298 KTN131298 LCV131298 LDJ131298 LMR131298 LNF131298 LWN131298 LXB131298 MGJ131298 MGX131298 MQF131298 MQT131298 NAB131298 NAP131298 NJX131298 NKL131298 NTT131298 NUH131298 ODP131298 OED131298 ONL131298 ONZ131298 OXH131298 OXV131298 PHD131298 PHR131298 PQZ131298 PRN131298 QAV131298 QBJ131298 QKR131298 QLF131298 QUN131298 QVB131298 REJ131298 REX131298 ROF131298 ROT131298 RYB131298 RYP131298 SHX131298 SIL131298 SRT131298 SSH131298 TBP131298 TCD131298 TLL131298 TLZ131298 TVH131298 TVV131298 UFD131298 UFR131298 UOZ131298 UPN131298 UYV131298 UZJ131298 VIR131298 VJF131298 VSN131298 VTB131298 WCJ131298 WCX131298 WMF131298 WMT131298 WWB131298 WWP131298 AF196612 KB196612 TX196612 ADT196612 ANP196612 AXL196612 BHH196612 BRD196612 CAZ196612 CKV196612 CUR196612 DEN196612 DOJ196612 DYF196612 EIB196612 ERX196612 FBT196612 FLP196612 FVL196612 GFH196612 GPD196612 GYZ196612 HIV196612 HSR196612 ICN196612 IMJ196612 IWF196612 JGB196612 JPX196612 JZT196612 KJP196612 KTL196612 LDH196612 LND196612 LWZ196612 MGV196612 MQR196612 NAN196612 NKJ196612 NUF196612 OEB196612 ONX196612 OXT196612 PHP196612 PRL196612 QBH196612 QLD196612 QUZ196612 REV196612 ROR196612 RYN196612 SIJ196612 SSF196612 TCB196612 TLX196612 TVT196612 UFP196612 UPL196612 UZH196612 VJD196612 VSZ196612 WCV196612 WMR196612 WWN196612 T196813 AH196813 JP196813 KD196813 TL196813 TZ196813 ADH196813 ADV196813 AND196813 ANR196813 AWZ196813 AXN196813 BGV196813 BHJ196813 BQR196813 BRF196813 CAN196813 CBB196813 CKJ196813 CKX196813 CUF196813 CUT196813 DEB196813 DEP196813 DNX196813 DOL196813 DXT196813 DYH196813 EHP196813 EID196813 ERL196813 ERZ196813 FBH196813 FBV196813 FLD196813 FLR196813 FUZ196813 FVN196813 GEV196813 GFJ196813 GOR196813 GPF196813 GYN196813 GZB196813 HIJ196813 HIX196813 HSF196813 HST196813 ICB196813 ICP196813 ILX196813 IML196813 IVT196813 IWH196813 JFP196813 JGD196813 JPL196813 JPZ196813 JZH196813 JZV196813 KJD196813 KJR196813 KSZ196813 KTN196813 LCV196813 LDJ196813 LMR196813 LNF196813 LWN196813 LXB196813 MGJ196813 MGX196813 MQF196813 MQT196813 NAB196813 NAP196813 NJX196813 NKL196813 NTT196813 NUH196813 ODP196813 OED196813 ONL196813 ONZ196813 OXH196813 OXV196813 PHD196813 PHR196813 PQZ196813 PRN196813 QAV196813 QBJ196813 QKR196813 QLF196813 QUN196813 QVB196813 REJ196813 REX196813 ROF196813 ROT196813 RYB196813 RYP196813 SHX196813 SIL196813 SRT196813 SSH196813 TBP196813 TCD196813 TLL196813 TLZ196813 TVH196813 TVV196813 UFD196813 UFR196813 UOZ196813 UPN196813 UYV196813 UZJ196813 VIR196813 VJF196813 VSN196813 VTB196813 WCJ196813 WCX196813 WMF196813 WMT196813 WWB196813 WWP196813 T196823 AH196823 JP196823 KD196823 TL196823 TZ196823 ADH196823 ADV196823 AND196823 ANR196823 AWZ196823 AXN196823 BGV196823 BHJ196823 BQR196823 BRF196823 CAN196823 CBB196823 CKJ196823 CKX196823 CUF196823 CUT196823 DEB196823 DEP196823 DNX196823 DOL196823 DXT196823 DYH196823 EHP196823 EID196823 ERL196823 ERZ196823 FBH196823 FBV196823 FLD196823 FLR196823 FUZ196823 FVN196823 GEV196823 GFJ196823 GOR196823 GPF196823 GYN196823 GZB196823 HIJ196823 HIX196823 HSF196823 HST196823 ICB196823 ICP196823 ILX196823 IML196823 IVT196823 IWH196823 JFP196823 JGD196823 JPL196823 JPZ196823 JZH196823 JZV196823 KJD196823 KJR196823 KSZ196823 KTN196823 LCV196823 LDJ196823 LMR196823 LNF196823 LWN196823 LXB196823 MGJ196823 MGX196823 MQF196823 MQT196823 NAB196823 NAP196823 NJX196823 NKL196823 NTT196823 NUH196823 ODP196823 OED196823 ONL196823 ONZ196823 OXH196823 OXV196823 PHD196823 PHR196823 PQZ196823 PRN196823 QAV196823 QBJ196823 QKR196823 QLF196823 QUN196823 QVB196823 REJ196823 REX196823 ROF196823 ROT196823 RYB196823 RYP196823 SHX196823 SIL196823 SRT196823 SSH196823 TBP196823 TCD196823 TLL196823 TLZ196823 TVH196823 TVV196823 UFD196823 UFR196823 UOZ196823 UPN196823 UYV196823 UZJ196823 VIR196823 VJF196823 VSN196823 VTB196823 WCJ196823 WCX196823 WMF196823 WMT196823 WWB196823 WWP196823 T196829 AH196829 AQ196829 JP196829 KD196829 KM196829 TL196829 TZ196829 UI196829 ADH196829 ADV196829 AEE196829 AND196829 ANR196829 AOA196829 AWZ196829 AXN196829 AXW196829 BGV196829 BHJ196829 BHS196829 BQR196829 BRF196829 BRO196829 CAN196829 CBB196829 CBK196829 CKJ196829 CKX196829 CLG196829 CUF196829 CUT196829 CVC196829 DEB196829 DEP196829 DEY196829 DNX196829 DOL196829 DOU196829 DXT196829 DYH196829 DYQ196829 EHP196829 EID196829 EIM196829 ERL196829 ERZ196829 ESI196829 FBH196829 FBV196829 FCE196829 FLD196829 FLR196829 FMA196829 FUZ196829 FVN196829 FVW196829 GEV196829 GFJ196829 GFS196829 GOR196829 GPF196829 GPO196829 GYN196829 GZB196829 GZK196829 HIJ196829 HIX196829 HJG196829 HSF196829 HST196829 HTC196829 ICB196829 ICP196829 ICY196829 ILX196829 IML196829 IMU196829 IVT196829 IWH196829 IWQ196829 JFP196829 JGD196829 JGM196829 JPL196829 JPZ196829 JQI196829 JZH196829 JZV196829 KAE196829 KJD196829 KJR196829 KKA196829 KSZ196829 KTN196829 KTW196829 LCV196829 LDJ196829 LDS196829 LMR196829 LNF196829 LNO196829 LWN196829 LXB196829 LXK196829 MGJ196829 MGX196829 MHG196829 MQF196829 MQT196829 MRC196829 NAB196829 NAP196829 NAY196829 NJX196829 NKL196829 NKU196829 NTT196829 NUH196829 NUQ196829 ODP196829 OED196829 OEM196829 ONL196829 ONZ196829 OOI196829 OXH196829 OXV196829 OYE196829 PHD196829 PHR196829 PIA196829 PQZ196829 PRN196829 PRW196829 QAV196829 QBJ196829 QBS196829 QKR196829 QLF196829 QLO196829 QUN196829 QVB196829 QVK196829 REJ196829 REX196829 RFG196829 ROF196829 ROT196829 RPC196829 RYB196829 RYP196829 RYY196829 SHX196829 SIL196829 SIU196829 SRT196829 SSH196829 SSQ196829 TBP196829 TCD196829 TCM196829 TLL196829 TLZ196829 TMI196829 TVH196829 TVV196829 TWE196829 UFD196829 UFR196829 UGA196829 UOZ196829 UPN196829 UPW196829 UYV196829 UZJ196829 UZS196829 VIR196829 VJF196829 VJO196829 VSN196829 VTB196829 VTK196829 WCJ196829 WCX196829 WDG196829 WMF196829 WMT196829 WNC196829 WWB196829 WWP196829 WWY196829 T196834 AH196834 JP196834 KD196834 TL196834 TZ196834 ADH196834 ADV196834 AND196834 ANR196834 AWZ196834 AXN196834 BGV196834 BHJ196834 BQR196834 BRF196834 CAN196834 CBB196834 CKJ196834 CKX196834 CUF196834 CUT196834 DEB196834 DEP196834 DNX196834 DOL196834 DXT196834 DYH196834 EHP196834 EID196834 ERL196834 ERZ196834 FBH196834 FBV196834 FLD196834 FLR196834 FUZ196834 FVN196834 GEV196834 GFJ196834 GOR196834 GPF196834 GYN196834 GZB196834 HIJ196834 HIX196834 HSF196834 HST196834 ICB196834 ICP196834 ILX196834 IML196834 IVT196834 IWH196834 JFP196834 JGD196834 JPL196834 JPZ196834 JZH196834 JZV196834 KJD196834 KJR196834 KSZ196834 KTN196834 LCV196834 LDJ196834 LMR196834 LNF196834 LWN196834 LXB196834 MGJ196834 MGX196834 MQF196834 MQT196834 NAB196834 NAP196834 NJX196834 NKL196834 NTT196834 NUH196834 ODP196834 OED196834 ONL196834 ONZ196834 OXH196834 OXV196834 PHD196834 PHR196834 PQZ196834 PRN196834 QAV196834 QBJ196834 QKR196834 QLF196834 QUN196834 QVB196834 REJ196834 REX196834 ROF196834 ROT196834 RYB196834 RYP196834 SHX196834 SIL196834 SRT196834 SSH196834 TBP196834 TCD196834 TLL196834 TLZ196834 TVH196834 TVV196834 UFD196834 UFR196834 UOZ196834 UPN196834 UYV196834 UZJ196834 VIR196834 VJF196834 VSN196834 VTB196834 WCJ196834 WCX196834 WMF196834 WMT196834 WWB196834 WWP196834 AF262148 KB262148 TX262148 ADT262148 ANP262148 AXL262148 BHH262148 BRD262148 CAZ262148 CKV262148 CUR262148 DEN262148 DOJ262148 DYF262148 EIB262148 ERX262148 FBT262148 FLP262148 FVL262148 GFH262148 GPD262148 GYZ262148 HIV262148 HSR262148 ICN262148 IMJ262148 IWF262148 JGB262148 JPX262148 JZT262148 KJP262148 KTL262148 LDH262148 LND262148 LWZ262148 MGV262148 MQR262148 NAN262148 NKJ262148 NUF262148 OEB262148 ONX262148 OXT262148 PHP262148 PRL262148 QBH262148 QLD262148 QUZ262148 REV262148 ROR262148 RYN262148 SIJ262148 SSF262148 TCB262148 TLX262148 TVT262148 UFP262148 UPL262148 UZH262148 VJD262148 VSZ262148 WCV262148 WMR262148 WWN262148 T262349 AH262349 JP262349 KD262349 TL262349 TZ262349 ADH262349 ADV262349 AND262349 ANR262349 AWZ262349 AXN262349 BGV262349 BHJ262349 BQR262349 BRF262349 CAN262349 CBB262349 CKJ262349 CKX262349 CUF262349 CUT262349 DEB262349 DEP262349 DNX262349 DOL262349 DXT262349 DYH262349 EHP262349 EID262349 ERL262349 ERZ262349 FBH262349 FBV262349 FLD262349 FLR262349 FUZ262349 FVN262349 GEV262349 GFJ262349 GOR262349 GPF262349 GYN262349 GZB262349 HIJ262349 HIX262349 HSF262349 HST262349 ICB262349 ICP262349 ILX262349 IML262349 IVT262349 IWH262349 JFP262349 JGD262349 JPL262349 JPZ262349 JZH262349 JZV262349 KJD262349 KJR262349 KSZ262349 KTN262349 LCV262349 LDJ262349 LMR262349 LNF262349 LWN262349 LXB262349 MGJ262349 MGX262349 MQF262349 MQT262349 NAB262349 NAP262349 NJX262349 NKL262349 NTT262349 NUH262349 ODP262349 OED262349 ONL262349 ONZ262349 OXH262349 OXV262349 PHD262349 PHR262349 PQZ262349 PRN262349 QAV262349 QBJ262349 QKR262349 QLF262349 QUN262349 QVB262349 REJ262349 REX262349 ROF262349 ROT262349 RYB262349 RYP262349 SHX262349 SIL262349 SRT262349 SSH262349 TBP262349 TCD262349 TLL262349 TLZ262349 TVH262349 TVV262349 UFD262349 UFR262349 UOZ262349 UPN262349 UYV262349 UZJ262349 VIR262349 VJF262349 VSN262349 VTB262349 WCJ262349 WCX262349 WMF262349 WMT262349 WWB262349 WWP262349 T262359 AH262359 JP262359 KD262359 TL262359 TZ262359 ADH262359 ADV262359 AND262359 ANR262359 AWZ262359 AXN262359 BGV262359 BHJ262359 BQR262359 BRF262359 CAN262359 CBB262359 CKJ262359 CKX262359 CUF262359 CUT262359 DEB262359 DEP262359 DNX262359 DOL262359 DXT262359 DYH262359 EHP262359 EID262359 ERL262359 ERZ262359 FBH262359 FBV262359 FLD262359 FLR262359 FUZ262359 FVN262359 GEV262359 GFJ262359 GOR262359 GPF262359 GYN262359 GZB262359 HIJ262359 HIX262359 HSF262359 HST262359 ICB262359 ICP262359 ILX262359 IML262359 IVT262359 IWH262359 JFP262359 JGD262359 JPL262359 JPZ262359 JZH262359 JZV262359 KJD262359 KJR262359 KSZ262359 KTN262359 LCV262359 LDJ262359 LMR262359 LNF262359 LWN262359 LXB262359 MGJ262359 MGX262359 MQF262359 MQT262359 NAB262359 NAP262359 NJX262359 NKL262359 NTT262359 NUH262359 ODP262359 OED262359 ONL262359 ONZ262359 OXH262359 OXV262359 PHD262359 PHR262359 PQZ262359 PRN262359 QAV262359 QBJ262359 QKR262359 QLF262359 QUN262359 QVB262359 REJ262359 REX262359 ROF262359 ROT262359 RYB262359 RYP262359 SHX262359 SIL262359 SRT262359 SSH262359 TBP262359 TCD262359 TLL262359 TLZ262359 TVH262359 TVV262359 UFD262359 UFR262359 UOZ262359 UPN262359 UYV262359 UZJ262359 VIR262359 VJF262359 VSN262359 VTB262359 WCJ262359 WCX262359 WMF262359 WMT262359 WWB262359 WWP262359 T262365 AH262365 AQ262365 JP262365 KD262365 KM262365 TL262365 TZ262365 UI262365 ADH262365 ADV262365 AEE262365 AND262365 ANR262365 AOA262365 AWZ262365 AXN262365 AXW262365 BGV262365 BHJ262365 BHS262365 BQR262365 BRF262365 BRO262365 CAN262365 CBB262365 CBK262365 CKJ262365 CKX262365 CLG262365 CUF262365 CUT262365 CVC262365 DEB262365 DEP262365 DEY262365 DNX262365 DOL262365 DOU262365 DXT262365 DYH262365 DYQ262365 EHP262365 EID262365 EIM262365 ERL262365 ERZ262365 ESI262365 FBH262365 FBV262365 FCE262365 FLD262365 FLR262365 FMA262365 FUZ262365 FVN262365 FVW262365 GEV262365 GFJ262365 GFS262365 GOR262365 GPF262365 GPO262365 GYN262365 GZB262365 GZK262365 HIJ262365 HIX262365 HJG262365 HSF262365 HST262365 HTC262365 ICB262365 ICP262365 ICY262365 ILX262365 IML262365 IMU262365 IVT262365 IWH262365 IWQ262365 JFP262365 JGD262365 JGM262365 JPL262365 JPZ262365 JQI262365 JZH262365 JZV262365 KAE262365 KJD262365 KJR262365 KKA262365 KSZ262365 KTN262365 KTW262365 LCV262365 LDJ262365 LDS262365 LMR262365 LNF262365 LNO262365 LWN262365 LXB262365 LXK262365 MGJ262365 MGX262365 MHG262365 MQF262365 MQT262365 MRC262365 NAB262365 NAP262365 NAY262365 NJX262365 NKL262365 NKU262365 NTT262365 NUH262365 NUQ262365 ODP262365 OED262365 OEM262365 ONL262365 ONZ262365 OOI262365 OXH262365 OXV262365 OYE262365 PHD262365 PHR262365 PIA262365 PQZ262365 PRN262365 PRW262365 QAV262365 QBJ262365 QBS262365 QKR262365 QLF262365 QLO262365 QUN262365 QVB262365 QVK262365 REJ262365 REX262365 RFG262365 ROF262365 ROT262365 RPC262365 RYB262365 RYP262365 RYY262365 SHX262365 SIL262365 SIU262365 SRT262365 SSH262365 SSQ262365 TBP262365 TCD262365 TCM262365 TLL262365 TLZ262365 TMI262365 TVH262365 TVV262365 TWE262365 UFD262365 UFR262365 UGA262365 UOZ262365 UPN262365 UPW262365 UYV262365 UZJ262365 UZS262365 VIR262365 VJF262365 VJO262365 VSN262365 VTB262365 VTK262365 WCJ262365 WCX262365 WDG262365 WMF262365 WMT262365 WNC262365 WWB262365 WWP262365 WWY262365 T262370 AH262370 JP262370 KD262370 TL262370 TZ262370 ADH262370 ADV262370 AND262370 ANR262370 AWZ262370 AXN262370 BGV262370 BHJ262370 BQR262370 BRF262370 CAN262370 CBB262370 CKJ262370 CKX262370 CUF262370 CUT262370 DEB262370 DEP262370 DNX262370 DOL262370 DXT262370 DYH262370 EHP262370 EID262370 ERL262370 ERZ262370 FBH262370 FBV262370 FLD262370 FLR262370 FUZ262370 FVN262370 GEV262370 GFJ262370 GOR262370 GPF262370 GYN262370 GZB262370 HIJ262370 HIX262370 HSF262370 HST262370 ICB262370 ICP262370 ILX262370 IML262370 IVT262370 IWH262370 JFP262370 JGD262370 JPL262370 JPZ262370 JZH262370 JZV262370 KJD262370 KJR262370 KSZ262370 KTN262370 LCV262370 LDJ262370 LMR262370 LNF262370 LWN262370 LXB262370 MGJ262370 MGX262370 MQF262370 MQT262370 NAB262370 NAP262370 NJX262370 NKL262370 NTT262370 NUH262370 ODP262370 OED262370 ONL262370 ONZ262370 OXH262370 OXV262370 PHD262370 PHR262370 PQZ262370 PRN262370 QAV262370 QBJ262370 QKR262370 QLF262370 QUN262370 QVB262370 REJ262370 REX262370 ROF262370 ROT262370 RYB262370 RYP262370 SHX262370 SIL262370 SRT262370 SSH262370 TBP262370 TCD262370 TLL262370 TLZ262370 TVH262370 TVV262370 UFD262370 UFR262370 UOZ262370 UPN262370 UYV262370 UZJ262370 VIR262370 VJF262370 VSN262370 VTB262370 WCJ262370 WCX262370 WMF262370 WMT262370 WWB262370 WWP262370 AF327684 KB327684 TX327684 ADT327684 ANP327684 AXL327684 BHH327684 BRD327684 CAZ327684 CKV327684 CUR327684 DEN327684 DOJ327684 DYF327684 EIB327684 ERX327684 FBT327684 FLP327684 FVL327684 GFH327684 GPD327684 GYZ327684 HIV327684 HSR327684 ICN327684 IMJ327684 IWF327684 JGB327684 JPX327684 JZT327684 KJP327684 KTL327684 LDH327684 LND327684 LWZ327684 MGV327684 MQR327684 NAN327684 NKJ327684 NUF327684 OEB327684 ONX327684 OXT327684 PHP327684 PRL327684 QBH327684 QLD327684 QUZ327684 REV327684 ROR327684 RYN327684 SIJ327684 SSF327684 TCB327684 TLX327684 TVT327684 UFP327684 UPL327684 UZH327684 VJD327684 VSZ327684 WCV327684 WMR327684 WWN327684 T327885 AH327885 JP327885 KD327885 TL327885 TZ327885 ADH327885 ADV327885 AND327885 ANR327885 AWZ327885 AXN327885 BGV327885 BHJ327885 BQR327885 BRF327885 CAN327885 CBB327885 CKJ327885 CKX327885 CUF327885 CUT327885 DEB327885 DEP327885 DNX327885 DOL327885 DXT327885 DYH327885 EHP327885 EID327885 ERL327885 ERZ327885 FBH327885 FBV327885 FLD327885 FLR327885 FUZ327885 FVN327885 GEV327885 GFJ327885 GOR327885 GPF327885 GYN327885 GZB327885 HIJ327885 HIX327885 HSF327885 HST327885 ICB327885 ICP327885 ILX327885 IML327885 IVT327885 IWH327885 JFP327885 JGD327885 JPL327885 JPZ327885 JZH327885 JZV327885 KJD327885 KJR327885 KSZ327885 KTN327885 LCV327885 LDJ327885 LMR327885 LNF327885 LWN327885 LXB327885 MGJ327885 MGX327885 MQF327885 MQT327885 NAB327885 NAP327885 NJX327885 NKL327885 NTT327885 NUH327885 ODP327885 OED327885 ONL327885 ONZ327885 OXH327885 OXV327885 PHD327885 PHR327885 PQZ327885 PRN327885 QAV327885 QBJ327885 QKR327885 QLF327885 QUN327885 QVB327885 REJ327885 REX327885 ROF327885 ROT327885 RYB327885 RYP327885 SHX327885 SIL327885 SRT327885 SSH327885 TBP327885 TCD327885 TLL327885 TLZ327885 TVH327885 TVV327885 UFD327885 UFR327885 UOZ327885 UPN327885 UYV327885 UZJ327885 VIR327885 VJF327885 VSN327885 VTB327885 WCJ327885 WCX327885 WMF327885 WMT327885 WWB327885 WWP327885 T327895 AH327895 JP327895 KD327895 TL327895 TZ327895 ADH327895 ADV327895 AND327895 ANR327895 AWZ327895 AXN327895 BGV327895 BHJ327895 BQR327895 BRF327895 CAN327895 CBB327895 CKJ327895 CKX327895 CUF327895 CUT327895 DEB327895 DEP327895 DNX327895 DOL327895 DXT327895 DYH327895 EHP327895 EID327895 ERL327895 ERZ327895 FBH327895 FBV327895 FLD327895 FLR327895 FUZ327895 FVN327895 GEV327895 GFJ327895 GOR327895 GPF327895 GYN327895 GZB327895 HIJ327895 HIX327895 HSF327895 HST327895 ICB327895 ICP327895 ILX327895 IML327895 IVT327895 IWH327895 JFP327895 JGD327895 JPL327895 JPZ327895 JZH327895 JZV327895 KJD327895 KJR327895 KSZ327895 KTN327895 LCV327895 LDJ327895 LMR327895 LNF327895 LWN327895 LXB327895 MGJ327895 MGX327895 MQF327895 MQT327895 NAB327895 NAP327895 NJX327895 NKL327895 NTT327895 NUH327895 ODP327895 OED327895 ONL327895 ONZ327895 OXH327895 OXV327895 PHD327895 PHR327895 PQZ327895 PRN327895 QAV327895 QBJ327895 QKR327895 QLF327895 QUN327895 QVB327895 REJ327895 REX327895 ROF327895 ROT327895 RYB327895 RYP327895 SHX327895 SIL327895 SRT327895 SSH327895 TBP327895 TCD327895 TLL327895 TLZ327895 TVH327895 TVV327895 UFD327895 UFR327895 UOZ327895 UPN327895 UYV327895 UZJ327895 VIR327895 VJF327895 VSN327895 VTB327895 WCJ327895 WCX327895 WMF327895 WMT327895 WWB327895 WWP327895 T327901 AH327901 AQ327901 JP327901 KD327901 KM327901 TL327901 TZ327901 UI327901 ADH327901 ADV327901 AEE327901 AND327901 ANR327901 AOA327901 AWZ327901 AXN327901 AXW327901 BGV327901 BHJ327901 BHS327901 BQR327901 BRF327901 BRO327901 CAN327901 CBB327901 CBK327901 CKJ327901 CKX327901 CLG327901 CUF327901 CUT327901 CVC327901 DEB327901 DEP327901 DEY327901 DNX327901 DOL327901 DOU327901 DXT327901 DYH327901 DYQ327901 EHP327901 EID327901 EIM327901 ERL327901 ERZ327901 ESI327901 FBH327901 FBV327901 FCE327901 FLD327901 FLR327901 FMA327901 FUZ327901 FVN327901 FVW327901 GEV327901 GFJ327901 GFS327901 GOR327901 GPF327901 GPO327901 GYN327901 GZB327901 GZK327901 HIJ327901 HIX327901 HJG327901 HSF327901 HST327901 HTC327901 ICB327901 ICP327901 ICY327901 ILX327901 IML327901 IMU327901 IVT327901 IWH327901 IWQ327901 JFP327901 JGD327901 JGM327901 JPL327901 JPZ327901 JQI327901 JZH327901 JZV327901 KAE327901 KJD327901 KJR327901 KKA327901 KSZ327901 KTN327901 KTW327901 LCV327901 LDJ327901 LDS327901 LMR327901 LNF327901 LNO327901 LWN327901 LXB327901 LXK327901 MGJ327901 MGX327901 MHG327901 MQF327901 MQT327901 MRC327901 NAB327901 NAP327901 NAY327901 NJX327901 NKL327901 NKU327901 NTT327901 NUH327901 NUQ327901 ODP327901 OED327901 OEM327901 ONL327901 ONZ327901 OOI327901 OXH327901 OXV327901 OYE327901 PHD327901 PHR327901 PIA327901 PQZ327901 PRN327901 PRW327901 QAV327901 QBJ327901 QBS327901 QKR327901 QLF327901 QLO327901 QUN327901 QVB327901 QVK327901 REJ327901 REX327901 RFG327901 ROF327901 ROT327901 RPC327901 RYB327901 RYP327901 RYY327901 SHX327901 SIL327901 SIU327901 SRT327901 SSH327901 SSQ327901 TBP327901 TCD327901 TCM327901 TLL327901 TLZ327901 TMI327901 TVH327901 TVV327901 TWE327901 UFD327901 UFR327901 UGA327901 UOZ327901 UPN327901 UPW327901 UYV327901 UZJ327901 UZS327901 VIR327901 VJF327901 VJO327901 VSN327901 VTB327901 VTK327901 WCJ327901 WCX327901 WDG327901 WMF327901 WMT327901 WNC327901 WWB327901 WWP327901 WWY327901 T327906 AH327906 JP327906 KD327906 TL327906 TZ327906 ADH327906 ADV327906 AND327906 ANR327906 AWZ327906 AXN327906 BGV327906 BHJ327906 BQR327906 BRF327906 CAN327906 CBB327906 CKJ327906 CKX327906 CUF327906 CUT327906 DEB327906 DEP327906 DNX327906 DOL327906 DXT327906 DYH327906 EHP327906 EID327906 ERL327906 ERZ327906 FBH327906 FBV327906 FLD327906 FLR327906 FUZ327906 FVN327906 GEV327906 GFJ327906 GOR327906 GPF327906 GYN327906 GZB327906 HIJ327906 HIX327906 HSF327906 HST327906 ICB327906 ICP327906 ILX327906 IML327906 IVT327906 IWH327906 JFP327906 JGD327906 JPL327906 JPZ327906 JZH327906 JZV327906 KJD327906 KJR327906 KSZ327906 KTN327906 LCV327906 LDJ327906 LMR327906 LNF327906 LWN327906 LXB327906 MGJ327906 MGX327906 MQF327906 MQT327906 NAB327906 NAP327906 NJX327906 NKL327906 NTT327906 NUH327906 ODP327906 OED327906 ONL327906 ONZ327906 OXH327906 OXV327906 PHD327906 PHR327906 PQZ327906 PRN327906 QAV327906 QBJ327906 QKR327906 QLF327906 QUN327906 QVB327906 REJ327906 REX327906 ROF327906 ROT327906 RYB327906 RYP327906 SHX327906 SIL327906 SRT327906 SSH327906 TBP327906 TCD327906 TLL327906 TLZ327906 TVH327906 TVV327906 UFD327906 UFR327906 UOZ327906 UPN327906 UYV327906 UZJ327906 VIR327906 VJF327906 VSN327906 VTB327906 WCJ327906 WCX327906 WMF327906 WMT327906 WWB327906 WWP327906 AF393220 KB393220 TX393220 ADT393220 ANP393220 AXL393220 BHH393220 BRD393220 CAZ393220 CKV393220 CUR393220 DEN393220 DOJ393220 DYF393220 EIB393220 ERX393220 FBT393220 FLP393220 FVL393220 GFH393220 GPD393220 GYZ393220 HIV393220 HSR393220 ICN393220 IMJ393220 IWF393220 JGB393220 JPX393220 JZT393220 KJP393220 KTL393220 LDH393220 LND393220 LWZ393220 MGV393220 MQR393220 NAN393220 NKJ393220 NUF393220 OEB393220 ONX393220 OXT393220 PHP393220 PRL393220 QBH393220 QLD393220 QUZ393220 REV393220 ROR393220 RYN393220 SIJ393220 SSF393220 TCB393220 TLX393220 TVT393220 UFP393220 UPL393220 UZH393220 VJD393220 VSZ393220 WCV393220 WMR393220 WWN393220 T393421 AH393421 JP393421 KD393421 TL393421 TZ393421 ADH393421 ADV393421 AND393421 ANR393421 AWZ393421 AXN393421 BGV393421 BHJ393421 BQR393421 BRF393421 CAN393421 CBB393421 CKJ393421 CKX393421 CUF393421 CUT393421 DEB393421 DEP393421 DNX393421 DOL393421 DXT393421 DYH393421 EHP393421 EID393421 ERL393421 ERZ393421 FBH393421 FBV393421 FLD393421 FLR393421 FUZ393421 FVN393421 GEV393421 GFJ393421 GOR393421 GPF393421 GYN393421 GZB393421 HIJ393421 HIX393421 HSF393421 HST393421 ICB393421 ICP393421 ILX393421 IML393421 IVT393421 IWH393421 JFP393421 JGD393421 JPL393421 JPZ393421 JZH393421 JZV393421 KJD393421 KJR393421 KSZ393421 KTN393421 LCV393421 LDJ393421 LMR393421 LNF393421 LWN393421 LXB393421 MGJ393421 MGX393421 MQF393421 MQT393421 NAB393421 NAP393421 NJX393421 NKL393421 NTT393421 NUH393421 ODP393421 OED393421 ONL393421 ONZ393421 OXH393421 OXV393421 PHD393421 PHR393421 PQZ393421 PRN393421 QAV393421 QBJ393421 QKR393421 QLF393421 QUN393421 QVB393421 REJ393421 REX393421 ROF393421 ROT393421 RYB393421 RYP393421 SHX393421 SIL393421 SRT393421 SSH393421 TBP393421 TCD393421 TLL393421 TLZ393421 TVH393421 TVV393421 UFD393421 UFR393421 UOZ393421 UPN393421 UYV393421 UZJ393421 VIR393421 VJF393421 VSN393421 VTB393421 WCJ393421 WCX393421 WMF393421 WMT393421 WWB393421 WWP393421 T393431 AH393431 JP393431 KD393431 TL393431 TZ393431 ADH393431 ADV393431 AND393431 ANR393431 AWZ393431 AXN393431 BGV393431 BHJ393431 BQR393431 BRF393431 CAN393431 CBB393431 CKJ393431 CKX393431 CUF393431 CUT393431 DEB393431 DEP393431 DNX393431 DOL393431 DXT393431 DYH393431 EHP393431 EID393431 ERL393431 ERZ393431 FBH393431 FBV393431 FLD393431 FLR393431 FUZ393431 FVN393431 GEV393431 GFJ393431 GOR393431 GPF393431 GYN393431 GZB393431 HIJ393431 HIX393431 HSF393431 HST393431 ICB393431 ICP393431 ILX393431 IML393431 IVT393431 IWH393431 JFP393431 JGD393431 JPL393431 JPZ393431 JZH393431 JZV393431 KJD393431 KJR393431 KSZ393431 KTN393431 LCV393431 LDJ393431 LMR393431 LNF393431 LWN393431 LXB393431 MGJ393431 MGX393431 MQF393431 MQT393431 NAB393431 NAP393431 NJX393431 NKL393431 NTT393431 NUH393431 ODP393431 OED393431 ONL393431 ONZ393431 OXH393431 OXV393431 PHD393431 PHR393431 PQZ393431 PRN393431 QAV393431 QBJ393431 QKR393431 QLF393431 QUN393431 QVB393431 REJ393431 REX393431 ROF393431 ROT393431 RYB393431 RYP393431 SHX393431 SIL393431 SRT393431 SSH393431 TBP393431 TCD393431 TLL393431 TLZ393431 TVH393431 TVV393431 UFD393431 UFR393431 UOZ393431 UPN393431 UYV393431 UZJ393431 VIR393431 VJF393431 VSN393431 VTB393431 WCJ393431 WCX393431 WMF393431 WMT393431 WWB393431 WWP393431 T393437 AH393437 AQ393437 JP393437 KD393437 KM393437 TL393437 TZ393437 UI393437 ADH393437 ADV393437 AEE393437 AND393437 ANR393437 AOA393437 AWZ393437 AXN393437 AXW393437 BGV393437 BHJ393437 BHS393437 BQR393437 BRF393437 BRO393437 CAN393437 CBB393437 CBK393437 CKJ393437 CKX393437 CLG393437 CUF393437 CUT393437 CVC393437 DEB393437 DEP393437 DEY393437 DNX393437 DOL393437 DOU393437 DXT393437 DYH393437 DYQ393437 EHP393437 EID393437 EIM393437 ERL393437 ERZ393437 ESI393437 FBH393437 FBV393437 FCE393437 FLD393437 FLR393437 FMA393437 FUZ393437 FVN393437 FVW393437 GEV393437 GFJ393437 GFS393437 GOR393437 GPF393437 GPO393437 GYN393437 GZB393437 GZK393437 HIJ393437 HIX393437 HJG393437 HSF393437 HST393437 HTC393437 ICB393437 ICP393437 ICY393437 ILX393437 IML393437 IMU393437 IVT393437 IWH393437 IWQ393437 JFP393437 JGD393437 JGM393437 JPL393437 JPZ393437 JQI393437 JZH393437 JZV393437 KAE393437 KJD393437 KJR393437 KKA393437 KSZ393437 KTN393437 KTW393437 LCV393437 LDJ393437 LDS393437 LMR393437 LNF393437 LNO393437 LWN393437 LXB393437 LXK393437 MGJ393437 MGX393437 MHG393437 MQF393437 MQT393437 MRC393437 NAB393437 NAP393437 NAY393437 NJX393437 NKL393437 NKU393437 NTT393437 NUH393437 NUQ393437 ODP393437 OED393437 OEM393437 ONL393437 ONZ393437 OOI393437 OXH393437 OXV393437 OYE393437 PHD393437 PHR393437 PIA393437 PQZ393437 PRN393437 PRW393437 QAV393437 QBJ393437 QBS393437 QKR393437 QLF393437 QLO393437 QUN393437 QVB393437 QVK393437 REJ393437 REX393437 RFG393437 ROF393437 ROT393437 RPC393437 RYB393437 RYP393437 RYY393437 SHX393437 SIL393437 SIU393437 SRT393437 SSH393437 SSQ393437 TBP393437 TCD393437 TCM393437 TLL393437 TLZ393437 TMI393437 TVH393437 TVV393437 TWE393437 UFD393437 UFR393437 UGA393437 UOZ393437 UPN393437 UPW393437 UYV393437 UZJ393437 UZS393437 VIR393437 VJF393437 VJO393437 VSN393437 VTB393437 VTK393437 WCJ393437 WCX393437 WDG393437 WMF393437 WMT393437 WNC393437 WWB393437 WWP393437 WWY393437 T393442 AH393442 JP393442 KD393442 TL393442 TZ393442 ADH393442 ADV393442 AND393442 ANR393442 AWZ393442 AXN393442 BGV393442 BHJ393442 BQR393442 BRF393442 CAN393442 CBB393442 CKJ393442 CKX393442 CUF393442 CUT393442 DEB393442 DEP393442 DNX393442 DOL393442 DXT393442 DYH393442 EHP393442 EID393442 ERL393442 ERZ393442 FBH393442 FBV393442 FLD393442 FLR393442 FUZ393442 FVN393442 GEV393442 GFJ393442 GOR393442 GPF393442 GYN393442 GZB393442 HIJ393442 HIX393442 HSF393442 HST393442 ICB393442 ICP393442 ILX393442 IML393442 IVT393442 IWH393442 JFP393442 JGD393442 JPL393442 JPZ393442 JZH393442 JZV393442 KJD393442 KJR393442 KSZ393442 KTN393442 LCV393442 LDJ393442 LMR393442 LNF393442 LWN393442 LXB393442 MGJ393442 MGX393442 MQF393442 MQT393442 NAB393442 NAP393442 NJX393442 NKL393442 NTT393442 NUH393442 ODP393442 OED393442 ONL393442 ONZ393442 OXH393442 OXV393442 PHD393442 PHR393442 PQZ393442 PRN393442 QAV393442 QBJ393442 QKR393442 QLF393442 QUN393442 QVB393442 REJ393442 REX393442 ROF393442 ROT393442 RYB393442 RYP393442 SHX393442 SIL393442 SRT393442 SSH393442 TBP393442 TCD393442 TLL393442 TLZ393442 TVH393442 TVV393442 UFD393442 UFR393442 UOZ393442 UPN393442 UYV393442 UZJ393442 VIR393442 VJF393442 VSN393442 VTB393442 WCJ393442 WCX393442 WMF393442 WMT393442 WWB393442 WWP393442 AF458756 KB458756 TX458756 ADT458756 ANP458756 AXL458756 BHH458756 BRD458756 CAZ458756 CKV458756 CUR458756 DEN458756 DOJ458756 DYF458756 EIB458756 ERX458756 FBT458756 FLP458756 FVL458756 GFH458756 GPD458756 GYZ458756 HIV458756 HSR458756 ICN458756 IMJ458756 IWF458756 JGB458756 JPX458756 JZT458756 KJP458756 KTL458756 LDH458756 LND458756 LWZ458756 MGV458756 MQR458756 NAN458756 NKJ458756 NUF458756 OEB458756 ONX458756 OXT458756 PHP458756 PRL458756 QBH458756 QLD458756 QUZ458756 REV458756 ROR458756 RYN458756 SIJ458756 SSF458756 TCB458756 TLX458756 TVT458756 UFP458756 UPL458756 UZH458756 VJD458756 VSZ458756 WCV458756 WMR458756 WWN458756 T458957 AH458957 JP458957 KD458957 TL458957 TZ458957 ADH458957 ADV458957 AND458957 ANR458957 AWZ458957 AXN458957 BGV458957 BHJ458957 BQR458957 BRF458957 CAN458957 CBB458957 CKJ458957 CKX458957 CUF458957 CUT458957 DEB458957 DEP458957 DNX458957 DOL458957 DXT458957 DYH458957 EHP458957 EID458957 ERL458957 ERZ458957 FBH458957 FBV458957 FLD458957 FLR458957 FUZ458957 FVN458957 GEV458957 GFJ458957 GOR458957 GPF458957 GYN458957 GZB458957 HIJ458957 HIX458957 HSF458957 HST458957 ICB458957 ICP458957 ILX458957 IML458957 IVT458957 IWH458957 JFP458957 JGD458957 JPL458957 JPZ458957 JZH458957 JZV458957 KJD458957 KJR458957 KSZ458957 KTN458957 LCV458957 LDJ458957 LMR458957 LNF458957 LWN458957 LXB458957 MGJ458957 MGX458957 MQF458957 MQT458957 NAB458957 NAP458957 NJX458957 NKL458957 NTT458957 NUH458957 ODP458957 OED458957 ONL458957 ONZ458957 OXH458957 OXV458957 PHD458957 PHR458957 PQZ458957 PRN458957 QAV458957 QBJ458957 QKR458957 QLF458957 QUN458957 QVB458957 REJ458957 REX458957 ROF458957 ROT458957 RYB458957 RYP458957 SHX458957 SIL458957 SRT458957 SSH458957 TBP458957 TCD458957 TLL458957 TLZ458957 TVH458957 TVV458957 UFD458957 UFR458957 UOZ458957 UPN458957 UYV458957 UZJ458957 VIR458957 VJF458957 VSN458957 VTB458957 WCJ458957 WCX458957 WMF458957 WMT458957 WWB458957 WWP458957 T458967 AH458967 JP458967 KD458967 TL458967 TZ458967 ADH458967 ADV458967 AND458967 ANR458967 AWZ458967 AXN458967 BGV458967 BHJ458967 BQR458967 BRF458967 CAN458967 CBB458967 CKJ458967 CKX458967 CUF458967 CUT458967 DEB458967 DEP458967 DNX458967 DOL458967 DXT458967 DYH458967 EHP458967 EID458967 ERL458967 ERZ458967 FBH458967 FBV458967 FLD458967 FLR458967 FUZ458967 FVN458967 GEV458967 GFJ458967 GOR458967 GPF458967 GYN458967 GZB458967 HIJ458967 HIX458967 HSF458967 HST458967 ICB458967 ICP458967 ILX458967 IML458967 IVT458967 IWH458967 JFP458967 JGD458967 JPL458967 JPZ458967 JZH458967 JZV458967 KJD458967 KJR458967 KSZ458967 KTN458967 LCV458967 LDJ458967 LMR458967 LNF458967 LWN458967 LXB458967 MGJ458967 MGX458967 MQF458967 MQT458967 NAB458967 NAP458967 NJX458967 NKL458967 NTT458967 NUH458967 ODP458967 OED458967 ONL458967 ONZ458967 OXH458967 OXV458967 PHD458967 PHR458967 PQZ458967 PRN458967 QAV458967 QBJ458967 QKR458967 QLF458967 QUN458967 QVB458967 REJ458967 REX458967 ROF458967 ROT458967 RYB458967 RYP458967 SHX458967 SIL458967 SRT458967 SSH458967 TBP458967 TCD458967 TLL458967 TLZ458967 TVH458967 TVV458967 UFD458967 UFR458967 UOZ458967 UPN458967 UYV458967 UZJ458967 VIR458967 VJF458967 VSN458967 VTB458967 WCJ458967 WCX458967 WMF458967 WMT458967 WWB458967 WWP458967 T458973 AH458973 AQ458973 JP458973 KD458973 KM458973 TL458973 TZ458973 UI458973 ADH458973 ADV458973 AEE458973 AND458973 ANR458973 AOA458973 AWZ458973 AXN458973 AXW458973 BGV458973 BHJ458973 BHS458973 BQR458973 BRF458973 BRO458973 CAN458973 CBB458973 CBK458973 CKJ458973 CKX458973 CLG458973 CUF458973 CUT458973 CVC458973 DEB458973 DEP458973 DEY458973 DNX458973 DOL458973 DOU458973 DXT458973 DYH458973 DYQ458973 EHP458973 EID458973 EIM458973 ERL458973 ERZ458973 ESI458973 FBH458973 FBV458973 FCE458973 FLD458973 FLR458973 FMA458973 FUZ458973 FVN458973 FVW458973 GEV458973 GFJ458973 GFS458973 GOR458973 GPF458973 GPO458973 GYN458973 GZB458973 GZK458973 HIJ458973 HIX458973 HJG458973 HSF458973 HST458973 HTC458973 ICB458973 ICP458973 ICY458973 ILX458973 IML458973 IMU458973 IVT458973 IWH458973 IWQ458973 JFP458973 JGD458973 JGM458973 JPL458973 JPZ458973 JQI458973 JZH458973 JZV458973 KAE458973 KJD458973 KJR458973 KKA458973 KSZ458973 KTN458973 KTW458973 LCV458973 LDJ458973 LDS458973 LMR458973 LNF458973 LNO458973 LWN458973 LXB458973 LXK458973 MGJ458973 MGX458973 MHG458973 MQF458973 MQT458973 MRC458973 NAB458973 NAP458973 NAY458973 NJX458973 NKL458973 NKU458973 NTT458973 NUH458973 NUQ458973 ODP458973 OED458973 OEM458973 ONL458973 ONZ458973 OOI458973 OXH458973 OXV458973 OYE458973 PHD458973 PHR458973 PIA458973 PQZ458973 PRN458973 PRW458973 QAV458973 QBJ458973 QBS458973 QKR458973 QLF458973 QLO458973 QUN458973 QVB458973 QVK458973 REJ458973 REX458973 RFG458973 ROF458973 ROT458973 RPC458973 RYB458973 RYP458973 RYY458973 SHX458973 SIL458973 SIU458973 SRT458973 SSH458973 SSQ458973 TBP458973 TCD458973 TCM458973 TLL458973 TLZ458973 TMI458973 TVH458973 TVV458973 TWE458973 UFD458973 UFR458973 UGA458973 UOZ458973 UPN458973 UPW458973 UYV458973 UZJ458973 UZS458973 VIR458973 VJF458973 VJO458973 VSN458973 VTB458973 VTK458973 WCJ458973 WCX458973 WDG458973 WMF458973 WMT458973 WNC458973 WWB458973 WWP458973 WWY458973 T458978 AH458978 JP458978 KD458978 TL458978 TZ458978 ADH458978 ADV458978 AND458978 ANR458978 AWZ458978 AXN458978 BGV458978 BHJ458978 BQR458978 BRF458978 CAN458978 CBB458978 CKJ458978 CKX458978 CUF458978 CUT458978 DEB458978 DEP458978 DNX458978 DOL458978 DXT458978 DYH458978 EHP458978 EID458978 ERL458978 ERZ458978 FBH458978 FBV458978 FLD458978 FLR458978 FUZ458978 FVN458978 GEV458978 GFJ458978 GOR458978 GPF458978 GYN458978 GZB458978 HIJ458978 HIX458978 HSF458978 HST458978 ICB458978 ICP458978 ILX458978 IML458978 IVT458978 IWH458978 JFP458978 JGD458978 JPL458978 JPZ458978 JZH458978 JZV458978 KJD458978 KJR458978 KSZ458978 KTN458978 LCV458978 LDJ458978 LMR458978 LNF458978 LWN458978 LXB458978 MGJ458978 MGX458978 MQF458978 MQT458978 NAB458978 NAP458978 NJX458978 NKL458978 NTT458978 NUH458978 ODP458978 OED458978 ONL458978 ONZ458978 OXH458978 OXV458978 PHD458978 PHR458978 PQZ458978 PRN458978 QAV458978 QBJ458978 QKR458978 QLF458978 QUN458978 QVB458978 REJ458978 REX458978 ROF458978 ROT458978 RYB458978 RYP458978 SHX458978 SIL458978 SRT458978 SSH458978 TBP458978 TCD458978 TLL458978 TLZ458978 TVH458978 TVV458978 UFD458978 UFR458978 UOZ458978 UPN458978 UYV458978 UZJ458978 VIR458978 VJF458978 VSN458978 VTB458978 WCJ458978 WCX458978 WMF458978 WMT458978 WWB458978 WWP458978 AF524292 KB524292 TX524292 ADT524292 ANP524292 AXL524292 BHH524292 BRD524292 CAZ524292 CKV524292 CUR524292 DEN524292 DOJ524292 DYF524292 EIB524292 ERX524292 FBT524292 FLP524292 FVL524292 GFH524292 GPD524292 GYZ524292 HIV524292 HSR524292 ICN524292 IMJ524292 IWF524292 JGB524292 JPX524292 JZT524292 KJP524292 KTL524292 LDH524292 LND524292 LWZ524292 MGV524292 MQR524292 NAN524292 NKJ524292 NUF524292 OEB524292 ONX524292 OXT524292 PHP524292 PRL524292 QBH524292 QLD524292 QUZ524292 REV524292 ROR524292 RYN524292 SIJ524292 SSF524292 TCB524292 TLX524292 TVT524292 UFP524292 UPL524292 UZH524292 VJD524292 VSZ524292 WCV524292 WMR524292 WWN524292 T524493 AH524493 JP524493 KD524493 TL524493 TZ524493 ADH524493 ADV524493 AND524493 ANR524493 AWZ524493 AXN524493 BGV524493 BHJ524493 BQR524493 BRF524493 CAN524493 CBB524493 CKJ524493 CKX524493 CUF524493 CUT524493 DEB524493 DEP524493 DNX524493 DOL524493 DXT524493 DYH524493 EHP524493 EID524493 ERL524493 ERZ524493 FBH524493 FBV524493 FLD524493 FLR524493 FUZ524493 FVN524493 GEV524493 GFJ524493 GOR524493 GPF524493 GYN524493 GZB524493 HIJ524493 HIX524493 HSF524493 HST524493 ICB524493 ICP524493 ILX524493 IML524493 IVT524493 IWH524493 JFP524493 JGD524493 JPL524493 JPZ524493 JZH524493 JZV524493 KJD524493 KJR524493 KSZ524493 KTN524493 LCV524493 LDJ524493 LMR524493 LNF524493 LWN524493 LXB524493 MGJ524493 MGX524493 MQF524493 MQT524493 NAB524493 NAP524493 NJX524493 NKL524493 NTT524493 NUH524493 ODP524493 OED524493 ONL524493 ONZ524493 OXH524493 OXV524493 PHD524493 PHR524493 PQZ524493 PRN524493 QAV524493 QBJ524493 QKR524493 QLF524493 QUN524493 QVB524493 REJ524493 REX524493 ROF524493 ROT524493 RYB524493 RYP524493 SHX524493 SIL524493 SRT524493 SSH524493 TBP524493 TCD524493 TLL524493 TLZ524493 TVH524493 TVV524493 UFD524493 UFR524493 UOZ524493 UPN524493 UYV524493 UZJ524493 VIR524493 VJF524493 VSN524493 VTB524493 WCJ524493 WCX524493 WMF524493 WMT524493 WWB524493 WWP524493 T524503 AH524503 JP524503 KD524503 TL524503 TZ524503 ADH524503 ADV524503 AND524503 ANR524503 AWZ524503 AXN524503 BGV524503 BHJ524503 BQR524503 BRF524503 CAN524503 CBB524503 CKJ524503 CKX524503 CUF524503 CUT524503 DEB524503 DEP524503 DNX524503 DOL524503 DXT524503 DYH524503 EHP524503 EID524503 ERL524503 ERZ524503 FBH524503 FBV524503 FLD524503 FLR524503 FUZ524503 FVN524503 GEV524503 GFJ524503 GOR524503 GPF524503 GYN524503 GZB524503 HIJ524503 HIX524503 HSF524503 HST524503 ICB524503 ICP524503 ILX524503 IML524503 IVT524503 IWH524503 JFP524503 JGD524503 JPL524503 JPZ524503 JZH524503 JZV524503 KJD524503 KJR524503 KSZ524503 KTN524503 LCV524503 LDJ524503 LMR524503 LNF524503 LWN524503 LXB524503 MGJ524503 MGX524503 MQF524503 MQT524503 NAB524503 NAP524503 NJX524503 NKL524503 NTT524503 NUH524503 ODP524503 OED524503 ONL524503 ONZ524503 OXH524503 OXV524503 PHD524503 PHR524503 PQZ524503 PRN524503 QAV524503 QBJ524503 QKR524503 QLF524503 QUN524503 QVB524503 REJ524503 REX524503 ROF524503 ROT524503 RYB524503 RYP524503 SHX524503 SIL524503 SRT524503 SSH524503 TBP524503 TCD524503 TLL524503 TLZ524503 TVH524503 TVV524503 UFD524503 UFR524503 UOZ524503 UPN524503 UYV524503 UZJ524503 VIR524503 VJF524503 VSN524503 VTB524503 WCJ524503 WCX524503 WMF524503 WMT524503 WWB524503 WWP524503 T524509 AH524509 AQ524509 JP524509 KD524509 KM524509 TL524509 TZ524509 UI524509 ADH524509 ADV524509 AEE524509 AND524509 ANR524509 AOA524509 AWZ524509 AXN524509 AXW524509 BGV524509 BHJ524509 BHS524509 BQR524509 BRF524509 BRO524509 CAN524509 CBB524509 CBK524509 CKJ524509 CKX524509 CLG524509 CUF524509 CUT524509 CVC524509 DEB524509 DEP524509 DEY524509 DNX524509 DOL524509 DOU524509 DXT524509 DYH524509 DYQ524509 EHP524509 EID524509 EIM524509 ERL524509 ERZ524509 ESI524509 FBH524509 FBV524509 FCE524509 FLD524509 FLR524509 FMA524509 FUZ524509 FVN524509 FVW524509 GEV524509 GFJ524509 GFS524509 GOR524509 GPF524509 GPO524509 GYN524509 GZB524509 GZK524509 HIJ524509 HIX524509 HJG524509 HSF524509 HST524509 HTC524509 ICB524509 ICP524509 ICY524509 ILX524509 IML524509 IMU524509 IVT524509 IWH524509 IWQ524509 JFP524509 JGD524509 JGM524509 JPL524509 JPZ524509 JQI524509 JZH524509 JZV524509 KAE524509 KJD524509 KJR524509 KKA524509 KSZ524509 KTN524509 KTW524509 LCV524509 LDJ524509 LDS524509 LMR524509 LNF524509 LNO524509 LWN524509 LXB524509 LXK524509 MGJ524509 MGX524509 MHG524509 MQF524509 MQT524509 MRC524509 NAB524509 NAP524509 NAY524509 NJX524509 NKL524509 NKU524509 NTT524509 NUH524509 NUQ524509 ODP524509 OED524509 OEM524509 ONL524509 ONZ524509 OOI524509 OXH524509 OXV524509 OYE524509 PHD524509 PHR524509 PIA524509 PQZ524509 PRN524509 PRW524509 QAV524509 QBJ524509 QBS524509 QKR524509 QLF524509 QLO524509 QUN524509 QVB524509 QVK524509 REJ524509 REX524509 RFG524509 ROF524509 ROT524509 RPC524509 RYB524509 RYP524509 RYY524509 SHX524509 SIL524509 SIU524509 SRT524509 SSH524509 SSQ524509 TBP524509 TCD524509 TCM524509 TLL524509 TLZ524509 TMI524509 TVH524509 TVV524509 TWE524509 UFD524509 UFR524509 UGA524509 UOZ524509 UPN524509 UPW524509 UYV524509 UZJ524509 UZS524509 VIR524509 VJF524509 VJO524509 VSN524509 VTB524509 VTK524509 WCJ524509 WCX524509 WDG524509 WMF524509 WMT524509 WNC524509 WWB524509 WWP524509 WWY524509 T524514 AH524514 JP524514 KD524514 TL524514 TZ524514 ADH524514 ADV524514 AND524514 ANR524514 AWZ524514 AXN524514 BGV524514 BHJ524514 BQR524514 BRF524514 CAN524514 CBB524514 CKJ524514 CKX524514 CUF524514 CUT524514 DEB524514 DEP524514 DNX524514 DOL524514 DXT524514 DYH524514 EHP524514 EID524514 ERL524514 ERZ524514 FBH524514 FBV524514 FLD524514 FLR524514 FUZ524514 FVN524514 GEV524514 GFJ524514 GOR524514 GPF524514 GYN524514 GZB524514 HIJ524514 HIX524514 HSF524514 HST524514 ICB524514 ICP524514 ILX524514 IML524514 IVT524514 IWH524514 JFP524514 JGD524514 JPL524514 JPZ524514 JZH524514 JZV524514 KJD524514 KJR524514 KSZ524514 KTN524514 LCV524514 LDJ524514 LMR524514 LNF524514 LWN524514 LXB524514 MGJ524514 MGX524514 MQF524514 MQT524514 NAB524514 NAP524514 NJX524514 NKL524514 NTT524514 NUH524514 ODP524514 OED524514 ONL524514 ONZ524514 OXH524514 OXV524514 PHD524514 PHR524514 PQZ524514 PRN524514 QAV524514 QBJ524514 QKR524514 QLF524514 QUN524514 QVB524514 REJ524514 REX524514 ROF524514 ROT524514 RYB524514 RYP524514 SHX524514 SIL524514 SRT524514 SSH524514 TBP524514 TCD524514 TLL524514 TLZ524514 TVH524514 TVV524514 UFD524514 UFR524514 UOZ524514 UPN524514 UYV524514 UZJ524514 VIR524514 VJF524514 VSN524514 VTB524514 WCJ524514 WCX524514 WMF524514 WMT524514 WWB524514 WWP524514 AF589828 KB589828 TX589828 ADT589828 ANP589828 AXL589828 BHH589828 BRD589828 CAZ589828 CKV589828 CUR589828 DEN589828 DOJ589828 DYF589828 EIB589828 ERX589828 FBT589828 FLP589828 FVL589828 GFH589828 GPD589828 GYZ589828 HIV589828 HSR589828 ICN589828 IMJ589828 IWF589828 JGB589828 JPX589828 JZT589828 KJP589828 KTL589828 LDH589828 LND589828 LWZ589828 MGV589828 MQR589828 NAN589828 NKJ589828 NUF589828 OEB589828 ONX589828 OXT589828 PHP589828 PRL589828 QBH589828 QLD589828 QUZ589828 REV589828 ROR589828 RYN589828 SIJ589828 SSF589828 TCB589828 TLX589828 TVT589828 UFP589828 UPL589828 UZH589828 VJD589828 VSZ589828 WCV589828 WMR589828 WWN589828 T590029 AH590029 JP590029 KD590029 TL590029 TZ590029 ADH590029 ADV590029 AND590029 ANR590029 AWZ590029 AXN590029 BGV590029 BHJ590029 BQR590029 BRF590029 CAN590029 CBB590029 CKJ590029 CKX590029 CUF590029 CUT590029 DEB590029 DEP590029 DNX590029 DOL590029 DXT590029 DYH590029 EHP590029 EID590029 ERL590029 ERZ590029 FBH590029 FBV590029 FLD590029 FLR590029 FUZ590029 FVN590029 GEV590029 GFJ590029 GOR590029 GPF590029 GYN590029 GZB590029 HIJ590029 HIX590029 HSF590029 HST590029 ICB590029 ICP590029 ILX590029 IML590029 IVT590029 IWH590029 JFP590029 JGD590029 JPL590029 JPZ590029 JZH590029 JZV590029 KJD590029 KJR590029 KSZ590029 KTN590029 LCV590029 LDJ590029 LMR590029 LNF590029 LWN590029 LXB590029 MGJ590029 MGX590029 MQF590029 MQT590029 NAB590029 NAP590029 NJX590029 NKL590029 NTT590029 NUH590029 ODP590029 OED590029 ONL590029 ONZ590029 OXH590029 OXV590029 PHD590029 PHR590029 PQZ590029 PRN590029 QAV590029 QBJ590029 QKR590029 QLF590029 QUN590029 QVB590029 REJ590029 REX590029 ROF590029 ROT590029 RYB590029 RYP590029 SHX590029 SIL590029 SRT590029 SSH590029 TBP590029 TCD590029 TLL590029 TLZ590029 TVH590029 TVV590029 UFD590029 UFR590029 UOZ590029 UPN590029 UYV590029 UZJ590029 VIR590029 VJF590029 VSN590029 VTB590029 WCJ590029 WCX590029 WMF590029 WMT590029 WWB590029 WWP590029 T590039 AH590039 JP590039 KD590039 TL590039 TZ590039 ADH590039 ADV590039 AND590039 ANR590039 AWZ590039 AXN590039 BGV590039 BHJ590039 BQR590039 BRF590039 CAN590039 CBB590039 CKJ590039 CKX590039 CUF590039 CUT590039 DEB590039 DEP590039 DNX590039 DOL590039 DXT590039 DYH590039 EHP590039 EID590039 ERL590039 ERZ590039 FBH590039 FBV590039 FLD590039 FLR590039 FUZ590039 FVN590039 GEV590039 GFJ590039 GOR590039 GPF590039 GYN590039 GZB590039 HIJ590039 HIX590039 HSF590039 HST590039 ICB590039 ICP590039 ILX590039 IML590039 IVT590039 IWH590039 JFP590039 JGD590039 JPL590039 JPZ590039 JZH590039 JZV590039 KJD590039 KJR590039 KSZ590039 KTN590039 LCV590039 LDJ590039 LMR590039 LNF590039 LWN590039 LXB590039 MGJ590039 MGX590039 MQF590039 MQT590039 NAB590039 NAP590039 NJX590039 NKL590039 NTT590039 NUH590039 ODP590039 OED590039 ONL590039 ONZ590039 OXH590039 OXV590039 PHD590039 PHR590039 PQZ590039 PRN590039 QAV590039 QBJ590039 QKR590039 QLF590039 QUN590039 QVB590039 REJ590039 REX590039 ROF590039 ROT590039 RYB590039 RYP590039 SHX590039 SIL590039 SRT590039 SSH590039 TBP590039 TCD590039 TLL590039 TLZ590039 TVH590039 TVV590039 UFD590039 UFR590039 UOZ590039 UPN590039 UYV590039 UZJ590039 VIR590039 VJF590039 VSN590039 VTB590039 WCJ590039 WCX590039 WMF590039 WMT590039 WWB590039 WWP590039 T590045 AH590045 AQ590045 JP590045 KD590045 KM590045 TL590045 TZ590045 UI590045 ADH590045 ADV590045 AEE590045 AND590045 ANR590045 AOA590045 AWZ590045 AXN590045 AXW590045 BGV590045 BHJ590045 BHS590045 BQR590045 BRF590045 BRO590045 CAN590045 CBB590045 CBK590045 CKJ590045 CKX590045 CLG590045 CUF590045 CUT590045 CVC590045 DEB590045 DEP590045 DEY590045 DNX590045 DOL590045 DOU590045 DXT590045 DYH590045 DYQ590045 EHP590045 EID590045 EIM590045 ERL590045 ERZ590045 ESI590045 FBH590045 FBV590045 FCE590045 FLD590045 FLR590045 FMA590045 FUZ590045 FVN590045 FVW590045 GEV590045 GFJ590045 GFS590045 GOR590045 GPF590045 GPO590045 GYN590045 GZB590045 GZK590045 HIJ590045 HIX590045 HJG590045 HSF590045 HST590045 HTC590045 ICB590045 ICP590045 ICY590045 ILX590045 IML590045 IMU590045 IVT590045 IWH590045 IWQ590045 JFP590045 JGD590045 JGM590045 JPL590045 JPZ590045 JQI590045 JZH590045 JZV590045 KAE590045 KJD590045 KJR590045 KKA590045 KSZ590045 KTN590045 KTW590045 LCV590045 LDJ590045 LDS590045 LMR590045 LNF590045 LNO590045 LWN590045 LXB590045 LXK590045 MGJ590045 MGX590045 MHG590045 MQF590045 MQT590045 MRC590045 NAB590045 NAP590045 NAY590045 NJX590045 NKL590045 NKU590045 NTT590045 NUH590045 NUQ590045 ODP590045 OED590045 OEM590045 ONL590045 ONZ590045 OOI590045 OXH590045 OXV590045 OYE590045 PHD590045 PHR590045 PIA590045 PQZ590045 PRN590045 PRW590045 QAV590045 QBJ590045 QBS590045 QKR590045 QLF590045 QLO590045 QUN590045 QVB590045 QVK590045 REJ590045 REX590045 RFG590045 ROF590045 ROT590045 RPC590045 RYB590045 RYP590045 RYY590045 SHX590045 SIL590045 SIU590045 SRT590045 SSH590045 SSQ590045 TBP590045 TCD590045 TCM590045 TLL590045 TLZ590045 TMI590045 TVH590045 TVV590045 TWE590045 UFD590045 UFR590045 UGA590045 UOZ590045 UPN590045 UPW590045 UYV590045 UZJ590045 UZS590045 VIR590045 VJF590045 VJO590045 VSN590045 VTB590045 VTK590045 WCJ590045 WCX590045 WDG590045 WMF590045 WMT590045 WNC590045 WWB590045 WWP590045 WWY590045 T590050 AH590050 JP590050 KD590050 TL590050 TZ590050 ADH590050 ADV590050 AND590050 ANR590050 AWZ590050 AXN590050 BGV590050 BHJ590050 BQR590050 BRF590050 CAN590050 CBB590050 CKJ590050 CKX590050 CUF590050 CUT590050 DEB590050 DEP590050 DNX590050 DOL590050 DXT590050 DYH590050 EHP590050 EID590050 ERL590050 ERZ590050 FBH590050 FBV590050 FLD590050 FLR590050 FUZ590050 FVN590050 GEV590050 GFJ590050 GOR590050 GPF590050 GYN590050 GZB590050 HIJ590050 HIX590050 HSF590050 HST590050 ICB590050 ICP590050 ILX590050 IML590050 IVT590050 IWH590050 JFP590050 JGD590050 JPL590050 JPZ590050 JZH590050 JZV590050 KJD590050 KJR590050 KSZ590050 KTN590050 LCV590050 LDJ590050 LMR590050 LNF590050 LWN590050 LXB590050 MGJ590050 MGX590050 MQF590050 MQT590050 NAB590050 NAP590050 NJX590050 NKL590050 NTT590050 NUH590050 ODP590050 OED590050 ONL590050 ONZ590050 OXH590050 OXV590050 PHD590050 PHR590050 PQZ590050 PRN590050 QAV590050 QBJ590050 QKR590050 QLF590050 QUN590050 QVB590050 REJ590050 REX590050 ROF590050 ROT590050 RYB590050 RYP590050 SHX590050 SIL590050 SRT590050 SSH590050 TBP590050 TCD590050 TLL590050 TLZ590050 TVH590050 TVV590050 UFD590050 UFR590050 UOZ590050 UPN590050 UYV590050 UZJ590050 VIR590050 VJF590050 VSN590050 VTB590050 WCJ590050 WCX590050 WMF590050 WMT590050 WWB590050 WWP590050 AF655364 KB655364 TX655364 ADT655364 ANP655364 AXL655364 BHH655364 BRD655364 CAZ655364 CKV655364 CUR655364 DEN655364 DOJ655364 DYF655364 EIB655364 ERX655364 FBT655364 FLP655364 FVL655364 GFH655364 GPD655364 GYZ655364 HIV655364 HSR655364 ICN655364 IMJ655364 IWF655364 JGB655364 JPX655364 JZT655364 KJP655364 KTL655364 LDH655364 LND655364 LWZ655364 MGV655364 MQR655364 NAN655364 NKJ655364 NUF655364 OEB655364 ONX655364 OXT655364 PHP655364 PRL655364 QBH655364 QLD655364 QUZ655364 REV655364 ROR655364 RYN655364 SIJ655364 SSF655364 TCB655364 TLX655364 TVT655364 UFP655364 UPL655364 UZH655364 VJD655364 VSZ655364 WCV655364 WMR655364 WWN655364 T655565 AH655565 JP655565 KD655565 TL655565 TZ655565 ADH655565 ADV655565 AND655565 ANR655565 AWZ655565 AXN655565 BGV655565 BHJ655565 BQR655565 BRF655565 CAN655565 CBB655565 CKJ655565 CKX655565 CUF655565 CUT655565 DEB655565 DEP655565 DNX655565 DOL655565 DXT655565 DYH655565 EHP655565 EID655565 ERL655565 ERZ655565 FBH655565 FBV655565 FLD655565 FLR655565 FUZ655565 FVN655565 GEV655565 GFJ655565 GOR655565 GPF655565 GYN655565 GZB655565 HIJ655565 HIX655565 HSF655565 HST655565 ICB655565 ICP655565 ILX655565 IML655565 IVT655565 IWH655565 JFP655565 JGD655565 JPL655565 JPZ655565 JZH655565 JZV655565 KJD655565 KJR655565 KSZ655565 KTN655565 LCV655565 LDJ655565 LMR655565 LNF655565 LWN655565 LXB655565 MGJ655565 MGX655565 MQF655565 MQT655565 NAB655565 NAP655565 NJX655565 NKL655565 NTT655565 NUH655565 ODP655565 OED655565 ONL655565 ONZ655565 OXH655565 OXV655565 PHD655565 PHR655565 PQZ655565 PRN655565 QAV655565 QBJ655565 QKR655565 QLF655565 QUN655565 QVB655565 REJ655565 REX655565 ROF655565 ROT655565 RYB655565 RYP655565 SHX655565 SIL655565 SRT655565 SSH655565 TBP655565 TCD655565 TLL655565 TLZ655565 TVH655565 TVV655565 UFD655565 UFR655565 UOZ655565 UPN655565 UYV655565 UZJ655565 VIR655565 VJF655565 VSN655565 VTB655565 WCJ655565 WCX655565 WMF655565 WMT655565 WWB655565 WWP655565 T655575 AH655575 JP655575 KD655575 TL655575 TZ655575 ADH655575 ADV655575 AND655575 ANR655575 AWZ655575 AXN655575 BGV655575 BHJ655575 BQR655575 BRF655575 CAN655575 CBB655575 CKJ655575 CKX655575 CUF655575 CUT655575 DEB655575 DEP655575 DNX655575 DOL655575 DXT655575 DYH655575 EHP655575 EID655575 ERL655575 ERZ655575 FBH655575 FBV655575 FLD655575 FLR655575 FUZ655575 FVN655575 GEV655575 GFJ655575 GOR655575 GPF655575 GYN655575 GZB655575 HIJ655575 HIX655575 HSF655575 HST655575 ICB655575 ICP655575 ILX655575 IML655575 IVT655575 IWH655575 JFP655575 JGD655575 JPL655575 JPZ655575 JZH655575 JZV655575 KJD655575 KJR655575 KSZ655575 KTN655575 LCV655575 LDJ655575 LMR655575 LNF655575 LWN655575 LXB655575 MGJ655575 MGX655575 MQF655575 MQT655575 NAB655575 NAP655575 NJX655575 NKL655575 NTT655575 NUH655575 ODP655575 OED655575 ONL655575 ONZ655575 OXH655575 OXV655575 PHD655575 PHR655575 PQZ655575 PRN655575 QAV655575 QBJ655575 QKR655575 QLF655575 QUN655575 QVB655575 REJ655575 REX655575 ROF655575 ROT655575 RYB655575 RYP655575 SHX655575 SIL655575 SRT655575 SSH655575 TBP655575 TCD655575 TLL655575 TLZ655575 TVH655575 TVV655575 UFD655575 UFR655575 UOZ655575 UPN655575 UYV655575 UZJ655575 VIR655575 VJF655575 VSN655575 VTB655575 WCJ655575 WCX655575 WMF655575 WMT655575 WWB655575 WWP655575 T655581 AH655581 AQ655581 JP655581 KD655581 KM655581 TL655581 TZ655581 UI655581 ADH655581 ADV655581 AEE655581 AND655581 ANR655581 AOA655581 AWZ655581 AXN655581 AXW655581 BGV655581 BHJ655581 BHS655581 BQR655581 BRF655581 BRO655581 CAN655581 CBB655581 CBK655581 CKJ655581 CKX655581 CLG655581 CUF655581 CUT655581 CVC655581 DEB655581 DEP655581 DEY655581 DNX655581 DOL655581 DOU655581 DXT655581 DYH655581 DYQ655581 EHP655581 EID655581 EIM655581 ERL655581 ERZ655581 ESI655581 FBH655581 FBV655581 FCE655581 FLD655581 FLR655581 FMA655581 FUZ655581 FVN655581 FVW655581 GEV655581 GFJ655581 GFS655581 GOR655581 GPF655581 GPO655581 GYN655581 GZB655581 GZK655581 HIJ655581 HIX655581 HJG655581 HSF655581 HST655581 HTC655581 ICB655581 ICP655581 ICY655581 ILX655581 IML655581 IMU655581 IVT655581 IWH655581 IWQ655581 JFP655581 JGD655581 JGM655581 JPL655581 JPZ655581 JQI655581 JZH655581 JZV655581 KAE655581 KJD655581 KJR655581 KKA655581 KSZ655581 KTN655581 KTW655581 LCV655581 LDJ655581 LDS655581 LMR655581 LNF655581 LNO655581 LWN655581 LXB655581 LXK655581 MGJ655581 MGX655581 MHG655581 MQF655581 MQT655581 MRC655581 NAB655581 NAP655581 NAY655581 NJX655581 NKL655581 NKU655581 NTT655581 NUH655581 NUQ655581 ODP655581 OED655581 OEM655581 ONL655581 ONZ655581 OOI655581 OXH655581 OXV655581 OYE655581 PHD655581 PHR655581 PIA655581 PQZ655581 PRN655581 PRW655581 QAV655581 QBJ655581 QBS655581 QKR655581 QLF655581 QLO655581 QUN655581 QVB655581 QVK655581 REJ655581 REX655581 RFG655581 ROF655581 ROT655581 RPC655581 RYB655581 RYP655581 RYY655581 SHX655581 SIL655581 SIU655581 SRT655581 SSH655581 SSQ655581 TBP655581 TCD655581 TCM655581 TLL655581 TLZ655581 TMI655581 TVH655581 TVV655581 TWE655581 UFD655581 UFR655581 UGA655581 UOZ655581 UPN655581 UPW655581 UYV655581 UZJ655581 UZS655581 VIR655581 VJF655581 VJO655581 VSN655581 VTB655581 VTK655581 WCJ655581 WCX655581 WDG655581 WMF655581 WMT655581 WNC655581 WWB655581 WWP655581 WWY655581 T655586 AH655586 JP655586 KD655586 TL655586 TZ655586 ADH655586 ADV655586 AND655586 ANR655586 AWZ655586 AXN655586 BGV655586 BHJ655586 BQR655586 BRF655586 CAN655586 CBB655586 CKJ655586 CKX655586 CUF655586 CUT655586 DEB655586 DEP655586 DNX655586 DOL655586 DXT655586 DYH655586 EHP655586 EID655586 ERL655586 ERZ655586 FBH655586 FBV655586 FLD655586 FLR655586 FUZ655586 FVN655586 GEV655586 GFJ655586 GOR655586 GPF655586 GYN655586 GZB655586 HIJ655586 HIX655586 HSF655586 HST655586 ICB655586 ICP655586 ILX655586 IML655586 IVT655586 IWH655586 JFP655586 JGD655586 JPL655586 JPZ655586 JZH655586 JZV655586 KJD655586 KJR655586 KSZ655586 KTN655586 LCV655586 LDJ655586 LMR655586 LNF655586 LWN655586 LXB655586 MGJ655586 MGX655586 MQF655586 MQT655586 NAB655586 NAP655586 NJX655586 NKL655586 NTT655586 NUH655586 ODP655586 OED655586 ONL655586 ONZ655586 OXH655586 OXV655586 PHD655586 PHR655586 PQZ655586 PRN655586 QAV655586 QBJ655586 QKR655586 QLF655586 QUN655586 QVB655586 REJ655586 REX655586 ROF655586 ROT655586 RYB655586 RYP655586 SHX655586 SIL655586 SRT655586 SSH655586 TBP655586 TCD655586 TLL655586 TLZ655586 TVH655586 TVV655586 UFD655586 UFR655586 UOZ655586 UPN655586 UYV655586 UZJ655586 VIR655586 VJF655586 VSN655586 VTB655586 WCJ655586 WCX655586 WMF655586 WMT655586 WWB655586 WWP655586 AF720900 KB720900 TX720900 ADT720900 ANP720900 AXL720900 BHH720900 BRD720900 CAZ720900 CKV720900 CUR720900 DEN720900 DOJ720900 DYF720900 EIB720900 ERX720900 FBT720900 FLP720900 FVL720900 GFH720900 GPD720900 GYZ720900 HIV720900 HSR720900 ICN720900 IMJ720900 IWF720900 JGB720900 JPX720900 JZT720900 KJP720900 KTL720900 LDH720900 LND720900 LWZ720900 MGV720900 MQR720900 NAN720900 NKJ720900 NUF720900 OEB720900 ONX720900 OXT720900 PHP720900 PRL720900 QBH720900 QLD720900 QUZ720900 REV720900 ROR720900 RYN720900 SIJ720900 SSF720900 TCB720900 TLX720900 TVT720900 UFP720900 UPL720900 UZH720900 VJD720900 VSZ720900 WCV720900 WMR720900 WWN720900 T721101 AH721101 JP721101 KD721101 TL721101 TZ721101 ADH721101 ADV721101 AND721101 ANR721101 AWZ721101 AXN721101 BGV721101 BHJ721101 BQR721101 BRF721101 CAN721101 CBB721101 CKJ721101 CKX721101 CUF721101 CUT721101 DEB721101 DEP721101 DNX721101 DOL721101 DXT721101 DYH721101 EHP721101 EID721101 ERL721101 ERZ721101 FBH721101 FBV721101 FLD721101 FLR721101 FUZ721101 FVN721101 GEV721101 GFJ721101 GOR721101 GPF721101 GYN721101 GZB721101 HIJ721101 HIX721101 HSF721101 HST721101 ICB721101 ICP721101 ILX721101 IML721101 IVT721101 IWH721101 JFP721101 JGD721101 JPL721101 JPZ721101 JZH721101 JZV721101 KJD721101 KJR721101 KSZ721101 KTN721101 LCV721101 LDJ721101 LMR721101 LNF721101 LWN721101 LXB721101 MGJ721101 MGX721101 MQF721101 MQT721101 NAB721101 NAP721101 NJX721101 NKL721101 NTT721101 NUH721101 ODP721101 OED721101 ONL721101 ONZ721101 OXH721101 OXV721101 PHD721101 PHR721101 PQZ721101 PRN721101 QAV721101 QBJ721101 QKR721101 QLF721101 QUN721101 QVB721101 REJ721101 REX721101 ROF721101 ROT721101 RYB721101 RYP721101 SHX721101 SIL721101 SRT721101 SSH721101 TBP721101 TCD721101 TLL721101 TLZ721101 TVH721101 TVV721101 UFD721101 UFR721101 UOZ721101 UPN721101 UYV721101 UZJ721101 VIR721101 VJF721101 VSN721101 VTB721101 WCJ721101 WCX721101 WMF721101 WMT721101 WWB721101 WWP721101 T721111 AH721111 JP721111 KD721111 TL721111 TZ721111 ADH721111 ADV721111 AND721111 ANR721111 AWZ721111 AXN721111 BGV721111 BHJ721111 BQR721111 BRF721111 CAN721111 CBB721111 CKJ721111 CKX721111 CUF721111 CUT721111 DEB721111 DEP721111 DNX721111 DOL721111 DXT721111 DYH721111 EHP721111 EID721111 ERL721111 ERZ721111 FBH721111 FBV721111 FLD721111 FLR721111 FUZ721111 FVN721111 GEV721111 GFJ721111 GOR721111 GPF721111 GYN721111 GZB721111 HIJ721111 HIX721111 HSF721111 HST721111 ICB721111 ICP721111 ILX721111 IML721111 IVT721111 IWH721111 JFP721111 JGD721111 JPL721111 JPZ721111 JZH721111 JZV721111 KJD721111 KJR721111 KSZ721111 KTN721111 LCV721111 LDJ721111 LMR721111 LNF721111 LWN721111 LXB721111 MGJ721111 MGX721111 MQF721111 MQT721111 NAB721111 NAP721111 NJX721111 NKL721111 NTT721111 NUH721111 ODP721111 OED721111 ONL721111 ONZ721111 OXH721111 OXV721111 PHD721111 PHR721111 PQZ721111 PRN721111 QAV721111 QBJ721111 QKR721111 QLF721111 QUN721111 QVB721111 REJ721111 REX721111 ROF721111 ROT721111 RYB721111 RYP721111 SHX721111 SIL721111 SRT721111 SSH721111 TBP721111 TCD721111 TLL721111 TLZ721111 TVH721111 TVV721111 UFD721111 UFR721111 UOZ721111 UPN721111 UYV721111 UZJ721111 VIR721111 VJF721111 VSN721111 VTB721111 WCJ721111 WCX721111 WMF721111 WMT721111 WWB721111 WWP721111 T721117 AH721117 AQ721117 JP721117 KD721117 KM721117 TL721117 TZ721117 UI721117 ADH721117 ADV721117 AEE721117 AND721117 ANR721117 AOA721117 AWZ721117 AXN721117 AXW721117 BGV721117 BHJ721117 BHS721117 BQR721117 BRF721117 BRO721117 CAN721117 CBB721117 CBK721117 CKJ721117 CKX721117 CLG721117 CUF721117 CUT721117 CVC721117 DEB721117 DEP721117 DEY721117 DNX721117 DOL721117 DOU721117 DXT721117 DYH721117 DYQ721117 EHP721117 EID721117 EIM721117 ERL721117 ERZ721117 ESI721117 FBH721117 FBV721117 FCE721117 FLD721117 FLR721117 FMA721117 FUZ721117 FVN721117 FVW721117 GEV721117 GFJ721117 GFS721117 GOR721117 GPF721117 GPO721117 GYN721117 GZB721117 GZK721117 HIJ721117 HIX721117 HJG721117 HSF721117 HST721117 HTC721117 ICB721117 ICP721117 ICY721117 ILX721117 IML721117 IMU721117 IVT721117 IWH721117 IWQ721117 JFP721117 JGD721117 JGM721117 JPL721117 JPZ721117 JQI721117 JZH721117 JZV721117 KAE721117 KJD721117 KJR721117 KKA721117 KSZ721117 KTN721117 KTW721117 LCV721117 LDJ721117 LDS721117 LMR721117 LNF721117 LNO721117 LWN721117 LXB721117 LXK721117 MGJ721117 MGX721117 MHG721117 MQF721117 MQT721117 MRC721117 NAB721117 NAP721117 NAY721117 NJX721117 NKL721117 NKU721117 NTT721117 NUH721117 NUQ721117 ODP721117 OED721117 OEM721117 ONL721117 ONZ721117 OOI721117 OXH721117 OXV721117 OYE721117 PHD721117 PHR721117 PIA721117 PQZ721117 PRN721117 PRW721117 QAV721117 QBJ721117 QBS721117 QKR721117 QLF721117 QLO721117 QUN721117 QVB721117 QVK721117 REJ721117 REX721117 RFG721117 ROF721117 ROT721117 RPC721117 RYB721117 RYP721117 RYY721117 SHX721117 SIL721117 SIU721117 SRT721117 SSH721117 SSQ721117 TBP721117 TCD721117 TCM721117 TLL721117 TLZ721117 TMI721117 TVH721117 TVV721117 TWE721117 UFD721117 UFR721117 UGA721117 UOZ721117 UPN721117 UPW721117 UYV721117 UZJ721117 UZS721117 VIR721117 VJF721117 VJO721117 VSN721117 VTB721117 VTK721117 WCJ721117 WCX721117 WDG721117 WMF721117 WMT721117 WNC721117 WWB721117 WWP721117 WWY721117 T721122 AH721122 JP721122 KD721122 TL721122 TZ721122 ADH721122 ADV721122 AND721122 ANR721122 AWZ721122 AXN721122 BGV721122 BHJ721122 BQR721122 BRF721122 CAN721122 CBB721122 CKJ721122 CKX721122 CUF721122 CUT721122 DEB721122 DEP721122 DNX721122 DOL721122 DXT721122 DYH721122 EHP721122 EID721122 ERL721122 ERZ721122 FBH721122 FBV721122 FLD721122 FLR721122 FUZ721122 FVN721122 GEV721122 GFJ721122 GOR721122 GPF721122 GYN721122 GZB721122 HIJ721122 HIX721122 HSF721122 HST721122 ICB721122 ICP721122 ILX721122 IML721122 IVT721122 IWH721122 JFP721122 JGD721122 JPL721122 JPZ721122 JZH721122 JZV721122 KJD721122 KJR721122 KSZ721122 KTN721122 LCV721122 LDJ721122 LMR721122 LNF721122 LWN721122 LXB721122 MGJ721122 MGX721122 MQF721122 MQT721122 NAB721122 NAP721122 NJX721122 NKL721122 NTT721122 NUH721122 ODP721122 OED721122 ONL721122 ONZ721122 OXH721122 OXV721122 PHD721122 PHR721122 PQZ721122 PRN721122 QAV721122 QBJ721122 QKR721122 QLF721122 QUN721122 QVB721122 REJ721122 REX721122 ROF721122 ROT721122 RYB721122 RYP721122 SHX721122 SIL721122 SRT721122 SSH721122 TBP721122 TCD721122 TLL721122 TLZ721122 TVH721122 TVV721122 UFD721122 UFR721122 UOZ721122 UPN721122 UYV721122 UZJ721122 VIR721122 VJF721122 VSN721122 VTB721122 WCJ721122 WCX721122 WMF721122 WMT721122 WWB721122 WWP721122 AF786436 KB786436 TX786436 ADT786436 ANP786436 AXL786436 BHH786436 BRD786436 CAZ786436 CKV786436 CUR786436 DEN786436 DOJ786436 DYF786436 EIB786436 ERX786436 FBT786436 FLP786436 FVL786436 GFH786436 GPD786436 GYZ786436 HIV786436 HSR786436 ICN786436 IMJ786436 IWF786436 JGB786436 JPX786436 JZT786436 KJP786436 KTL786436 LDH786436 LND786436 LWZ786436 MGV786436 MQR786436 NAN786436 NKJ786436 NUF786436 OEB786436 ONX786436 OXT786436 PHP786436 PRL786436 QBH786436 QLD786436 QUZ786436 REV786436 ROR786436 RYN786436 SIJ786436 SSF786436 TCB786436 TLX786436 TVT786436 UFP786436 UPL786436 UZH786436 VJD786436 VSZ786436 WCV786436 WMR786436 WWN786436 T786637 AH786637 JP786637 KD786637 TL786637 TZ786637 ADH786637 ADV786637 AND786637 ANR786637 AWZ786637 AXN786637 BGV786637 BHJ786637 BQR786637 BRF786637 CAN786637 CBB786637 CKJ786637 CKX786637 CUF786637 CUT786637 DEB786637 DEP786637 DNX786637 DOL786637 DXT786637 DYH786637 EHP786637 EID786637 ERL786637 ERZ786637 FBH786637 FBV786637 FLD786637 FLR786637 FUZ786637 FVN786637 GEV786637 GFJ786637 GOR786637 GPF786637 GYN786637 GZB786637 HIJ786637 HIX786637 HSF786637 HST786637 ICB786637 ICP786637 ILX786637 IML786637 IVT786637 IWH786637 JFP786637 JGD786637 JPL786637 JPZ786637 JZH786637 JZV786637 KJD786637 KJR786637 KSZ786637 KTN786637 LCV786637 LDJ786637 LMR786637 LNF786637 LWN786637 LXB786637 MGJ786637 MGX786637 MQF786637 MQT786637 NAB786637 NAP786637 NJX786637 NKL786637 NTT786637 NUH786637 ODP786637 OED786637 ONL786637 ONZ786637 OXH786637 OXV786637 PHD786637 PHR786637 PQZ786637 PRN786637 QAV786637 QBJ786637 QKR786637 QLF786637 QUN786637 QVB786637 REJ786637 REX786637 ROF786637 ROT786637 RYB786637 RYP786637 SHX786637 SIL786637 SRT786637 SSH786637 TBP786637 TCD786637 TLL786637 TLZ786637 TVH786637 TVV786637 UFD786637 UFR786637 UOZ786637 UPN786637 UYV786637 UZJ786637 VIR786637 VJF786637 VSN786637 VTB786637 WCJ786637 WCX786637 WMF786637 WMT786637 WWB786637 WWP786637 T786647 AH786647 JP786647 KD786647 TL786647 TZ786647 ADH786647 ADV786647 AND786647 ANR786647 AWZ786647 AXN786647 BGV786647 BHJ786647 BQR786647 BRF786647 CAN786647 CBB786647 CKJ786647 CKX786647 CUF786647 CUT786647 DEB786647 DEP786647 DNX786647 DOL786647 DXT786647 DYH786647 EHP786647 EID786647 ERL786647 ERZ786647 FBH786647 FBV786647 FLD786647 FLR786647 FUZ786647 FVN786647 GEV786647 GFJ786647 GOR786647 GPF786647 GYN786647 GZB786647 HIJ786647 HIX786647 HSF786647 HST786647 ICB786647 ICP786647 ILX786647 IML786647 IVT786647 IWH786647 JFP786647 JGD786647 JPL786647 JPZ786647 JZH786647 JZV786647 KJD786647 KJR786647 KSZ786647 KTN786647 LCV786647 LDJ786647 LMR786647 LNF786647 LWN786647 LXB786647 MGJ786647 MGX786647 MQF786647 MQT786647 NAB786647 NAP786647 NJX786647 NKL786647 NTT786647 NUH786647 ODP786647 OED786647 ONL786647 ONZ786647 OXH786647 OXV786647 PHD786647 PHR786647 PQZ786647 PRN786647 QAV786647 QBJ786647 QKR786647 QLF786647 QUN786647 QVB786647 REJ786647 REX786647 ROF786647 ROT786647 RYB786647 RYP786647 SHX786647 SIL786647 SRT786647 SSH786647 TBP786647 TCD786647 TLL786647 TLZ786647 TVH786647 TVV786647 UFD786647 UFR786647 UOZ786647 UPN786647 UYV786647 UZJ786647 VIR786647 VJF786647 VSN786647 VTB786647 WCJ786647 WCX786647 WMF786647 WMT786647 WWB786647 WWP786647 T786653 AH786653 AQ786653 JP786653 KD786653 KM786653 TL786653 TZ786653 UI786653 ADH786653 ADV786653 AEE786653 AND786653 ANR786653 AOA786653 AWZ786653 AXN786653 AXW786653 BGV786653 BHJ786653 BHS786653 BQR786653 BRF786653 BRO786653 CAN786653 CBB786653 CBK786653 CKJ786653 CKX786653 CLG786653 CUF786653 CUT786653 CVC786653 DEB786653 DEP786653 DEY786653 DNX786653 DOL786653 DOU786653 DXT786653 DYH786653 DYQ786653 EHP786653 EID786653 EIM786653 ERL786653 ERZ786653 ESI786653 FBH786653 FBV786653 FCE786653 FLD786653 FLR786653 FMA786653 FUZ786653 FVN786653 FVW786653 GEV786653 GFJ786653 GFS786653 GOR786653 GPF786653 GPO786653 GYN786653 GZB786653 GZK786653 HIJ786653 HIX786653 HJG786653 HSF786653 HST786653 HTC786653 ICB786653 ICP786653 ICY786653 ILX786653 IML786653 IMU786653 IVT786653 IWH786653 IWQ786653 JFP786653 JGD786653 JGM786653 JPL786653 JPZ786653 JQI786653 JZH786653 JZV786653 KAE786653 KJD786653 KJR786653 KKA786653 KSZ786653 KTN786653 KTW786653 LCV786653 LDJ786653 LDS786653 LMR786653 LNF786653 LNO786653 LWN786653 LXB786653 LXK786653 MGJ786653 MGX786653 MHG786653 MQF786653 MQT786653 MRC786653 NAB786653 NAP786653 NAY786653 NJX786653 NKL786653 NKU786653 NTT786653 NUH786653 NUQ786653 ODP786653 OED786653 OEM786653 ONL786653 ONZ786653 OOI786653 OXH786653 OXV786653 OYE786653 PHD786653 PHR786653 PIA786653 PQZ786653 PRN786653 PRW786653 QAV786653 QBJ786653 QBS786653 QKR786653 QLF786653 QLO786653 QUN786653 QVB786653 QVK786653 REJ786653 REX786653 RFG786653 ROF786653 ROT786653 RPC786653 RYB786653 RYP786653 RYY786653 SHX786653 SIL786653 SIU786653 SRT786653 SSH786653 SSQ786653 TBP786653 TCD786653 TCM786653 TLL786653 TLZ786653 TMI786653 TVH786653 TVV786653 TWE786653 UFD786653 UFR786653 UGA786653 UOZ786653 UPN786653 UPW786653 UYV786653 UZJ786653 UZS786653 VIR786653 VJF786653 VJO786653 VSN786653 VTB786653 VTK786653 WCJ786653 WCX786653 WDG786653 WMF786653 WMT786653 WNC786653 WWB786653 WWP786653 WWY786653 T786658 AH786658 JP786658 KD786658 TL786658 TZ786658 ADH786658 ADV786658 AND786658 ANR786658 AWZ786658 AXN786658 BGV786658 BHJ786658 BQR786658 BRF786658 CAN786658 CBB786658 CKJ786658 CKX786658 CUF786658 CUT786658 DEB786658 DEP786658 DNX786658 DOL786658 DXT786658 DYH786658 EHP786658 EID786658 ERL786658 ERZ786658 FBH786658 FBV786658 FLD786658 FLR786658 FUZ786658 FVN786658 GEV786658 GFJ786658 GOR786658 GPF786658 GYN786658 GZB786658 HIJ786658 HIX786658 HSF786658 HST786658 ICB786658 ICP786658 ILX786658 IML786658 IVT786658 IWH786658 JFP786658 JGD786658 JPL786658 JPZ786658 JZH786658 JZV786658 KJD786658 KJR786658 KSZ786658 KTN786658 LCV786658 LDJ786658 LMR786658 LNF786658 LWN786658 LXB786658 MGJ786658 MGX786658 MQF786658 MQT786658 NAB786658 NAP786658 NJX786658 NKL786658 NTT786658 NUH786658 ODP786658 OED786658 ONL786658 ONZ786658 OXH786658 OXV786658 PHD786658 PHR786658 PQZ786658 PRN786658 QAV786658 QBJ786658 QKR786658 QLF786658 QUN786658 QVB786658 REJ786658 REX786658 ROF786658 ROT786658 RYB786658 RYP786658 SHX786658 SIL786658 SRT786658 SSH786658 TBP786658 TCD786658 TLL786658 TLZ786658 TVH786658 TVV786658 UFD786658 UFR786658 UOZ786658 UPN786658 UYV786658 UZJ786658 VIR786658 VJF786658 VSN786658 VTB786658 WCJ786658 WCX786658 WMF786658 WMT786658 WWB786658 WWP786658 AF851972 KB851972 TX851972 ADT851972 ANP851972 AXL851972 BHH851972 BRD851972 CAZ851972 CKV851972 CUR851972 DEN851972 DOJ851972 DYF851972 EIB851972 ERX851972 FBT851972 FLP851972 FVL851972 GFH851972 GPD851972 GYZ851972 HIV851972 HSR851972 ICN851972 IMJ851972 IWF851972 JGB851972 JPX851972 JZT851972 KJP851972 KTL851972 LDH851972 LND851972 LWZ851972 MGV851972 MQR851972 NAN851972 NKJ851972 NUF851972 OEB851972 ONX851972 OXT851972 PHP851972 PRL851972 QBH851972 QLD851972 QUZ851972 REV851972 ROR851972 RYN851972 SIJ851972 SSF851972 TCB851972 TLX851972 TVT851972 UFP851972 UPL851972 UZH851972 VJD851972 VSZ851972 WCV851972 WMR851972 WWN851972 T852173 AH852173 JP852173 KD852173 TL852173 TZ852173 ADH852173 ADV852173 AND852173 ANR852173 AWZ852173 AXN852173 BGV852173 BHJ852173 BQR852173 BRF852173 CAN852173 CBB852173 CKJ852173 CKX852173 CUF852173 CUT852173 DEB852173 DEP852173 DNX852173 DOL852173 DXT852173 DYH852173 EHP852173 EID852173 ERL852173 ERZ852173 FBH852173 FBV852173 FLD852173 FLR852173 FUZ852173 FVN852173 GEV852173 GFJ852173 GOR852173 GPF852173 GYN852173 GZB852173 HIJ852173 HIX852173 HSF852173 HST852173 ICB852173 ICP852173 ILX852173 IML852173 IVT852173 IWH852173 JFP852173 JGD852173 JPL852173 JPZ852173 JZH852173 JZV852173 KJD852173 KJR852173 KSZ852173 KTN852173 LCV852173 LDJ852173 LMR852173 LNF852173 LWN852173 LXB852173 MGJ852173 MGX852173 MQF852173 MQT852173 NAB852173 NAP852173 NJX852173 NKL852173 NTT852173 NUH852173 ODP852173 OED852173 ONL852173 ONZ852173 OXH852173 OXV852173 PHD852173 PHR852173 PQZ852173 PRN852173 QAV852173 QBJ852173 QKR852173 QLF852173 QUN852173 QVB852173 REJ852173 REX852173 ROF852173 ROT852173 RYB852173 RYP852173 SHX852173 SIL852173 SRT852173 SSH852173 TBP852173 TCD852173 TLL852173 TLZ852173 TVH852173 TVV852173 UFD852173 UFR852173 UOZ852173 UPN852173 UYV852173 UZJ852173 VIR852173 VJF852173 VSN852173 VTB852173 WCJ852173 WCX852173 WMF852173 WMT852173 WWB852173 WWP852173 T852183 AH852183 JP852183 KD852183 TL852183 TZ852183 ADH852183 ADV852183 AND852183 ANR852183 AWZ852183 AXN852183 BGV852183 BHJ852183 BQR852183 BRF852183 CAN852183 CBB852183 CKJ852183 CKX852183 CUF852183 CUT852183 DEB852183 DEP852183 DNX852183 DOL852183 DXT852183 DYH852183 EHP852183 EID852183 ERL852183 ERZ852183 FBH852183 FBV852183 FLD852183 FLR852183 FUZ852183 FVN852183 GEV852183 GFJ852183 GOR852183 GPF852183 GYN852183 GZB852183 HIJ852183 HIX852183 HSF852183 HST852183 ICB852183 ICP852183 ILX852183 IML852183 IVT852183 IWH852183 JFP852183 JGD852183 JPL852183 JPZ852183 JZH852183 JZV852183 KJD852183 KJR852183 KSZ852183 KTN852183 LCV852183 LDJ852183 LMR852183 LNF852183 LWN852183 LXB852183 MGJ852183 MGX852183 MQF852183 MQT852183 NAB852183 NAP852183 NJX852183 NKL852183 NTT852183 NUH852183 ODP852183 OED852183 ONL852183 ONZ852183 OXH852183 OXV852183 PHD852183 PHR852183 PQZ852183 PRN852183 QAV852183 QBJ852183 QKR852183 QLF852183 QUN852183 QVB852183 REJ852183 REX852183 ROF852183 ROT852183 RYB852183 RYP852183 SHX852183 SIL852183 SRT852183 SSH852183 TBP852183 TCD852183 TLL852183 TLZ852183 TVH852183 TVV852183 UFD852183 UFR852183 UOZ852183 UPN852183 UYV852183 UZJ852183 VIR852183 VJF852183 VSN852183 VTB852183 WCJ852183 WCX852183 WMF852183 WMT852183 WWB852183 WWP852183 T852189 AH852189 AQ852189 JP852189 KD852189 KM852189 TL852189 TZ852189 UI852189 ADH852189 ADV852189 AEE852189 AND852189 ANR852189 AOA852189 AWZ852189 AXN852189 AXW852189 BGV852189 BHJ852189 BHS852189 BQR852189 BRF852189 BRO852189 CAN852189 CBB852189 CBK852189 CKJ852189 CKX852189 CLG852189 CUF852189 CUT852189 CVC852189 DEB852189 DEP852189 DEY852189 DNX852189 DOL852189 DOU852189 DXT852189 DYH852189 DYQ852189 EHP852189 EID852189 EIM852189 ERL852189 ERZ852189 ESI852189 FBH852189 FBV852189 FCE852189 FLD852189 FLR852189 FMA852189 FUZ852189 FVN852189 FVW852189 GEV852189 GFJ852189 GFS852189 GOR852189 GPF852189 GPO852189 GYN852189 GZB852189 GZK852189 HIJ852189 HIX852189 HJG852189 HSF852189 HST852189 HTC852189 ICB852189 ICP852189 ICY852189 ILX852189 IML852189 IMU852189 IVT852189 IWH852189 IWQ852189 JFP852189 JGD852189 JGM852189 JPL852189 JPZ852189 JQI852189 JZH852189 JZV852189 KAE852189 KJD852189 KJR852189 KKA852189 KSZ852189 KTN852189 KTW852189 LCV852189 LDJ852189 LDS852189 LMR852189 LNF852189 LNO852189 LWN852189 LXB852189 LXK852189 MGJ852189 MGX852189 MHG852189 MQF852189 MQT852189 MRC852189 NAB852189 NAP852189 NAY852189 NJX852189 NKL852189 NKU852189 NTT852189 NUH852189 NUQ852189 ODP852189 OED852189 OEM852189 ONL852189 ONZ852189 OOI852189 OXH852189 OXV852189 OYE852189 PHD852189 PHR852189 PIA852189 PQZ852189 PRN852189 PRW852189 QAV852189 QBJ852189 QBS852189 QKR852189 QLF852189 QLO852189 QUN852189 QVB852189 QVK852189 REJ852189 REX852189 RFG852189 ROF852189 ROT852189 RPC852189 RYB852189 RYP852189 RYY852189 SHX852189 SIL852189 SIU852189 SRT852189 SSH852189 SSQ852189 TBP852189 TCD852189 TCM852189 TLL852189 TLZ852189 TMI852189 TVH852189 TVV852189 TWE852189 UFD852189 UFR852189 UGA852189 UOZ852189 UPN852189 UPW852189 UYV852189 UZJ852189 UZS852189 VIR852189 VJF852189 VJO852189 VSN852189 VTB852189 VTK852189 WCJ852189 WCX852189 WDG852189 WMF852189 WMT852189 WNC852189 WWB852189 WWP852189 WWY852189 T852194 AH852194 JP852194 KD852194 TL852194 TZ852194 ADH852194 ADV852194 AND852194 ANR852194 AWZ852194 AXN852194 BGV852194 BHJ852194 BQR852194 BRF852194 CAN852194 CBB852194 CKJ852194 CKX852194 CUF852194 CUT852194 DEB852194 DEP852194 DNX852194 DOL852194 DXT852194 DYH852194 EHP852194 EID852194 ERL852194 ERZ852194 FBH852194 FBV852194 FLD852194 FLR852194 FUZ852194 FVN852194 GEV852194 GFJ852194 GOR852194 GPF852194 GYN852194 GZB852194 HIJ852194 HIX852194 HSF852194 HST852194 ICB852194 ICP852194 ILX852194 IML852194 IVT852194 IWH852194 JFP852194 JGD852194 JPL852194 JPZ852194 JZH852194 JZV852194 KJD852194 KJR852194 KSZ852194 KTN852194 LCV852194 LDJ852194 LMR852194 LNF852194 LWN852194 LXB852194 MGJ852194 MGX852194 MQF852194 MQT852194 NAB852194 NAP852194 NJX852194 NKL852194 NTT852194 NUH852194 ODP852194 OED852194 ONL852194 ONZ852194 OXH852194 OXV852194 PHD852194 PHR852194 PQZ852194 PRN852194 QAV852194 QBJ852194 QKR852194 QLF852194 QUN852194 QVB852194 REJ852194 REX852194 ROF852194 ROT852194 RYB852194 RYP852194 SHX852194 SIL852194 SRT852194 SSH852194 TBP852194 TCD852194 TLL852194 TLZ852194 TVH852194 TVV852194 UFD852194 UFR852194 UOZ852194 UPN852194 UYV852194 UZJ852194 VIR852194 VJF852194 VSN852194 VTB852194 WCJ852194 WCX852194 WMF852194 WMT852194 WWB852194 WWP852194 AF917508 KB917508 TX917508 ADT917508 ANP917508 AXL917508 BHH917508 BRD917508 CAZ917508 CKV917508 CUR917508 DEN917508 DOJ917508 DYF917508 EIB917508 ERX917508 FBT917508 FLP917508 FVL917508 GFH917508 GPD917508 GYZ917508 HIV917508 HSR917508 ICN917508 IMJ917508 IWF917508 JGB917508 JPX917508 JZT917508 KJP917508 KTL917508 LDH917508 LND917508 LWZ917508 MGV917508 MQR917508 NAN917508 NKJ917508 NUF917508 OEB917508 ONX917508 OXT917508 PHP917508 PRL917508 QBH917508 QLD917508 QUZ917508 REV917508 ROR917508 RYN917508 SIJ917508 SSF917508 TCB917508 TLX917508 TVT917508 UFP917508 UPL917508 UZH917508 VJD917508 VSZ917508 WCV917508 WMR917508 WWN917508 T917709 AH917709 JP917709 KD917709 TL917709 TZ917709 ADH917709 ADV917709 AND917709 ANR917709 AWZ917709 AXN917709 BGV917709 BHJ917709 BQR917709 BRF917709 CAN917709 CBB917709 CKJ917709 CKX917709 CUF917709 CUT917709 DEB917709 DEP917709 DNX917709 DOL917709 DXT917709 DYH917709 EHP917709 EID917709 ERL917709 ERZ917709 FBH917709 FBV917709 FLD917709 FLR917709 FUZ917709 FVN917709 GEV917709 GFJ917709 GOR917709 GPF917709 GYN917709 GZB917709 HIJ917709 HIX917709 HSF917709 HST917709 ICB917709 ICP917709 ILX917709 IML917709 IVT917709 IWH917709 JFP917709 JGD917709 JPL917709 JPZ917709 JZH917709 JZV917709 KJD917709 KJR917709 KSZ917709 KTN917709 LCV917709 LDJ917709 LMR917709 LNF917709 LWN917709 LXB917709 MGJ917709 MGX917709 MQF917709 MQT917709 NAB917709 NAP917709 NJX917709 NKL917709 NTT917709 NUH917709 ODP917709 OED917709 ONL917709 ONZ917709 OXH917709 OXV917709 PHD917709 PHR917709 PQZ917709 PRN917709 QAV917709 QBJ917709 QKR917709 QLF917709 QUN917709 QVB917709 REJ917709 REX917709 ROF917709 ROT917709 RYB917709 RYP917709 SHX917709 SIL917709 SRT917709 SSH917709 TBP917709 TCD917709 TLL917709 TLZ917709 TVH917709 TVV917709 UFD917709 UFR917709 UOZ917709 UPN917709 UYV917709 UZJ917709 VIR917709 VJF917709 VSN917709 VTB917709 WCJ917709 WCX917709 WMF917709 WMT917709 WWB917709 WWP917709 T917719 AH917719 JP917719 KD917719 TL917719 TZ917719 ADH917719 ADV917719 AND917719 ANR917719 AWZ917719 AXN917719 BGV917719 BHJ917719 BQR917719 BRF917719 CAN917719 CBB917719 CKJ917719 CKX917719 CUF917719 CUT917719 DEB917719 DEP917719 DNX917719 DOL917719 DXT917719 DYH917719 EHP917719 EID917719 ERL917719 ERZ917719 FBH917719 FBV917719 FLD917719 FLR917719 FUZ917719 FVN917719 GEV917719 GFJ917719 GOR917719 GPF917719 GYN917719 GZB917719 HIJ917719 HIX917719 HSF917719 HST917719 ICB917719 ICP917719 ILX917719 IML917719 IVT917719 IWH917719 JFP917719 JGD917719 JPL917719 JPZ917719 JZH917719 JZV917719 KJD917719 KJR917719 KSZ917719 KTN917719 LCV917719 LDJ917719 LMR917719 LNF917719 LWN917719 LXB917719 MGJ917719 MGX917719 MQF917719 MQT917719 NAB917719 NAP917719 NJX917719 NKL917719 NTT917719 NUH917719 ODP917719 OED917719 ONL917719 ONZ917719 OXH917719 OXV917719 PHD917719 PHR917719 PQZ917719 PRN917719 QAV917719 QBJ917719 QKR917719 QLF917719 QUN917719 QVB917719 REJ917719 REX917719 ROF917719 ROT917719 RYB917719 RYP917719 SHX917719 SIL917719 SRT917719 SSH917719 TBP917719 TCD917719 TLL917719 TLZ917719 TVH917719 TVV917719 UFD917719 UFR917719 UOZ917719 UPN917719 UYV917719 UZJ917719 VIR917719 VJF917719 VSN917719 VTB917719 WCJ917719 WCX917719 WMF917719 WMT917719 WWB917719 WWP917719 T917725 AH917725 AQ917725 JP917725 KD917725 KM917725 TL917725 TZ917725 UI917725 ADH917725 ADV917725 AEE917725 AND917725 ANR917725 AOA917725 AWZ917725 AXN917725 AXW917725 BGV917725 BHJ917725 BHS917725 BQR917725 BRF917725 BRO917725 CAN917725 CBB917725 CBK917725 CKJ917725 CKX917725 CLG917725 CUF917725 CUT917725 CVC917725 DEB917725 DEP917725 DEY917725 DNX917725 DOL917725 DOU917725 DXT917725 DYH917725 DYQ917725 EHP917725 EID917725 EIM917725 ERL917725 ERZ917725 ESI917725 FBH917725 FBV917725 FCE917725 FLD917725 FLR917725 FMA917725 FUZ917725 FVN917725 FVW917725 GEV917725 GFJ917725 GFS917725 GOR917725 GPF917725 GPO917725 GYN917725 GZB917725 GZK917725 HIJ917725 HIX917725 HJG917725 HSF917725 HST917725 HTC917725 ICB917725 ICP917725 ICY917725 ILX917725 IML917725 IMU917725 IVT917725 IWH917725 IWQ917725 JFP917725 JGD917725 JGM917725 JPL917725 JPZ917725 JQI917725 JZH917725 JZV917725 KAE917725 KJD917725 KJR917725 KKA917725 KSZ917725 KTN917725 KTW917725 LCV917725 LDJ917725 LDS917725 LMR917725 LNF917725 LNO917725 LWN917725 LXB917725 LXK917725 MGJ917725 MGX917725 MHG917725 MQF917725 MQT917725 MRC917725 NAB917725 NAP917725 NAY917725 NJX917725 NKL917725 NKU917725 NTT917725 NUH917725 NUQ917725 ODP917725 OED917725 OEM917725 ONL917725 ONZ917725 OOI917725 OXH917725 OXV917725 OYE917725 PHD917725 PHR917725 PIA917725 PQZ917725 PRN917725 PRW917725 QAV917725 QBJ917725 QBS917725 QKR917725 QLF917725 QLO917725 QUN917725 QVB917725 QVK917725 REJ917725 REX917725 RFG917725 ROF917725 ROT917725 RPC917725 RYB917725 RYP917725 RYY917725 SHX917725 SIL917725 SIU917725 SRT917725 SSH917725 SSQ917725 TBP917725 TCD917725 TCM917725 TLL917725 TLZ917725 TMI917725 TVH917725 TVV917725 TWE917725 UFD917725 UFR917725 UGA917725 UOZ917725 UPN917725 UPW917725 UYV917725 UZJ917725 UZS917725 VIR917725 VJF917725 VJO917725 VSN917725 VTB917725 VTK917725 WCJ917725 WCX917725 WDG917725 WMF917725 WMT917725 WNC917725 WWB917725 WWP917725 WWY917725 T917730 AH917730 JP917730 KD917730 TL917730 TZ917730 ADH917730 ADV917730 AND917730 ANR917730 AWZ917730 AXN917730 BGV917730 BHJ917730 BQR917730 BRF917730 CAN917730 CBB917730 CKJ917730 CKX917730 CUF917730 CUT917730 DEB917730 DEP917730 DNX917730 DOL917730 DXT917730 DYH917730 EHP917730 EID917730 ERL917730 ERZ917730 FBH917730 FBV917730 FLD917730 FLR917730 FUZ917730 FVN917730 GEV917730 GFJ917730 GOR917730 GPF917730 GYN917730 GZB917730 HIJ917730 HIX917730 HSF917730 HST917730 ICB917730 ICP917730 ILX917730 IML917730 IVT917730 IWH917730 JFP917730 JGD917730 JPL917730 JPZ917730 JZH917730 JZV917730 KJD917730 KJR917730 KSZ917730 KTN917730 LCV917730 LDJ917730 LMR917730 LNF917730 LWN917730 LXB917730 MGJ917730 MGX917730 MQF917730 MQT917730 NAB917730 NAP917730 NJX917730 NKL917730 NTT917730 NUH917730 ODP917730 OED917730 ONL917730 ONZ917730 OXH917730 OXV917730 PHD917730 PHR917730 PQZ917730 PRN917730 QAV917730 QBJ917730 QKR917730 QLF917730 QUN917730 QVB917730 REJ917730 REX917730 ROF917730 ROT917730 RYB917730 RYP917730 SHX917730 SIL917730 SRT917730 SSH917730 TBP917730 TCD917730 TLL917730 TLZ917730 TVH917730 TVV917730 UFD917730 UFR917730 UOZ917730 UPN917730 UYV917730 UZJ917730 VIR917730 VJF917730 VSN917730 VTB917730 WCJ917730 WCX917730 WMF917730 WMT917730 WWB917730 WWP917730 AF983044 KB983044 TX983044 ADT983044 ANP983044 AXL983044 BHH983044 BRD983044 CAZ983044 CKV983044 CUR983044 DEN983044 DOJ983044 DYF983044 EIB983044 ERX983044 FBT983044 FLP983044 FVL983044 GFH983044 GPD983044 GYZ983044 HIV983044 HSR983044 ICN983044 IMJ983044 IWF983044 JGB983044 JPX983044 JZT983044 KJP983044 KTL983044 LDH983044 LND983044 LWZ983044 MGV983044 MQR983044 NAN983044 NKJ983044 NUF983044 OEB983044 ONX983044 OXT983044 PHP983044 PRL983044 QBH983044 QLD983044 QUZ983044 REV983044 ROR983044 RYN983044 SIJ983044 SSF983044 TCB983044 TLX983044 TVT983044 UFP983044 UPL983044 UZH983044 VJD983044 VSZ983044 WCV983044 WMR983044 WWN983044 T983245 AH983245 JP983245 KD983245 TL983245 TZ983245 ADH983245 ADV983245 AND983245 ANR983245 AWZ983245 AXN983245 BGV983245 BHJ983245 BQR983245 BRF983245 CAN983245 CBB983245 CKJ983245 CKX983245 CUF983245 CUT983245 DEB983245 DEP983245 DNX983245 DOL983245 DXT983245 DYH983245 EHP983245 EID983245 ERL983245 ERZ983245 FBH983245 FBV983245 FLD983245 FLR983245 FUZ983245 FVN983245 GEV983245 GFJ983245 GOR983245 GPF983245 GYN983245 GZB983245 HIJ983245 HIX983245 HSF983245 HST983245 ICB983245 ICP983245 ILX983245 IML983245 IVT983245 IWH983245 JFP983245 JGD983245 JPL983245 JPZ983245 JZH983245 JZV983245 KJD983245 KJR983245 KSZ983245 KTN983245 LCV983245 LDJ983245 LMR983245 LNF983245 LWN983245 LXB983245 MGJ983245 MGX983245 MQF983245 MQT983245 NAB983245 NAP983245 NJX983245 NKL983245 NTT983245 NUH983245 ODP983245 OED983245 ONL983245 ONZ983245 OXH983245 OXV983245 PHD983245 PHR983245 PQZ983245 PRN983245 QAV983245 QBJ983245 QKR983245 QLF983245 QUN983245 QVB983245 REJ983245 REX983245 ROF983245 ROT983245 RYB983245 RYP983245 SHX983245 SIL983245 SRT983245 SSH983245 TBP983245 TCD983245 TLL983245 TLZ983245 TVH983245 TVV983245 UFD983245 UFR983245 UOZ983245 UPN983245 UYV983245 UZJ983245 VIR983245 VJF983245 VSN983245 VTB983245 WCJ983245 WCX983245 WMF983245 WMT983245 WWB983245 WWP983245 T983255 AH983255 JP983255 KD983255 TL983255 TZ983255 ADH983255 ADV983255 AND983255 ANR983255 AWZ983255 AXN983255 BGV983255 BHJ983255 BQR983255 BRF983255 CAN983255 CBB983255 CKJ983255 CKX983255 CUF983255 CUT983255 DEB983255 DEP983255 DNX983255 DOL983255 DXT983255 DYH983255 EHP983255 EID983255 ERL983255 ERZ983255 FBH983255 FBV983255 FLD983255 FLR983255 FUZ983255 FVN983255 GEV983255 GFJ983255 GOR983255 GPF983255 GYN983255 GZB983255 HIJ983255 HIX983255 HSF983255 HST983255 ICB983255 ICP983255 ILX983255 IML983255 IVT983255 IWH983255 JFP983255 JGD983255 JPL983255 JPZ983255 JZH983255 JZV983255 KJD983255 KJR983255 KSZ983255 KTN983255 LCV983255 LDJ983255 LMR983255 LNF983255 LWN983255 LXB983255 MGJ983255 MGX983255 MQF983255 MQT983255 NAB983255 NAP983255 NJX983255 NKL983255 NTT983255 NUH983255 ODP983255 OED983255 ONL983255 ONZ983255 OXH983255 OXV983255 PHD983255 PHR983255 PQZ983255 PRN983255 QAV983255 QBJ983255 QKR983255 QLF983255 QUN983255 QVB983255 REJ983255 REX983255 ROF983255 ROT983255 RYB983255 RYP983255 SHX983255 SIL983255 SRT983255 SSH983255 TBP983255 TCD983255 TLL983255 TLZ983255 TVH983255 TVV983255 UFD983255 UFR983255 UOZ983255 UPN983255 UYV983255 UZJ983255 VIR983255 VJF983255 VSN983255 VTB983255 WCJ983255 WCX983255 WMF983255 WMT983255 WWB983255 WWP983255 T983261 AH983261 AQ983261 JP983261 KD983261 KM983261 TL983261 TZ983261 UI983261 ADH983261 ADV983261 AEE983261 AND983261 ANR983261 AOA983261 AWZ983261 AXN983261 AXW983261 BGV983261 BHJ983261 BHS983261 BQR983261 BRF983261 BRO983261 CAN983261 CBB983261 CBK983261 CKJ983261 CKX983261 CLG983261 CUF983261 CUT983261 CVC983261 DEB983261 DEP983261 DEY983261 DNX983261 DOL983261 DOU983261 DXT983261 DYH983261 DYQ983261 EHP983261 EID983261 EIM983261 ERL983261 ERZ983261 ESI983261 FBH983261 FBV983261 FCE983261 FLD983261 FLR983261 FMA983261 FUZ983261 FVN983261 FVW983261 GEV983261 GFJ983261 GFS983261 GOR983261 GPF983261 GPO983261 GYN983261 GZB983261 GZK983261 HIJ983261 HIX983261 HJG983261 HSF983261 HST983261 HTC983261 ICB983261 ICP983261 ICY983261 ILX983261 IML983261 IMU983261 IVT983261 IWH983261 IWQ983261 JFP983261 JGD983261 JGM983261 JPL983261 JPZ983261 JQI983261 JZH983261 JZV983261 KAE983261 KJD983261 KJR983261 KKA983261 KSZ983261 KTN983261 KTW983261 LCV983261 LDJ983261 LDS983261 LMR983261 LNF983261 LNO983261 LWN983261 LXB983261 LXK983261 MGJ983261 MGX983261 MHG983261 MQF983261 MQT983261 MRC983261 NAB983261 NAP983261 NAY983261 NJX983261 NKL983261 NKU983261 NTT983261 NUH983261 NUQ983261 ODP983261 OED983261 OEM983261 ONL983261 ONZ983261 OOI983261 OXH983261 OXV983261 OYE983261 PHD983261 PHR983261 PIA983261 PQZ983261 PRN983261 PRW983261 QAV983261 QBJ983261 QBS983261 QKR983261 QLF983261 QLO983261 QUN983261 QVB983261 QVK983261 REJ983261 REX983261 RFG983261 ROF983261 ROT983261 RPC983261 RYB983261 RYP983261 RYY983261 SHX983261 SIL983261 SIU983261 SRT983261 SSH983261 SSQ983261 TBP983261 TCD983261 TCM983261 TLL983261 TLZ983261 TMI983261 TVH983261 TVV983261 TWE983261 UFD983261 UFR983261 UGA983261 UOZ983261 UPN983261 UPW983261 UYV983261 UZJ983261 UZS983261 VIR983261 VJF983261 VJO983261 VSN983261 VTB983261 VTK983261 WCJ983261 WCX983261 WDG983261 WMF983261 WMT983261 WNC983261 WWB983261 WWP983261 WWY983261 T983266 AH983266 JP983266 KD983266 TL983266 TZ983266 ADH983266 ADV983266 AND983266 ANR983266 AWZ983266 AXN983266 BGV983266 BHJ983266 BQR983266 BRF983266 CAN983266 CBB983266 CKJ983266 CKX983266 CUF983266 CUT983266 DEB983266 DEP983266 DNX983266 DOL983266 DXT983266 DYH983266 EHP983266 EID983266 ERL983266 ERZ983266 FBH983266 FBV983266 FLD983266 FLR983266 FUZ983266 FVN983266 GEV983266 GFJ983266 GOR983266 GPF983266 GYN983266 GZB983266 HIJ983266 HIX983266 HSF983266 HST983266 ICB983266 ICP983266 ILX983266 IML983266 IVT983266 IWH983266 JFP983266 JGD983266 JPL983266 JPZ983266 JZH983266 JZV983266 KJD983266 KJR983266 KSZ983266 KTN983266 LCV983266 LDJ983266 LMR983266 LNF983266 LWN983266 LXB983266 MGJ983266 MGX983266 MQF983266 MQT983266 NAB983266 NAP983266 NJX983266 NKL983266 NTT983266 NUH983266 ODP983266 OED983266 ONL983266 ONZ983266 OXH983266 OXV983266 PHD983266 PHR983266 PQZ983266 PRN983266 QAV983266 QBJ983266 QKR983266 QLF983266 QUN983266 QVB983266 REJ983266 REX983266 ROF983266 ROT983266 RYB983266 RYP983266 SHX983266 SIL983266 SRT983266 SSH983266 TBP983266 TCD983266 TLL983266 TLZ983266 TVH983266 TVV983266 UFD983266 UFR983266 UOZ983266 UPN983266 UYV983266 UZJ983266 VIR983266 VJF983266 VSN983266 VTB983266 WCJ983266 WCX983266 WMF983266 WMT983266 WWB983266 WWP983266 T207:T211 T217:T218 T223:T224 T65743:T65747 T65753:T65754 T65759:T65760 T131279:T131283 T131289:T131290 T131295:T131296 T196815:T196819 T196825:T196826 T196831:T196832 T262351:T262355 T262361:T262362 T262367:T262368 T327887:T327891 T327897:T327898 T327903:T327904 T393423:T393427 T393433:T393434 T393439:T393440 T458959:T458963 T458969:T458970 T458975:T458976 T524495:T524499 T524505:T524506 T524511:T524512 T590031:T590035 T590041:T590042 T590047:T590048 T655567:T655571 T655577:T655578 T655583:T655584 T721103:T721107 T721113:T721114 T721119:T721120 T786639:T786643 T786649:T786650 T786655:T786656 T852175:T852179 T852185:T852186 T852191:T852192 T917711:T917715 T917721:T917722 T917727:T917728 T983247:T983251 T983257:T983258 T983263:T983264 AF6:AF65536 AF65542:AF131072 AF131078:AF196608 AF196614:AF262144 AF262150:AF327680 AF327686:AF393216 AF393222:AF458752 AF458758:AF524288 AF524294:AF589824 AF589830:AF655360 AF655366:AF720896 AF720902:AF786432 AF786438:AF851968 AF851974:AF917504 AF917510:AF983040 AF983046:AF1048576 AH207:AH211 AH217:AH218 AH223:AH224 AH65743:AH65747 AH65753:AH65754 AH65759:AH65760 AH131279:AH131283 AH131289:AH131290 AH131295:AH131296 AH196815:AH196819 AH196825:AH196826 AH196831:AH196832 AH262351:AH262355 AH262361:AH262362 AH262367:AH262368 AH327887:AH327891 AH327897:AH327898 AH327903:AH327904 AH393423:AH393427 AH393433:AH393434 AH393439:AH393440 AH458959:AH458963 AH458969:AH458970 AH458975:AH458976 AH524495:AH524499 AH524505:AH524506 AH524511:AH524512 AH590031:AH590035 AH590041:AH590042 AH590047:AH590048 AH655567:AH655571 AH655577:AH655578 AH655583:AH655584 AH721103:AH721107 AH721113:AH721114 AH721119:AH721120 AH786639:AH786643 AH786649:AH786650 AH786655:AH786656 AH852175:AH852179 AH852185:AH852186 AH852191:AH852192 AH917711:AH917715 AH917721:AH917722 AH917727:AH917728 AH983247:AH983251 AH983257:AH983258 AH983263:AH983264 AQ205:AQ212 AQ215:AQ218 AQ223:AQ226 AQ65741:AQ65748 AQ65751:AQ65754 AQ65759:AQ65762 AQ131277:AQ131284 AQ131287:AQ131290 AQ131295:AQ131298 AQ196813:AQ196820 AQ196823:AQ196826 AQ196831:AQ196834 AQ262349:AQ262356 AQ262359:AQ262362 AQ262367:AQ262370 AQ327885:AQ327892 AQ327895:AQ327898 AQ327903:AQ327906 AQ393421:AQ393428 AQ393431:AQ393434 AQ393439:AQ393442 AQ458957:AQ458964 AQ458967:AQ458970 AQ458975:AQ458978 AQ524493:AQ524500 AQ524503:AQ524506 AQ524511:AQ524514 AQ590029:AQ590036 AQ590039:AQ590042 AQ590047:AQ590050 AQ655565:AQ655572 AQ655575:AQ655578 AQ655583:AQ655586 AQ721101:AQ721108 AQ721111:AQ721114 AQ721119:AQ721122 AQ786637:AQ786644 AQ786647:AQ786650 AQ786655:AQ786658 AQ852173:AQ852180 AQ852183:AQ852186 AQ852191:AQ852194 AQ917709:AQ917716 AQ917719:AQ917722 AQ917727:AQ917730 AQ983245:AQ983252 AQ983255:AQ983258 AQ983263:AQ983266 JP207:JP211 JP217:JP218 JP223:JP224 JP65743:JP65747 JP65753:JP65754 JP65759:JP65760 JP131279:JP131283 JP131289:JP131290 JP131295:JP131296 JP196815:JP196819 JP196825:JP196826 JP196831:JP196832 JP262351:JP262355 JP262361:JP262362 JP262367:JP262368 JP327887:JP327891 JP327897:JP327898 JP327903:JP327904 JP393423:JP393427 JP393433:JP393434 JP393439:JP393440 JP458959:JP458963 JP458969:JP458970 JP458975:JP458976 JP524495:JP524499 JP524505:JP524506 JP524511:JP524512 JP590031:JP590035 JP590041:JP590042 JP590047:JP590048 JP655567:JP655571 JP655577:JP655578 JP655583:JP655584 JP721103:JP721107 JP721113:JP721114 JP721119:JP721120 JP786639:JP786643 JP786649:JP786650 JP786655:JP786656 JP852175:JP852179 JP852185:JP852186 JP852191:JP852192 JP917711:JP917715 JP917721:JP917722 JP917727:JP917728 JP983247:JP983251 JP983257:JP983258 JP983263:JP983264 KB6:KB65536 KB65542:KB131072 KB131078:KB196608 KB196614:KB262144 KB262150:KB327680 KB327686:KB393216 KB393222:KB458752 KB458758:KB524288 KB524294:KB589824 KB589830:KB655360 KB655366:KB720896 KB720902:KB786432 KB786438:KB851968 KB851974:KB917504 KB917510:KB983040 KB983046:KB1048576 KD207:KD211 KD217:KD218 KD223:KD224 KD65743:KD65747 KD65753:KD65754 KD65759:KD65760 KD131279:KD131283 KD131289:KD131290 KD131295:KD131296 KD196815:KD196819 KD196825:KD196826 KD196831:KD196832 KD262351:KD262355 KD262361:KD262362 KD262367:KD262368 KD327887:KD327891 KD327897:KD327898 KD327903:KD327904 KD393423:KD393427 KD393433:KD393434 KD393439:KD393440 KD458959:KD458963 KD458969:KD458970 KD458975:KD458976 KD524495:KD524499 KD524505:KD524506 KD524511:KD524512 KD590031:KD590035 KD590041:KD590042 KD590047:KD590048 KD655567:KD655571 KD655577:KD655578 KD655583:KD655584 KD721103:KD721107 KD721113:KD721114 KD721119:KD721120 KD786639:KD786643 KD786649:KD786650 KD786655:KD786656 KD852175:KD852179 KD852185:KD852186 KD852191:KD852192 KD917711:KD917715 KD917721:KD917722 KD917727:KD917728 KD983247:KD983251 KD983257:KD983258 KD983263:KD983264 KM205:KM212 KM215:KM218 KM223:KM226 KM65741:KM65748 KM65751:KM65754 KM65759:KM65762 KM131277:KM131284 KM131287:KM131290 KM131295:KM131298 KM196813:KM196820 KM196823:KM196826 KM196831:KM196834 KM262349:KM262356 KM262359:KM262362 KM262367:KM262370 KM327885:KM327892 KM327895:KM327898 KM327903:KM327906 KM393421:KM393428 KM393431:KM393434 KM393439:KM393442 KM458957:KM458964 KM458967:KM458970 KM458975:KM458978 KM524493:KM524500 KM524503:KM524506 KM524511:KM524514 KM590029:KM590036 KM590039:KM590042 KM590047:KM590050 KM655565:KM655572 KM655575:KM655578 KM655583:KM655586 KM721101:KM721108 KM721111:KM721114 KM721119:KM721122 KM786637:KM786644 KM786647:KM786650 KM786655:KM786658 KM852173:KM852180 KM852183:KM852186 KM852191:KM852194 KM917709:KM917716 KM917719:KM917722 KM917727:KM917730 KM983245:KM983252 KM983255:KM983258 KM983263:KM983266 TL207:TL211 TL217:TL218 TL223:TL224 TL65743:TL65747 TL65753:TL65754 TL65759:TL65760 TL131279:TL131283 TL131289:TL131290 TL131295:TL131296 TL196815:TL196819 TL196825:TL196826 TL196831:TL196832 TL262351:TL262355 TL262361:TL262362 TL262367:TL262368 TL327887:TL327891 TL327897:TL327898 TL327903:TL327904 TL393423:TL393427 TL393433:TL393434 TL393439:TL393440 TL458959:TL458963 TL458969:TL458970 TL458975:TL458976 TL524495:TL524499 TL524505:TL524506 TL524511:TL524512 TL590031:TL590035 TL590041:TL590042 TL590047:TL590048 TL655567:TL655571 TL655577:TL655578 TL655583:TL655584 TL721103:TL721107 TL721113:TL721114 TL721119:TL721120 TL786639:TL786643 TL786649:TL786650 TL786655:TL786656 TL852175:TL852179 TL852185:TL852186 TL852191:TL852192 TL917711:TL917715 TL917721:TL917722 TL917727:TL917728 TL983247:TL983251 TL983257:TL983258 TL983263:TL983264 TX6:TX65536 TX65542:TX131072 TX131078:TX196608 TX196614:TX262144 TX262150:TX327680 TX327686:TX393216 TX393222:TX458752 TX458758:TX524288 TX524294:TX589824 TX589830:TX655360 TX655366:TX720896 TX720902:TX786432 TX786438:TX851968 TX851974:TX917504 TX917510:TX983040 TX983046:TX1048576 TZ207:TZ211 TZ217:TZ218 TZ223:TZ224 TZ65743:TZ65747 TZ65753:TZ65754 TZ65759:TZ65760 TZ131279:TZ131283 TZ131289:TZ131290 TZ131295:TZ131296 TZ196815:TZ196819 TZ196825:TZ196826 TZ196831:TZ196832 TZ262351:TZ262355 TZ262361:TZ262362 TZ262367:TZ262368 TZ327887:TZ327891 TZ327897:TZ327898 TZ327903:TZ327904 TZ393423:TZ393427 TZ393433:TZ393434 TZ393439:TZ393440 TZ458959:TZ458963 TZ458969:TZ458970 TZ458975:TZ458976 TZ524495:TZ524499 TZ524505:TZ524506 TZ524511:TZ524512 TZ590031:TZ590035 TZ590041:TZ590042 TZ590047:TZ590048 TZ655567:TZ655571 TZ655577:TZ655578 TZ655583:TZ655584 TZ721103:TZ721107 TZ721113:TZ721114 TZ721119:TZ721120 TZ786639:TZ786643 TZ786649:TZ786650 TZ786655:TZ786656 TZ852175:TZ852179 TZ852185:TZ852186 TZ852191:TZ852192 TZ917711:TZ917715 TZ917721:TZ917722 TZ917727:TZ917728 TZ983247:TZ983251 TZ983257:TZ983258 TZ983263:TZ983264 UI205:UI212 UI215:UI218 UI223:UI226 UI65741:UI65748 UI65751:UI65754 UI65759:UI65762 UI131277:UI131284 UI131287:UI131290 UI131295:UI131298 UI196813:UI196820 UI196823:UI196826 UI196831:UI196834 UI262349:UI262356 UI262359:UI262362 UI262367:UI262370 UI327885:UI327892 UI327895:UI327898 UI327903:UI327906 UI393421:UI393428 UI393431:UI393434 UI393439:UI393442 UI458957:UI458964 UI458967:UI458970 UI458975:UI458978 UI524493:UI524500 UI524503:UI524506 UI524511:UI524514 UI590029:UI590036 UI590039:UI590042 UI590047:UI590050 UI655565:UI655572 UI655575:UI655578 UI655583:UI655586 UI721101:UI721108 UI721111:UI721114 UI721119:UI721122 UI786637:UI786644 UI786647:UI786650 UI786655:UI786658 UI852173:UI852180 UI852183:UI852186 UI852191:UI852194 UI917709:UI917716 UI917719:UI917722 UI917727:UI917730 UI983245:UI983252 UI983255:UI983258 UI983263:UI983266 ADH207:ADH211 ADH217:ADH218 ADH223:ADH224 ADH65743:ADH65747 ADH65753:ADH65754 ADH65759:ADH65760 ADH131279:ADH131283 ADH131289:ADH131290 ADH131295:ADH131296 ADH196815:ADH196819 ADH196825:ADH196826 ADH196831:ADH196832 ADH262351:ADH262355 ADH262361:ADH262362 ADH262367:ADH262368 ADH327887:ADH327891 ADH327897:ADH327898 ADH327903:ADH327904 ADH393423:ADH393427 ADH393433:ADH393434 ADH393439:ADH393440 ADH458959:ADH458963 ADH458969:ADH458970 ADH458975:ADH458976 ADH524495:ADH524499 ADH524505:ADH524506 ADH524511:ADH524512 ADH590031:ADH590035 ADH590041:ADH590042 ADH590047:ADH590048 ADH655567:ADH655571 ADH655577:ADH655578 ADH655583:ADH655584 ADH721103:ADH721107 ADH721113:ADH721114 ADH721119:ADH721120 ADH786639:ADH786643 ADH786649:ADH786650 ADH786655:ADH786656 ADH852175:ADH852179 ADH852185:ADH852186 ADH852191:ADH852192 ADH917711:ADH917715 ADH917721:ADH917722 ADH917727:ADH917728 ADH983247:ADH983251 ADH983257:ADH983258 ADH983263:ADH983264 ADT6:ADT65536 ADT65542:ADT131072 ADT131078:ADT196608 ADT196614:ADT262144 ADT262150:ADT327680 ADT327686:ADT393216 ADT393222:ADT458752 ADT458758:ADT524288 ADT524294:ADT589824 ADT589830:ADT655360 ADT655366:ADT720896 ADT720902:ADT786432 ADT786438:ADT851968 ADT851974:ADT917504 ADT917510:ADT983040 ADT983046:ADT1048576 ADV207:ADV211 ADV217:ADV218 ADV223:ADV224 ADV65743:ADV65747 ADV65753:ADV65754 ADV65759:ADV65760 ADV131279:ADV131283 ADV131289:ADV131290 ADV131295:ADV131296 ADV196815:ADV196819 ADV196825:ADV196826 ADV196831:ADV196832 ADV262351:ADV262355 ADV262361:ADV262362 ADV262367:ADV262368 ADV327887:ADV327891 ADV327897:ADV327898 ADV327903:ADV327904 ADV393423:ADV393427 ADV393433:ADV393434 ADV393439:ADV393440 ADV458959:ADV458963 ADV458969:ADV458970 ADV458975:ADV458976 ADV524495:ADV524499 ADV524505:ADV524506 ADV524511:ADV524512 ADV590031:ADV590035 ADV590041:ADV590042 ADV590047:ADV590048 ADV655567:ADV655571 ADV655577:ADV655578 ADV655583:ADV655584 ADV721103:ADV721107 ADV721113:ADV721114 ADV721119:ADV721120 ADV786639:ADV786643 ADV786649:ADV786650 ADV786655:ADV786656 ADV852175:ADV852179 ADV852185:ADV852186 ADV852191:ADV852192 ADV917711:ADV917715 ADV917721:ADV917722 ADV917727:ADV917728 ADV983247:ADV983251 ADV983257:ADV983258 ADV983263:ADV983264 AEE205:AEE212 AEE215:AEE218 AEE223:AEE226 AEE65741:AEE65748 AEE65751:AEE65754 AEE65759:AEE65762 AEE131277:AEE131284 AEE131287:AEE131290 AEE131295:AEE131298 AEE196813:AEE196820 AEE196823:AEE196826 AEE196831:AEE196834 AEE262349:AEE262356 AEE262359:AEE262362 AEE262367:AEE262370 AEE327885:AEE327892 AEE327895:AEE327898 AEE327903:AEE327906 AEE393421:AEE393428 AEE393431:AEE393434 AEE393439:AEE393442 AEE458957:AEE458964 AEE458967:AEE458970 AEE458975:AEE458978 AEE524493:AEE524500 AEE524503:AEE524506 AEE524511:AEE524514 AEE590029:AEE590036 AEE590039:AEE590042 AEE590047:AEE590050 AEE655565:AEE655572 AEE655575:AEE655578 AEE655583:AEE655586 AEE721101:AEE721108 AEE721111:AEE721114 AEE721119:AEE721122 AEE786637:AEE786644 AEE786647:AEE786650 AEE786655:AEE786658 AEE852173:AEE852180 AEE852183:AEE852186 AEE852191:AEE852194 AEE917709:AEE917716 AEE917719:AEE917722 AEE917727:AEE917730 AEE983245:AEE983252 AEE983255:AEE983258 AEE983263:AEE983266 AND207:AND211 AND217:AND218 AND223:AND224 AND65743:AND65747 AND65753:AND65754 AND65759:AND65760 AND131279:AND131283 AND131289:AND131290 AND131295:AND131296 AND196815:AND196819 AND196825:AND196826 AND196831:AND196832 AND262351:AND262355 AND262361:AND262362 AND262367:AND262368 AND327887:AND327891 AND327897:AND327898 AND327903:AND327904 AND393423:AND393427 AND393433:AND393434 AND393439:AND393440 AND458959:AND458963 AND458969:AND458970 AND458975:AND458976 AND524495:AND524499 AND524505:AND524506 AND524511:AND524512 AND590031:AND590035 AND590041:AND590042 AND590047:AND590048 AND655567:AND655571 AND655577:AND655578 AND655583:AND655584 AND721103:AND721107 AND721113:AND721114 AND721119:AND721120 AND786639:AND786643 AND786649:AND786650 AND786655:AND786656 AND852175:AND852179 AND852185:AND852186 AND852191:AND852192 AND917711:AND917715 AND917721:AND917722 AND917727:AND917728 AND983247:AND983251 AND983257:AND983258 AND983263:AND983264 ANP6:ANP65536 ANP65542:ANP131072 ANP131078:ANP196608 ANP196614:ANP262144 ANP262150:ANP327680 ANP327686:ANP393216 ANP393222:ANP458752 ANP458758:ANP524288 ANP524294:ANP589824 ANP589830:ANP655360 ANP655366:ANP720896 ANP720902:ANP786432 ANP786438:ANP851968 ANP851974:ANP917504 ANP917510:ANP983040 ANP983046:ANP1048576 ANR207:ANR211 ANR217:ANR218 ANR223:ANR224 ANR65743:ANR65747 ANR65753:ANR65754 ANR65759:ANR65760 ANR131279:ANR131283 ANR131289:ANR131290 ANR131295:ANR131296 ANR196815:ANR196819 ANR196825:ANR196826 ANR196831:ANR196832 ANR262351:ANR262355 ANR262361:ANR262362 ANR262367:ANR262368 ANR327887:ANR327891 ANR327897:ANR327898 ANR327903:ANR327904 ANR393423:ANR393427 ANR393433:ANR393434 ANR393439:ANR393440 ANR458959:ANR458963 ANR458969:ANR458970 ANR458975:ANR458976 ANR524495:ANR524499 ANR524505:ANR524506 ANR524511:ANR524512 ANR590031:ANR590035 ANR590041:ANR590042 ANR590047:ANR590048 ANR655567:ANR655571 ANR655577:ANR655578 ANR655583:ANR655584 ANR721103:ANR721107 ANR721113:ANR721114 ANR721119:ANR721120 ANR786639:ANR786643 ANR786649:ANR786650 ANR786655:ANR786656 ANR852175:ANR852179 ANR852185:ANR852186 ANR852191:ANR852192 ANR917711:ANR917715 ANR917721:ANR917722 ANR917727:ANR917728 ANR983247:ANR983251 ANR983257:ANR983258 ANR983263:ANR983264 AOA205:AOA212 AOA215:AOA218 AOA223:AOA226 AOA65741:AOA65748 AOA65751:AOA65754 AOA65759:AOA65762 AOA131277:AOA131284 AOA131287:AOA131290 AOA131295:AOA131298 AOA196813:AOA196820 AOA196823:AOA196826 AOA196831:AOA196834 AOA262349:AOA262356 AOA262359:AOA262362 AOA262367:AOA262370 AOA327885:AOA327892 AOA327895:AOA327898 AOA327903:AOA327906 AOA393421:AOA393428 AOA393431:AOA393434 AOA393439:AOA393442 AOA458957:AOA458964 AOA458967:AOA458970 AOA458975:AOA458978 AOA524493:AOA524500 AOA524503:AOA524506 AOA524511:AOA524514 AOA590029:AOA590036 AOA590039:AOA590042 AOA590047:AOA590050 AOA655565:AOA655572 AOA655575:AOA655578 AOA655583:AOA655586 AOA721101:AOA721108 AOA721111:AOA721114 AOA721119:AOA721122 AOA786637:AOA786644 AOA786647:AOA786650 AOA786655:AOA786658 AOA852173:AOA852180 AOA852183:AOA852186 AOA852191:AOA852194 AOA917709:AOA917716 AOA917719:AOA917722 AOA917727:AOA917730 AOA983245:AOA983252 AOA983255:AOA983258 AOA983263:AOA983266 AWZ207:AWZ211 AWZ217:AWZ218 AWZ223:AWZ224 AWZ65743:AWZ65747 AWZ65753:AWZ65754 AWZ65759:AWZ65760 AWZ131279:AWZ131283 AWZ131289:AWZ131290 AWZ131295:AWZ131296 AWZ196815:AWZ196819 AWZ196825:AWZ196826 AWZ196831:AWZ196832 AWZ262351:AWZ262355 AWZ262361:AWZ262362 AWZ262367:AWZ262368 AWZ327887:AWZ327891 AWZ327897:AWZ327898 AWZ327903:AWZ327904 AWZ393423:AWZ393427 AWZ393433:AWZ393434 AWZ393439:AWZ393440 AWZ458959:AWZ458963 AWZ458969:AWZ458970 AWZ458975:AWZ458976 AWZ524495:AWZ524499 AWZ524505:AWZ524506 AWZ524511:AWZ524512 AWZ590031:AWZ590035 AWZ590041:AWZ590042 AWZ590047:AWZ590048 AWZ655567:AWZ655571 AWZ655577:AWZ655578 AWZ655583:AWZ655584 AWZ721103:AWZ721107 AWZ721113:AWZ721114 AWZ721119:AWZ721120 AWZ786639:AWZ786643 AWZ786649:AWZ786650 AWZ786655:AWZ786656 AWZ852175:AWZ852179 AWZ852185:AWZ852186 AWZ852191:AWZ852192 AWZ917711:AWZ917715 AWZ917721:AWZ917722 AWZ917727:AWZ917728 AWZ983247:AWZ983251 AWZ983257:AWZ983258 AWZ983263:AWZ983264 AXL6:AXL65536 AXL65542:AXL131072 AXL131078:AXL196608 AXL196614:AXL262144 AXL262150:AXL327680 AXL327686:AXL393216 AXL393222:AXL458752 AXL458758:AXL524288 AXL524294:AXL589824 AXL589830:AXL655360 AXL655366:AXL720896 AXL720902:AXL786432 AXL786438:AXL851968 AXL851974:AXL917504 AXL917510:AXL983040 AXL983046:AXL1048576 AXN207:AXN211 AXN217:AXN218 AXN223:AXN224 AXN65743:AXN65747 AXN65753:AXN65754 AXN65759:AXN65760 AXN131279:AXN131283 AXN131289:AXN131290 AXN131295:AXN131296 AXN196815:AXN196819 AXN196825:AXN196826 AXN196831:AXN196832 AXN262351:AXN262355 AXN262361:AXN262362 AXN262367:AXN262368 AXN327887:AXN327891 AXN327897:AXN327898 AXN327903:AXN327904 AXN393423:AXN393427 AXN393433:AXN393434 AXN393439:AXN393440 AXN458959:AXN458963 AXN458969:AXN458970 AXN458975:AXN458976 AXN524495:AXN524499 AXN524505:AXN524506 AXN524511:AXN524512 AXN590031:AXN590035 AXN590041:AXN590042 AXN590047:AXN590048 AXN655567:AXN655571 AXN655577:AXN655578 AXN655583:AXN655584 AXN721103:AXN721107 AXN721113:AXN721114 AXN721119:AXN721120 AXN786639:AXN786643 AXN786649:AXN786650 AXN786655:AXN786656 AXN852175:AXN852179 AXN852185:AXN852186 AXN852191:AXN852192 AXN917711:AXN917715 AXN917721:AXN917722 AXN917727:AXN917728 AXN983247:AXN983251 AXN983257:AXN983258 AXN983263:AXN983264 AXW205:AXW212 AXW215:AXW218 AXW223:AXW226 AXW65741:AXW65748 AXW65751:AXW65754 AXW65759:AXW65762 AXW131277:AXW131284 AXW131287:AXW131290 AXW131295:AXW131298 AXW196813:AXW196820 AXW196823:AXW196826 AXW196831:AXW196834 AXW262349:AXW262356 AXW262359:AXW262362 AXW262367:AXW262370 AXW327885:AXW327892 AXW327895:AXW327898 AXW327903:AXW327906 AXW393421:AXW393428 AXW393431:AXW393434 AXW393439:AXW393442 AXW458957:AXW458964 AXW458967:AXW458970 AXW458975:AXW458978 AXW524493:AXW524500 AXW524503:AXW524506 AXW524511:AXW524514 AXW590029:AXW590036 AXW590039:AXW590042 AXW590047:AXW590050 AXW655565:AXW655572 AXW655575:AXW655578 AXW655583:AXW655586 AXW721101:AXW721108 AXW721111:AXW721114 AXW721119:AXW721122 AXW786637:AXW786644 AXW786647:AXW786650 AXW786655:AXW786658 AXW852173:AXW852180 AXW852183:AXW852186 AXW852191:AXW852194 AXW917709:AXW917716 AXW917719:AXW917722 AXW917727:AXW917730 AXW983245:AXW983252 AXW983255:AXW983258 AXW983263:AXW983266 BGV207:BGV211 BGV217:BGV218 BGV223:BGV224 BGV65743:BGV65747 BGV65753:BGV65754 BGV65759:BGV65760 BGV131279:BGV131283 BGV131289:BGV131290 BGV131295:BGV131296 BGV196815:BGV196819 BGV196825:BGV196826 BGV196831:BGV196832 BGV262351:BGV262355 BGV262361:BGV262362 BGV262367:BGV262368 BGV327887:BGV327891 BGV327897:BGV327898 BGV327903:BGV327904 BGV393423:BGV393427 BGV393433:BGV393434 BGV393439:BGV393440 BGV458959:BGV458963 BGV458969:BGV458970 BGV458975:BGV458976 BGV524495:BGV524499 BGV524505:BGV524506 BGV524511:BGV524512 BGV590031:BGV590035 BGV590041:BGV590042 BGV590047:BGV590048 BGV655567:BGV655571 BGV655577:BGV655578 BGV655583:BGV655584 BGV721103:BGV721107 BGV721113:BGV721114 BGV721119:BGV721120 BGV786639:BGV786643 BGV786649:BGV786650 BGV786655:BGV786656 BGV852175:BGV852179 BGV852185:BGV852186 BGV852191:BGV852192 BGV917711:BGV917715 BGV917721:BGV917722 BGV917727:BGV917728 BGV983247:BGV983251 BGV983257:BGV983258 BGV983263:BGV983264 BHH6:BHH65536 BHH65542:BHH131072 BHH131078:BHH196608 BHH196614:BHH262144 BHH262150:BHH327680 BHH327686:BHH393216 BHH393222:BHH458752 BHH458758:BHH524288 BHH524294:BHH589824 BHH589830:BHH655360 BHH655366:BHH720896 BHH720902:BHH786432 BHH786438:BHH851968 BHH851974:BHH917504 BHH917510:BHH983040 BHH983046:BHH1048576 BHJ207:BHJ211 BHJ217:BHJ218 BHJ223:BHJ224 BHJ65743:BHJ65747 BHJ65753:BHJ65754 BHJ65759:BHJ65760 BHJ131279:BHJ131283 BHJ131289:BHJ131290 BHJ131295:BHJ131296 BHJ196815:BHJ196819 BHJ196825:BHJ196826 BHJ196831:BHJ196832 BHJ262351:BHJ262355 BHJ262361:BHJ262362 BHJ262367:BHJ262368 BHJ327887:BHJ327891 BHJ327897:BHJ327898 BHJ327903:BHJ327904 BHJ393423:BHJ393427 BHJ393433:BHJ393434 BHJ393439:BHJ393440 BHJ458959:BHJ458963 BHJ458969:BHJ458970 BHJ458975:BHJ458976 BHJ524495:BHJ524499 BHJ524505:BHJ524506 BHJ524511:BHJ524512 BHJ590031:BHJ590035 BHJ590041:BHJ590042 BHJ590047:BHJ590048 BHJ655567:BHJ655571 BHJ655577:BHJ655578 BHJ655583:BHJ655584 BHJ721103:BHJ721107 BHJ721113:BHJ721114 BHJ721119:BHJ721120 BHJ786639:BHJ786643 BHJ786649:BHJ786650 BHJ786655:BHJ786656 BHJ852175:BHJ852179 BHJ852185:BHJ852186 BHJ852191:BHJ852192 BHJ917711:BHJ917715 BHJ917721:BHJ917722 BHJ917727:BHJ917728 BHJ983247:BHJ983251 BHJ983257:BHJ983258 BHJ983263:BHJ983264 BHS205:BHS212 BHS215:BHS218 BHS223:BHS226 BHS65741:BHS65748 BHS65751:BHS65754 BHS65759:BHS65762 BHS131277:BHS131284 BHS131287:BHS131290 BHS131295:BHS131298 BHS196813:BHS196820 BHS196823:BHS196826 BHS196831:BHS196834 BHS262349:BHS262356 BHS262359:BHS262362 BHS262367:BHS262370 BHS327885:BHS327892 BHS327895:BHS327898 BHS327903:BHS327906 BHS393421:BHS393428 BHS393431:BHS393434 BHS393439:BHS393442 BHS458957:BHS458964 BHS458967:BHS458970 BHS458975:BHS458978 BHS524493:BHS524500 BHS524503:BHS524506 BHS524511:BHS524514 BHS590029:BHS590036 BHS590039:BHS590042 BHS590047:BHS590050 BHS655565:BHS655572 BHS655575:BHS655578 BHS655583:BHS655586 BHS721101:BHS721108 BHS721111:BHS721114 BHS721119:BHS721122 BHS786637:BHS786644 BHS786647:BHS786650 BHS786655:BHS786658 BHS852173:BHS852180 BHS852183:BHS852186 BHS852191:BHS852194 BHS917709:BHS917716 BHS917719:BHS917722 BHS917727:BHS917730 BHS983245:BHS983252 BHS983255:BHS983258 BHS983263:BHS983266 BQR207:BQR211 BQR217:BQR218 BQR223:BQR224 BQR65743:BQR65747 BQR65753:BQR65754 BQR65759:BQR65760 BQR131279:BQR131283 BQR131289:BQR131290 BQR131295:BQR131296 BQR196815:BQR196819 BQR196825:BQR196826 BQR196831:BQR196832 BQR262351:BQR262355 BQR262361:BQR262362 BQR262367:BQR262368 BQR327887:BQR327891 BQR327897:BQR327898 BQR327903:BQR327904 BQR393423:BQR393427 BQR393433:BQR393434 BQR393439:BQR393440 BQR458959:BQR458963 BQR458969:BQR458970 BQR458975:BQR458976 BQR524495:BQR524499 BQR524505:BQR524506 BQR524511:BQR524512 BQR590031:BQR590035 BQR590041:BQR590042 BQR590047:BQR590048 BQR655567:BQR655571 BQR655577:BQR655578 BQR655583:BQR655584 BQR721103:BQR721107 BQR721113:BQR721114 BQR721119:BQR721120 BQR786639:BQR786643 BQR786649:BQR786650 BQR786655:BQR786656 BQR852175:BQR852179 BQR852185:BQR852186 BQR852191:BQR852192 BQR917711:BQR917715 BQR917721:BQR917722 BQR917727:BQR917728 BQR983247:BQR983251 BQR983257:BQR983258 BQR983263:BQR983264 BRD6:BRD65536 BRD65542:BRD131072 BRD131078:BRD196608 BRD196614:BRD262144 BRD262150:BRD327680 BRD327686:BRD393216 BRD393222:BRD458752 BRD458758:BRD524288 BRD524294:BRD589824 BRD589830:BRD655360 BRD655366:BRD720896 BRD720902:BRD786432 BRD786438:BRD851968 BRD851974:BRD917504 BRD917510:BRD983040 BRD983046:BRD1048576 BRF207:BRF211 BRF217:BRF218 BRF223:BRF224 BRF65743:BRF65747 BRF65753:BRF65754 BRF65759:BRF65760 BRF131279:BRF131283 BRF131289:BRF131290 BRF131295:BRF131296 BRF196815:BRF196819 BRF196825:BRF196826 BRF196831:BRF196832 BRF262351:BRF262355 BRF262361:BRF262362 BRF262367:BRF262368 BRF327887:BRF327891 BRF327897:BRF327898 BRF327903:BRF327904 BRF393423:BRF393427 BRF393433:BRF393434 BRF393439:BRF393440 BRF458959:BRF458963 BRF458969:BRF458970 BRF458975:BRF458976 BRF524495:BRF524499 BRF524505:BRF524506 BRF524511:BRF524512 BRF590031:BRF590035 BRF590041:BRF590042 BRF590047:BRF590048 BRF655567:BRF655571 BRF655577:BRF655578 BRF655583:BRF655584 BRF721103:BRF721107 BRF721113:BRF721114 BRF721119:BRF721120 BRF786639:BRF786643 BRF786649:BRF786650 BRF786655:BRF786656 BRF852175:BRF852179 BRF852185:BRF852186 BRF852191:BRF852192 BRF917711:BRF917715 BRF917721:BRF917722 BRF917727:BRF917728 BRF983247:BRF983251 BRF983257:BRF983258 BRF983263:BRF983264 BRO205:BRO212 BRO215:BRO218 BRO223:BRO226 BRO65741:BRO65748 BRO65751:BRO65754 BRO65759:BRO65762 BRO131277:BRO131284 BRO131287:BRO131290 BRO131295:BRO131298 BRO196813:BRO196820 BRO196823:BRO196826 BRO196831:BRO196834 BRO262349:BRO262356 BRO262359:BRO262362 BRO262367:BRO262370 BRO327885:BRO327892 BRO327895:BRO327898 BRO327903:BRO327906 BRO393421:BRO393428 BRO393431:BRO393434 BRO393439:BRO393442 BRO458957:BRO458964 BRO458967:BRO458970 BRO458975:BRO458978 BRO524493:BRO524500 BRO524503:BRO524506 BRO524511:BRO524514 BRO590029:BRO590036 BRO590039:BRO590042 BRO590047:BRO590050 BRO655565:BRO655572 BRO655575:BRO655578 BRO655583:BRO655586 BRO721101:BRO721108 BRO721111:BRO721114 BRO721119:BRO721122 BRO786637:BRO786644 BRO786647:BRO786650 BRO786655:BRO786658 BRO852173:BRO852180 BRO852183:BRO852186 BRO852191:BRO852194 BRO917709:BRO917716 BRO917719:BRO917722 BRO917727:BRO917730 BRO983245:BRO983252 BRO983255:BRO983258 BRO983263:BRO983266 CAN207:CAN211 CAN217:CAN218 CAN223:CAN224 CAN65743:CAN65747 CAN65753:CAN65754 CAN65759:CAN65760 CAN131279:CAN131283 CAN131289:CAN131290 CAN131295:CAN131296 CAN196815:CAN196819 CAN196825:CAN196826 CAN196831:CAN196832 CAN262351:CAN262355 CAN262361:CAN262362 CAN262367:CAN262368 CAN327887:CAN327891 CAN327897:CAN327898 CAN327903:CAN327904 CAN393423:CAN393427 CAN393433:CAN393434 CAN393439:CAN393440 CAN458959:CAN458963 CAN458969:CAN458970 CAN458975:CAN458976 CAN524495:CAN524499 CAN524505:CAN524506 CAN524511:CAN524512 CAN590031:CAN590035 CAN590041:CAN590042 CAN590047:CAN590048 CAN655567:CAN655571 CAN655577:CAN655578 CAN655583:CAN655584 CAN721103:CAN721107 CAN721113:CAN721114 CAN721119:CAN721120 CAN786639:CAN786643 CAN786649:CAN786650 CAN786655:CAN786656 CAN852175:CAN852179 CAN852185:CAN852186 CAN852191:CAN852192 CAN917711:CAN917715 CAN917721:CAN917722 CAN917727:CAN917728 CAN983247:CAN983251 CAN983257:CAN983258 CAN983263:CAN983264 CAZ6:CAZ65536 CAZ65542:CAZ131072 CAZ131078:CAZ196608 CAZ196614:CAZ262144 CAZ262150:CAZ327680 CAZ327686:CAZ393216 CAZ393222:CAZ458752 CAZ458758:CAZ524288 CAZ524294:CAZ589824 CAZ589830:CAZ655360 CAZ655366:CAZ720896 CAZ720902:CAZ786432 CAZ786438:CAZ851968 CAZ851974:CAZ917504 CAZ917510:CAZ983040 CAZ983046:CAZ1048576 CBB207:CBB211 CBB217:CBB218 CBB223:CBB224 CBB65743:CBB65747 CBB65753:CBB65754 CBB65759:CBB65760 CBB131279:CBB131283 CBB131289:CBB131290 CBB131295:CBB131296 CBB196815:CBB196819 CBB196825:CBB196826 CBB196831:CBB196832 CBB262351:CBB262355 CBB262361:CBB262362 CBB262367:CBB262368 CBB327887:CBB327891 CBB327897:CBB327898 CBB327903:CBB327904 CBB393423:CBB393427 CBB393433:CBB393434 CBB393439:CBB393440 CBB458959:CBB458963 CBB458969:CBB458970 CBB458975:CBB458976 CBB524495:CBB524499 CBB524505:CBB524506 CBB524511:CBB524512 CBB590031:CBB590035 CBB590041:CBB590042 CBB590047:CBB590048 CBB655567:CBB655571 CBB655577:CBB655578 CBB655583:CBB655584 CBB721103:CBB721107 CBB721113:CBB721114 CBB721119:CBB721120 CBB786639:CBB786643 CBB786649:CBB786650 CBB786655:CBB786656 CBB852175:CBB852179 CBB852185:CBB852186 CBB852191:CBB852192 CBB917711:CBB917715 CBB917721:CBB917722 CBB917727:CBB917728 CBB983247:CBB983251 CBB983257:CBB983258 CBB983263:CBB983264 CBK205:CBK212 CBK215:CBK218 CBK223:CBK226 CBK65741:CBK65748 CBK65751:CBK65754 CBK65759:CBK65762 CBK131277:CBK131284 CBK131287:CBK131290 CBK131295:CBK131298 CBK196813:CBK196820 CBK196823:CBK196826 CBK196831:CBK196834 CBK262349:CBK262356 CBK262359:CBK262362 CBK262367:CBK262370 CBK327885:CBK327892 CBK327895:CBK327898 CBK327903:CBK327906 CBK393421:CBK393428 CBK393431:CBK393434 CBK393439:CBK393442 CBK458957:CBK458964 CBK458967:CBK458970 CBK458975:CBK458978 CBK524493:CBK524500 CBK524503:CBK524506 CBK524511:CBK524514 CBK590029:CBK590036 CBK590039:CBK590042 CBK590047:CBK590050 CBK655565:CBK655572 CBK655575:CBK655578 CBK655583:CBK655586 CBK721101:CBK721108 CBK721111:CBK721114 CBK721119:CBK721122 CBK786637:CBK786644 CBK786647:CBK786650 CBK786655:CBK786658 CBK852173:CBK852180 CBK852183:CBK852186 CBK852191:CBK852194 CBK917709:CBK917716 CBK917719:CBK917722 CBK917727:CBK917730 CBK983245:CBK983252 CBK983255:CBK983258 CBK983263:CBK983266 CKJ207:CKJ211 CKJ217:CKJ218 CKJ223:CKJ224 CKJ65743:CKJ65747 CKJ65753:CKJ65754 CKJ65759:CKJ65760 CKJ131279:CKJ131283 CKJ131289:CKJ131290 CKJ131295:CKJ131296 CKJ196815:CKJ196819 CKJ196825:CKJ196826 CKJ196831:CKJ196832 CKJ262351:CKJ262355 CKJ262361:CKJ262362 CKJ262367:CKJ262368 CKJ327887:CKJ327891 CKJ327897:CKJ327898 CKJ327903:CKJ327904 CKJ393423:CKJ393427 CKJ393433:CKJ393434 CKJ393439:CKJ393440 CKJ458959:CKJ458963 CKJ458969:CKJ458970 CKJ458975:CKJ458976 CKJ524495:CKJ524499 CKJ524505:CKJ524506 CKJ524511:CKJ524512 CKJ590031:CKJ590035 CKJ590041:CKJ590042 CKJ590047:CKJ590048 CKJ655567:CKJ655571 CKJ655577:CKJ655578 CKJ655583:CKJ655584 CKJ721103:CKJ721107 CKJ721113:CKJ721114 CKJ721119:CKJ721120 CKJ786639:CKJ786643 CKJ786649:CKJ786650 CKJ786655:CKJ786656 CKJ852175:CKJ852179 CKJ852185:CKJ852186 CKJ852191:CKJ852192 CKJ917711:CKJ917715 CKJ917721:CKJ917722 CKJ917727:CKJ917728 CKJ983247:CKJ983251 CKJ983257:CKJ983258 CKJ983263:CKJ983264 CKV6:CKV65536 CKV65542:CKV131072 CKV131078:CKV196608 CKV196614:CKV262144 CKV262150:CKV327680 CKV327686:CKV393216 CKV393222:CKV458752 CKV458758:CKV524288 CKV524294:CKV589824 CKV589830:CKV655360 CKV655366:CKV720896 CKV720902:CKV786432 CKV786438:CKV851968 CKV851974:CKV917504 CKV917510:CKV983040 CKV983046:CKV1048576 CKX207:CKX211 CKX217:CKX218 CKX223:CKX224 CKX65743:CKX65747 CKX65753:CKX65754 CKX65759:CKX65760 CKX131279:CKX131283 CKX131289:CKX131290 CKX131295:CKX131296 CKX196815:CKX196819 CKX196825:CKX196826 CKX196831:CKX196832 CKX262351:CKX262355 CKX262361:CKX262362 CKX262367:CKX262368 CKX327887:CKX327891 CKX327897:CKX327898 CKX327903:CKX327904 CKX393423:CKX393427 CKX393433:CKX393434 CKX393439:CKX393440 CKX458959:CKX458963 CKX458969:CKX458970 CKX458975:CKX458976 CKX524495:CKX524499 CKX524505:CKX524506 CKX524511:CKX524512 CKX590031:CKX590035 CKX590041:CKX590042 CKX590047:CKX590048 CKX655567:CKX655571 CKX655577:CKX655578 CKX655583:CKX655584 CKX721103:CKX721107 CKX721113:CKX721114 CKX721119:CKX721120 CKX786639:CKX786643 CKX786649:CKX786650 CKX786655:CKX786656 CKX852175:CKX852179 CKX852185:CKX852186 CKX852191:CKX852192 CKX917711:CKX917715 CKX917721:CKX917722 CKX917727:CKX917728 CKX983247:CKX983251 CKX983257:CKX983258 CKX983263:CKX983264 CLG205:CLG212 CLG215:CLG218 CLG223:CLG226 CLG65741:CLG65748 CLG65751:CLG65754 CLG65759:CLG65762 CLG131277:CLG131284 CLG131287:CLG131290 CLG131295:CLG131298 CLG196813:CLG196820 CLG196823:CLG196826 CLG196831:CLG196834 CLG262349:CLG262356 CLG262359:CLG262362 CLG262367:CLG262370 CLG327885:CLG327892 CLG327895:CLG327898 CLG327903:CLG327906 CLG393421:CLG393428 CLG393431:CLG393434 CLG393439:CLG393442 CLG458957:CLG458964 CLG458967:CLG458970 CLG458975:CLG458978 CLG524493:CLG524500 CLG524503:CLG524506 CLG524511:CLG524514 CLG590029:CLG590036 CLG590039:CLG590042 CLG590047:CLG590050 CLG655565:CLG655572 CLG655575:CLG655578 CLG655583:CLG655586 CLG721101:CLG721108 CLG721111:CLG721114 CLG721119:CLG721122 CLG786637:CLG786644 CLG786647:CLG786650 CLG786655:CLG786658 CLG852173:CLG852180 CLG852183:CLG852186 CLG852191:CLG852194 CLG917709:CLG917716 CLG917719:CLG917722 CLG917727:CLG917730 CLG983245:CLG983252 CLG983255:CLG983258 CLG983263:CLG983266 CUF207:CUF211 CUF217:CUF218 CUF223:CUF224 CUF65743:CUF65747 CUF65753:CUF65754 CUF65759:CUF65760 CUF131279:CUF131283 CUF131289:CUF131290 CUF131295:CUF131296 CUF196815:CUF196819 CUF196825:CUF196826 CUF196831:CUF196832 CUF262351:CUF262355 CUF262361:CUF262362 CUF262367:CUF262368 CUF327887:CUF327891 CUF327897:CUF327898 CUF327903:CUF327904 CUF393423:CUF393427 CUF393433:CUF393434 CUF393439:CUF393440 CUF458959:CUF458963 CUF458969:CUF458970 CUF458975:CUF458976 CUF524495:CUF524499 CUF524505:CUF524506 CUF524511:CUF524512 CUF590031:CUF590035 CUF590041:CUF590042 CUF590047:CUF590048 CUF655567:CUF655571 CUF655577:CUF655578 CUF655583:CUF655584 CUF721103:CUF721107 CUF721113:CUF721114 CUF721119:CUF721120 CUF786639:CUF786643 CUF786649:CUF786650 CUF786655:CUF786656 CUF852175:CUF852179 CUF852185:CUF852186 CUF852191:CUF852192 CUF917711:CUF917715 CUF917721:CUF917722 CUF917727:CUF917728 CUF983247:CUF983251 CUF983257:CUF983258 CUF983263:CUF983264 CUR6:CUR65536 CUR65542:CUR131072 CUR131078:CUR196608 CUR196614:CUR262144 CUR262150:CUR327680 CUR327686:CUR393216 CUR393222:CUR458752 CUR458758:CUR524288 CUR524294:CUR589824 CUR589830:CUR655360 CUR655366:CUR720896 CUR720902:CUR786432 CUR786438:CUR851968 CUR851974:CUR917504 CUR917510:CUR983040 CUR983046:CUR1048576 CUT207:CUT211 CUT217:CUT218 CUT223:CUT224 CUT65743:CUT65747 CUT65753:CUT65754 CUT65759:CUT65760 CUT131279:CUT131283 CUT131289:CUT131290 CUT131295:CUT131296 CUT196815:CUT196819 CUT196825:CUT196826 CUT196831:CUT196832 CUT262351:CUT262355 CUT262361:CUT262362 CUT262367:CUT262368 CUT327887:CUT327891 CUT327897:CUT327898 CUT327903:CUT327904 CUT393423:CUT393427 CUT393433:CUT393434 CUT393439:CUT393440 CUT458959:CUT458963 CUT458969:CUT458970 CUT458975:CUT458976 CUT524495:CUT524499 CUT524505:CUT524506 CUT524511:CUT524512 CUT590031:CUT590035 CUT590041:CUT590042 CUT590047:CUT590048 CUT655567:CUT655571 CUT655577:CUT655578 CUT655583:CUT655584 CUT721103:CUT721107 CUT721113:CUT721114 CUT721119:CUT721120 CUT786639:CUT786643 CUT786649:CUT786650 CUT786655:CUT786656 CUT852175:CUT852179 CUT852185:CUT852186 CUT852191:CUT852192 CUT917711:CUT917715 CUT917721:CUT917722 CUT917727:CUT917728 CUT983247:CUT983251 CUT983257:CUT983258 CUT983263:CUT983264 CVC205:CVC212 CVC215:CVC218 CVC223:CVC226 CVC65741:CVC65748 CVC65751:CVC65754 CVC65759:CVC65762 CVC131277:CVC131284 CVC131287:CVC131290 CVC131295:CVC131298 CVC196813:CVC196820 CVC196823:CVC196826 CVC196831:CVC196834 CVC262349:CVC262356 CVC262359:CVC262362 CVC262367:CVC262370 CVC327885:CVC327892 CVC327895:CVC327898 CVC327903:CVC327906 CVC393421:CVC393428 CVC393431:CVC393434 CVC393439:CVC393442 CVC458957:CVC458964 CVC458967:CVC458970 CVC458975:CVC458978 CVC524493:CVC524500 CVC524503:CVC524506 CVC524511:CVC524514 CVC590029:CVC590036 CVC590039:CVC590042 CVC590047:CVC590050 CVC655565:CVC655572 CVC655575:CVC655578 CVC655583:CVC655586 CVC721101:CVC721108 CVC721111:CVC721114 CVC721119:CVC721122 CVC786637:CVC786644 CVC786647:CVC786650 CVC786655:CVC786658 CVC852173:CVC852180 CVC852183:CVC852186 CVC852191:CVC852194 CVC917709:CVC917716 CVC917719:CVC917722 CVC917727:CVC917730 CVC983245:CVC983252 CVC983255:CVC983258 CVC983263:CVC983266 DEB207:DEB211 DEB217:DEB218 DEB223:DEB224 DEB65743:DEB65747 DEB65753:DEB65754 DEB65759:DEB65760 DEB131279:DEB131283 DEB131289:DEB131290 DEB131295:DEB131296 DEB196815:DEB196819 DEB196825:DEB196826 DEB196831:DEB196832 DEB262351:DEB262355 DEB262361:DEB262362 DEB262367:DEB262368 DEB327887:DEB327891 DEB327897:DEB327898 DEB327903:DEB327904 DEB393423:DEB393427 DEB393433:DEB393434 DEB393439:DEB393440 DEB458959:DEB458963 DEB458969:DEB458970 DEB458975:DEB458976 DEB524495:DEB524499 DEB524505:DEB524506 DEB524511:DEB524512 DEB590031:DEB590035 DEB590041:DEB590042 DEB590047:DEB590048 DEB655567:DEB655571 DEB655577:DEB655578 DEB655583:DEB655584 DEB721103:DEB721107 DEB721113:DEB721114 DEB721119:DEB721120 DEB786639:DEB786643 DEB786649:DEB786650 DEB786655:DEB786656 DEB852175:DEB852179 DEB852185:DEB852186 DEB852191:DEB852192 DEB917711:DEB917715 DEB917721:DEB917722 DEB917727:DEB917728 DEB983247:DEB983251 DEB983257:DEB983258 DEB983263:DEB983264 DEN6:DEN65536 DEN65542:DEN131072 DEN131078:DEN196608 DEN196614:DEN262144 DEN262150:DEN327680 DEN327686:DEN393216 DEN393222:DEN458752 DEN458758:DEN524288 DEN524294:DEN589824 DEN589830:DEN655360 DEN655366:DEN720896 DEN720902:DEN786432 DEN786438:DEN851968 DEN851974:DEN917504 DEN917510:DEN983040 DEN983046:DEN1048576 DEP207:DEP211 DEP217:DEP218 DEP223:DEP224 DEP65743:DEP65747 DEP65753:DEP65754 DEP65759:DEP65760 DEP131279:DEP131283 DEP131289:DEP131290 DEP131295:DEP131296 DEP196815:DEP196819 DEP196825:DEP196826 DEP196831:DEP196832 DEP262351:DEP262355 DEP262361:DEP262362 DEP262367:DEP262368 DEP327887:DEP327891 DEP327897:DEP327898 DEP327903:DEP327904 DEP393423:DEP393427 DEP393433:DEP393434 DEP393439:DEP393440 DEP458959:DEP458963 DEP458969:DEP458970 DEP458975:DEP458976 DEP524495:DEP524499 DEP524505:DEP524506 DEP524511:DEP524512 DEP590031:DEP590035 DEP590041:DEP590042 DEP590047:DEP590048 DEP655567:DEP655571 DEP655577:DEP655578 DEP655583:DEP655584 DEP721103:DEP721107 DEP721113:DEP721114 DEP721119:DEP721120 DEP786639:DEP786643 DEP786649:DEP786650 DEP786655:DEP786656 DEP852175:DEP852179 DEP852185:DEP852186 DEP852191:DEP852192 DEP917711:DEP917715 DEP917721:DEP917722 DEP917727:DEP917728 DEP983247:DEP983251 DEP983257:DEP983258 DEP983263:DEP983264 DEY205:DEY212 DEY215:DEY218 DEY223:DEY226 DEY65741:DEY65748 DEY65751:DEY65754 DEY65759:DEY65762 DEY131277:DEY131284 DEY131287:DEY131290 DEY131295:DEY131298 DEY196813:DEY196820 DEY196823:DEY196826 DEY196831:DEY196834 DEY262349:DEY262356 DEY262359:DEY262362 DEY262367:DEY262370 DEY327885:DEY327892 DEY327895:DEY327898 DEY327903:DEY327906 DEY393421:DEY393428 DEY393431:DEY393434 DEY393439:DEY393442 DEY458957:DEY458964 DEY458967:DEY458970 DEY458975:DEY458978 DEY524493:DEY524500 DEY524503:DEY524506 DEY524511:DEY524514 DEY590029:DEY590036 DEY590039:DEY590042 DEY590047:DEY590050 DEY655565:DEY655572 DEY655575:DEY655578 DEY655583:DEY655586 DEY721101:DEY721108 DEY721111:DEY721114 DEY721119:DEY721122 DEY786637:DEY786644 DEY786647:DEY786650 DEY786655:DEY786658 DEY852173:DEY852180 DEY852183:DEY852186 DEY852191:DEY852194 DEY917709:DEY917716 DEY917719:DEY917722 DEY917727:DEY917730 DEY983245:DEY983252 DEY983255:DEY983258 DEY983263:DEY983266 DNX207:DNX211 DNX217:DNX218 DNX223:DNX224 DNX65743:DNX65747 DNX65753:DNX65754 DNX65759:DNX65760 DNX131279:DNX131283 DNX131289:DNX131290 DNX131295:DNX131296 DNX196815:DNX196819 DNX196825:DNX196826 DNX196831:DNX196832 DNX262351:DNX262355 DNX262361:DNX262362 DNX262367:DNX262368 DNX327887:DNX327891 DNX327897:DNX327898 DNX327903:DNX327904 DNX393423:DNX393427 DNX393433:DNX393434 DNX393439:DNX393440 DNX458959:DNX458963 DNX458969:DNX458970 DNX458975:DNX458976 DNX524495:DNX524499 DNX524505:DNX524506 DNX524511:DNX524512 DNX590031:DNX590035 DNX590041:DNX590042 DNX590047:DNX590048 DNX655567:DNX655571 DNX655577:DNX655578 DNX655583:DNX655584 DNX721103:DNX721107 DNX721113:DNX721114 DNX721119:DNX721120 DNX786639:DNX786643 DNX786649:DNX786650 DNX786655:DNX786656 DNX852175:DNX852179 DNX852185:DNX852186 DNX852191:DNX852192 DNX917711:DNX917715 DNX917721:DNX917722 DNX917727:DNX917728 DNX983247:DNX983251 DNX983257:DNX983258 DNX983263:DNX983264 DOJ6:DOJ65536 DOJ65542:DOJ131072 DOJ131078:DOJ196608 DOJ196614:DOJ262144 DOJ262150:DOJ327680 DOJ327686:DOJ393216 DOJ393222:DOJ458752 DOJ458758:DOJ524288 DOJ524294:DOJ589824 DOJ589830:DOJ655360 DOJ655366:DOJ720896 DOJ720902:DOJ786432 DOJ786438:DOJ851968 DOJ851974:DOJ917504 DOJ917510:DOJ983040 DOJ983046:DOJ1048576 DOL207:DOL211 DOL217:DOL218 DOL223:DOL224 DOL65743:DOL65747 DOL65753:DOL65754 DOL65759:DOL65760 DOL131279:DOL131283 DOL131289:DOL131290 DOL131295:DOL131296 DOL196815:DOL196819 DOL196825:DOL196826 DOL196831:DOL196832 DOL262351:DOL262355 DOL262361:DOL262362 DOL262367:DOL262368 DOL327887:DOL327891 DOL327897:DOL327898 DOL327903:DOL327904 DOL393423:DOL393427 DOL393433:DOL393434 DOL393439:DOL393440 DOL458959:DOL458963 DOL458969:DOL458970 DOL458975:DOL458976 DOL524495:DOL524499 DOL524505:DOL524506 DOL524511:DOL524512 DOL590031:DOL590035 DOL590041:DOL590042 DOL590047:DOL590048 DOL655567:DOL655571 DOL655577:DOL655578 DOL655583:DOL655584 DOL721103:DOL721107 DOL721113:DOL721114 DOL721119:DOL721120 DOL786639:DOL786643 DOL786649:DOL786650 DOL786655:DOL786656 DOL852175:DOL852179 DOL852185:DOL852186 DOL852191:DOL852192 DOL917711:DOL917715 DOL917721:DOL917722 DOL917727:DOL917728 DOL983247:DOL983251 DOL983257:DOL983258 DOL983263:DOL983264 DOU205:DOU212 DOU215:DOU218 DOU223:DOU226 DOU65741:DOU65748 DOU65751:DOU65754 DOU65759:DOU65762 DOU131277:DOU131284 DOU131287:DOU131290 DOU131295:DOU131298 DOU196813:DOU196820 DOU196823:DOU196826 DOU196831:DOU196834 DOU262349:DOU262356 DOU262359:DOU262362 DOU262367:DOU262370 DOU327885:DOU327892 DOU327895:DOU327898 DOU327903:DOU327906 DOU393421:DOU393428 DOU393431:DOU393434 DOU393439:DOU393442 DOU458957:DOU458964 DOU458967:DOU458970 DOU458975:DOU458978 DOU524493:DOU524500 DOU524503:DOU524506 DOU524511:DOU524514 DOU590029:DOU590036 DOU590039:DOU590042 DOU590047:DOU590050 DOU655565:DOU655572 DOU655575:DOU655578 DOU655583:DOU655586 DOU721101:DOU721108 DOU721111:DOU721114 DOU721119:DOU721122 DOU786637:DOU786644 DOU786647:DOU786650 DOU786655:DOU786658 DOU852173:DOU852180 DOU852183:DOU852186 DOU852191:DOU852194 DOU917709:DOU917716 DOU917719:DOU917722 DOU917727:DOU917730 DOU983245:DOU983252 DOU983255:DOU983258 DOU983263:DOU983266 DXT207:DXT211 DXT217:DXT218 DXT223:DXT224 DXT65743:DXT65747 DXT65753:DXT65754 DXT65759:DXT65760 DXT131279:DXT131283 DXT131289:DXT131290 DXT131295:DXT131296 DXT196815:DXT196819 DXT196825:DXT196826 DXT196831:DXT196832 DXT262351:DXT262355 DXT262361:DXT262362 DXT262367:DXT262368 DXT327887:DXT327891 DXT327897:DXT327898 DXT327903:DXT327904 DXT393423:DXT393427 DXT393433:DXT393434 DXT393439:DXT393440 DXT458959:DXT458963 DXT458969:DXT458970 DXT458975:DXT458976 DXT524495:DXT524499 DXT524505:DXT524506 DXT524511:DXT524512 DXT590031:DXT590035 DXT590041:DXT590042 DXT590047:DXT590048 DXT655567:DXT655571 DXT655577:DXT655578 DXT655583:DXT655584 DXT721103:DXT721107 DXT721113:DXT721114 DXT721119:DXT721120 DXT786639:DXT786643 DXT786649:DXT786650 DXT786655:DXT786656 DXT852175:DXT852179 DXT852185:DXT852186 DXT852191:DXT852192 DXT917711:DXT917715 DXT917721:DXT917722 DXT917727:DXT917728 DXT983247:DXT983251 DXT983257:DXT983258 DXT983263:DXT983264 DYF6:DYF65536 DYF65542:DYF131072 DYF131078:DYF196608 DYF196614:DYF262144 DYF262150:DYF327680 DYF327686:DYF393216 DYF393222:DYF458752 DYF458758:DYF524288 DYF524294:DYF589824 DYF589830:DYF655360 DYF655366:DYF720896 DYF720902:DYF786432 DYF786438:DYF851968 DYF851974:DYF917504 DYF917510:DYF983040 DYF983046:DYF1048576 DYH207:DYH211 DYH217:DYH218 DYH223:DYH224 DYH65743:DYH65747 DYH65753:DYH65754 DYH65759:DYH65760 DYH131279:DYH131283 DYH131289:DYH131290 DYH131295:DYH131296 DYH196815:DYH196819 DYH196825:DYH196826 DYH196831:DYH196832 DYH262351:DYH262355 DYH262361:DYH262362 DYH262367:DYH262368 DYH327887:DYH327891 DYH327897:DYH327898 DYH327903:DYH327904 DYH393423:DYH393427 DYH393433:DYH393434 DYH393439:DYH393440 DYH458959:DYH458963 DYH458969:DYH458970 DYH458975:DYH458976 DYH524495:DYH524499 DYH524505:DYH524506 DYH524511:DYH524512 DYH590031:DYH590035 DYH590041:DYH590042 DYH590047:DYH590048 DYH655567:DYH655571 DYH655577:DYH655578 DYH655583:DYH655584 DYH721103:DYH721107 DYH721113:DYH721114 DYH721119:DYH721120 DYH786639:DYH786643 DYH786649:DYH786650 DYH786655:DYH786656 DYH852175:DYH852179 DYH852185:DYH852186 DYH852191:DYH852192 DYH917711:DYH917715 DYH917721:DYH917722 DYH917727:DYH917728 DYH983247:DYH983251 DYH983257:DYH983258 DYH983263:DYH983264 DYQ205:DYQ212 DYQ215:DYQ218 DYQ223:DYQ226 DYQ65741:DYQ65748 DYQ65751:DYQ65754 DYQ65759:DYQ65762 DYQ131277:DYQ131284 DYQ131287:DYQ131290 DYQ131295:DYQ131298 DYQ196813:DYQ196820 DYQ196823:DYQ196826 DYQ196831:DYQ196834 DYQ262349:DYQ262356 DYQ262359:DYQ262362 DYQ262367:DYQ262370 DYQ327885:DYQ327892 DYQ327895:DYQ327898 DYQ327903:DYQ327906 DYQ393421:DYQ393428 DYQ393431:DYQ393434 DYQ393439:DYQ393442 DYQ458957:DYQ458964 DYQ458967:DYQ458970 DYQ458975:DYQ458978 DYQ524493:DYQ524500 DYQ524503:DYQ524506 DYQ524511:DYQ524514 DYQ590029:DYQ590036 DYQ590039:DYQ590042 DYQ590047:DYQ590050 DYQ655565:DYQ655572 DYQ655575:DYQ655578 DYQ655583:DYQ655586 DYQ721101:DYQ721108 DYQ721111:DYQ721114 DYQ721119:DYQ721122 DYQ786637:DYQ786644 DYQ786647:DYQ786650 DYQ786655:DYQ786658 DYQ852173:DYQ852180 DYQ852183:DYQ852186 DYQ852191:DYQ852194 DYQ917709:DYQ917716 DYQ917719:DYQ917722 DYQ917727:DYQ917730 DYQ983245:DYQ983252 DYQ983255:DYQ983258 DYQ983263:DYQ983266 EHP207:EHP211 EHP217:EHP218 EHP223:EHP224 EHP65743:EHP65747 EHP65753:EHP65754 EHP65759:EHP65760 EHP131279:EHP131283 EHP131289:EHP131290 EHP131295:EHP131296 EHP196815:EHP196819 EHP196825:EHP196826 EHP196831:EHP196832 EHP262351:EHP262355 EHP262361:EHP262362 EHP262367:EHP262368 EHP327887:EHP327891 EHP327897:EHP327898 EHP327903:EHP327904 EHP393423:EHP393427 EHP393433:EHP393434 EHP393439:EHP393440 EHP458959:EHP458963 EHP458969:EHP458970 EHP458975:EHP458976 EHP524495:EHP524499 EHP524505:EHP524506 EHP524511:EHP524512 EHP590031:EHP590035 EHP590041:EHP590042 EHP590047:EHP590048 EHP655567:EHP655571 EHP655577:EHP655578 EHP655583:EHP655584 EHP721103:EHP721107 EHP721113:EHP721114 EHP721119:EHP721120 EHP786639:EHP786643 EHP786649:EHP786650 EHP786655:EHP786656 EHP852175:EHP852179 EHP852185:EHP852186 EHP852191:EHP852192 EHP917711:EHP917715 EHP917721:EHP917722 EHP917727:EHP917728 EHP983247:EHP983251 EHP983257:EHP983258 EHP983263:EHP983264 EIB6:EIB65536 EIB65542:EIB131072 EIB131078:EIB196608 EIB196614:EIB262144 EIB262150:EIB327680 EIB327686:EIB393216 EIB393222:EIB458752 EIB458758:EIB524288 EIB524294:EIB589824 EIB589830:EIB655360 EIB655366:EIB720896 EIB720902:EIB786432 EIB786438:EIB851968 EIB851974:EIB917504 EIB917510:EIB983040 EIB983046:EIB1048576 EID207:EID211 EID217:EID218 EID223:EID224 EID65743:EID65747 EID65753:EID65754 EID65759:EID65760 EID131279:EID131283 EID131289:EID131290 EID131295:EID131296 EID196815:EID196819 EID196825:EID196826 EID196831:EID196832 EID262351:EID262355 EID262361:EID262362 EID262367:EID262368 EID327887:EID327891 EID327897:EID327898 EID327903:EID327904 EID393423:EID393427 EID393433:EID393434 EID393439:EID393440 EID458959:EID458963 EID458969:EID458970 EID458975:EID458976 EID524495:EID524499 EID524505:EID524506 EID524511:EID524512 EID590031:EID590035 EID590041:EID590042 EID590047:EID590048 EID655567:EID655571 EID655577:EID655578 EID655583:EID655584 EID721103:EID721107 EID721113:EID721114 EID721119:EID721120 EID786639:EID786643 EID786649:EID786650 EID786655:EID786656 EID852175:EID852179 EID852185:EID852186 EID852191:EID852192 EID917711:EID917715 EID917721:EID917722 EID917727:EID917728 EID983247:EID983251 EID983257:EID983258 EID983263:EID983264 EIM205:EIM212 EIM215:EIM218 EIM223:EIM226 EIM65741:EIM65748 EIM65751:EIM65754 EIM65759:EIM65762 EIM131277:EIM131284 EIM131287:EIM131290 EIM131295:EIM131298 EIM196813:EIM196820 EIM196823:EIM196826 EIM196831:EIM196834 EIM262349:EIM262356 EIM262359:EIM262362 EIM262367:EIM262370 EIM327885:EIM327892 EIM327895:EIM327898 EIM327903:EIM327906 EIM393421:EIM393428 EIM393431:EIM393434 EIM393439:EIM393442 EIM458957:EIM458964 EIM458967:EIM458970 EIM458975:EIM458978 EIM524493:EIM524500 EIM524503:EIM524506 EIM524511:EIM524514 EIM590029:EIM590036 EIM590039:EIM590042 EIM590047:EIM590050 EIM655565:EIM655572 EIM655575:EIM655578 EIM655583:EIM655586 EIM721101:EIM721108 EIM721111:EIM721114 EIM721119:EIM721122 EIM786637:EIM786644 EIM786647:EIM786650 EIM786655:EIM786658 EIM852173:EIM852180 EIM852183:EIM852186 EIM852191:EIM852194 EIM917709:EIM917716 EIM917719:EIM917722 EIM917727:EIM917730 EIM983245:EIM983252 EIM983255:EIM983258 EIM983263:EIM983266 ERL207:ERL211 ERL217:ERL218 ERL223:ERL224 ERL65743:ERL65747 ERL65753:ERL65754 ERL65759:ERL65760 ERL131279:ERL131283 ERL131289:ERL131290 ERL131295:ERL131296 ERL196815:ERL196819 ERL196825:ERL196826 ERL196831:ERL196832 ERL262351:ERL262355 ERL262361:ERL262362 ERL262367:ERL262368 ERL327887:ERL327891 ERL327897:ERL327898 ERL327903:ERL327904 ERL393423:ERL393427 ERL393433:ERL393434 ERL393439:ERL393440 ERL458959:ERL458963 ERL458969:ERL458970 ERL458975:ERL458976 ERL524495:ERL524499 ERL524505:ERL524506 ERL524511:ERL524512 ERL590031:ERL590035 ERL590041:ERL590042 ERL590047:ERL590048 ERL655567:ERL655571 ERL655577:ERL655578 ERL655583:ERL655584 ERL721103:ERL721107 ERL721113:ERL721114 ERL721119:ERL721120 ERL786639:ERL786643 ERL786649:ERL786650 ERL786655:ERL786656 ERL852175:ERL852179 ERL852185:ERL852186 ERL852191:ERL852192 ERL917711:ERL917715 ERL917721:ERL917722 ERL917727:ERL917728 ERL983247:ERL983251 ERL983257:ERL983258 ERL983263:ERL983264 ERX6:ERX65536 ERX65542:ERX131072 ERX131078:ERX196608 ERX196614:ERX262144 ERX262150:ERX327680 ERX327686:ERX393216 ERX393222:ERX458752 ERX458758:ERX524288 ERX524294:ERX589824 ERX589830:ERX655360 ERX655366:ERX720896 ERX720902:ERX786432 ERX786438:ERX851968 ERX851974:ERX917504 ERX917510:ERX983040 ERX983046:ERX1048576 ERZ207:ERZ211 ERZ217:ERZ218 ERZ223:ERZ224 ERZ65743:ERZ65747 ERZ65753:ERZ65754 ERZ65759:ERZ65760 ERZ131279:ERZ131283 ERZ131289:ERZ131290 ERZ131295:ERZ131296 ERZ196815:ERZ196819 ERZ196825:ERZ196826 ERZ196831:ERZ196832 ERZ262351:ERZ262355 ERZ262361:ERZ262362 ERZ262367:ERZ262368 ERZ327887:ERZ327891 ERZ327897:ERZ327898 ERZ327903:ERZ327904 ERZ393423:ERZ393427 ERZ393433:ERZ393434 ERZ393439:ERZ393440 ERZ458959:ERZ458963 ERZ458969:ERZ458970 ERZ458975:ERZ458976 ERZ524495:ERZ524499 ERZ524505:ERZ524506 ERZ524511:ERZ524512 ERZ590031:ERZ590035 ERZ590041:ERZ590042 ERZ590047:ERZ590048 ERZ655567:ERZ655571 ERZ655577:ERZ655578 ERZ655583:ERZ655584 ERZ721103:ERZ721107 ERZ721113:ERZ721114 ERZ721119:ERZ721120 ERZ786639:ERZ786643 ERZ786649:ERZ786650 ERZ786655:ERZ786656 ERZ852175:ERZ852179 ERZ852185:ERZ852186 ERZ852191:ERZ852192 ERZ917711:ERZ917715 ERZ917721:ERZ917722 ERZ917727:ERZ917728 ERZ983247:ERZ983251 ERZ983257:ERZ983258 ERZ983263:ERZ983264 ESI205:ESI212 ESI215:ESI218 ESI223:ESI226 ESI65741:ESI65748 ESI65751:ESI65754 ESI65759:ESI65762 ESI131277:ESI131284 ESI131287:ESI131290 ESI131295:ESI131298 ESI196813:ESI196820 ESI196823:ESI196826 ESI196831:ESI196834 ESI262349:ESI262356 ESI262359:ESI262362 ESI262367:ESI262370 ESI327885:ESI327892 ESI327895:ESI327898 ESI327903:ESI327906 ESI393421:ESI393428 ESI393431:ESI393434 ESI393439:ESI393442 ESI458957:ESI458964 ESI458967:ESI458970 ESI458975:ESI458978 ESI524493:ESI524500 ESI524503:ESI524506 ESI524511:ESI524514 ESI590029:ESI590036 ESI590039:ESI590042 ESI590047:ESI590050 ESI655565:ESI655572 ESI655575:ESI655578 ESI655583:ESI655586 ESI721101:ESI721108 ESI721111:ESI721114 ESI721119:ESI721122 ESI786637:ESI786644 ESI786647:ESI786650 ESI786655:ESI786658 ESI852173:ESI852180 ESI852183:ESI852186 ESI852191:ESI852194 ESI917709:ESI917716 ESI917719:ESI917722 ESI917727:ESI917730 ESI983245:ESI983252 ESI983255:ESI983258 ESI983263:ESI983266 FBH207:FBH211 FBH217:FBH218 FBH223:FBH224 FBH65743:FBH65747 FBH65753:FBH65754 FBH65759:FBH65760 FBH131279:FBH131283 FBH131289:FBH131290 FBH131295:FBH131296 FBH196815:FBH196819 FBH196825:FBH196826 FBH196831:FBH196832 FBH262351:FBH262355 FBH262361:FBH262362 FBH262367:FBH262368 FBH327887:FBH327891 FBH327897:FBH327898 FBH327903:FBH327904 FBH393423:FBH393427 FBH393433:FBH393434 FBH393439:FBH393440 FBH458959:FBH458963 FBH458969:FBH458970 FBH458975:FBH458976 FBH524495:FBH524499 FBH524505:FBH524506 FBH524511:FBH524512 FBH590031:FBH590035 FBH590041:FBH590042 FBH590047:FBH590048 FBH655567:FBH655571 FBH655577:FBH655578 FBH655583:FBH655584 FBH721103:FBH721107 FBH721113:FBH721114 FBH721119:FBH721120 FBH786639:FBH786643 FBH786649:FBH786650 FBH786655:FBH786656 FBH852175:FBH852179 FBH852185:FBH852186 FBH852191:FBH852192 FBH917711:FBH917715 FBH917721:FBH917722 FBH917727:FBH917728 FBH983247:FBH983251 FBH983257:FBH983258 FBH983263:FBH983264 FBT6:FBT65536 FBT65542:FBT131072 FBT131078:FBT196608 FBT196614:FBT262144 FBT262150:FBT327680 FBT327686:FBT393216 FBT393222:FBT458752 FBT458758:FBT524288 FBT524294:FBT589824 FBT589830:FBT655360 FBT655366:FBT720896 FBT720902:FBT786432 FBT786438:FBT851968 FBT851974:FBT917504 FBT917510:FBT983040 FBT983046:FBT1048576 FBV207:FBV211 FBV217:FBV218 FBV223:FBV224 FBV65743:FBV65747 FBV65753:FBV65754 FBV65759:FBV65760 FBV131279:FBV131283 FBV131289:FBV131290 FBV131295:FBV131296 FBV196815:FBV196819 FBV196825:FBV196826 FBV196831:FBV196832 FBV262351:FBV262355 FBV262361:FBV262362 FBV262367:FBV262368 FBV327887:FBV327891 FBV327897:FBV327898 FBV327903:FBV327904 FBV393423:FBV393427 FBV393433:FBV393434 FBV393439:FBV393440 FBV458959:FBV458963 FBV458969:FBV458970 FBV458975:FBV458976 FBV524495:FBV524499 FBV524505:FBV524506 FBV524511:FBV524512 FBV590031:FBV590035 FBV590041:FBV590042 FBV590047:FBV590048 FBV655567:FBV655571 FBV655577:FBV655578 FBV655583:FBV655584 FBV721103:FBV721107 FBV721113:FBV721114 FBV721119:FBV721120 FBV786639:FBV786643 FBV786649:FBV786650 FBV786655:FBV786656 FBV852175:FBV852179 FBV852185:FBV852186 FBV852191:FBV852192 FBV917711:FBV917715 FBV917721:FBV917722 FBV917727:FBV917728 FBV983247:FBV983251 FBV983257:FBV983258 FBV983263:FBV983264 FCE205:FCE212 FCE215:FCE218 FCE223:FCE226 FCE65741:FCE65748 FCE65751:FCE65754 FCE65759:FCE65762 FCE131277:FCE131284 FCE131287:FCE131290 FCE131295:FCE131298 FCE196813:FCE196820 FCE196823:FCE196826 FCE196831:FCE196834 FCE262349:FCE262356 FCE262359:FCE262362 FCE262367:FCE262370 FCE327885:FCE327892 FCE327895:FCE327898 FCE327903:FCE327906 FCE393421:FCE393428 FCE393431:FCE393434 FCE393439:FCE393442 FCE458957:FCE458964 FCE458967:FCE458970 FCE458975:FCE458978 FCE524493:FCE524500 FCE524503:FCE524506 FCE524511:FCE524514 FCE590029:FCE590036 FCE590039:FCE590042 FCE590047:FCE590050 FCE655565:FCE655572 FCE655575:FCE655578 FCE655583:FCE655586 FCE721101:FCE721108 FCE721111:FCE721114 FCE721119:FCE721122 FCE786637:FCE786644 FCE786647:FCE786650 FCE786655:FCE786658 FCE852173:FCE852180 FCE852183:FCE852186 FCE852191:FCE852194 FCE917709:FCE917716 FCE917719:FCE917722 FCE917727:FCE917730 FCE983245:FCE983252 FCE983255:FCE983258 FCE983263:FCE983266 FLD207:FLD211 FLD217:FLD218 FLD223:FLD224 FLD65743:FLD65747 FLD65753:FLD65754 FLD65759:FLD65760 FLD131279:FLD131283 FLD131289:FLD131290 FLD131295:FLD131296 FLD196815:FLD196819 FLD196825:FLD196826 FLD196831:FLD196832 FLD262351:FLD262355 FLD262361:FLD262362 FLD262367:FLD262368 FLD327887:FLD327891 FLD327897:FLD327898 FLD327903:FLD327904 FLD393423:FLD393427 FLD393433:FLD393434 FLD393439:FLD393440 FLD458959:FLD458963 FLD458969:FLD458970 FLD458975:FLD458976 FLD524495:FLD524499 FLD524505:FLD524506 FLD524511:FLD524512 FLD590031:FLD590035 FLD590041:FLD590042 FLD590047:FLD590048 FLD655567:FLD655571 FLD655577:FLD655578 FLD655583:FLD655584 FLD721103:FLD721107 FLD721113:FLD721114 FLD721119:FLD721120 FLD786639:FLD786643 FLD786649:FLD786650 FLD786655:FLD786656 FLD852175:FLD852179 FLD852185:FLD852186 FLD852191:FLD852192 FLD917711:FLD917715 FLD917721:FLD917722 FLD917727:FLD917728 FLD983247:FLD983251 FLD983257:FLD983258 FLD983263:FLD983264 FLP6:FLP65536 FLP65542:FLP131072 FLP131078:FLP196608 FLP196614:FLP262144 FLP262150:FLP327680 FLP327686:FLP393216 FLP393222:FLP458752 FLP458758:FLP524288 FLP524294:FLP589824 FLP589830:FLP655360 FLP655366:FLP720896 FLP720902:FLP786432 FLP786438:FLP851968 FLP851974:FLP917504 FLP917510:FLP983040 FLP983046:FLP1048576 FLR207:FLR211 FLR217:FLR218 FLR223:FLR224 FLR65743:FLR65747 FLR65753:FLR65754 FLR65759:FLR65760 FLR131279:FLR131283 FLR131289:FLR131290 FLR131295:FLR131296 FLR196815:FLR196819 FLR196825:FLR196826 FLR196831:FLR196832 FLR262351:FLR262355 FLR262361:FLR262362 FLR262367:FLR262368 FLR327887:FLR327891 FLR327897:FLR327898 FLR327903:FLR327904 FLR393423:FLR393427 FLR393433:FLR393434 FLR393439:FLR393440 FLR458959:FLR458963 FLR458969:FLR458970 FLR458975:FLR458976 FLR524495:FLR524499 FLR524505:FLR524506 FLR524511:FLR524512 FLR590031:FLR590035 FLR590041:FLR590042 FLR590047:FLR590048 FLR655567:FLR655571 FLR655577:FLR655578 FLR655583:FLR655584 FLR721103:FLR721107 FLR721113:FLR721114 FLR721119:FLR721120 FLR786639:FLR786643 FLR786649:FLR786650 FLR786655:FLR786656 FLR852175:FLR852179 FLR852185:FLR852186 FLR852191:FLR852192 FLR917711:FLR917715 FLR917721:FLR917722 FLR917727:FLR917728 FLR983247:FLR983251 FLR983257:FLR983258 FLR983263:FLR983264 FMA205:FMA212 FMA215:FMA218 FMA223:FMA226 FMA65741:FMA65748 FMA65751:FMA65754 FMA65759:FMA65762 FMA131277:FMA131284 FMA131287:FMA131290 FMA131295:FMA131298 FMA196813:FMA196820 FMA196823:FMA196826 FMA196831:FMA196834 FMA262349:FMA262356 FMA262359:FMA262362 FMA262367:FMA262370 FMA327885:FMA327892 FMA327895:FMA327898 FMA327903:FMA327906 FMA393421:FMA393428 FMA393431:FMA393434 FMA393439:FMA393442 FMA458957:FMA458964 FMA458967:FMA458970 FMA458975:FMA458978 FMA524493:FMA524500 FMA524503:FMA524506 FMA524511:FMA524514 FMA590029:FMA590036 FMA590039:FMA590042 FMA590047:FMA590050 FMA655565:FMA655572 FMA655575:FMA655578 FMA655583:FMA655586 FMA721101:FMA721108 FMA721111:FMA721114 FMA721119:FMA721122 FMA786637:FMA786644 FMA786647:FMA786650 FMA786655:FMA786658 FMA852173:FMA852180 FMA852183:FMA852186 FMA852191:FMA852194 FMA917709:FMA917716 FMA917719:FMA917722 FMA917727:FMA917730 FMA983245:FMA983252 FMA983255:FMA983258 FMA983263:FMA983266 FUZ207:FUZ211 FUZ217:FUZ218 FUZ223:FUZ224 FUZ65743:FUZ65747 FUZ65753:FUZ65754 FUZ65759:FUZ65760 FUZ131279:FUZ131283 FUZ131289:FUZ131290 FUZ131295:FUZ131296 FUZ196815:FUZ196819 FUZ196825:FUZ196826 FUZ196831:FUZ196832 FUZ262351:FUZ262355 FUZ262361:FUZ262362 FUZ262367:FUZ262368 FUZ327887:FUZ327891 FUZ327897:FUZ327898 FUZ327903:FUZ327904 FUZ393423:FUZ393427 FUZ393433:FUZ393434 FUZ393439:FUZ393440 FUZ458959:FUZ458963 FUZ458969:FUZ458970 FUZ458975:FUZ458976 FUZ524495:FUZ524499 FUZ524505:FUZ524506 FUZ524511:FUZ524512 FUZ590031:FUZ590035 FUZ590041:FUZ590042 FUZ590047:FUZ590048 FUZ655567:FUZ655571 FUZ655577:FUZ655578 FUZ655583:FUZ655584 FUZ721103:FUZ721107 FUZ721113:FUZ721114 FUZ721119:FUZ721120 FUZ786639:FUZ786643 FUZ786649:FUZ786650 FUZ786655:FUZ786656 FUZ852175:FUZ852179 FUZ852185:FUZ852186 FUZ852191:FUZ852192 FUZ917711:FUZ917715 FUZ917721:FUZ917722 FUZ917727:FUZ917728 FUZ983247:FUZ983251 FUZ983257:FUZ983258 FUZ983263:FUZ983264 FVL6:FVL65536 FVL65542:FVL131072 FVL131078:FVL196608 FVL196614:FVL262144 FVL262150:FVL327680 FVL327686:FVL393216 FVL393222:FVL458752 FVL458758:FVL524288 FVL524294:FVL589824 FVL589830:FVL655360 FVL655366:FVL720896 FVL720902:FVL786432 FVL786438:FVL851968 FVL851974:FVL917504 FVL917510:FVL983040 FVL983046:FVL1048576 FVN207:FVN211 FVN217:FVN218 FVN223:FVN224 FVN65743:FVN65747 FVN65753:FVN65754 FVN65759:FVN65760 FVN131279:FVN131283 FVN131289:FVN131290 FVN131295:FVN131296 FVN196815:FVN196819 FVN196825:FVN196826 FVN196831:FVN196832 FVN262351:FVN262355 FVN262361:FVN262362 FVN262367:FVN262368 FVN327887:FVN327891 FVN327897:FVN327898 FVN327903:FVN327904 FVN393423:FVN393427 FVN393433:FVN393434 FVN393439:FVN393440 FVN458959:FVN458963 FVN458969:FVN458970 FVN458975:FVN458976 FVN524495:FVN524499 FVN524505:FVN524506 FVN524511:FVN524512 FVN590031:FVN590035 FVN590041:FVN590042 FVN590047:FVN590048 FVN655567:FVN655571 FVN655577:FVN655578 FVN655583:FVN655584 FVN721103:FVN721107 FVN721113:FVN721114 FVN721119:FVN721120 FVN786639:FVN786643 FVN786649:FVN786650 FVN786655:FVN786656 FVN852175:FVN852179 FVN852185:FVN852186 FVN852191:FVN852192 FVN917711:FVN917715 FVN917721:FVN917722 FVN917727:FVN917728 FVN983247:FVN983251 FVN983257:FVN983258 FVN983263:FVN983264 FVW205:FVW212 FVW215:FVW218 FVW223:FVW226 FVW65741:FVW65748 FVW65751:FVW65754 FVW65759:FVW65762 FVW131277:FVW131284 FVW131287:FVW131290 FVW131295:FVW131298 FVW196813:FVW196820 FVW196823:FVW196826 FVW196831:FVW196834 FVW262349:FVW262356 FVW262359:FVW262362 FVW262367:FVW262370 FVW327885:FVW327892 FVW327895:FVW327898 FVW327903:FVW327906 FVW393421:FVW393428 FVW393431:FVW393434 FVW393439:FVW393442 FVW458957:FVW458964 FVW458967:FVW458970 FVW458975:FVW458978 FVW524493:FVW524500 FVW524503:FVW524506 FVW524511:FVW524514 FVW590029:FVW590036 FVW590039:FVW590042 FVW590047:FVW590050 FVW655565:FVW655572 FVW655575:FVW655578 FVW655583:FVW655586 FVW721101:FVW721108 FVW721111:FVW721114 FVW721119:FVW721122 FVW786637:FVW786644 FVW786647:FVW786650 FVW786655:FVW786658 FVW852173:FVW852180 FVW852183:FVW852186 FVW852191:FVW852194 FVW917709:FVW917716 FVW917719:FVW917722 FVW917727:FVW917730 FVW983245:FVW983252 FVW983255:FVW983258 FVW983263:FVW983266 GEV207:GEV211 GEV217:GEV218 GEV223:GEV224 GEV65743:GEV65747 GEV65753:GEV65754 GEV65759:GEV65760 GEV131279:GEV131283 GEV131289:GEV131290 GEV131295:GEV131296 GEV196815:GEV196819 GEV196825:GEV196826 GEV196831:GEV196832 GEV262351:GEV262355 GEV262361:GEV262362 GEV262367:GEV262368 GEV327887:GEV327891 GEV327897:GEV327898 GEV327903:GEV327904 GEV393423:GEV393427 GEV393433:GEV393434 GEV393439:GEV393440 GEV458959:GEV458963 GEV458969:GEV458970 GEV458975:GEV458976 GEV524495:GEV524499 GEV524505:GEV524506 GEV524511:GEV524512 GEV590031:GEV590035 GEV590041:GEV590042 GEV590047:GEV590048 GEV655567:GEV655571 GEV655577:GEV655578 GEV655583:GEV655584 GEV721103:GEV721107 GEV721113:GEV721114 GEV721119:GEV721120 GEV786639:GEV786643 GEV786649:GEV786650 GEV786655:GEV786656 GEV852175:GEV852179 GEV852185:GEV852186 GEV852191:GEV852192 GEV917711:GEV917715 GEV917721:GEV917722 GEV917727:GEV917728 GEV983247:GEV983251 GEV983257:GEV983258 GEV983263:GEV983264 GFH6:GFH65536 GFH65542:GFH131072 GFH131078:GFH196608 GFH196614:GFH262144 GFH262150:GFH327680 GFH327686:GFH393216 GFH393222:GFH458752 GFH458758:GFH524288 GFH524294:GFH589824 GFH589830:GFH655360 GFH655366:GFH720896 GFH720902:GFH786432 GFH786438:GFH851968 GFH851974:GFH917504 GFH917510:GFH983040 GFH983046:GFH1048576 GFJ207:GFJ211 GFJ217:GFJ218 GFJ223:GFJ224 GFJ65743:GFJ65747 GFJ65753:GFJ65754 GFJ65759:GFJ65760 GFJ131279:GFJ131283 GFJ131289:GFJ131290 GFJ131295:GFJ131296 GFJ196815:GFJ196819 GFJ196825:GFJ196826 GFJ196831:GFJ196832 GFJ262351:GFJ262355 GFJ262361:GFJ262362 GFJ262367:GFJ262368 GFJ327887:GFJ327891 GFJ327897:GFJ327898 GFJ327903:GFJ327904 GFJ393423:GFJ393427 GFJ393433:GFJ393434 GFJ393439:GFJ393440 GFJ458959:GFJ458963 GFJ458969:GFJ458970 GFJ458975:GFJ458976 GFJ524495:GFJ524499 GFJ524505:GFJ524506 GFJ524511:GFJ524512 GFJ590031:GFJ590035 GFJ590041:GFJ590042 GFJ590047:GFJ590048 GFJ655567:GFJ655571 GFJ655577:GFJ655578 GFJ655583:GFJ655584 GFJ721103:GFJ721107 GFJ721113:GFJ721114 GFJ721119:GFJ721120 GFJ786639:GFJ786643 GFJ786649:GFJ786650 GFJ786655:GFJ786656 GFJ852175:GFJ852179 GFJ852185:GFJ852186 GFJ852191:GFJ852192 GFJ917711:GFJ917715 GFJ917721:GFJ917722 GFJ917727:GFJ917728 GFJ983247:GFJ983251 GFJ983257:GFJ983258 GFJ983263:GFJ983264 GFS205:GFS212 GFS215:GFS218 GFS223:GFS226 GFS65741:GFS65748 GFS65751:GFS65754 GFS65759:GFS65762 GFS131277:GFS131284 GFS131287:GFS131290 GFS131295:GFS131298 GFS196813:GFS196820 GFS196823:GFS196826 GFS196831:GFS196834 GFS262349:GFS262356 GFS262359:GFS262362 GFS262367:GFS262370 GFS327885:GFS327892 GFS327895:GFS327898 GFS327903:GFS327906 GFS393421:GFS393428 GFS393431:GFS393434 GFS393439:GFS393442 GFS458957:GFS458964 GFS458967:GFS458970 GFS458975:GFS458978 GFS524493:GFS524500 GFS524503:GFS524506 GFS524511:GFS524514 GFS590029:GFS590036 GFS590039:GFS590042 GFS590047:GFS590050 GFS655565:GFS655572 GFS655575:GFS655578 GFS655583:GFS655586 GFS721101:GFS721108 GFS721111:GFS721114 GFS721119:GFS721122 GFS786637:GFS786644 GFS786647:GFS786650 GFS786655:GFS786658 GFS852173:GFS852180 GFS852183:GFS852186 GFS852191:GFS852194 GFS917709:GFS917716 GFS917719:GFS917722 GFS917727:GFS917730 GFS983245:GFS983252 GFS983255:GFS983258 GFS983263:GFS983266 GOR207:GOR211 GOR217:GOR218 GOR223:GOR224 GOR65743:GOR65747 GOR65753:GOR65754 GOR65759:GOR65760 GOR131279:GOR131283 GOR131289:GOR131290 GOR131295:GOR131296 GOR196815:GOR196819 GOR196825:GOR196826 GOR196831:GOR196832 GOR262351:GOR262355 GOR262361:GOR262362 GOR262367:GOR262368 GOR327887:GOR327891 GOR327897:GOR327898 GOR327903:GOR327904 GOR393423:GOR393427 GOR393433:GOR393434 GOR393439:GOR393440 GOR458959:GOR458963 GOR458969:GOR458970 GOR458975:GOR458976 GOR524495:GOR524499 GOR524505:GOR524506 GOR524511:GOR524512 GOR590031:GOR590035 GOR590041:GOR590042 GOR590047:GOR590048 GOR655567:GOR655571 GOR655577:GOR655578 GOR655583:GOR655584 GOR721103:GOR721107 GOR721113:GOR721114 GOR721119:GOR721120 GOR786639:GOR786643 GOR786649:GOR786650 GOR786655:GOR786656 GOR852175:GOR852179 GOR852185:GOR852186 GOR852191:GOR852192 GOR917711:GOR917715 GOR917721:GOR917722 GOR917727:GOR917728 GOR983247:GOR983251 GOR983257:GOR983258 GOR983263:GOR983264 GPD6:GPD65536 GPD65542:GPD131072 GPD131078:GPD196608 GPD196614:GPD262144 GPD262150:GPD327680 GPD327686:GPD393216 GPD393222:GPD458752 GPD458758:GPD524288 GPD524294:GPD589824 GPD589830:GPD655360 GPD655366:GPD720896 GPD720902:GPD786432 GPD786438:GPD851968 GPD851974:GPD917504 GPD917510:GPD983040 GPD983046:GPD1048576 GPF207:GPF211 GPF217:GPF218 GPF223:GPF224 GPF65743:GPF65747 GPF65753:GPF65754 GPF65759:GPF65760 GPF131279:GPF131283 GPF131289:GPF131290 GPF131295:GPF131296 GPF196815:GPF196819 GPF196825:GPF196826 GPF196831:GPF196832 GPF262351:GPF262355 GPF262361:GPF262362 GPF262367:GPF262368 GPF327887:GPF327891 GPF327897:GPF327898 GPF327903:GPF327904 GPF393423:GPF393427 GPF393433:GPF393434 GPF393439:GPF393440 GPF458959:GPF458963 GPF458969:GPF458970 GPF458975:GPF458976 GPF524495:GPF524499 GPF524505:GPF524506 GPF524511:GPF524512 GPF590031:GPF590035 GPF590041:GPF590042 GPF590047:GPF590048 GPF655567:GPF655571 GPF655577:GPF655578 GPF655583:GPF655584 GPF721103:GPF721107 GPF721113:GPF721114 GPF721119:GPF721120 GPF786639:GPF786643 GPF786649:GPF786650 GPF786655:GPF786656 GPF852175:GPF852179 GPF852185:GPF852186 GPF852191:GPF852192 GPF917711:GPF917715 GPF917721:GPF917722 GPF917727:GPF917728 GPF983247:GPF983251 GPF983257:GPF983258 GPF983263:GPF983264 GPO205:GPO212 GPO215:GPO218 GPO223:GPO226 GPO65741:GPO65748 GPO65751:GPO65754 GPO65759:GPO65762 GPO131277:GPO131284 GPO131287:GPO131290 GPO131295:GPO131298 GPO196813:GPO196820 GPO196823:GPO196826 GPO196831:GPO196834 GPO262349:GPO262356 GPO262359:GPO262362 GPO262367:GPO262370 GPO327885:GPO327892 GPO327895:GPO327898 GPO327903:GPO327906 GPO393421:GPO393428 GPO393431:GPO393434 GPO393439:GPO393442 GPO458957:GPO458964 GPO458967:GPO458970 GPO458975:GPO458978 GPO524493:GPO524500 GPO524503:GPO524506 GPO524511:GPO524514 GPO590029:GPO590036 GPO590039:GPO590042 GPO590047:GPO590050 GPO655565:GPO655572 GPO655575:GPO655578 GPO655583:GPO655586 GPO721101:GPO721108 GPO721111:GPO721114 GPO721119:GPO721122 GPO786637:GPO786644 GPO786647:GPO786650 GPO786655:GPO786658 GPO852173:GPO852180 GPO852183:GPO852186 GPO852191:GPO852194 GPO917709:GPO917716 GPO917719:GPO917722 GPO917727:GPO917730 GPO983245:GPO983252 GPO983255:GPO983258 GPO983263:GPO983266 GYN207:GYN211 GYN217:GYN218 GYN223:GYN224 GYN65743:GYN65747 GYN65753:GYN65754 GYN65759:GYN65760 GYN131279:GYN131283 GYN131289:GYN131290 GYN131295:GYN131296 GYN196815:GYN196819 GYN196825:GYN196826 GYN196831:GYN196832 GYN262351:GYN262355 GYN262361:GYN262362 GYN262367:GYN262368 GYN327887:GYN327891 GYN327897:GYN327898 GYN327903:GYN327904 GYN393423:GYN393427 GYN393433:GYN393434 GYN393439:GYN393440 GYN458959:GYN458963 GYN458969:GYN458970 GYN458975:GYN458976 GYN524495:GYN524499 GYN524505:GYN524506 GYN524511:GYN524512 GYN590031:GYN590035 GYN590041:GYN590042 GYN590047:GYN590048 GYN655567:GYN655571 GYN655577:GYN655578 GYN655583:GYN655584 GYN721103:GYN721107 GYN721113:GYN721114 GYN721119:GYN721120 GYN786639:GYN786643 GYN786649:GYN786650 GYN786655:GYN786656 GYN852175:GYN852179 GYN852185:GYN852186 GYN852191:GYN852192 GYN917711:GYN917715 GYN917721:GYN917722 GYN917727:GYN917728 GYN983247:GYN983251 GYN983257:GYN983258 GYN983263:GYN983264 GYZ6:GYZ65536 GYZ65542:GYZ131072 GYZ131078:GYZ196608 GYZ196614:GYZ262144 GYZ262150:GYZ327680 GYZ327686:GYZ393216 GYZ393222:GYZ458752 GYZ458758:GYZ524288 GYZ524294:GYZ589824 GYZ589830:GYZ655360 GYZ655366:GYZ720896 GYZ720902:GYZ786432 GYZ786438:GYZ851968 GYZ851974:GYZ917504 GYZ917510:GYZ983040 GYZ983046:GYZ1048576 GZB207:GZB211 GZB217:GZB218 GZB223:GZB224 GZB65743:GZB65747 GZB65753:GZB65754 GZB65759:GZB65760 GZB131279:GZB131283 GZB131289:GZB131290 GZB131295:GZB131296 GZB196815:GZB196819 GZB196825:GZB196826 GZB196831:GZB196832 GZB262351:GZB262355 GZB262361:GZB262362 GZB262367:GZB262368 GZB327887:GZB327891 GZB327897:GZB327898 GZB327903:GZB327904 GZB393423:GZB393427 GZB393433:GZB393434 GZB393439:GZB393440 GZB458959:GZB458963 GZB458969:GZB458970 GZB458975:GZB458976 GZB524495:GZB524499 GZB524505:GZB524506 GZB524511:GZB524512 GZB590031:GZB590035 GZB590041:GZB590042 GZB590047:GZB590048 GZB655567:GZB655571 GZB655577:GZB655578 GZB655583:GZB655584 GZB721103:GZB721107 GZB721113:GZB721114 GZB721119:GZB721120 GZB786639:GZB786643 GZB786649:GZB786650 GZB786655:GZB786656 GZB852175:GZB852179 GZB852185:GZB852186 GZB852191:GZB852192 GZB917711:GZB917715 GZB917721:GZB917722 GZB917727:GZB917728 GZB983247:GZB983251 GZB983257:GZB983258 GZB983263:GZB983264 GZK205:GZK212 GZK215:GZK218 GZK223:GZK226 GZK65741:GZK65748 GZK65751:GZK65754 GZK65759:GZK65762 GZK131277:GZK131284 GZK131287:GZK131290 GZK131295:GZK131298 GZK196813:GZK196820 GZK196823:GZK196826 GZK196831:GZK196834 GZK262349:GZK262356 GZK262359:GZK262362 GZK262367:GZK262370 GZK327885:GZK327892 GZK327895:GZK327898 GZK327903:GZK327906 GZK393421:GZK393428 GZK393431:GZK393434 GZK393439:GZK393442 GZK458957:GZK458964 GZK458967:GZK458970 GZK458975:GZK458978 GZK524493:GZK524500 GZK524503:GZK524506 GZK524511:GZK524514 GZK590029:GZK590036 GZK590039:GZK590042 GZK590047:GZK590050 GZK655565:GZK655572 GZK655575:GZK655578 GZK655583:GZK655586 GZK721101:GZK721108 GZK721111:GZK721114 GZK721119:GZK721122 GZK786637:GZK786644 GZK786647:GZK786650 GZK786655:GZK786658 GZK852173:GZK852180 GZK852183:GZK852186 GZK852191:GZK852194 GZK917709:GZK917716 GZK917719:GZK917722 GZK917727:GZK917730 GZK983245:GZK983252 GZK983255:GZK983258 GZK983263:GZK983266 HIJ207:HIJ211 HIJ217:HIJ218 HIJ223:HIJ224 HIJ65743:HIJ65747 HIJ65753:HIJ65754 HIJ65759:HIJ65760 HIJ131279:HIJ131283 HIJ131289:HIJ131290 HIJ131295:HIJ131296 HIJ196815:HIJ196819 HIJ196825:HIJ196826 HIJ196831:HIJ196832 HIJ262351:HIJ262355 HIJ262361:HIJ262362 HIJ262367:HIJ262368 HIJ327887:HIJ327891 HIJ327897:HIJ327898 HIJ327903:HIJ327904 HIJ393423:HIJ393427 HIJ393433:HIJ393434 HIJ393439:HIJ393440 HIJ458959:HIJ458963 HIJ458969:HIJ458970 HIJ458975:HIJ458976 HIJ524495:HIJ524499 HIJ524505:HIJ524506 HIJ524511:HIJ524512 HIJ590031:HIJ590035 HIJ590041:HIJ590042 HIJ590047:HIJ590048 HIJ655567:HIJ655571 HIJ655577:HIJ655578 HIJ655583:HIJ655584 HIJ721103:HIJ721107 HIJ721113:HIJ721114 HIJ721119:HIJ721120 HIJ786639:HIJ786643 HIJ786649:HIJ786650 HIJ786655:HIJ786656 HIJ852175:HIJ852179 HIJ852185:HIJ852186 HIJ852191:HIJ852192 HIJ917711:HIJ917715 HIJ917721:HIJ917722 HIJ917727:HIJ917728 HIJ983247:HIJ983251 HIJ983257:HIJ983258 HIJ983263:HIJ983264 HIV6:HIV65536 HIV65542:HIV131072 HIV131078:HIV196608 HIV196614:HIV262144 HIV262150:HIV327680 HIV327686:HIV393216 HIV393222:HIV458752 HIV458758:HIV524288 HIV524294:HIV589824 HIV589830:HIV655360 HIV655366:HIV720896 HIV720902:HIV786432 HIV786438:HIV851968 HIV851974:HIV917504 HIV917510:HIV983040 HIV983046:HIV1048576 HIX207:HIX211 HIX217:HIX218 HIX223:HIX224 HIX65743:HIX65747 HIX65753:HIX65754 HIX65759:HIX65760 HIX131279:HIX131283 HIX131289:HIX131290 HIX131295:HIX131296 HIX196815:HIX196819 HIX196825:HIX196826 HIX196831:HIX196832 HIX262351:HIX262355 HIX262361:HIX262362 HIX262367:HIX262368 HIX327887:HIX327891 HIX327897:HIX327898 HIX327903:HIX327904 HIX393423:HIX393427 HIX393433:HIX393434 HIX393439:HIX393440 HIX458959:HIX458963 HIX458969:HIX458970 HIX458975:HIX458976 HIX524495:HIX524499 HIX524505:HIX524506 HIX524511:HIX524512 HIX590031:HIX590035 HIX590041:HIX590042 HIX590047:HIX590048 HIX655567:HIX655571 HIX655577:HIX655578 HIX655583:HIX655584 HIX721103:HIX721107 HIX721113:HIX721114 HIX721119:HIX721120 HIX786639:HIX786643 HIX786649:HIX786650 HIX786655:HIX786656 HIX852175:HIX852179 HIX852185:HIX852186 HIX852191:HIX852192 HIX917711:HIX917715 HIX917721:HIX917722 HIX917727:HIX917728 HIX983247:HIX983251 HIX983257:HIX983258 HIX983263:HIX983264 HJG205:HJG212 HJG215:HJG218 HJG223:HJG226 HJG65741:HJG65748 HJG65751:HJG65754 HJG65759:HJG65762 HJG131277:HJG131284 HJG131287:HJG131290 HJG131295:HJG131298 HJG196813:HJG196820 HJG196823:HJG196826 HJG196831:HJG196834 HJG262349:HJG262356 HJG262359:HJG262362 HJG262367:HJG262370 HJG327885:HJG327892 HJG327895:HJG327898 HJG327903:HJG327906 HJG393421:HJG393428 HJG393431:HJG393434 HJG393439:HJG393442 HJG458957:HJG458964 HJG458967:HJG458970 HJG458975:HJG458978 HJG524493:HJG524500 HJG524503:HJG524506 HJG524511:HJG524514 HJG590029:HJG590036 HJG590039:HJG590042 HJG590047:HJG590050 HJG655565:HJG655572 HJG655575:HJG655578 HJG655583:HJG655586 HJG721101:HJG721108 HJG721111:HJG721114 HJG721119:HJG721122 HJG786637:HJG786644 HJG786647:HJG786650 HJG786655:HJG786658 HJG852173:HJG852180 HJG852183:HJG852186 HJG852191:HJG852194 HJG917709:HJG917716 HJG917719:HJG917722 HJG917727:HJG917730 HJG983245:HJG983252 HJG983255:HJG983258 HJG983263:HJG983266 HSF207:HSF211 HSF217:HSF218 HSF223:HSF224 HSF65743:HSF65747 HSF65753:HSF65754 HSF65759:HSF65760 HSF131279:HSF131283 HSF131289:HSF131290 HSF131295:HSF131296 HSF196815:HSF196819 HSF196825:HSF196826 HSF196831:HSF196832 HSF262351:HSF262355 HSF262361:HSF262362 HSF262367:HSF262368 HSF327887:HSF327891 HSF327897:HSF327898 HSF327903:HSF327904 HSF393423:HSF393427 HSF393433:HSF393434 HSF393439:HSF393440 HSF458959:HSF458963 HSF458969:HSF458970 HSF458975:HSF458976 HSF524495:HSF524499 HSF524505:HSF524506 HSF524511:HSF524512 HSF590031:HSF590035 HSF590041:HSF590042 HSF590047:HSF590048 HSF655567:HSF655571 HSF655577:HSF655578 HSF655583:HSF655584 HSF721103:HSF721107 HSF721113:HSF721114 HSF721119:HSF721120 HSF786639:HSF786643 HSF786649:HSF786650 HSF786655:HSF786656 HSF852175:HSF852179 HSF852185:HSF852186 HSF852191:HSF852192 HSF917711:HSF917715 HSF917721:HSF917722 HSF917727:HSF917728 HSF983247:HSF983251 HSF983257:HSF983258 HSF983263:HSF983264 HSR6:HSR65536 HSR65542:HSR131072 HSR131078:HSR196608 HSR196614:HSR262144 HSR262150:HSR327680 HSR327686:HSR393216 HSR393222:HSR458752 HSR458758:HSR524288 HSR524294:HSR589824 HSR589830:HSR655360 HSR655366:HSR720896 HSR720902:HSR786432 HSR786438:HSR851968 HSR851974:HSR917504 HSR917510:HSR983040 HSR983046:HSR1048576 HST207:HST211 HST217:HST218 HST223:HST224 HST65743:HST65747 HST65753:HST65754 HST65759:HST65760 HST131279:HST131283 HST131289:HST131290 HST131295:HST131296 HST196815:HST196819 HST196825:HST196826 HST196831:HST196832 HST262351:HST262355 HST262361:HST262362 HST262367:HST262368 HST327887:HST327891 HST327897:HST327898 HST327903:HST327904 HST393423:HST393427 HST393433:HST393434 HST393439:HST393440 HST458959:HST458963 HST458969:HST458970 HST458975:HST458976 HST524495:HST524499 HST524505:HST524506 HST524511:HST524512 HST590031:HST590035 HST590041:HST590042 HST590047:HST590048 HST655567:HST655571 HST655577:HST655578 HST655583:HST655584 HST721103:HST721107 HST721113:HST721114 HST721119:HST721120 HST786639:HST786643 HST786649:HST786650 HST786655:HST786656 HST852175:HST852179 HST852185:HST852186 HST852191:HST852192 HST917711:HST917715 HST917721:HST917722 HST917727:HST917728 HST983247:HST983251 HST983257:HST983258 HST983263:HST983264 HTC205:HTC212 HTC215:HTC218 HTC223:HTC226 HTC65741:HTC65748 HTC65751:HTC65754 HTC65759:HTC65762 HTC131277:HTC131284 HTC131287:HTC131290 HTC131295:HTC131298 HTC196813:HTC196820 HTC196823:HTC196826 HTC196831:HTC196834 HTC262349:HTC262356 HTC262359:HTC262362 HTC262367:HTC262370 HTC327885:HTC327892 HTC327895:HTC327898 HTC327903:HTC327906 HTC393421:HTC393428 HTC393431:HTC393434 HTC393439:HTC393442 HTC458957:HTC458964 HTC458967:HTC458970 HTC458975:HTC458978 HTC524493:HTC524500 HTC524503:HTC524506 HTC524511:HTC524514 HTC590029:HTC590036 HTC590039:HTC590042 HTC590047:HTC590050 HTC655565:HTC655572 HTC655575:HTC655578 HTC655583:HTC655586 HTC721101:HTC721108 HTC721111:HTC721114 HTC721119:HTC721122 HTC786637:HTC786644 HTC786647:HTC786650 HTC786655:HTC786658 HTC852173:HTC852180 HTC852183:HTC852186 HTC852191:HTC852194 HTC917709:HTC917716 HTC917719:HTC917722 HTC917727:HTC917730 HTC983245:HTC983252 HTC983255:HTC983258 HTC983263:HTC983266 ICB207:ICB211 ICB217:ICB218 ICB223:ICB224 ICB65743:ICB65747 ICB65753:ICB65754 ICB65759:ICB65760 ICB131279:ICB131283 ICB131289:ICB131290 ICB131295:ICB131296 ICB196815:ICB196819 ICB196825:ICB196826 ICB196831:ICB196832 ICB262351:ICB262355 ICB262361:ICB262362 ICB262367:ICB262368 ICB327887:ICB327891 ICB327897:ICB327898 ICB327903:ICB327904 ICB393423:ICB393427 ICB393433:ICB393434 ICB393439:ICB393440 ICB458959:ICB458963 ICB458969:ICB458970 ICB458975:ICB458976 ICB524495:ICB524499 ICB524505:ICB524506 ICB524511:ICB524512 ICB590031:ICB590035 ICB590041:ICB590042 ICB590047:ICB590048 ICB655567:ICB655571 ICB655577:ICB655578 ICB655583:ICB655584 ICB721103:ICB721107 ICB721113:ICB721114 ICB721119:ICB721120 ICB786639:ICB786643 ICB786649:ICB786650 ICB786655:ICB786656 ICB852175:ICB852179 ICB852185:ICB852186 ICB852191:ICB852192 ICB917711:ICB917715 ICB917721:ICB917722 ICB917727:ICB917728 ICB983247:ICB983251 ICB983257:ICB983258 ICB983263:ICB983264 ICN6:ICN65536 ICN65542:ICN131072 ICN131078:ICN196608 ICN196614:ICN262144 ICN262150:ICN327680 ICN327686:ICN393216 ICN393222:ICN458752 ICN458758:ICN524288 ICN524294:ICN589824 ICN589830:ICN655360 ICN655366:ICN720896 ICN720902:ICN786432 ICN786438:ICN851968 ICN851974:ICN917504 ICN917510:ICN983040 ICN983046:ICN1048576 ICP207:ICP211 ICP217:ICP218 ICP223:ICP224 ICP65743:ICP65747 ICP65753:ICP65754 ICP65759:ICP65760 ICP131279:ICP131283 ICP131289:ICP131290 ICP131295:ICP131296 ICP196815:ICP196819 ICP196825:ICP196826 ICP196831:ICP196832 ICP262351:ICP262355 ICP262361:ICP262362 ICP262367:ICP262368 ICP327887:ICP327891 ICP327897:ICP327898 ICP327903:ICP327904 ICP393423:ICP393427 ICP393433:ICP393434 ICP393439:ICP393440 ICP458959:ICP458963 ICP458969:ICP458970 ICP458975:ICP458976 ICP524495:ICP524499 ICP524505:ICP524506 ICP524511:ICP524512 ICP590031:ICP590035 ICP590041:ICP590042 ICP590047:ICP590048 ICP655567:ICP655571 ICP655577:ICP655578 ICP655583:ICP655584 ICP721103:ICP721107 ICP721113:ICP721114 ICP721119:ICP721120 ICP786639:ICP786643 ICP786649:ICP786650 ICP786655:ICP786656 ICP852175:ICP852179 ICP852185:ICP852186 ICP852191:ICP852192 ICP917711:ICP917715 ICP917721:ICP917722 ICP917727:ICP917728 ICP983247:ICP983251 ICP983257:ICP983258 ICP983263:ICP983264 ICY205:ICY212 ICY215:ICY218 ICY223:ICY226 ICY65741:ICY65748 ICY65751:ICY65754 ICY65759:ICY65762 ICY131277:ICY131284 ICY131287:ICY131290 ICY131295:ICY131298 ICY196813:ICY196820 ICY196823:ICY196826 ICY196831:ICY196834 ICY262349:ICY262356 ICY262359:ICY262362 ICY262367:ICY262370 ICY327885:ICY327892 ICY327895:ICY327898 ICY327903:ICY327906 ICY393421:ICY393428 ICY393431:ICY393434 ICY393439:ICY393442 ICY458957:ICY458964 ICY458967:ICY458970 ICY458975:ICY458978 ICY524493:ICY524500 ICY524503:ICY524506 ICY524511:ICY524514 ICY590029:ICY590036 ICY590039:ICY590042 ICY590047:ICY590050 ICY655565:ICY655572 ICY655575:ICY655578 ICY655583:ICY655586 ICY721101:ICY721108 ICY721111:ICY721114 ICY721119:ICY721122 ICY786637:ICY786644 ICY786647:ICY786650 ICY786655:ICY786658 ICY852173:ICY852180 ICY852183:ICY852186 ICY852191:ICY852194 ICY917709:ICY917716 ICY917719:ICY917722 ICY917727:ICY917730 ICY983245:ICY983252 ICY983255:ICY983258 ICY983263:ICY983266 ILX207:ILX211 ILX217:ILX218 ILX223:ILX224 ILX65743:ILX65747 ILX65753:ILX65754 ILX65759:ILX65760 ILX131279:ILX131283 ILX131289:ILX131290 ILX131295:ILX131296 ILX196815:ILX196819 ILX196825:ILX196826 ILX196831:ILX196832 ILX262351:ILX262355 ILX262361:ILX262362 ILX262367:ILX262368 ILX327887:ILX327891 ILX327897:ILX327898 ILX327903:ILX327904 ILX393423:ILX393427 ILX393433:ILX393434 ILX393439:ILX393440 ILX458959:ILX458963 ILX458969:ILX458970 ILX458975:ILX458976 ILX524495:ILX524499 ILX524505:ILX524506 ILX524511:ILX524512 ILX590031:ILX590035 ILX590041:ILX590042 ILX590047:ILX590048 ILX655567:ILX655571 ILX655577:ILX655578 ILX655583:ILX655584 ILX721103:ILX721107 ILX721113:ILX721114 ILX721119:ILX721120 ILX786639:ILX786643 ILX786649:ILX786650 ILX786655:ILX786656 ILX852175:ILX852179 ILX852185:ILX852186 ILX852191:ILX852192 ILX917711:ILX917715 ILX917721:ILX917722 ILX917727:ILX917728 ILX983247:ILX983251 ILX983257:ILX983258 ILX983263:ILX983264 IMJ6:IMJ65536 IMJ65542:IMJ131072 IMJ131078:IMJ196608 IMJ196614:IMJ262144 IMJ262150:IMJ327680 IMJ327686:IMJ393216 IMJ393222:IMJ458752 IMJ458758:IMJ524288 IMJ524294:IMJ589824 IMJ589830:IMJ655360 IMJ655366:IMJ720896 IMJ720902:IMJ786432 IMJ786438:IMJ851968 IMJ851974:IMJ917504 IMJ917510:IMJ983040 IMJ983046:IMJ1048576 IML207:IML211 IML217:IML218 IML223:IML224 IML65743:IML65747 IML65753:IML65754 IML65759:IML65760 IML131279:IML131283 IML131289:IML131290 IML131295:IML131296 IML196815:IML196819 IML196825:IML196826 IML196831:IML196832 IML262351:IML262355 IML262361:IML262362 IML262367:IML262368 IML327887:IML327891 IML327897:IML327898 IML327903:IML327904 IML393423:IML393427 IML393433:IML393434 IML393439:IML393440 IML458959:IML458963 IML458969:IML458970 IML458975:IML458976 IML524495:IML524499 IML524505:IML524506 IML524511:IML524512 IML590031:IML590035 IML590041:IML590042 IML590047:IML590048 IML655567:IML655571 IML655577:IML655578 IML655583:IML655584 IML721103:IML721107 IML721113:IML721114 IML721119:IML721120 IML786639:IML786643 IML786649:IML786650 IML786655:IML786656 IML852175:IML852179 IML852185:IML852186 IML852191:IML852192 IML917711:IML917715 IML917721:IML917722 IML917727:IML917728 IML983247:IML983251 IML983257:IML983258 IML983263:IML983264 IMU205:IMU212 IMU215:IMU218 IMU223:IMU226 IMU65741:IMU65748 IMU65751:IMU65754 IMU65759:IMU65762 IMU131277:IMU131284 IMU131287:IMU131290 IMU131295:IMU131298 IMU196813:IMU196820 IMU196823:IMU196826 IMU196831:IMU196834 IMU262349:IMU262356 IMU262359:IMU262362 IMU262367:IMU262370 IMU327885:IMU327892 IMU327895:IMU327898 IMU327903:IMU327906 IMU393421:IMU393428 IMU393431:IMU393434 IMU393439:IMU393442 IMU458957:IMU458964 IMU458967:IMU458970 IMU458975:IMU458978 IMU524493:IMU524500 IMU524503:IMU524506 IMU524511:IMU524514 IMU590029:IMU590036 IMU590039:IMU590042 IMU590047:IMU590050 IMU655565:IMU655572 IMU655575:IMU655578 IMU655583:IMU655586 IMU721101:IMU721108 IMU721111:IMU721114 IMU721119:IMU721122 IMU786637:IMU786644 IMU786647:IMU786650 IMU786655:IMU786658 IMU852173:IMU852180 IMU852183:IMU852186 IMU852191:IMU852194 IMU917709:IMU917716 IMU917719:IMU917722 IMU917727:IMU917730 IMU983245:IMU983252 IMU983255:IMU983258 IMU983263:IMU983266 IVT207:IVT211 IVT217:IVT218 IVT223:IVT224 IVT65743:IVT65747 IVT65753:IVT65754 IVT65759:IVT65760 IVT131279:IVT131283 IVT131289:IVT131290 IVT131295:IVT131296 IVT196815:IVT196819 IVT196825:IVT196826 IVT196831:IVT196832 IVT262351:IVT262355 IVT262361:IVT262362 IVT262367:IVT262368 IVT327887:IVT327891 IVT327897:IVT327898 IVT327903:IVT327904 IVT393423:IVT393427 IVT393433:IVT393434 IVT393439:IVT393440 IVT458959:IVT458963 IVT458969:IVT458970 IVT458975:IVT458976 IVT524495:IVT524499 IVT524505:IVT524506 IVT524511:IVT524512 IVT590031:IVT590035 IVT590041:IVT590042 IVT590047:IVT590048 IVT655567:IVT655571 IVT655577:IVT655578 IVT655583:IVT655584 IVT721103:IVT721107 IVT721113:IVT721114 IVT721119:IVT721120 IVT786639:IVT786643 IVT786649:IVT786650 IVT786655:IVT786656 IVT852175:IVT852179 IVT852185:IVT852186 IVT852191:IVT852192 IVT917711:IVT917715 IVT917721:IVT917722 IVT917727:IVT917728 IVT983247:IVT983251 IVT983257:IVT983258 IVT983263:IVT983264 IWF6:IWF65536 IWF65542:IWF131072 IWF131078:IWF196608 IWF196614:IWF262144 IWF262150:IWF327680 IWF327686:IWF393216 IWF393222:IWF458752 IWF458758:IWF524288 IWF524294:IWF589824 IWF589830:IWF655360 IWF655366:IWF720896 IWF720902:IWF786432 IWF786438:IWF851968 IWF851974:IWF917504 IWF917510:IWF983040 IWF983046:IWF1048576 IWH207:IWH211 IWH217:IWH218 IWH223:IWH224 IWH65743:IWH65747 IWH65753:IWH65754 IWH65759:IWH65760 IWH131279:IWH131283 IWH131289:IWH131290 IWH131295:IWH131296 IWH196815:IWH196819 IWH196825:IWH196826 IWH196831:IWH196832 IWH262351:IWH262355 IWH262361:IWH262362 IWH262367:IWH262368 IWH327887:IWH327891 IWH327897:IWH327898 IWH327903:IWH327904 IWH393423:IWH393427 IWH393433:IWH393434 IWH393439:IWH393440 IWH458959:IWH458963 IWH458969:IWH458970 IWH458975:IWH458976 IWH524495:IWH524499 IWH524505:IWH524506 IWH524511:IWH524512 IWH590031:IWH590035 IWH590041:IWH590042 IWH590047:IWH590048 IWH655567:IWH655571 IWH655577:IWH655578 IWH655583:IWH655584 IWH721103:IWH721107 IWH721113:IWH721114 IWH721119:IWH721120 IWH786639:IWH786643 IWH786649:IWH786650 IWH786655:IWH786656 IWH852175:IWH852179 IWH852185:IWH852186 IWH852191:IWH852192 IWH917711:IWH917715 IWH917721:IWH917722 IWH917727:IWH917728 IWH983247:IWH983251 IWH983257:IWH983258 IWH983263:IWH983264 IWQ205:IWQ212 IWQ215:IWQ218 IWQ223:IWQ226 IWQ65741:IWQ65748 IWQ65751:IWQ65754 IWQ65759:IWQ65762 IWQ131277:IWQ131284 IWQ131287:IWQ131290 IWQ131295:IWQ131298 IWQ196813:IWQ196820 IWQ196823:IWQ196826 IWQ196831:IWQ196834 IWQ262349:IWQ262356 IWQ262359:IWQ262362 IWQ262367:IWQ262370 IWQ327885:IWQ327892 IWQ327895:IWQ327898 IWQ327903:IWQ327906 IWQ393421:IWQ393428 IWQ393431:IWQ393434 IWQ393439:IWQ393442 IWQ458957:IWQ458964 IWQ458967:IWQ458970 IWQ458975:IWQ458978 IWQ524493:IWQ524500 IWQ524503:IWQ524506 IWQ524511:IWQ524514 IWQ590029:IWQ590036 IWQ590039:IWQ590042 IWQ590047:IWQ590050 IWQ655565:IWQ655572 IWQ655575:IWQ655578 IWQ655583:IWQ655586 IWQ721101:IWQ721108 IWQ721111:IWQ721114 IWQ721119:IWQ721122 IWQ786637:IWQ786644 IWQ786647:IWQ786650 IWQ786655:IWQ786658 IWQ852173:IWQ852180 IWQ852183:IWQ852186 IWQ852191:IWQ852194 IWQ917709:IWQ917716 IWQ917719:IWQ917722 IWQ917727:IWQ917730 IWQ983245:IWQ983252 IWQ983255:IWQ983258 IWQ983263:IWQ983266 JFP207:JFP211 JFP217:JFP218 JFP223:JFP224 JFP65743:JFP65747 JFP65753:JFP65754 JFP65759:JFP65760 JFP131279:JFP131283 JFP131289:JFP131290 JFP131295:JFP131296 JFP196815:JFP196819 JFP196825:JFP196826 JFP196831:JFP196832 JFP262351:JFP262355 JFP262361:JFP262362 JFP262367:JFP262368 JFP327887:JFP327891 JFP327897:JFP327898 JFP327903:JFP327904 JFP393423:JFP393427 JFP393433:JFP393434 JFP393439:JFP393440 JFP458959:JFP458963 JFP458969:JFP458970 JFP458975:JFP458976 JFP524495:JFP524499 JFP524505:JFP524506 JFP524511:JFP524512 JFP590031:JFP590035 JFP590041:JFP590042 JFP590047:JFP590048 JFP655567:JFP655571 JFP655577:JFP655578 JFP655583:JFP655584 JFP721103:JFP721107 JFP721113:JFP721114 JFP721119:JFP721120 JFP786639:JFP786643 JFP786649:JFP786650 JFP786655:JFP786656 JFP852175:JFP852179 JFP852185:JFP852186 JFP852191:JFP852192 JFP917711:JFP917715 JFP917721:JFP917722 JFP917727:JFP917728 JFP983247:JFP983251 JFP983257:JFP983258 JFP983263:JFP983264 JGB6:JGB65536 JGB65542:JGB131072 JGB131078:JGB196608 JGB196614:JGB262144 JGB262150:JGB327680 JGB327686:JGB393216 JGB393222:JGB458752 JGB458758:JGB524288 JGB524294:JGB589824 JGB589830:JGB655360 JGB655366:JGB720896 JGB720902:JGB786432 JGB786438:JGB851968 JGB851974:JGB917504 JGB917510:JGB983040 JGB983046:JGB1048576 JGD207:JGD211 JGD217:JGD218 JGD223:JGD224 JGD65743:JGD65747 JGD65753:JGD65754 JGD65759:JGD65760 JGD131279:JGD131283 JGD131289:JGD131290 JGD131295:JGD131296 JGD196815:JGD196819 JGD196825:JGD196826 JGD196831:JGD196832 JGD262351:JGD262355 JGD262361:JGD262362 JGD262367:JGD262368 JGD327887:JGD327891 JGD327897:JGD327898 JGD327903:JGD327904 JGD393423:JGD393427 JGD393433:JGD393434 JGD393439:JGD393440 JGD458959:JGD458963 JGD458969:JGD458970 JGD458975:JGD458976 JGD524495:JGD524499 JGD524505:JGD524506 JGD524511:JGD524512 JGD590031:JGD590035 JGD590041:JGD590042 JGD590047:JGD590048 JGD655567:JGD655571 JGD655577:JGD655578 JGD655583:JGD655584 JGD721103:JGD721107 JGD721113:JGD721114 JGD721119:JGD721120 JGD786639:JGD786643 JGD786649:JGD786650 JGD786655:JGD786656 JGD852175:JGD852179 JGD852185:JGD852186 JGD852191:JGD852192 JGD917711:JGD917715 JGD917721:JGD917722 JGD917727:JGD917728 JGD983247:JGD983251 JGD983257:JGD983258 JGD983263:JGD983264 JGM205:JGM212 JGM215:JGM218 JGM223:JGM226 JGM65741:JGM65748 JGM65751:JGM65754 JGM65759:JGM65762 JGM131277:JGM131284 JGM131287:JGM131290 JGM131295:JGM131298 JGM196813:JGM196820 JGM196823:JGM196826 JGM196831:JGM196834 JGM262349:JGM262356 JGM262359:JGM262362 JGM262367:JGM262370 JGM327885:JGM327892 JGM327895:JGM327898 JGM327903:JGM327906 JGM393421:JGM393428 JGM393431:JGM393434 JGM393439:JGM393442 JGM458957:JGM458964 JGM458967:JGM458970 JGM458975:JGM458978 JGM524493:JGM524500 JGM524503:JGM524506 JGM524511:JGM524514 JGM590029:JGM590036 JGM590039:JGM590042 JGM590047:JGM590050 JGM655565:JGM655572 JGM655575:JGM655578 JGM655583:JGM655586 JGM721101:JGM721108 JGM721111:JGM721114 JGM721119:JGM721122 JGM786637:JGM786644 JGM786647:JGM786650 JGM786655:JGM786658 JGM852173:JGM852180 JGM852183:JGM852186 JGM852191:JGM852194 JGM917709:JGM917716 JGM917719:JGM917722 JGM917727:JGM917730 JGM983245:JGM983252 JGM983255:JGM983258 JGM983263:JGM983266 JPL207:JPL211 JPL217:JPL218 JPL223:JPL224 JPL65743:JPL65747 JPL65753:JPL65754 JPL65759:JPL65760 JPL131279:JPL131283 JPL131289:JPL131290 JPL131295:JPL131296 JPL196815:JPL196819 JPL196825:JPL196826 JPL196831:JPL196832 JPL262351:JPL262355 JPL262361:JPL262362 JPL262367:JPL262368 JPL327887:JPL327891 JPL327897:JPL327898 JPL327903:JPL327904 JPL393423:JPL393427 JPL393433:JPL393434 JPL393439:JPL393440 JPL458959:JPL458963 JPL458969:JPL458970 JPL458975:JPL458976 JPL524495:JPL524499 JPL524505:JPL524506 JPL524511:JPL524512 JPL590031:JPL590035 JPL590041:JPL590042 JPL590047:JPL590048 JPL655567:JPL655571 JPL655577:JPL655578 JPL655583:JPL655584 JPL721103:JPL721107 JPL721113:JPL721114 JPL721119:JPL721120 JPL786639:JPL786643 JPL786649:JPL786650 JPL786655:JPL786656 JPL852175:JPL852179 JPL852185:JPL852186 JPL852191:JPL852192 JPL917711:JPL917715 JPL917721:JPL917722 JPL917727:JPL917728 JPL983247:JPL983251 JPL983257:JPL983258 JPL983263:JPL983264 JPX6:JPX65536 JPX65542:JPX131072 JPX131078:JPX196608 JPX196614:JPX262144 JPX262150:JPX327680 JPX327686:JPX393216 JPX393222:JPX458752 JPX458758:JPX524288 JPX524294:JPX589824 JPX589830:JPX655360 JPX655366:JPX720896 JPX720902:JPX786432 JPX786438:JPX851968 JPX851974:JPX917504 JPX917510:JPX983040 JPX983046:JPX1048576 JPZ207:JPZ211 JPZ217:JPZ218 JPZ223:JPZ224 JPZ65743:JPZ65747 JPZ65753:JPZ65754 JPZ65759:JPZ65760 JPZ131279:JPZ131283 JPZ131289:JPZ131290 JPZ131295:JPZ131296 JPZ196815:JPZ196819 JPZ196825:JPZ196826 JPZ196831:JPZ196832 JPZ262351:JPZ262355 JPZ262361:JPZ262362 JPZ262367:JPZ262368 JPZ327887:JPZ327891 JPZ327897:JPZ327898 JPZ327903:JPZ327904 JPZ393423:JPZ393427 JPZ393433:JPZ393434 JPZ393439:JPZ393440 JPZ458959:JPZ458963 JPZ458969:JPZ458970 JPZ458975:JPZ458976 JPZ524495:JPZ524499 JPZ524505:JPZ524506 JPZ524511:JPZ524512 JPZ590031:JPZ590035 JPZ590041:JPZ590042 JPZ590047:JPZ590048 JPZ655567:JPZ655571 JPZ655577:JPZ655578 JPZ655583:JPZ655584 JPZ721103:JPZ721107 JPZ721113:JPZ721114 JPZ721119:JPZ721120 JPZ786639:JPZ786643 JPZ786649:JPZ786650 JPZ786655:JPZ786656 JPZ852175:JPZ852179 JPZ852185:JPZ852186 JPZ852191:JPZ852192 JPZ917711:JPZ917715 JPZ917721:JPZ917722 JPZ917727:JPZ917728 JPZ983247:JPZ983251 JPZ983257:JPZ983258 JPZ983263:JPZ983264 JQI205:JQI212 JQI215:JQI218 JQI223:JQI226 JQI65741:JQI65748 JQI65751:JQI65754 JQI65759:JQI65762 JQI131277:JQI131284 JQI131287:JQI131290 JQI131295:JQI131298 JQI196813:JQI196820 JQI196823:JQI196826 JQI196831:JQI196834 JQI262349:JQI262356 JQI262359:JQI262362 JQI262367:JQI262370 JQI327885:JQI327892 JQI327895:JQI327898 JQI327903:JQI327906 JQI393421:JQI393428 JQI393431:JQI393434 JQI393439:JQI393442 JQI458957:JQI458964 JQI458967:JQI458970 JQI458975:JQI458978 JQI524493:JQI524500 JQI524503:JQI524506 JQI524511:JQI524514 JQI590029:JQI590036 JQI590039:JQI590042 JQI590047:JQI590050 JQI655565:JQI655572 JQI655575:JQI655578 JQI655583:JQI655586 JQI721101:JQI721108 JQI721111:JQI721114 JQI721119:JQI721122 JQI786637:JQI786644 JQI786647:JQI786650 JQI786655:JQI786658 JQI852173:JQI852180 JQI852183:JQI852186 JQI852191:JQI852194 JQI917709:JQI917716 JQI917719:JQI917722 JQI917727:JQI917730 JQI983245:JQI983252 JQI983255:JQI983258 JQI983263:JQI983266 JZH207:JZH211 JZH217:JZH218 JZH223:JZH224 JZH65743:JZH65747 JZH65753:JZH65754 JZH65759:JZH65760 JZH131279:JZH131283 JZH131289:JZH131290 JZH131295:JZH131296 JZH196815:JZH196819 JZH196825:JZH196826 JZH196831:JZH196832 JZH262351:JZH262355 JZH262361:JZH262362 JZH262367:JZH262368 JZH327887:JZH327891 JZH327897:JZH327898 JZH327903:JZH327904 JZH393423:JZH393427 JZH393433:JZH393434 JZH393439:JZH393440 JZH458959:JZH458963 JZH458969:JZH458970 JZH458975:JZH458976 JZH524495:JZH524499 JZH524505:JZH524506 JZH524511:JZH524512 JZH590031:JZH590035 JZH590041:JZH590042 JZH590047:JZH590048 JZH655567:JZH655571 JZH655577:JZH655578 JZH655583:JZH655584 JZH721103:JZH721107 JZH721113:JZH721114 JZH721119:JZH721120 JZH786639:JZH786643 JZH786649:JZH786650 JZH786655:JZH786656 JZH852175:JZH852179 JZH852185:JZH852186 JZH852191:JZH852192 JZH917711:JZH917715 JZH917721:JZH917722 JZH917727:JZH917728 JZH983247:JZH983251 JZH983257:JZH983258 JZH983263:JZH983264 JZT6:JZT65536 JZT65542:JZT131072 JZT131078:JZT196608 JZT196614:JZT262144 JZT262150:JZT327680 JZT327686:JZT393216 JZT393222:JZT458752 JZT458758:JZT524288 JZT524294:JZT589824 JZT589830:JZT655360 JZT655366:JZT720896 JZT720902:JZT786432 JZT786438:JZT851968 JZT851974:JZT917504 JZT917510:JZT983040 JZT983046:JZT1048576 JZV207:JZV211 JZV217:JZV218 JZV223:JZV224 JZV65743:JZV65747 JZV65753:JZV65754 JZV65759:JZV65760 JZV131279:JZV131283 JZV131289:JZV131290 JZV131295:JZV131296 JZV196815:JZV196819 JZV196825:JZV196826 JZV196831:JZV196832 JZV262351:JZV262355 JZV262361:JZV262362 JZV262367:JZV262368 JZV327887:JZV327891 JZV327897:JZV327898 JZV327903:JZV327904 JZV393423:JZV393427 JZV393433:JZV393434 JZV393439:JZV393440 JZV458959:JZV458963 JZV458969:JZV458970 JZV458975:JZV458976 JZV524495:JZV524499 JZV524505:JZV524506 JZV524511:JZV524512 JZV590031:JZV590035 JZV590041:JZV590042 JZV590047:JZV590048 JZV655567:JZV655571 JZV655577:JZV655578 JZV655583:JZV655584 JZV721103:JZV721107 JZV721113:JZV721114 JZV721119:JZV721120 JZV786639:JZV786643 JZV786649:JZV786650 JZV786655:JZV786656 JZV852175:JZV852179 JZV852185:JZV852186 JZV852191:JZV852192 JZV917711:JZV917715 JZV917721:JZV917722 JZV917727:JZV917728 JZV983247:JZV983251 JZV983257:JZV983258 JZV983263:JZV983264 KAE205:KAE212 KAE215:KAE218 KAE223:KAE226 KAE65741:KAE65748 KAE65751:KAE65754 KAE65759:KAE65762 KAE131277:KAE131284 KAE131287:KAE131290 KAE131295:KAE131298 KAE196813:KAE196820 KAE196823:KAE196826 KAE196831:KAE196834 KAE262349:KAE262356 KAE262359:KAE262362 KAE262367:KAE262370 KAE327885:KAE327892 KAE327895:KAE327898 KAE327903:KAE327906 KAE393421:KAE393428 KAE393431:KAE393434 KAE393439:KAE393442 KAE458957:KAE458964 KAE458967:KAE458970 KAE458975:KAE458978 KAE524493:KAE524500 KAE524503:KAE524506 KAE524511:KAE524514 KAE590029:KAE590036 KAE590039:KAE590042 KAE590047:KAE590050 KAE655565:KAE655572 KAE655575:KAE655578 KAE655583:KAE655586 KAE721101:KAE721108 KAE721111:KAE721114 KAE721119:KAE721122 KAE786637:KAE786644 KAE786647:KAE786650 KAE786655:KAE786658 KAE852173:KAE852180 KAE852183:KAE852186 KAE852191:KAE852194 KAE917709:KAE917716 KAE917719:KAE917722 KAE917727:KAE917730 KAE983245:KAE983252 KAE983255:KAE983258 KAE983263:KAE983266 KJD207:KJD211 KJD217:KJD218 KJD223:KJD224 KJD65743:KJD65747 KJD65753:KJD65754 KJD65759:KJD65760 KJD131279:KJD131283 KJD131289:KJD131290 KJD131295:KJD131296 KJD196815:KJD196819 KJD196825:KJD196826 KJD196831:KJD196832 KJD262351:KJD262355 KJD262361:KJD262362 KJD262367:KJD262368 KJD327887:KJD327891 KJD327897:KJD327898 KJD327903:KJD327904 KJD393423:KJD393427 KJD393433:KJD393434 KJD393439:KJD393440 KJD458959:KJD458963 KJD458969:KJD458970 KJD458975:KJD458976 KJD524495:KJD524499 KJD524505:KJD524506 KJD524511:KJD524512 KJD590031:KJD590035 KJD590041:KJD590042 KJD590047:KJD590048 KJD655567:KJD655571 KJD655577:KJD655578 KJD655583:KJD655584 KJD721103:KJD721107 KJD721113:KJD721114 KJD721119:KJD721120 KJD786639:KJD786643 KJD786649:KJD786650 KJD786655:KJD786656 KJD852175:KJD852179 KJD852185:KJD852186 KJD852191:KJD852192 KJD917711:KJD917715 KJD917721:KJD917722 KJD917727:KJD917728 KJD983247:KJD983251 KJD983257:KJD983258 KJD983263:KJD983264 KJP6:KJP65536 KJP65542:KJP131072 KJP131078:KJP196608 KJP196614:KJP262144 KJP262150:KJP327680 KJP327686:KJP393216 KJP393222:KJP458752 KJP458758:KJP524288 KJP524294:KJP589824 KJP589830:KJP655360 KJP655366:KJP720896 KJP720902:KJP786432 KJP786438:KJP851968 KJP851974:KJP917504 KJP917510:KJP983040 KJP983046:KJP1048576 KJR207:KJR211 KJR217:KJR218 KJR223:KJR224 KJR65743:KJR65747 KJR65753:KJR65754 KJR65759:KJR65760 KJR131279:KJR131283 KJR131289:KJR131290 KJR131295:KJR131296 KJR196815:KJR196819 KJR196825:KJR196826 KJR196831:KJR196832 KJR262351:KJR262355 KJR262361:KJR262362 KJR262367:KJR262368 KJR327887:KJR327891 KJR327897:KJR327898 KJR327903:KJR327904 KJR393423:KJR393427 KJR393433:KJR393434 KJR393439:KJR393440 KJR458959:KJR458963 KJR458969:KJR458970 KJR458975:KJR458976 KJR524495:KJR524499 KJR524505:KJR524506 KJR524511:KJR524512 KJR590031:KJR590035 KJR590041:KJR590042 KJR590047:KJR590048 KJR655567:KJR655571 KJR655577:KJR655578 KJR655583:KJR655584 KJR721103:KJR721107 KJR721113:KJR721114 KJR721119:KJR721120 KJR786639:KJR786643 KJR786649:KJR786650 KJR786655:KJR786656 KJR852175:KJR852179 KJR852185:KJR852186 KJR852191:KJR852192 KJR917711:KJR917715 KJR917721:KJR917722 KJR917727:KJR917728 KJR983247:KJR983251 KJR983257:KJR983258 KJR983263:KJR983264 KKA205:KKA212 KKA215:KKA218 KKA223:KKA226 KKA65741:KKA65748 KKA65751:KKA65754 KKA65759:KKA65762 KKA131277:KKA131284 KKA131287:KKA131290 KKA131295:KKA131298 KKA196813:KKA196820 KKA196823:KKA196826 KKA196831:KKA196834 KKA262349:KKA262356 KKA262359:KKA262362 KKA262367:KKA262370 KKA327885:KKA327892 KKA327895:KKA327898 KKA327903:KKA327906 KKA393421:KKA393428 KKA393431:KKA393434 KKA393439:KKA393442 KKA458957:KKA458964 KKA458967:KKA458970 KKA458975:KKA458978 KKA524493:KKA524500 KKA524503:KKA524506 KKA524511:KKA524514 KKA590029:KKA590036 KKA590039:KKA590042 KKA590047:KKA590050 KKA655565:KKA655572 KKA655575:KKA655578 KKA655583:KKA655586 KKA721101:KKA721108 KKA721111:KKA721114 KKA721119:KKA721122 KKA786637:KKA786644 KKA786647:KKA786650 KKA786655:KKA786658 KKA852173:KKA852180 KKA852183:KKA852186 KKA852191:KKA852194 KKA917709:KKA917716 KKA917719:KKA917722 KKA917727:KKA917730 KKA983245:KKA983252 KKA983255:KKA983258 KKA983263:KKA983266 KSZ207:KSZ211 KSZ217:KSZ218 KSZ223:KSZ224 KSZ65743:KSZ65747 KSZ65753:KSZ65754 KSZ65759:KSZ65760 KSZ131279:KSZ131283 KSZ131289:KSZ131290 KSZ131295:KSZ131296 KSZ196815:KSZ196819 KSZ196825:KSZ196826 KSZ196831:KSZ196832 KSZ262351:KSZ262355 KSZ262361:KSZ262362 KSZ262367:KSZ262368 KSZ327887:KSZ327891 KSZ327897:KSZ327898 KSZ327903:KSZ327904 KSZ393423:KSZ393427 KSZ393433:KSZ393434 KSZ393439:KSZ393440 KSZ458959:KSZ458963 KSZ458969:KSZ458970 KSZ458975:KSZ458976 KSZ524495:KSZ524499 KSZ524505:KSZ524506 KSZ524511:KSZ524512 KSZ590031:KSZ590035 KSZ590041:KSZ590042 KSZ590047:KSZ590048 KSZ655567:KSZ655571 KSZ655577:KSZ655578 KSZ655583:KSZ655584 KSZ721103:KSZ721107 KSZ721113:KSZ721114 KSZ721119:KSZ721120 KSZ786639:KSZ786643 KSZ786649:KSZ786650 KSZ786655:KSZ786656 KSZ852175:KSZ852179 KSZ852185:KSZ852186 KSZ852191:KSZ852192 KSZ917711:KSZ917715 KSZ917721:KSZ917722 KSZ917727:KSZ917728 KSZ983247:KSZ983251 KSZ983257:KSZ983258 KSZ983263:KSZ983264 KTL6:KTL65536 KTL65542:KTL131072 KTL131078:KTL196608 KTL196614:KTL262144 KTL262150:KTL327680 KTL327686:KTL393216 KTL393222:KTL458752 KTL458758:KTL524288 KTL524294:KTL589824 KTL589830:KTL655360 KTL655366:KTL720896 KTL720902:KTL786432 KTL786438:KTL851968 KTL851974:KTL917504 KTL917510:KTL983040 KTL983046:KTL1048576 KTN207:KTN211 KTN217:KTN218 KTN223:KTN224 KTN65743:KTN65747 KTN65753:KTN65754 KTN65759:KTN65760 KTN131279:KTN131283 KTN131289:KTN131290 KTN131295:KTN131296 KTN196815:KTN196819 KTN196825:KTN196826 KTN196831:KTN196832 KTN262351:KTN262355 KTN262361:KTN262362 KTN262367:KTN262368 KTN327887:KTN327891 KTN327897:KTN327898 KTN327903:KTN327904 KTN393423:KTN393427 KTN393433:KTN393434 KTN393439:KTN393440 KTN458959:KTN458963 KTN458969:KTN458970 KTN458975:KTN458976 KTN524495:KTN524499 KTN524505:KTN524506 KTN524511:KTN524512 KTN590031:KTN590035 KTN590041:KTN590042 KTN590047:KTN590048 KTN655567:KTN655571 KTN655577:KTN655578 KTN655583:KTN655584 KTN721103:KTN721107 KTN721113:KTN721114 KTN721119:KTN721120 KTN786639:KTN786643 KTN786649:KTN786650 KTN786655:KTN786656 KTN852175:KTN852179 KTN852185:KTN852186 KTN852191:KTN852192 KTN917711:KTN917715 KTN917721:KTN917722 KTN917727:KTN917728 KTN983247:KTN983251 KTN983257:KTN983258 KTN983263:KTN983264 KTW205:KTW212 KTW215:KTW218 KTW223:KTW226 KTW65741:KTW65748 KTW65751:KTW65754 KTW65759:KTW65762 KTW131277:KTW131284 KTW131287:KTW131290 KTW131295:KTW131298 KTW196813:KTW196820 KTW196823:KTW196826 KTW196831:KTW196834 KTW262349:KTW262356 KTW262359:KTW262362 KTW262367:KTW262370 KTW327885:KTW327892 KTW327895:KTW327898 KTW327903:KTW327906 KTW393421:KTW393428 KTW393431:KTW393434 KTW393439:KTW393442 KTW458957:KTW458964 KTW458967:KTW458970 KTW458975:KTW458978 KTW524493:KTW524500 KTW524503:KTW524506 KTW524511:KTW524514 KTW590029:KTW590036 KTW590039:KTW590042 KTW590047:KTW590050 KTW655565:KTW655572 KTW655575:KTW655578 KTW655583:KTW655586 KTW721101:KTW721108 KTW721111:KTW721114 KTW721119:KTW721122 KTW786637:KTW786644 KTW786647:KTW786650 KTW786655:KTW786658 KTW852173:KTW852180 KTW852183:KTW852186 KTW852191:KTW852194 KTW917709:KTW917716 KTW917719:KTW917722 KTW917727:KTW917730 KTW983245:KTW983252 KTW983255:KTW983258 KTW983263:KTW983266 LCV207:LCV211 LCV217:LCV218 LCV223:LCV224 LCV65743:LCV65747 LCV65753:LCV65754 LCV65759:LCV65760 LCV131279:LCV131283 LCV131289:LCV131290 LCV131295:LCV131296 LCV196815:LCV196819 LCV196825:LCV196826 LCV196831:LCV196832 LCV262351:LCV262355 LCV262361:LCV262362 LCV262367:LCV262368 LCV327887:LCV327891 LCV327897:LCV327898 LCV327903:LCV327904 LCV393423:LCV393427 LCV393433:LCV393434 LCV393439:LCV393440 LCV458959:LCV458963 LCV458969:LCV458970 LCV458975:LCV458976 LCV524495:LCV524499 LCV524505:LCV524506 LCV524511:LCV524512 LCV590031:LCV590035 LCV590041:LCV590042 LCV590047:LCV590048 LCV655567:LCV655571 LCV655577:LCV655578 LCV655583:LCV655584 LCV721103:LCV721107 LCV721113:LCV721114 LCV721119:LCV721120 LCV786639:LCV786643 LCV786649:LCV786650 LCV786655:LCV786656 LCV852175:LCV852179 LCV852185:LCV852186 LCV852191:LCV852192 LCV917711:LCV917715 LCV917721:LCV917722 LCV917727:LCV917728 LCV983247:LCV983251 LCV983257:LCV983258 LCV983263:LCV983264 LDH6:LDH65536 LDH65542:LDH131072 LDH131078:LDH196608 LDH196614:LDH262144 LDH262150:LDH327680 LDH327686:LDH393216 LDH393222:LDH458752 LDH458758:LDH524288 LDH524294:LDH589824 LDH589830:LDH655360 LDH655366:LDH720896 LDH720902:LDH786432 LDH786438:LDH851968 LDH851974:LDH917504 LDH917510:LDH983040 LDH983046:LDH1048576 LDJ207:LDJ211 LDJ217:LDJ218 LDJ223:LDJ224 LDJ65743:LDJ65747 LDJ65753:LDJ65754 LDJ65759:LDJ65760 LDJ131279:LDJ131283 LDJ131289:LDJ131290 LDJ131295:LDJ131296 LDJ196815:LDJ196819 LDJ196825:LDJ196826 LDJ196831:LDJ196832 LDJ262351:LDJ262355 LDJ262361:LDJ262362 LDJ262367:LDJ262368 LDJ327887:LDJ327891 LDJ327897:LDJ327898 LDJ327903:LDJ327904 LDJ393423:LDJ393427 LDJ393433:LDJ393434 LDJ393439:LDJ393440 LDJ458959:LDJ458963 LDJ458969:LDJ458970 LDJ458975:LDJ458976 LDJ524495:LDJ524499 LDJ524505:LDJ524506 LDJ524511:LDJ524512 LDJ590031:LDJ590035 LDJ590041:LDJ590042 LDJ590047:LDJ590048 LDJ655567:LDJ655571 LDJ655577:LDJ655578 LDJ655583:LDJ655584 LDJ721103:LDJ721107 LDJ721113:LDJ721114 LDJ721119:LDJ721120 LDJ786639:LDJ786643 LDJ786649:LDJ786650 LDJ786655:LDJ786656 LDJ852175:LDJ852179 LDJ852185:LDJ852186 LDJ852191:LDJ852192 LDJ917711:LDJ917715 LDJ917721:LDJ917722 LDJ917727:LDJ917728 LDJ983247:LDJ983251 LDJ983257:LDJ983258 LDJ983263:LDJ983264 LDS205:LDS212 LDS215:LDS218 LDS223:LDS226 LDS65741:LDS65748 LDS65751:LDS65754 LDS65759:LDS65762 LDS131277:LDS131284 LDS131287:LDS131290 LDS131295:LDS131298 LDS196813:LDS196820 LDS196823:LDS196826 LDS196831:LDS196834 LDS262349:LDS262356 LDS262359:LDS262362 LDS262367:LDS262370 LDS327885:LDS327892 LDS327895:LDS327898 LDS327903:LDS327906 LDS393421:LDS393428 LDS393431:LDS393434 LDS393439:LDS393442 LDS458957:LDS458964 LDS458967:LDS458970 LDS458975:LDS458978 LDS524493:LDS524500 LDS524503:LDS524506 LDS524511:LDS524514 LDS590029:LDS590036 LDS590039:LDS590042 LDS590047:LDS590050 LDS655565:LDS655572 LDS655575:LDS655578 LDS655583:LDS655586 LDS721101:LDS721108 LDS721111:LDS721114 LDS721119:LDS721122 LDS786637:LDS786644 LDS786647:LDS786650 LDS786655:LDS786658 LDS852173:LDS852180 LDS852183:LDS852186 LDS852191:LDS852194 LDS917709:LDS917716 LDS917719:LDS917722 LDS917727:LDS917730 LDS983245:LDS983252 LDS983255:LDS983258 LDS983263:LDS983266 LMR207:LMR211 LMR217:LMR218 LMR223:LMR224 LMR65743:LMR65747 LMR65753:LMR65754 LMR65759:LMR65760 LMR131279:LMR131283 LMR131289:LMR131290 LMR131295:LMR131296 LMR196815:LMR196819 LMR196825:LMR196826 LMR196831:LMR196832 LMR262351:LMR262355 LMR262361:LMR262362 LMR262367:LMR262368 LMR327887:LMR327891 LMR327897:LMR327898 LMR327903:LMR327904 LMR393423:LMR393427 LMR393433:LMR393434 LMR393439:LMR393440 LMR458959:LMR458963 LMR458969:LMR458970 LMR458975:LMR458976 LMR524495:LMR524499 LMR524505:LMR524506 LMR524511:LMR524512 LMR590031:LMR590035 LMR590041:LMR590042 LMR590047:LMR590048 LMR655567:LMR655571 LMR655577:LMR655578 LMR655583:LMR655584 LMR721103:LMR721107 LMR721113:LMR721114 LMR721119:LMR721120 LMR786639:LMR786643 LMR786649:LMR786650 LMR786655:LMR786656 LMR852175:LMR852179 LMR852185:LMR852186 LMR852191:LMR852192 LMR917711:LMR917715 LMR917721:LMR917722 LMR917727:LMR917728 LMR983247:LMR983251 LMR983257:LMR983258 LMR983263:LMR983264 LND6:LND65536 LND65542:LND131072 LND131078:LND196608 LND196614:LND262144 LND262150:LND327680 LND327686:LND393216 LND393222:LND458752 LND458758:LND524288 LND524294:LND589824 LND589830:LND655360 LND655366:LND720896 LND720902:LND786432 LND786438:LND851968 LND851974:LND917504 LND917510:LND983040 LND983046:LND1048576 LNF207:LNF211 LNF217:LNF218 LNF223:LNF224 LNF65743:LNF65747 LNF65753:LNF65754 LNF65759:LNF65760 LNF131279:LNF131283 LNF131289:LNF131290 LNF131295:LNF131296 LNF196815:LNF196819 LNF196825:LNF196826 LNF196831:LNF196832 LNF262351:LNF262355 LNF262361:LNF262362 LNF262367:LNF262368 LNF327887:LNF327891 LNF327897:LNF327898 LNF327903:LNF327904 LNF393423:LNF393427 LNF393433:LNF393434 LNF393439:LNF393440 LNF458959:LNF458963 LNF458969:LNF458970 LNF458975:LNF458976 LNF524495:LNF524499 LNF524505:LNF524506 LNF524511:LNF524512 LNF590031:LNF590035 LNF590041:LNF590042 LNF590047:LNF590048 LNF655567:LNF655571 LNF655577:LNF655578 LNF655583:LNF655584 LNF721103:LNF721107 LNF721113:LNF721114 LNF721119:LNF721120 LNF786639:LNF786643 LNF786649:LNF786650 LNF786655:LNF786656 LNF852175:LNF852179 LNF852185:LNF852186 LNF852191:LNF852192 LNF917711:LNF917715 LNF917721:LNF917722 LNF917727:LNF917728 LNF983247:LNF983251 LNF983257:LNF983258 LNF983263:LNF983264 LNO205:LNO212 LNO215:LNO218 LNO223:LNO226 LNO65741:LNO65748 LNO65751:LNO65754 LNO65759:LNO65762 LNO131277:LNO131284 LNO131287:LNO131290 LNO131295:LNO131298 LNO196813:LNO196820 LNO196823:LNO196826 LNO196831:LNO196834 LNO262349:LNO262356 LNO262359:LNO262362 LNO262367:LNO262370 LNO327885:LNO327892 LNO327895:LNO327898 LNO327903:LNO327906 LNO393421:LNO393428 LNO393431:LNO393434 LNO393439:LNO393442 LNO458957:LNO458964 LNO458967:LNO458970 LNO458975:LNO458978 LNO524493:LNO524500 LNO524503:LNO524506 LNO524511:LNO524514 LNO590029:LNO590036 LNO590039:LNO590042 LNO590047:LNO590050 LNO655565:LNO655572 LNO655575:LNO655578 LNO655583:LNO655586 LNO721101:LNO721108 LNO721111:LNO721114 LNO721119:LNO721122 LNO786637:LNO786644 LNO786647:LNO786650 LNO786655:LNO786658 LNO852173:LNO852180 LNO852183:LNO852186 LNO852191:LNO852194 LNO917709:LNO917716 LNO917719:LNO917722 LNO917727:LNO917730 LNO983245:LNO983252 LNO983255:LNO983258 LNO983263:LNO983266 LWN207:LWN211 LWN217:LWN218 LWN223:LWN224 LWN65743:LWN65747 LWN65753:LWN65754 LWN65759:LWN65760 LWN131279:LWN131283 LWN131289:LWN131290 LWN131295:LWN131296 LWN196815:LWN196819 LWN196825:LWN196826 LWN196831:LWN196832 LWN262351:LWN262355 LWN262361:LWN262362 LWN262367:LWN262368 LWN327887:LWN327891 LWN327897:LWN327898 LWN327903:LWN327904 LWN393423:LWN393427 LWN393433:LWN393434 LWN393439:LWN393440 LWN458959:LWN458963 LWN458969:LWN458970 LWN458975:LWN458976 LWN524495:LWN524499 LWN524505:LWN524506 LWN524511:LWN524512 LWN590031:LWN590035 LWN590041:LWN590042 LWN590047:LWN590048 LWN655567:LWN655571 LWN655577:LWN655578 LWN655583:LWN655584 LWN721103:LWN721107 LWN721113:LWN721114 LWN721119:LWN721120 LWN786639:LWN786643 LWN786649:LWN786650 LWN786655:LWN786656 LWN852175:LWN852179 LWN852185:LWN852186 LWN852191:LWN852192 LWN917711:LWN917715 LWN917721:LWN917722 LWN917727:LWN917728 LWN983247:LWN983251 LWN983257:LWN983258 LWN983263:LWN983264 LWZ6:LWZ65536 LWZ65542:LWZ131072 LWZ131078:LWZ196608 LWZ196614:LWZ262144 LWZ262150:LWZ327680 LWZ327686:LWZ393216 LWZ393222:LWZ458752 LWZ458758:LWZ524288 LWZ524294:LWZ589824 LWZ589830:LWZ655360 LWZ655366:LWZ720896 LWZ720902:LWZ786432 LWZ786438:LWZ851968 LWZ851974:LWZ917504 LWZ917510:LWZ983040 LWZ983046:LWZ1048576 LXB207:LXB211 LXB217:LXB218 LXB223:LXB224 LXB65743:LXB65747 LXB65753:LXB65754 LXB65759:LXB65760 LXB131279:LXB131283 LXB131289:LXB131290 LXB131295:LXB131296 LXB196815:LXB196819 LXB196825:LXB196826 LXB196831:LXB196832 LXB262351:LXB262355 LXB262361:LXB262362 LXB262367:LXB262368 LXB327887:LXB327891 LXB327897:LXB327898 LXB327903:LXB327904 LXB393423:LXB393427 LXB393433:LXB393434 LXB393439:LXB393440 LXB458959:LXB458963 LXB458969:LXB458970 LXB458975:LXB458976 LXB524495:LXB524499 LXB524505:LXB524506 LXB524511:LXB524512 LXB590031:LXB590035 LXB590041:LXB590042 LXB590047:LXB590048 LXB655567:LXB655571 LXB655577:LXB655578 LXB655583:LXB655584 LXB721103:LXB721107 LXB721113:LXB721114 LXB721119:LXB721120 LXB786639:LXB786643 LXB786649:LXB786650 LXB786655:LXB786656 LXB852175:LXB852179 LXB852185:LXB852186 LXB852191:LXB852192 LXB917711:LXB917715 LXB917721:LXB917722 LXB917727:LXB917728 LXB983247:LXB983251 LXB983257:LXB983258 LXB983263:LXB983264 LXK205:LXK212 LXK215:LXK218 LXK223:LXK226 LXK65741:LXK65748 LXK65751:LXK65754 LXK65759:LXK65762 LXK131277:LXK131284 LXK131287:LXK131290 LXK131295:LXK131298 LXK196813:LXK196820 LXK196823:LXK196826 LXK196831:LXK196834 LXK262349:LXK262356 LXK262359:LXK262362 LXK262367:LXK262370 LXK327885:LXK327892 LXK327895:LXK327898 LXK327903:LXK327906 LXK393421:LXK393428 LXK393431:LXK393434 LXK393439:LXK393442 LXK458957:LXK458964 LXK458967:LXK458970 LXK458975:LXK458978 LXK524493:LXK524500 LXK524503:LXK524506 LXK524511:LXK524514 LXK590029:LXK590036 LXK590039:LXK590042 LXK590047:LXK590050 LXK655565:LXK655572 LXK655575:LXK655578 LXK655583:LXK655586 LXK721101:LXK721108 LXK721111:LXK721114 LXK721119:LXK721122 LXK786637:LXK786644 LXK786647:LXK786650 LXK786655:LXK786658 LXK852173:LXK852180 LXK852183:LXK852186 LXK852191:LXK852194 LXK917709:LXK917716 LXK917719:LXK917722 LXK917727:LXK917730 LXK983245:LXK983252 LXK983255:LXK983258 LXK983263:LXK983266 MGJ207:MGJ211 MGJ217:MGJ218 MGJ223:MGJ224 MGJ65743:MGJ65747 MGJ65753:MGJ65754 MGJ65759:MGJ65760 MGJ131279:MGJ131283 MGJ131289:MGJ131290 MGJ131295:MGJ131296 MGJ196815:MGJ196819 MGJ196825:MGJ196826 MGJ196831:MGJ196832 MGJ262351:MGJ262355 MGJ262361:MGJ262362 MGJ262367:MGJ262368 MGJ327887:MGJ327891 MGJ327897:MGJ327898 MGJ327903:MGJ327904 MGJ393423:MGJ393427 MGJ393433:MGJ393434 MGJ393439:MGJ393440 MGJ458959:MGJ458963 MGJ458969:MGJ458970 MGJ458975:MGJ458976 MGJ524495:MGJ524499 MGJ524505:MGJ524506 MGJ524511:MGJ524512 MGJ590031:MGJ590035 MGJ590041:MGJ590042 MGJ590047:MGJ590048 MGJ655567:MGJ655571 MGJ655577:MGJ655578 MGJ655583:MGJ655584 MGJ721103:MGJ721107 MGJ721113:MGJ721114 MGJ721119:MGJ721120 MGJ786639:MGJ786643 MGJ786649:MGJ786650 MGJ786655:MGJ786656 MGJ852175:MGJ852179 MGJ852185:MGJ852186 MGJ852191:MGJ852192 MGJ917711:MGJ917715 MGJ917721:MGJ917722 MGJ917727:MGJ917728 MGJ983247:MGJ983251 MGJ983257:MGJ983258 MGJ983263:MGJ983264 MGV6:MGV65536 MGV65542:MGV131072 MGV131078:MGV196608 MGV196614:MGV262144 MGV262150:MGV327680 MGV327686:MGV393216 MGV393222:MGV458752 MGV458758:MGV524288 MGV524294:MGV589824 MGV589830:MGV655360 MGV655366:MGV720896 MGV720902:MGV786432 MGV786438:MGV851968 MGV851974:MGV917504 MGV917510:MGV983040 MGV983046:MGV1048576 MGX207:MGX211 MGX217:MGX218 MGX223:MGX224 MGX65743:MGX65747 MGX65753:MGX65754 MGX65759:MGX65760 MGX131279:MGX131283 MGX131289:MGX131290 MGX131295:MGX131296 MGX196815:MGX196819 MGX196825:MGX196826 MGX196831:MGX196832 MGX262351:MGX262355 MGX262361:MGX262362 MGX262367:MGX262368 MGX327887:MGX327891 MGX327897:MGX327898 MGX327903:MGX327904 MGX393423:MGX393427 MGX393433:MGX393434 MGX393439:MGX393440 MGX458959:MGX458963 MGX458969:MGX458970 MGX458975:MGX458976 MGX524495:MGX524499 MGX524505:MGX524506 MGX524511:MGX524512 MGX590031:MGX590035 MGX590041:MGX590042 MGX590047:MGX590048 MGX655567:MGX655571 MGX655577:MGX655578 MGX655583:MGX655584 MGX721103:MGX721107 MGX721113:MGX721114 MGX721119:MGX721120 MGX786639:MGX786643 MGX786649:MGX786650 MGX786655:MGX786656 MGX852175:MGX852179 MGX852185:MGX852186 MGX852191:MGX852192 MGX917711:MGX917715 MGX917721:MGX917722 MGX917727:MGX917728 MGX983247:MGX983251 MGX983257:MGX983258 MGX983263:MGX983264 MHG205:MHG212 MHG215:MHG218 MHG223:MHG226 MHG65741:MHG65748 MHG65751:MHG65754 MHG65759:MHG65762 MHG131277:MHG131284 MHG131287:MHG131290 MHG131295:MHG131298 MHG196813:MHG196820 MHG196823:MHG196826 MHG196831:MHG196834 MHG262349:MHG262356 MHG262359:MHG262362 MHG262367:MHG262370 MHG327885:MHG327892 MHG327895:MHG327898 MHG327903:MHG327906 MHG393421:MHG393428 MHG393431:MHG393434 MHG393439:MHG393442 MHG458957:MHG458964 MHG458967:MHG458970 MHG458975:MHG458978 MHG524493:MHG524500 MHG524503:MHG524506 MHG524511:MHG524514 MHG590029:MHG590036 MHG590039:MHG590042 MHG590047:MHG590050 MHG655565:MHG655572 MHG655575:MHG655578 MHG655583:MHG655586 MHG721101:MHG721108 MHG721111:MHG721114 MHG721119:MHG721122 MHG786637:MHG786644 MHG786647:MHG786650 MHG786655:MHG786658 MHG852173:MHG852180 MHG852183:MHG852186 MHG852191:MHG852194 MHG917709:MHG917716 MHG917719:MHG917722 MHG917727:MHG917730 MHG983245:MHG983252 MHG983255:MHG983258 MHG983263:MHG983266 MQF207:MQF211 MQF217:MQF218 MQF223:MQF224 MQF65743:MQF65747 MQF65753:MQF65754 MQF65759:MQF65760 MQF131279:MQF131283 MQF131289:MQF131290 MQF131295:MQF131296 MQF196815:MQF196819 MQF196825:MQF196826 MQF196831:MQF196832 MQF262351:MQF262355 MQF262361:MQF262362 MQF262367:MQF262368 MQF327887:MQF327891 MQF327897:MQF327898 MQF327903:MQF327904 MQF393423:MQF393427 MQF393433:MQF393434 MQF393439:MQF393440 MQF458959:MQF458963 MQF458969:MQF458970 MQF458975:MQF458976 MQF524495:MQF524499 MQF524505:MQF524506 MQF524511:MQF524512 MQF590031:MQF590035 MQF590041:MQF590042 MQF590047:MQF590048 MQF655567:MQF655571 MQF655577:MQF655578 MQF655583:MQF655584 MQF721103:MQF721107 MQF721113:MQF721114 MQF721119:MQF721120 MQF786639:MQF786643 MQF786649:MQF786650 MQF786655:MQF786656 MQF852175:MQF852179 MQF852185:MQF852186 MQF852191:MQF852192 MQF917711:MQF917715 MQF917721:MQF917722 MQF917727:MQF917728 MQF983247:MQF983251 MQF983257:MQF983258 MQF983263:MQF983264 MQR6:MQR65536 MQR65542:MQR131072 MQR131078:MQR196608 MQR196614:MQR262144 MQR262150:MQR327680 MQR327686:MQR393216 MQR393222:MQR458752 MQR458758:MQR524288 MQR524294:MQR589824 MQR589830:MQR655360 MQR655366:MQR720896 MQR720902:MQR786432 MQR786438:MQR851968 MQR851974:MQR917504 MQR917510:MQR983040 MQR983046:MQR1048576 MQT207:MQT211 MQT217:MQT218 MQT223:MQT224 MQT65743:MQT65747 MQT65753:MQT65754 MQT65759:MQT65760 MQT131279:MQT131283 MQT131289:MQT131290 MQT131295:MQT131296 MQT196815:MQT196819 MQT196825:MQT196826 MQT196831:MQT196832 MQT262351:MQT262355 MQT262361:MQT262362 MQT262367:MQT262368 MQT327887:MQT327891 MQT327897:MQT327898 MQT327903:MQT327904 MQT393423:MQT393427 MQT393433:MQT393434 MQT393439:MQT393440 MQT458959:MQT458963 MQT458969:MQT458970 MQT458975:MQT458976 MQT524495:MQT524499 MQT524505:MQT524506 MQT524511:MQT524512 MQT590031:MQT590035 MQT590041:MQT590042 MQT590047:MQT590048 MQT655567:MQT655571 MQT655577:MQT655578 MQT655583:MQT655584 MQT721103:MQT721107 MQT721113:MQT721114 MQT721119:MQT721120 MQT786639:MQT786643 MQT786649:MQT786650 MQT786655:MQT786656 MQT852175:MQT852179 MQT852185:MQT852186 MQT852191:MQT852192 MQT917711:MQT917715 MQT917721:MQT917722 MQT917727:MQT917728 MQT983247:MQT983251 MQT983257:MQT983258 MQT983263:MQT983264 MRC205:MRC212 MRC215:MRC218 MRC223:MRC226 MRC65741:MRC65748 MRC65751:MRC65754 MRC65759:MRC65762 MRC131277:MRC131284 MRC131287:MRC131290 MRC131295:MRC131298 MRC196813:MRC196820 MRC196823:MRC196826 MRC196831:MRC196834 MRC262349:MRC262356 MRC262359:MRC262362 MRC262367:MRC262370 MRC327885:MRC327892 MRC327895:MRC327898 MRC327903:MRC327906 MRC393421:MRC393428 MRC393431:MRC393434 MRC393439:MRC393442 MRC458957:MRC458964 MRC458967:MRC458970 MRC458975:MRC458978 MRC524493:MRC524500 MRC524503:MRC524506 MRC524511:MRC524514 MRC590029:MRC590036 MRC590039:MRC590042 MRC590047:MRC590050 MRC655565:MRC655572 MRC655575:MRC655578 MRC655583:MRC655586 MRC721101:MRC721108 MRC721111:MRC721114 MRC721119:MRC721122 MRC786637:MRC786644 MRC786647:MRC786650 MRC786655:MRC786658 MRC852173:MRC852180 MRC852183:MRC852186 MRC852191:MRC852194 MRC917709:MRC917716 MRC917719:MRC917722 MRC917727:MRC917730 MRC983245:MRC983252 MRC983255:MRC983258 MRC983263:MRC983266 NAB207:NAB211 NAB217:NAB218 NAB223:NAB224 NAB65743:NAB65747 NAB65753:NAB65754 NAB65759:NAB65760 NAB131279:NAB131283 NAB131289:NAB131290 NAB131295:NAB131296 NAB196815:NAB196819 NAB196825:NAB196826 NAB196831:NAB196832 NAB262351:NAB262355 NAB262361:NAB262362 NAB262367:NAB262368 NAB327887:NAB327891 NAB327897:NAB327898 NAB327903:NAB327904 NAB393423:NAB393427 NAB393433:NAB393434 NAB393439:NAB393440 NAB458959:NAB458963 NAB458969:NAB458970 NAB458975:NAB458976 NAB524495:NAB524499 NAB524505:NAB524506 NAB524511:NAB524512 NAB590031:NAB590035 NAB590041:NAB590042 NAB590047:NAB590048 NAB655567:NAB655571 NAB655577:NAB655578 NAB655583:NAB655584 NAB721103:NAB721107 NAB721113:NAB721114 NAB721119:NAB721120 NAB786639:NAB786643 NAB786649:NAB786650 NAB786655:NAB786656 NAB852175:NAB852179 NAB852185:NAB852186 NAB852191:NAB852192 NAB917711:NAB917715 NAB917721:NAB917722 NAB917727:NAB917728 NAB983247:NAB983251 NAB983257:NAB983258 NAB983263:NAB983264 NAN6:NAN65536 NAN65542:NAN131072 NAN131078:NAN196608 NAN196614:NAN262144 NAN262150:NAN327680 NAN327686:NAN393216 NAN393222:NAN458752 NAN458758:NAN524288 NAN524294:NAN589824 NAN589830:NAN655360 NAN655366:NAN720896 NAN720902:NAN786432 NAN786438:NAN851968 NAN851974:NAN917504 NAN917510:NAN983040 NAN983046:NAN1048576 NAP207:NAP211 NAP217:NAP218 NAP223:NAP224 NAP65743:NAP65747 NAP65753:NAP65754 NAP65759:NAP65760 NAP131279:NAP131283 NAP131289:NAP131290 NAP131295:NAP131296 NAP196815:NAP196819 NAP196825:NAP196826 NAP196831:NAP196832 NAP262351:NAP262355 NAP262361:NAP262362 NAP262367:NAP262368 NAP327887:NAP327891 NAP327897:NAP327898 NAP327903:NAP327904 NAP393423:NAP393427 NAP393433:NAP393434 NAP393439:NAP393440 NAP458959:NAP458963 NAP458969:NAP458970 NAP458975:NAP458976 NAP524495:NAP524499 NAP524505:NAP524506 NAP524511:NAP524512 NAP590031:NAP590035 NAP590041:NAP590042 NAP590047:NAP590048 NAP655567:NAP655571 NAP655577:NAP655578 NAP655583:NAP655584 NAP721103:NAP721107 NAP721113:NAP721114 NAP721119:NAP721120 NAP786639:NAP786643 NAP786649:NAP786650 NAP786655:NAP786656 NAP852175:NAP852179 NAP852185:NAP852186 NAP852191:NAP852192 NAP917711:NAP917715 NAP917721:NAP917722 NAP917727:NAP917728 NAP983247:NAP983251 NAP983257:NAP983258 NAP983263:NAP983264 NAY205:NAY212 NAY215:NAY218 NAY223:NAY226 NAY65741:NAY65748 NAY65751:NAY65754 NAY65759:NAY65762 NAY131277:NAY131284 NAY131287:NAY131290 NAY131295:NAY131298 NAY196813:NAY196820 NAY196823:NAY196826 NAY196831:NAY196834 NAY262349:NAY262356 NAY262359:NAY262362 NAY262367:NAY262370 NAY327885:NAY327892 NAY327895:NAY327898 NAY327903:NAY327906 NAY393421:NAY393428 NAY393431:NAY393434 NAY393439:NAY393442 NAY458957:NAY458964 NAY458967:NAY458970 NAY458975:NAY458978 NAY524493:NAY524500 NAY524503:NAY524506 NAY524511:NAY524514 NAY590029:NAY590036 NAY590039:NAY590042 NAY590047:NAY590050 NAY655565:NAY655572 NAY655575:NAY655578 NAY655583:NAY655586 NAY721101:NAY721108 NAY721111:NAY721114 NAY721119:NAY721122 NAY786637:NAY786644 NAY786647:NAY786650 NAY786655:NAY786658 NAY852173:NAY852180 NAY852183:NAY852186 NAY852191:NAY852194 NAY917709:NAY917716 NAY917719:NAY917722 NAY917727:NAY917730 NAY983245:NAY983252 NAY983255:NAY983258 NAY983263:NAY983266 NJX207:NJX211 NJX217:NJX218 NJX223:NJX224 NJX65743:NJX65747 NJX65753:NJX65754 NJX65759:NJX65760 NJX131279:NJX131283 NJX131289:NJX131290 NJX131295:NJX131296 NJX196815:NJX196819 NJX196825:NJX196826 NJX196831:NJX196832 NJX262351:NJX262355 NJX262361:NJX262362 NJX262367:NJX262368 NJX327887:NJX327891 NJX327897:NJX327898 NJX327903:NJX327904 NJX393423:NJX393427 NJX393433:NJX393434 NJX393439:NJX393440 NJX458959:NJX458963 NJX458969:NJX458970 NJX458975:NJX458976 NJX524495:NJX524499 NJX524505:NJX524506 NJX524511:NJX524512 NJX590031:NJX590035 NJX590041:NJX590042 NJX590047:NJX590048 NJX655567:NJX655571 NJX655577:NJX655578 NJX655583:NJX655584 NJX721103:NJX721107 NJX721113:NJX721114 NJX721119:NJX721120 NJX786639:NJX786643 NJX786649:NJX786650 NJX786655:NJX786656 NJX852175:NJX852179 NJX852185:NJX852186 NJX852191:NJX852192 NJX917711:NJX917715 NJX917721:NJX917722 NJX917727:NJX917728 NJX983247:NJX983251 NJX983257:NJX983258 NJX983263:NJX983264 NKJ6:NKJ65536 NKJ65542:NKJ131072 NKJ131078:NKJ196608 NKJ196614:NKJ262144 NKJ262150:NKJ327680 NKJ327686:NKJ393216 NKJ393222:NKJ458752 NKJ458758:NKJ524288 NKJ524294:NKJ589824 NKJ589830:NKJ655360 NKJ655366:NKJ720896 NKJ720902:NKJ786432 NKJ786438:NKJ851968 NKJ851974:NKJ917504 NKJ917510:NKJ983040 NKJ983046:NKJ1048576 NKL207:NKL211 NKL217:NKL218 NKL223:NKL224 NKL65743:NKL65747 NKL65753:NKL65754 NKL65759:NKL65760 NKL131279:NKL131283 NKL131289:NKL131290 NKL131295:NKL131296 NKL196815:NKL196819 NKL196825:NKL196826 NKL196831:NKL196832 NKL262351:NKL262355 NKL262361:NKL262362 NKL262367:NKL262368 NKL327887:NKL327891 NKL327897:NKL327898 NKL327903:NKL327904 NKL393423:NKL393427 NKL393433:NKL393434 NKL393439:NKL393440 NKL458959:NKL458963 NKL458969:NKL458970 NKL458975:NKL458976 NKL524495:NKL524499 NKL524505:NKL524506 NKL524511:NKL524512 NKL590031:NKL590035 NKL590041:NKL590042 NKL590047:NKL590048 NKL655567:NKL655571 NKL655577:NKL655578 NKL655583:NKL655584 NKL721103:NKL721107 NKL721113:NKL721114 NKL721119:NKL721120 NKL786639:NKL786643 NKL786649:NKL786650 NKL786655:NKL786656 NKL852175:NKL852179 NKL852185:NKL852186 NKL852191:NKL852192 NKL917711:NKL917715 NKL917721:NKL917722 NKL917727:NKL917728 NKL983247:NKL983251 NKL983257:NKL983258 NKL983263:NKL983264 NKU205:NKU212 NKU215:NKU218 NKU223:NKU226 NKU65741:NKU65748 NKU65751:NKU65754 NKU65759:NKU65762 NKU131277:NKU131284 NKU131287:NKU131290 NKU131295:NKU131298 NKU196813:NKU196820 NKU196823:NKU196826 NKU196831:NKU196834 NKU262349:NKU262356 NKU262359:NKU262362 NKU262367:NKU262370 NKU327885:NKU327892 NKU327895:NKU327898 NKU327903:NKU327906 NKU393421:NKU393428 NKU393431:NKU393434 NKU393439:NKU393442 NKU458957:NKU458964 NKU458967:NKU458970 NKU458975:NKU458978 NKU524493:NKU524500 NKU524503:NKU524506 NKU524511:NKU524514 NKU590029:NKU590036 NKU590039:NKU590042 NKU590047:NKU590050 NKU655565:NKU655572 NKU655575:NKU655578 NKU655583:NKU655586 NKU721101:NKU721108 NKU721111:NKU721114 NKU721119:NKU721122 NKU786637:NKU786644 NKU786647:NKU786650 NKU786655:NKU786658 NKU852173:NKU852180 NKU852183:NKU852186 NKU852191:NKU852194 NKU917709:NKU917716 NKU917719:NKU917722 NKU917727:NKU917730 NKU983245:NKU983252 NKU983255:NKU983258 NKU983263:NKU983266 NTT207:NTT211 NTT217:NTT218 NTT223:NTT224 NTT65743:NTT65747 NTT65753:NTT65754 NTT65759:NTT65760 NTT131279:NTT131283 NTT131289:NTT131290 NTT131295:NTT131296 NTT196815:NTT196819 NTT196825:NTT196826 NTT196831:NTT196832 NTT262351:NTT262355 NTT262361:NTT262362 NTT262367:NTT262368 NTT327887:NTT327891 NTT327897:NTT327898 NTT327903:NTT327904 NTT393423:NTT393427 NTT393433:NTT393434 NTT393439:NTT393440 NTT458959:NTT458963 NTT458969:NTT458970 NTT458975:NTT458976 NTT524495:NTT524499 NTT524505:NTT524506 NTT524511:NTT524512 NTT590031:NTT590035 NTT590041:NTT590042 NTT590047:NTT590048 NTT655567:NTT655571 NTT655577:NTT655578 NTT655583:NTT655584 NTT721103:NTT721107 NTT721113:NTT721114 NTT721119:NTT721120 NTT786639:NTT786643 NTT786649:NTT786650 NTT786655:NTT786656 NTT852175:NTT852179 NTT852185:NTT852186 NTT852191:NTT852192 NTT917711:NTT917715 NTT917721:NTT917722 NTT917727:NTT917728 NTT983247:NTT983251 NTT983257:NTT983258 NTT983263:NTT983264 NUF6:NUF65536 NUF65542:NUF131072 NUF131078:NUF196608 NUF196614:NUF262144 NUF262150:NUF327680 NUF327686:NUF393216 NUF393222:NUF458752 NUF458758:NUF524288 NUF524294:NUF589824 NUF589830:NUF655360 NUF655366:NUF720896 NUF720902:NUF786432 NUF786438:NUF851968 NUF851974:NUF917504 NUF917510:NUF983040 NUF983046:NUF1048576 NUH207:NUH211 NUH217:NUH218 NUH223:NUH224 NUH65743:NUH65747 NUH65753:NUH65754 NUH65759:NUH65760 NUH131279:NUH131283 NUH131289:NUH131290 NUH131295:NUH131296 NUH196815:NUH196819 NUH196825:NUH196826 NUH196831:NUH196832 NUH262351:NUH262355 NUH262361:NUH262362 NUH262367:NUH262368 NUH327887:NUH327891 NUH327897:NUH327898 NUH327903:NUH327904 NUH393423:NUH393427 NUH393433:NUH393434 NUH393439:NUH393440 NUH458959:NUH458963 NUH458969:NUH458970 NUH458975:NUH458976 NUH524495:NUH524499 NUH524505:NUH524506 NUH524511:NUH524512 NUH590031:NUH590035 NUH590041:NUH590042 NUH590047:NUH590048 NUH655567:NUH655571 NUH655577:NUH655578 NUH655583:NUH655584 NUH721103:NUH721107 NUH721113:NUH721114 NUH721119:NUH721120 NUH786639:NUH786643 NUH786649:NUH786650 NUH786655:NUH786656 NUH852175:NUH852179 NUH852185:NUH852186 NUH852191:NUH852192 NUH917711:NUH917715 NUH917721:NUH917722 NUH917727:NUH917728 NUH983247:NUH983251 NUH983257:NUH983258 NUH983263:NUH983264 NUQ205:NUQ212 NUQ215:NUQ218 NUQ223:NUQ226 NUQ65741:NUQ65748 NUQ65751:NUQ65754 NUQ65759:NUQ65762 NUQ131277:NUQ131284 NUQ131287:NUQ131290 NUQ131295:NUQ131298 NUQ196813:NUQ196820 NUQ196823:NUQ196826 NUQ196831:NUQ196834 NUQ262349:NUQ262356 NUQ262359:NUQ262362 NUQ262367:NUQ262370 NUQ327885:NUQ327892 NUQ327895:NUQ327898 NUQ327903:NUQ327906 NUQ393421:NUQ393428 NUQ393431:NUQ393434 NUQ393439:NUQ393442 NUQ458957:NUQ458964 NUQ458967:NUQ458970 NUQ458975:NUQ458978 NUQ524493:NUQ524500 NUQ524503:NUQ524506 NUQ524511:NUQ524514 NUQ590029:NUQ590036 NUQ590039:NUQ590042 NUQ590047:NUQ590050 NUQ655565:NUQ655572 NUQ655575:NUQ655578 NUQ655583:NUQ655586 NUQ721101:NUQ721108 NUQ721111:NUQ721114 NUQ721119:NUQ721122 NUQ786637:NUQ786644 NUQ786647:NUQ786650 NUQ786655:NUQ786658 NUQ852173:NUQ852180 NUQ852183:NUQ852186 NUQ852191:NUQ852194 NUQ917709:NUQ917716 NUQ917719:NUQ917722 NUQ917727:NUQ917730 NUQ983245:NUQ983252 NUQ983255:NUQ983258 NUQ983263:NUQ983266 ODP207:ODP211 ODP217:ODP218 ODP223:ODP224 ODP65743:ODP65747 ODP65753:ODP65754 ODP65759:ODP65760 ODP131279:ODP131283 ODP131289:ODP131290 ODP131295:ODP131296 ODP196815:ODP196819 ODP196825:ODP196826 ODP196831:ODP196832 ODP262351:ODP262355 ODP262361:ODP262362 ODP262367:ODP262368 ODP327887:ODP327891 ODP327897:ODP327898 ODP327903:ODP327904 ODP393423:ODP393427 ODP393433:ODP393434 ODP393439:ODP393440 ODP458959:ODP458963 ODP458969:ODP458970 ODP458975:ODP458976 ODP524495:ODP524499 ODP524505:ODP524506 ODP524511:ODP524512 ODP590031:ODP590035 ODP590041:ODP590042 ODP590047:ODP590048 ODP655567:ODP655571 ODP655577:ODP655578 ODP655583:ODP655584 ODP721103:ODP721107 ODP721113:ODP721114 ODP721119:ODP721120 ODP786639:ODP786643 ODP786649:ODP786650 ODP786655:ODP786656 ODP852175:ODP852179 ODP852185:ODP852186 ODP852191:ODP852192 ODP917711:ODP917715 ODP917721:ODP917722 ODP917727:ODP917728 ODP983247:ODP983251 ODP983257:ODP983258 ODP983263:ODP983264 OEB6:OEB65536 OEB65542:OEB131072 OEB131078:OEB196608 OEB196614:OEB262144 OEB262150:OEB327680 OEB327686:OEB393216 OEB393222:OEB458752 OEB458758:OEB524288 OEB524294:OEB589824 OEB589830:OEB655360 OEB655366:OEB720896 OEB720902:OEB786432 OEB786438:OEB851968 OEB851974:OEB917504 OEB917510:OEB983040 OEB983046:OEB1048576 OED207:OED211 OED217:OED218 OED223:OED224 OED65743:OED65747 OED65753:OED65754 OED65759:OED65760 OED131279:OED131283 OED131289:OED131290 OED131295:OED131296 OED196815:OED196819 OED196825:OED196826 OED196831:OED196832 OED262351:OED262355 OED262361:OED262362 OED262367:OED262368 OED327887:OED327891 OED327897:OED327898 OED327903:OED327904 OED393423:OED393427 OED393433:OED393434 OED393439:OED393440 OED458959:OED458963 OED458969:OED458970 OED458975:OED458976 OED524495:OED524499 OED524505:OED524506 OED524511:OED524512 OED590031:OED590035 OED590041:OED590042 OED590047:OED590048 OED655567:OED655571 OED655577:OED655578 OED655583:OED655584 OED721103:OED721107 OED721113:OED721114 OED721119:OED721120 OED786639:OED786643 OED786649:OED786650 OED786655:OED786656 OED852175:OED852179 OED852185:OED852186 OED852191:OED852192 OED917711:OED917715 OED917721:OED917722 OED917727:OED917728 OED983247:OED983251 OED983257:OED983258 OED983263:OED983264 OEM205:OEM212 OEM215:OEM218 OEM223:OEM226 OEM65741:OEM65748 OEM65751:OEM65754 OEM65759:OEM65762 OEM131277:OEM131284 OEM131287:OEM131290 OEM131295:OEM131298 OEM196813:OEM196820 OEM196823:OEM196826 OEM196831:OEM196834 OEM262349:OEM262356 OEM262359:OEM262362 OEM262367:OEM262370 OEM327885:OEM327892 OEM327895:OEM327898 OEM327903:OEM327906 OEM393421:OEM393428 OEM393431:OEM393434 OEM393439:OEM393442 OEM458957:OEM458964 OEM458967:OEM458970 OEM458975:OEM458978 OEM524493:OEM524500 OEM524503:OEM524506 OEM524511:OEM524514 OEM590029:OEM590036 OEM590039:OEM590042 OEM590047:OEM590050 OEM655565:OEM655572 OEM655575:OEM655578 OEM655583:OEM655586 OEM721101:OEM721108 OEM721111:OEM721114 OEM721119:OEM721122 OEM786637:OEM786644 OEM786647:OEM786650 OEM786655:OEM786658 OEM852173:OEM852180 OEM852183:OEM852186 OEM852191:OEM852194 OEM917709:OEM917716 OEM917719:OEM917722 OEM917727:OEM917730 OEM983245:OEM983252 OEM983255:OEM983258 OEM983263:OEM983266 ONL207:ONL211 ONL217:ONL218 ONL223:ONL224 ONL65743:ONL65747 ONL65753:ONL65754 ONL65759:ONL65760 ONL131279:ONL131283 ONL131289:ONL131290 ONL131295:ONL131296 ONL196815:ONL196819 ONL196825:ONL196826 ONL196831:ONL196832 ONL262351:ONL262355 ONL262361:ONL262362 ONL262367:ONL262368 ONL327887:ONL327891 ONL327897:ONL327898 ONL327903:ONL327904 ONL393423:ONL393427 ONL393433:ONL393434 ONL393439:ONL393440 ONL458959:ONL458963 ONL458969:ONL458970 ONL458975:ONL458976 ONL524495:ONL524499 ONL524505:ONL524506 ONL524511:ONL524512 ONL590031:ONL590035 ONL590041:ONL590042 ONL590047:ONL590048 ONL655567:ONL655571 ONL655577:ONL655578 ONL655583:ONL655584 ONL721103:ONL721107 ONL721113:ONL721114 ONL721119:ONL721120 ONL786639:ONL786643 ONL786649:ONL786650 ONL786655:ONL786656 ONL852175:ONL852179 ONL852185:ONL852186 ONL852191:ONL852192 ONL917711:ONL917715 ONL917721:ONL917722 ONL917727:ONL917728 ONL983247:ONL983251 ONL983257:ONL983258 ONL983263:ONL983264 ONX6:ONX65536 ONX65542:ONX131072 ONX131078:ONX196608 ONX196614:ONX262144 ONX262150:ONX327680 ONX327686:ONX393216 ONX393222:ONX458752 ONX458758:ONX524288 ONX524294:ONX589824 ONX589830:ONX655360 ONX655366:ONX720896 ONX720902:ONX786432 ONX786438:ONX851968 ONX851974:ONX917504 ONX917510:ONX983040 ONX983046:ONX1048576 ONZ207:ONZ211 ONZ217:ONZ218 ONZ223:ONZ224 ONZ65743:ONZ65747 ONZ65753:ONZ65754 ONZ65759:ONZ65760 ONZ131279:ONZ131283 ONZ131289:ONZ131290 ONZ131295:ONZ131296 ONZ196815:ONZ196819 ONZ196825:ONZ196826 ONZ196831:ONZ196832 ONZ262351:ONZ262355 ONZ262361:ONZ262362 ONZ262367:ONZ262368 ONZ327887:ONZ327891 ONZ327897:ONZ327898 ONZ327903:ONZ327904 ONZ393423:ONZ393427 ONZ393433:ONZ393434 ONZ393439:ONZ393440 ONZ458959:ONZ458963 ONZ458969:ONZ458970 ONZ458975:ONZ458976 ONZ524495:ONZ524499 ONZ524505:ONZ524506 ONZ524511:ONZ524512 ONZ590031:ONZ590035 ONZ590041:ONZ590042 ONZ590047:ONZ590048 ONZ655567:ONZ655571 ONZ655577:ONZ655578 ONZ655583:ONZ655584 ONZ721103:ONZ721107 ONZ721113:ONZ721114 ONZ721119:ONZ721120 ONZ786639:ONZ786643 ONZ786649:ONZ786650 ONZ786655:ONZ786656 ONZ852175:ONZ852179 ONZ852185:ONZ852186 ONZ852191:ONZ852192 ONZ917711:ONZ917715 ONZ917721:ONZ917722 ONZ917727:ONZ917728 ONZ983247:ONZ983251 ONZ983257:ONZ983258 ONZ983263:ONZ983264 OOI205:OOI212 OOI215:OOI218 OOI223:OOI226 OOI65741:OOI65748 OOI65751:OOI65754 OOI65759:OOI65762 OOI131277:OOI131284 OOI131287:OOI131290 OOI131295:OOI131298 OOI196813:OOI196820 OOI196823:OOI196826 OOI196831:OOI196834 OOI262349:OOI262356 OOI262359:OOI262362 OOI262367:OOI262370 OOI327885:OOI327892 OOI327895:OOI327898 OOI327903:OOI327906 OOI393421:OOI393428 OOI393431:OOI393434 OOI393439:OOI393442 OOI458957:OOI458964 OOI458967:OOI458970 OOI458975:OOI458978 OOI524493:OOI524500 OOI524503:OOI524506 OOI524511:OOI524514 OOI590029:OOI590036 OOI590039:OOI590042 OOI590047:OOI590050 OOI655565:OOI655572 OOI655575:OOI655578 OOI655583:OOI655586 OOI721101:OOI721108 OOI721111:OOI721114 OOI721119:OOI721122 OOI786637:OOI786644 OOI786647:OOI786650 OOI786655:OOI786658 OOI852173:OOI852180 OOI852183:OOI852186 OOI852191:OOI852194 OOI917709:OOI917716 OOI917719:OOI917722 OOI917727:OOI917730 OOI983245:OOI983252 OOI983255:OOI983258 OOI983263:OOI983266 OXH207:OXH211 OXH217:OXH218 OXH223:OXH224 OXH65743:OXH65747 OXH65753:OXH65754 OXH65759:OXH65760 OXH131279:OXH131283 OXH131289:OXH131290 OXH131295:OXH131296 OXH196815:OXH196819 OXH196825:OXH196826 OXH196831:OXH196832 OXH262351:OXH262355 OXH262361:OXH262362 OXH262367:OXH262368 OXH327887:OXH327891 OXH327897:OXH327898 OXH327903:OXH327904 OXH393423:OXH393427 OXH393433:OXH393434 OXH393439:OXH393440 OXH458959:OXH458963 OXH458969:OXH458970 OXH458975:OXH458976 OXH524495:OXH524499 OXH524505:OXH524506 OXH524511:OXH524512 OXH590031:OXH590035 OXH590041:OXH590042 OXH590047:OXH590048 OXH655567:OXH655571 OXH655577:OXH655578 OXH655583:OXH655584 OXH721103:OXH721107 OXH721113:OXH721114 OXH721119:OXH721120 OXH786639:OXH786643 OXH786649:OXH786650 OXH786655:OXH786656 OXH852175:OXH852179 OXH852185:OXH852186 OXH852191:OXH852192 OXH917711:OXH917715 OXH917721:OXH917722 OXH917727:OXH917728 OXH983247:OXH983251 OXH983257:OXH983258 OXH983263:OXH983264 OXT6:OXT65536 OXT65542:OXT131072 OXT131078:OXT196608 OXT196614:OXT262144 OXT262150:OXT327680 OXT327686:OXT393216 OXT393222:OXT458752 OXT458758:OXT524288 OXT524294:OXT589824 OXT589830:OXT655360 OXT655366:OXT720896 OXT720902:OXT786432 OXT786438:OXT851968 OXT851974:OXT917504 OXT917510:OXT983040 OXT983046:OXT1048576 OXV207:OXV211 OXV217:OXV218 OXV223:OXV224 OXV65743:OXV65747 OXV65753:OXV65754 OXV65759:OXV65760 OXV131279:OXV131283 OXV131289:OXV131290 OXV131295:OXV131296 OXV196815:OXV196819 OXV196825:OXV196826 OXV196831:OXV196832 OXV262351:OXV262355 OXV262361:OXV262362 OXV262367:OXV262368 OXV327887:OXV327891 OXV327897:OXV327898 OXV327903:OXV327904 OXV393423:OXV393427 OXV393433:OXV393434 OXV393439:OXV393440 OXV458959:OXV458963 OXV458969:OXV458970 OXV458975:OXV458976 OXV524495:OXV524499 OXV524505:OXV524506 OXV524511:OXV524512 OXV590031:OXV590035 OXV590041:OXV590042 OXV590047:OXV590048 OXV655567:OXV655571 OXV655577:OXV655578 OXV655583:OXV655584 OXV721103:OXV721107 OXV721113:OXV721114 OXV721119:OXV721120 OXV786639:OXV786643 OXV786649:OXV786650 OXV786655:OXV786656 OXV852175:OXV852179 OXV852185:OXV852186 OXV852191:OXV852192 OXV917711:OXV917715 OXV917721:OXV917722 OXV917727:OXV917728 OXV983247:OXV983251 OXV983257:OXV983258 OXV983263:OXV983264 OYE205:OYE212 OYE215:OYE218 OYE223:OYE226 OYE65741:OYE65748 OYE65751:OYE65754 OYE65759:OYE65762 OYE131277:OYE131284 OYE131287:OYE131290 OYE131295:OYE131298 OYE196813:OYE196820 OYE196823:OYE196826 OYE196831:OYE196834 OYE262349:OYE262356 OYE262359:OYE262362 OYE262367:OYE262370 OYE327885:OYE327892 OYE327895:OYE327898 OYE327903:OYE327906 OYE393421:OYE393428 OYE393431:OYE393434 OYE393439:OYE393442 OYE458957:OYE458964 OYE458967:OYE458970 OYE458975:OYE458978 OYE524493:OYE524500 OYE524503:OYE524506 OYE524511:OYE524514 OYE590029:OYE590036 OYE590039:OYE590042 OYE590047:OYE590050 OYE655565:OYE655572 OYE655575:OYE655578 OYE655583:OYE655586 OYE721101:OYE721108 OYE721111:OYE721114 OYE721119:OYE721122 OYE786637:OYE786644 OYE786647:OYE786650 OYE786655:OYE786658 OYE852173:OYE852180 OYE852183:OYE852186 OYE852191:OYE852194 OYE917709:OYE917716 OYE917719:OYE917722 OYE917727:OYE917730 OYE983245:OYE983252 OYE983255:OYE983258 OYE983263:OYE983266 PHD207:PHD211 PHD217:PHD218 PHD223:PHD224 PHD65743:PHD65747 PHD65753:PHD65754 PHD65759:PHD65760 PHD131279:PHD131283 PHD131289:PHD131290 PHD131295:PHD131296 PHD196815:PHD196819 PHD196825:PHD196826 PHD196831:PHD196832 PHD262351:PHD262355 PHD262361:PHD262362 PHD262367:PHD262368 PHD327887:PHD327891 PHD327897:PHD327898 PHD327903:PHD327904 PHD393423:PHD393427 PHD393433:PHD393434 PHD393439:PHD393440 PHD458959:PHD458963 PHD458969:PHD458970 PHD458975:PHD458976 PHD524495:PHD524499 PHD524505:PHD524506 PHD524511:PHD524512 PHD590031:PHD590035 PHD590041:PHD590042 PHD590047:PHD590048 PHD655567:PHD655571 PHD655577:PHD655578 PHD655583:PHD655584 PHD721103:PHD721107 PHD721113:PHD721114 PHD721119:PHD721120 PHD786639:PHD786643 PHD786649:PHD786650 PHD786655:PHD786656 PHD852175:PHD852179 PHD852185:PHD852186 PHD852191:PHD852192 PHD917711:PHD917715 PHD917721:PHD917722 PHD917727:PHD917728 PHD983247:PHD983251 PHD983257:PHD983258 PHD983263:PHD983264 PHP6:PHP65536 PHP65542:PHP131072 PHP131078:PHP196608 PHP196614:PHP262144 PHP262150:PHP327680 PHP327686:PHP393216 PHP393222:PHP458752 PHP458758:PHP524288 PHP524294:PHP589824 PHP589830:PHP655360 PHP655366:PHP720896 PHP720902:PHP786432 PHP786438:PHP851968 PHP851974:PHP917504 PHP917510:PHP983040 PHP983046:PHP1048576 PHR207:PHR211 PHR217:PHR218 PHR223:PHR224 PHR65743:PHR65747 PHR65753:PHR65754 PHR65759:PHR65760 PHR131279:PHR131283 PHR131289:PHR131290 PHR131295:PHR131296 PHR196815:PHR196819 PHR196825:PHR196826 PHR196831:PHR196832 PHR262351:PHR262355 PHR262361:PHR262362 PHR262367:PHR262368 PHR327887:PHR327891 PHR327897:PHR327898 PHR327903:PHR327904 PHR393423:PHR393427 PHR393433:PHR393434 PHR393439:PHR393440 PHR458959:PHR458963 PHR458969:PHR458970 PHR458975:PHR458976 PHR524495:PHR524499 PHR524505:PHR524506 PHR524511:PHR524512 PHR590031:PHR590035 PHR590041:PHR590042 PHR590047:PHR590048 PHR655567:PHR655571 PHR655577:PHR655578 PHR655583:PHR655584 PHR721103:PHR721107 PHR721113:PHR721114 PHR721119:PHR721120 PHR786639:PHR786643 PHR786649:PHR786650 PHR786655:PHR786656 PHR852175:PHR852179 PHR852185:PHR852186 PHR852191:PHR852192 PHR917711:PHR917715 PHR917721:PHR917722 PHR917727:PHR917728 PHR983247:PHR983251 PHR983257:PHR983258 PHR983263:PHR983264 PIA205:PIA212 PIA215:PIA218 PIA223:PIA226 PIA65741:PIA65748 PIA65751:PIA65754 PIA65759:PIA65762 PIA131277:PIA131284 PIA131287:PIA131290 PIA131295:PIA131298 PIA196813:PIA196820 PIA196823:PIA196826 PIA196831:PIA196834 PIA262349:PIA262356 PIA262359:PIA262362 PIA262367:PIA262370 PIA327885:PIA327892 PIA327895:PIA327898 PIA327903:PIA327906 PIA393421:PIA393428 PIA393431:PIA393434 PIA393439:PIA393442 PIA458957:PIA458964 PIA458967:PIA458970 PIA458975:PIA458978 PIA524493:PIA524500 PIA524503:PIA524506 PIA524511:PIA524514 PIA590029:PIA590036 PIA590039:PIA590042 PIA590047:PIA590050 PIA655565:PIA655572 PIA655575:PIA655578 PIA655583:PIA655586 PIA721101:PIA721108 PIA721111:PIA721114 PIA721119:PIA721122 PIA786637:PIA786644 PIA786647:PIA786650 PIA786655:PIA786658 PIA852173:PIA852180 PIA852183:PIA852186 PIA852191:PIA852194 PIA917709:PIA917716 PIA917719:PIA917722 PIA917727:PIA917730 PIA983245:PIA983252 PIA983255:PIA983258 PIA983263:PIA983266 PQZ207:PQZ211 PQZ217:PQZ218 PQZ223:PQZ224 PQZ65743:PQZ65747 PQZ65753:PQZ65754 PQZ65759:PQZ65760 PQZ131279:PQZ131283 PQZ131289:PQZ131290 PQZ131295:PQZ131296 PQZ196815:PQZ196819 PQZ196825:PQZ196826 PQZ196831:PQZ196832 PQZ262351:PQZ262355 PQZ262361:PQZ262362 PQZ262367:PQZ262368 PQZ327887:PQZ327891 PQZ327897:PQZ327898 PQZ327903:PQZ327904 PQZ393423:PQZ393427 PQZ393433:PQZ393434 PQZ393439:PQZ393440 PQZ458959:PQZ458963 PQZ458969:PQZ458970 PQZ458975:PQZ458976 PQZ524495:PQZ524499 PQZ524505:PQZ524506 PQZ524511:PQZ524512 PQZ590031:PQZ590035 PQZ590041:PQZ590042 PQZ590047:PQZ590048 PQZ655567:PQZ655571 PQZ655577:PQZ655578 PQZ655583:PQZ655584 PQZ721103:PQZ721107 PQZ721113:PQZ721114 PQZ721119:PQZ721120 PQZ786639:PQZ786643 PQZ786649:PQZ786650 PQZ786655:PQZ786656 PQZ852175:PQZ852179 PQZ852185:PQZ852186 PQZ852191:PQZ852192 PQZ917711:PQZ917715 PQZ917721:PQZ917722 PQZ917727:PQZ917728 PQZ983247:PQZ983251 PQZ983257:PQZ983258 PQZ983263:PQZ983264 PRL6:PRL65536 PRL65542:PRL131072 PRL131078:PRL196608 PRL196614:PRL262144 PRL262150:PRL327680 PRL327686:PRL393216 PRL393222:PRL458752 PRL458758:PRL524288 PRL524294:PRL589824 PRL589830:PRL655360 PRL655366:PRL720896 PRL720902:PRL786432 PRL786438:PRL851968 PRL851974:PRL917504 PRL917510:PRL983040 PRL983046:PRL1048576 PRN207:PRN211 PRN217:PRN218 PRN223:PRN224 PRN65743:PRN65747 PRN65753:PRN65754 PRN65759:PRN65760 PRN131279:PRN131283 PRN131289:PRN131290 PRN131295:PRN131296 PRN196815:PRN196819 PRN196825:PRN196826 PRN196831:PRN196832 PRN262351:PRN262355 PRN262361:PRN262362 PRN262367:PRN262368 PRN327887:PRN327891 PRN327897:PRN327898 PRN327903:PRN327904 PRN393423:PRN393427 PRN393433:PRN393434 PRN393439:PRN393440 PRN458959:PRN458963 PRN458969:PRN458970 PRN458975:PRN458976 PRN524495:PRN524499 PRN524505:PRN524506 PRN524511:PRN524512 PRN590031:PRN590035 PRN590041:PRN590042 PRN590047:PRN590048 PRN655567:PRN655571 PRN655577:PRN655578 PRN655583:PRN655584 PRN721103:PRN721107 PRN721113:PRN721114 PRN721119:PRN721120 PRN786639:PRN786643 PRN786649:PRN786650 PRN786655:PRN786656 PRN852175:PRN852179 PRN852185:PRN852186 PRN852191:PRN852192 PRN917711:PRN917715 PRN917721:PRN917722 PRN917727:PRN917728 PRN983247:PRN983251 PRN983257:PRN983258 PRN983263:PRN983264 PRW205:PRW212 PRW215:PRW218 PRW223:PRW226 PRW65741:PRW65748 PRW65751:PRW65754 PRW65759:PRW65762 PRW131277:PRW131284 PRW131287:PRW131290 PRW131295:PRW131298 PRW196813:PRW196820 PRW196823:PRW196826 PRW196831:PRW196834 PRW262349:PRW262356 PRW262359:PRW262362 PRW262367:PRW262370 PRW327885:PRW327892 PRW327895:PRW327898 PRW327903:PRW327906 PRW393421:PRW393428 PRW393431:PRW393434 PRW393439:PRW393442 PRW458957:PRW458964 PRW458967:PRW458970 PRW458975:PRW458978 PRW524493:PRW524500 PRW524503:PRW524506 PRW524511:PRW524514 PRW590029:PRW590036 PRW590039:PRW590042 PRW590047:PRW590050 PRW655565:PRW655572 PRW655575:PRW655578 PRW655583:PRW655586 PRW721101:PRW721108 PRW721111:PRW721114 PRW721119:PRW721122 PRW786637:PRW786644 PRW786647:PRW786650 PRW786655:PRW786658 PRW852173:PRW852180 PRW852183:PRW852186 PRW852191:PRW852194 PRW917709:PRW917716 PRW917719:PRW917722 PRW917727:PRW917730 PRW983245:PRW983252 PRW983255:PRW983258 PRW983263:PRW983266 QAV207:QAV211 QAV217:QAV218 QAV223:QAV224 QAV65743:QAV65747 QAV65753:QAV65754 QAV65759:QAV65760 QAV131279:QAV131283 QAV131289:QAV131290 QAV131295:QAV131296 QAV196815:QAV196819 QAV196825:QAV196826 QAV196831:QAV196832 QAV262351:QAV262355 QAV262361:QAV262362 QAV262367:QAV262368 QAV327887:QAV327891 QAV327897:QAV327898 QAV327903:QAV327904 QAV393423:QAV393427 QAV393433:QAV393434 QAV393439:QAV393440 QAV458959:QAV458963 QAV458969:QAV458970 QAV458975:QAV458976 QAV524495:QAV524499 QAV524505:QAV524506 QAV524511:QAV524512 QAV590031:QAV590035 QAV590041:QAV590042 QAV590047:QAV590048 QAV655567:QAV655571 QAV655577:QAV655578 QAV655583:QAV655584 QAV721103:QAV721107 QAV721113:QAV721114 QAV721119:QAV721120 QAV786639:QAV786643 QAV786649:QAV786650 QAV786655:QAV786656 QAV852175:QAV852179 QAV852185:QAV852186 QAV852191:QAV852192 QAV917711:QAV917715 QAV917721:QAV917722 QAV917727:QAV917728 QAV983247:QAV983251 QAV983257:QAV983258 QAV983263:QAV983264 QBH6:QBH65536 QBH65542:QBH131072 QBH131078:QBH196608 QBH196614:QBH262144 QBH262150:QBH327680 QBH327686:QBH393216 QBH393222:QBH458752 QBH458758:QBH524288 QBH524294:QBH589824 QBH589830:QBH655360 QBH655366:QBH720896 QBH720902:QBH786432 QBH786438:QBH851968 QBH851974:QBH917504 QBH917510:QBH983040 QBH983046:QBH1048576 QBJ207:QBJ211 QBJ217:QBJ218 QBJ223:QBJ224 QBJ65743:QBJ65747 QBJ65753:QBJ65754 QBJ65759:QBJ65760 QBJ131279:QBJ131283 QBJ131289:QBJ131290 QBJ131295:QBJ131296 QBJ196815:QBJ196819 QBJ196825:QBJ196826 QBJ196831:QBJ196832 QBJ262351:QBJ262355 QBJ262361:QBJ262362 QBJ262367:QBJ262368 QBJ327887:QBJ327891 QBJ327897:QBJ327898 QBJ327903:QBJ327904 QBJ393423:QBJ393427 QBJ393433:QBJ393434 QBJ393439:QBJ393440 QBJ458959:QBJ458963 QBJ458969:QBJ458970 QBJ458975:QBJ458976 QBJ524495:QBJ524499 QBJ524505:QBJ524506 QBJ524511:QBJ524512 QBJ590031:QBJ590035 QBJ590041:QBJ590042 QBJ590047:QBJ590048 QBJ655567:QBJ655571 QBJ655577:QBJ655578 QBJ655583:QBJ655584 QBJ721103:QBJ721107 QBJ721113:QBJ721114 QBJ721119:QBJ721120 QBJ786639:QBJ786643 QBJ786649:QBJ786650 QBJ786655:QBJ786656 QBJ852175:QBJ852179 QBJ852185:QBJ852186 QBJ852191:QBJ852192 QBJ917711:QBJ917715 QBJ917721:QBJ917722 QBJ917727:QBJ917728 QBJ983247:QBJ983251 QBJ983257:QBJ983258 QBJ983263:QBJ983264 QBS205:QBS212 QBS215:QBS218 QBS223:QBS226 QBS65741:QBS65748 QBS65751:QBS65754 QBS65759:QBS65762 QBS131277:QBS131284 QBS131287:QBS131290 QBS131295:QBS131298 QBS196813:QBS196820 QBS196823:QBS196826 QBS196831:QBS196834 QBS262349:QBS262356 QBS262359:QBS262362 QBS262367:QBS262370 QBS327885:QBS327892 QBS327895:QBS327898 QBS327903:QBS327906 QBS393421:QBS393428 QBS393431:QBS393434 QBS393439:QBS393442 QBS458957:QBS458964 QBS458967:QBS458970 QBS458975:QBS458978 QBS524493:QBS524500 QBS524503:QBS524506 QBS524511:QBS524514 QBS590029:QBS590036 QBS590039:QBS590042 QBS590047:QBS590050 QBS655565:QBS655572 QBS655575:QBS655578 QBS655583:QBS655586 QBS721101:QBS721108 QBS721111:QBS721114 QBS721119:QBS721122 QBS786637:QBS786644 QBS786647:QBS786650 QBS786655:QBS786658 QBS852173:QBS852180 QBS852183:QBS852186 QBS852191:QBS852194 QBS917709:QBS917716 QBS917719:QBS917722 QBS917727:QBS917730 QBS983245:QBS983252 QBS983255:QBS983258 QBS983263:QBS983266 QKR207:QKR211 QKR217:QKR218 QKR223:QKR224 QKR65743:QKR65747 QKR65753:QKR65754 QKR65759:QKR65760 QKR131279:QKR131283 QKR131289:QKR131290 QKR131295:QKR131296 QKR196815:QKR196819 QKR196825:QKR196826 QKR196831:QKR196832 QKR262351:QKR262355 QKR262361:QKR262362 QKR262367:QKR262368 QKR327887:QKR327891 QKR327897:QKR327898 QKR327903:QKR327904 QKR393423:QKR393427 QKR393433:QKR393434 QKR393439:QKR393440 QKR458959:QKR458963 QKR458969:QKR458970 QKR458975:QKR458976 QKR524495:QKR524499 QKR524505:QKR524506 QKR524511:QKR524512 QKR590031:QKR590035 QKR590041:QKR590042 QKR590047:QKR590048 QKR655567:QKR655571 QKR655577:QKR655578 QKR655583:QKR655584 QKR721103:QKR721107 QKR721113:QKR721114 QKR721119:QKR721120 QKR786639:QKR786643 QKR786649:QKR786650 QKR786655:QKR786656 QKR852175:QKR852179 QKR852185:QKR852186 QKR852191:QKR852192 QKR917711:QKR917715 QKR917721:QKR917722 QKR917727:QKR917728 QKR983247:QKR983251 QKR983257:QKR983258 QKR983263:QKR983264 QLD6:QLD65536 QLD65542:QLD131072 QLD131078:QLD196608 QLD196614:QLD262144 QLD262150:QLD327680 QLD327686:QLD393216 QLD393222:QLD458752 QLD458758:QLD524288 QLD524294:QLD589824 QLD589830:QLD655360 QLD655366:QLD720896 QLD720902:QLD786432 QLD786438:QLD851968 QLD851974:QLD917504 QLD917510:QLD983040 QLD983046:QLD1048576 QLF207:QLF211 QLF217:QLF218 QLF223:QLF224 QLF65743:QLF65747 QLF65753:QLF65754 QLF65759:QLF65760 QLF131279:QLF131283 QLF131289:QLF131290 QLF131295:QLF131296 QLF196815:QLF196819 QLF196825:QLF196826 QLF196831:QLF196832 QLF262351:QLF262355 QLF262361:QLF262362 QLF262367:QLF262368 QLF327887:QLF327891 QLF327897:QLF327898 QLF327903:QLF327904 QLF393423:QLF393427 QLF393433:QLF393434 QLF393439:QLF393440 QLF458959:QLF458963 QLF458969:QLF458970 QLF458975:QLF458976 QLF524495:QLF524499 QLF524505:QLF524506 QLF524511:QLF524512 QLF590031:QLF590035 QLF590041:QLF590042 QLF590047:QLF590048 QLF655567:QLF655571 QLF655577:QLF655578 QLF655583:QLF655584 QLF721103:QLF721107 QLF721113:QLF721114 QLF721119:QLF721120 QLF786639:QLF786643 QLF786649:QLF786650 QLF786655:QLF786656 QLF852175:QLF852179 QLF852185:QLF852186 QLF852191:QLF852192 QLF917711:QLF917715 QLF917721:QLF917722 QLF917727:QLF917728 QLF983247:QLF983251 QLF983257:QLF983258 QLF983263:QLF983264 QLO205:QLO212 QLO215:QLO218 QLO223:QLO226 QLO65741:QLO65748 QLO65751:QLO65754 QLO65759:QLO65762 QLO131277:QLO131284 QLO131287:QLO131290 QLO131295:QLO131298 QLO196813:QLO196820 QLO196823:QLO196826 QLO196831:QLO196834 QLO262349:QLO262356 QLO262359:QLO262362 QLO262367:QLO262370 QLO327885:QLO327892 QLO327895:QLO327898 QLO327903:QLO327906 QLO393421:QLO393428 QLO393431:QLO393434 QLO393439:QLO393442 QLO458957:QLO458964 QLO458967:QLO458970 QLO458975:QLO458978 QLO524493:QLO524500 QLO524503:QLO524506 QLO524511:QLO524514 QLO590029:QLO590036 QLO590039:QLO590042 QLO590047:QLO590050 QLO655565:QLO655572 QLO655575:QLO655578 QLO655583:QLO655586 QLO721101:QLO721108 QLO721111:QLO721114 QLO721119:QLO721122 QLO786637:QLO786644 QLO786647:QLO786650 QLO786655:QLO786658 QLO852173:QLO852180 QLO852183:QLO852186 QLO852191:QLO852194 QLO917709:QLO917716 QLO917719:QLO917722 QLO917727:QLO917730 QLO983245:QLO983252 QLO983255:QLO983258 QLO983263:QLO983266 QUN207:QUN211 QUN217:QUN218 QUN223:QUN224 QUN65743:QUN65747 QUN65753:QUN65754 QUN65759:QUN65760 QUN131279:QUN131283 QUN131289:QUN131290 QUN131295:QUN131296 QUN196815:QUN196819 QUN196825:QUN196826 QUN196831:QUN196832 QUN262351:QUN262355 QUN262361:QUN262362 QUN262367:QUN262368 QUN327887:QUN327891 QUN327897:QUN327898 QUN327903:QUN327904 QUN393423:QUN393427 QUN393433:QUN393434 QUN393439:QUN393440 QUN458959:QUN458963 QUN458969:QUN458970 QUN458975:QUN458976 QUN524495:QUN524499 QUN524505:QUN524506 QUN524511:QUN524512 QUN590031:QUN590035 QUN590041:QUN590042 QUN590047:QUN590048 QUN655567:QUN655571 QUN655577:QUN655578 QUN655583:QUN655584 QUN721103:QUN721107 QUN721113:QUN721114 QUN721119:QUN721120 QUN786639:QUN786643 QUN786649:QUN786650 QUN786655:QUN786656 QUN852175:QUN852179 QUN852185:QUN852186 QUN852191:QUN852192 QUN917711:QUN917715 QUN917721:QUN917722 QUN917727:QUN917728 QUN983247:QUN983251 QUN983257:QUN983258 QUN983263:QUN983264 QUZ6:QUZ65536 QUZ65542:QUZ131072 QUZ131078:QUZ196608 QUZ196614:QUZ262144 QUZ262150:QUZ327680 QUZ327686:QUZ393216 QUZ393222:QUZ458752 QUZ458758:QUZ524288 QUZ524294:QUZ589824 QUZ589830:QUZ655360 QUZ655366:QUZ720896 QUZ720902:QUZ786432 QUZ786438:QUZ851968 QUZ851974:QUZ917504 QUZ917510:QUZ983040 QUZ983046:QUZ1048576 QVB207:QVB211 QVB217:QVB218 QVB223:QVB224 QVB65743:QVB65747 QVB65753:QVB65754 QVB65759:QVB65760 QVB131279:QVB131283 QVB131289:QVB131290 QVB131295:QVB131296 QVB196815:QVB196819 QVB196825:QVB196826 QVB196831:QVB196832 QVB262351:QVB262355 QVB262361:QVB262362 QVB262367:QVB262368 QVB327887:QVB327891 QVB327897:QVB327898 QVB327903:QVB327904 QVB393423:QVB393427 QVB393433:QVB393434 QVB393439:QVB393440 QVB458959:QVB458963 QVB458969:QVB458970 QVB458975:QVB458976 QVB524495:QVB524499 QVB524505:QVB524506 QVB524511:QVB524512 QVB590031:QVB590035 QVB590041:QVB590042 QVB590047:QVB590048 QVB655567:QVB655571 QVB655577:QVB655578 QVB655583:QVB655584 QVB721103:QVB721107 QVB721113:QVB721114 QVB721119:QVB721120 QVB786639:QVB786643 QVB786649:QVB786650 QVB786655:QVB786656 QVB852175:QVB852179 QVB852185:QVB852186 QVB852191:QVB852192 QVB917711:QVB917715 QVB917721:QVB917722 QVB917727:QVB917728 QVB983247:QVB983251 QVB983257:QVB983258 QVB983263:QVB983264 QVK205:QVK212 QVK215:QVK218 QVK223:QVK226 QVK65741:QVK65748 QVK65751:QVK65754 QVK65759:QVK65762 QVK131277:QVK131284 QVK131287:QVK131290 QVK131295:QVK131298 QVK196813:QVK196820 QVK196823:QVK196826 QVK196831:QVK196834 QVK262349:QVK262356 QVK262359:QVK262362 QVK262367:QVK262370 QVK327885:QVK327892 QVK327895:QVK327898 QVK327903:QVK327906 QVK393421:QVK393428 QVK393431:QVK393434 QVK393439:QVK393442 QVK458957:QVK458964 QVK458967:QVK458970 QVK458975:QVK458978 QVK524493:QVK524500 QVK524503:QVK524506 QVK524511:QVK524514 QVK590029:QVK590036 QVK590039:QVK590042 QVK590047:QVK590050 QVK655565:QVK655572 QVK655575:QVK655578 QVK655583:QVK655586 QVK721101:QVK721108 QVK721111:QVK721114 QVK721119:QVK721122 QVK786637:QVK786644 QVK786647:QVK786650 QVK786655:QVK786658 QVK852173:QVK852180 QVK852183:QVK852186 QVK852191:QVK852194 QVK917709:QVK917716 QVK917719:QVK917722 QVK917727:QVK917730 QVK983245:QVK983252 QVK983255:QVK983258 QVK983263:QVK983266 REJ207:REJ211 REJ217:REJ218 REJ223:REJ224 REJ65743:REJ65747 REJ65753:REJ65754 REJ65759:REJ65760 REJ131279:REJ131283 REJ131289:REJ131290 REJ131295:REJ131296 REJ196815:REJ196819 REJ196825:REJ196826 REJ196831:REJ196832 REJ262351:REJ262355 REJ262361:REJ262362 REJ262367:REJ262368 REJ327887:REJ327891 REJ327897:REJ327898 REJ327903:REJ327904 REJ393423:REJ393427 REJ393433:REJ393434 REJ393439:REJ393440 REJ458959:REJ458963 REJ458969:REJ458970 REJ458975:REJ458976 REJ524495:REJ524499 REJ524505:REJ524506 REJ524511:REJ524512 REJ590031:REJ590035 REJ590041:REJ590042 REJ590047:REJ590048 REJ655567:REJ655571 REJ655577:REJ655578 REJ655583:REJ655584 REJ721103:REJ721107 REJ721113:REJ721114 REJ721119:REJ721120 REJ786639:REJ786643 REJ786649:REJ786650 REJ786655:REJ786656 REJ852175:REJ852179 REJ852185:REJ852186 REJ852191:REJ852192 REJ917711:REJ917715 REJ917721:REJ917722 REJ917727:REJ917728 REJ983247:REJ983251 REJ983257:REJ983258 REJ983263:REJ983264 REV6:REV65536 REV65542:REV131072 REV131078:REV196608 REV196614:REV262144 REV262150:REV327680 REV327686:REV393216 REV393222:REV458752 REV458758:REV524288 REV524294:REV589824 REV589830:REV655360 REV655366:REV720896 REV720902:REV786432 REV786438:REV851968 REV851974:REV917504 REV917510:REV983040 REV983046:REV1048576 REX207:REX211 REX217:REX218 REX223:REX224 REX65743:REX65747 REX65753:REX65754 REX65759:REX65760 REX131279:REX131283 REX131289:REX131290 REX131295:REX131296 REX196815:REX196819 REX196825:REX196826 REX196831:REX196832 REX262351:REX262355 REX262361:REX262362 REX262367:REX262368 REX327887:REX327891 REX327897:REX327898 REX327903:REX327904 REX393423:REX393427 REX393433:REX393434 REX393439:REX393440 REX458959:REX458963 REX458969:REX458970 REX458975:REX458976 REX524495:REX524499 REX524505:REX524506 REX524511:REX524512 REX590031:REX590035 REX590041:REX590042 REX590047:REX590048 REX655567:REX655571 REX655577:REX655578 REX655583:REX655584 REX721103:REX721107 REX721113:REX721114 REX721119:REX721120 REX786639:REX786643 REX786649:REX786650 REX786655:REX786656 REX852175:REX852179 REX852185:REX852186 REX852191:REX852192 REX917711:REX917715 REX917721:REX917722 REX917727:REX917728 REX983247:REX983251 REX983257:REX983258 REX983263:REX983264 RFG205:RFG212 RFG215:RFG218 RFG223:RFG226 RFG65741:RFG65748 RFG65751:RFG65754 RFG65759:RFG65762 RFG131277:RFG131284 RFG131287:RFG131290 RFG131295:RFG131298 RFG196813:RFG196820 RFG196823:RFG196826 RFG196831:RFG196834 RFG262349:RFG262356 RFG262359:RFG262362 RFG262367:RFG262370 RFG327885:RFG327892 RFG327895:RFG327898 RFG327903:RFG327906 RFG393421:RFG393428 RFG393431:RFG393434 RFG393439:RFG393442 RFG458957:RFG458964 RFG458967:RFG458970 RFG458975:RFG458978 RFG524493:RFG524500 RFG524503:RFG524506 RFG524511:RFG524514 RFG590029:RFG590036 RFG590039:RFG590042 RFG590047:RFG590050 RFG655565:RFG655572 RFG655575:RFG655578 RFG655583:RFG655586 RFG721101:RFG721108 RFG721111:RFG721114 RFG721119:RFG721122 RFG786637:RFG786644 RFG786647:RFG786650 RFG786655:RFG786658 RFG852173:RFG852180 RFG852183:RFG852186 RFG852191:RFG852194 RFG917709:RFG917716 RFG917719:RFG917722 RFG917727:RFG917730 RFG983245:RFG983252 RFG983255:RFG983258 RFG983263:RFG983266 ROF207:ROF211 ROF217:ROF218 ROF223:ROF224 ROF65743:ROF65747 ROF65753:ROF65754 ROF65759:ROF65760 ROF131279:ROF131283 ROF131289:ROF131290 ROF131295:ROF131296 ROF196815:ROF196819 ROF196825:ROF196826 ROF196831:ROF196832 ROF262351:ROF262355 ROF262361:ROF262362 ROF262367:ROF262368 ROF327887:ROF327891 ROF327897:ROF327898 ROF327903:ROF327904 ROF393423:ROF393427 ROF393433:ROF393434 ROF393439:ROF393440 ROF458959:ROF458963 ROF458969:ROF458970 ROF458975:ROF458976 ROF524495:ROF524499 ROF524505:ROF524506 ROF524511:ROF524512 ROF590031:ROF590035 ROF590041:ROF590042 ROF590047:ROF590048 ROF655567:ROF655571 ROF655577:ROF655578 ROF655583:ROF655584 ROF721103:ROF721107 ROF721113:ROF721114 ROF721119:ROF721120 ROF786639:ROF786643 ROF786649:ROF786650 ROF786655:ROF786656 ROF852175:ROF852179 ROF852185:ROF852186 ROF852191:ROF852192 ROF917711:ROF917715 ROF917721:ROF917722 ROF917727:ROF917728 ROF983247:ROF983251 ROF983257:ROF983258 ROF983263:ROF983264 ROR6:ROR65536 ROR65542:ROR131072 ROR131078:ROR196608 ROR196614:ROR262144 ROR262150:ROR327680 ROR327686:ROR393216 ROR393222:ROR458752 ROR458758:ROR524288 ROR524294:ROR589824 ROR589830:ROR655360 ROR655366:ROR720896 ROR720902:ROR786432 ROR786438:ROR851968 ROR851974:ROR917504 ROR917510:ROR983040 ROR983046:ROR1048576 ROT207:ROT211 ROT217:ROT218 ROT223:ROT224 ROT65743:ROT65747 ROT65753:ROT65754 ROT65759:ROT65760 ROT131279:ROT131283 ROT131289:ROT131290 ROT131295:ROT131296 ROT196815:ROT196819 ROT196825:ROT196826 ROT196831:ROT196832 ROT262351:ROT262355 ROT262361:ROT262362 ROT262367:ROT262368 ROT327887:ROT327891 ROT327897:ROT327898 ROT327903:ROT327904 ROT393423:ROT393427 ROT393433:ROT393434 ROT393439:ROT393440 ROT458959:ROT458963 ROT458969:ROT458970 ROT458975:ROT458976 ROT524495:ROT524499 ROT524505:ROT524506 ROT524511:ROT524512 ROT590031:ROT590035 ROT590041:ROT590042 ROT590047:ROT590048 ROT655567:ROT655571 ROT655577:ROT655578 ROT655583:ROT655584 ROT721103:ROT721107 ROT721113:ROT721114 ROT721119:ROT721120 ROT786639:ROT786643 ROT786649:ROT786650 ROT786655:ROT786656 ROT852175:ROT852179 ROT852185:ROT852186 ROT852191:ROT852192 ROT917711:ROT917715 ROT917721:ROT917722 ROT917727:ROT917728 ROT983247:ROT983251 ROT983257:ROT983258 ROT983263:ROT983264 RPC205:RPC212 RPC215:RPC218 RPC223:RPC226 RPC65741:RPC65748 RPC65751:RPC65754 RPC65759:RPC65762 RPC131277:RPC131284 RPC131287:RPC131290 RPC131295:RPC131298 RPC196813:RPC196820 RPC196823:RPC196826 RPC196831:RPC196834 RPC262349:RPC262356 RPC262359:RPC262362 RPC262367:RPC262370 RPC327885:RPC327892 RPC327895:RPC327898 RPC327903:RPC327906 RPC393421:RPC393428 RPC393431:RPC393434 RPC393439:RPC393442 RPC458957:RPC458964 RPC458967:RPC458970 RPC458975:RPC458978 RPC524493:RPC524500 RPC524503:RPC524506 RPC524511:RPC524514 RPC590029:RPC590036 RPC590039:RPC590042 RPC590047:RPC590050 RPC655565:RPC655572 RPC655575:RPC655578 RPC655583:RPC655586 RPC721101:RPC721108 RPC721111:RPC721114 RPC721119:RPC721122 RPC786637:RPC786644 RPC786647:RPC786650 RPC786655:RPC786658 RPC852173:RPC852180 RPC852183:RPC852186 RPC852191:RPC852194 RPC917709:RPC917716 RPC917719:RPC917722 RPC917727:RPC917730 RPC983245:RPC983252 RPC983255:RPC983258 RPC983263:RPC983266 RYB207:RYB211 RYB217:RYB218 RYB223:RYB224 RYB65743:RYB65747 RYB65753:RYB65754 RYB65759:RYB65760 RYB131279:RYB131283 RYB131289:RYB131290 RYB131295:RYB131296 RYB196815:RYB196819 RYB196825:RYB196826 RYB196831:RYB196832 RYB262351:RYB262355 RYB262361:RYB262362 RYB262367:RYB262368 RYB327887:RYB327891 RYB327897:RYB327898 RYB327903:RYB327904 RYB393423:RYB393427 RYB393433:RYB393434 RYB393439:RYB393440 RYB458959:RYB458963 RYB458969:RYB458970 RYB458975:RYB458976 RYB524495:RYB524499 RYB524505:RYB524506 RYB524511:RYB524512 RYB590031:RYB590035 RYB590041:RYB590042 RYB590047:RYB590048 RYB655567:RYB655571 RYB655577:RYB655578 RYB655583:RYB655584 RYB721103:RYB721107 RYB721113:RYB721114 RYB721119:RYB721120 RYB786639:RYB786643 RYB786649:RYB786650 RYB786655:RYB786656 RYB852175:RYB852179 RYB852185:RYB852186 RYB852191:RYB852192 RYB917711:RYB917715 RYB917721:RYB917722 RYB917727:RYB917728 RYB983247:RYB983251 RYB983257:RYB983258 RYB983263:RYB983264 RYN6:RYN65536 RYN65542:RYN131072 RYN131078:RYN196608 RYN196614:RYN262144 RYN262150:RYN327680 RYN327686:RYN393216 RYN393222:RYN458752 RYN458758:RYN524288 RYN524294:RYN589824 RYN589830:RYN655360 RYN655366:RYN720896 RYN720902:RYN786432 RYN786438:RYN851968 RYN851974:RYN917504 RYN917510:RYN983040 RYN983046:RYN1048576 RYP207:RYP211 RYP217:RYP218 RYP223:RYP224 RYP65743:RYP65747 RYP65753:RYP65754 RYP65759:RYP65760 RYP131279:RYP131283 RYP131289:RYP131290 RYP131295:RYP131296 RYP196815:RYP196819 RYP196825:RYP196826 RYP196831:RYP196832 RYP262351:RYP262355 RYP262361:RYP262362 RYP262367:RYP262368 RYP327887:RYP327891 RYP327897:RYP327898 RYP327903:RYP327904 RYP393423:RYP393427 RYP393433:RYP393434 RYP393439:RYP393440 RYP458959:RYP458963 RYP458969:RYP458970 RYP458975:RYP458976 RYP524495:RYP524499 RYP524505:RYP524506 RYP524511:RYP524512 RYP590031:RYP590035 RYP590041:RYP590042 RYP590047:RYP590048 RYP655567:RYP655571 RYP655577:RYP655578 RYP655583:RYP655584 RYP721103:RYP721107 RYP721113:RYP721114 RYP721119:RYP721120 RYP786639:RYP786643 RYP786649:RYP786650 RYP786655:RYP786656 RYP852175:RYP852179 RYP852185:RYP852186 RYP852191:RYP852192 RYP917711:RYP917715 RYP917721:RYP917722 RYP917727:RYP917728 RYP983247:RYP983251 RYP983257:RYP983258 RYP983263:RYP983264 RYY205:RYY212 RYY215:RYY218 RYY223:RYY226 RYY65741:RYY65748 RYY65751:RYY65754 RYY65759:RYY65762 RYY131277:RYY131284 RYY131287:RYY131290 RYY131295:RYY131298 RYY196813:RYY196820 RYY196823:RYY196826 RYY196831:RYY196834 RYY262349:RYY262356 RYY262359:RYY262362 RYY262367:RYY262370 RYY327885:RYY327892 RYY327895:RYY327898 RYY327903:RYY327906 RYY393421:RYY393428 RYY393431:RYY393434 RYY393439:RYY393442 RYY458957:RYY458964 RYY458967:RYY458970 RYY458975:RYY458978 RYY524493:RYY524500 RYY524503:RYY524506 RYY524511:RYY524514 RYY590029:RYY590036 RYY590039:RYY590042 RYY590047:RYY590050 RYY655565:RYY655572 RYY655575:RYY655578 RYY655583:RYY655586 RYY721101:RYY721108 RYY721111:RYY721114 RYY721119:RYY721122 RYY786637:RYY786644 RYY786647:RYY786650 RYY786655:RYY786658 RYY852173:RYY852180 RYY852183:RYY852186 RYY852191:RYY852194 RYY917709:RYY917716 RYY917719:RYY917722 RYY917727:RYY917730 RYY983245:RYY983252 RYY983255:RYY983258 RYY983263:RYY983266 SHX207:SHX211 SHX217:SHX218 SHX223:SHX224 SHX65743:SHX65747 SHX65753:SHX65754 SHX65759:SHX65760 SHX131279:SHX131283 SHX131289:SHX131290 SHX131295:SHX131296 SHX196815:SHX196819 SHX196825:SHX196826 SHX196831:SHX196832 SHX262351:SHX262355 SHX262361:SHX262362 SHX262367:SHX262368 SHX327887:SHX327891 SHX327897:SHX327898 SHX327903:SHX327904 SHX393423:SHX393427 SHX393433:SHX393434 SHX393439:SHX393440 SHX458959:SHX458963 SHX458969:SHX458970 SHX458975:SHX458976 SHX524495:SHX524499 SHX524505:SHX524506 SHX524511:SHX524512 SHX590031:SHX590035 SHX590041:SHX590042 SHX590047:SHX590048 SHX655567:SHX655571 SHX655577:SHX655578 SHX655583:SHX655584 SHX721103:SHX721107 SHX721113:SHX721114 SHX721119:SHX721120 SHX786639:SHX786643 SHX786649:SHX786650 SHX786655:SHX786656 SHX852175:SHX852179 SHX852185:SHX852186 SHX852191:SHX852192 SHX917711:SHX917715 SHX917721:SHX917722 SHX917727:SHX917728 SHX983247:SHX983251 SHX983257:SHX983258 SHX983263:SHX983264 SIJ6:SIJ65536 SIJ65542:SIJ131072 SIJ131078:SIJ196608 SIJ196614:SIJ262144 SIJ262150:SIJ327680 SIJ327686:SIJ393216 SIJ393222:SIJ458752 SIJ458758:SIJ524288 SIJ524294:SIJ589824 SIJ589830:SIJ655360 SIJ655366:SIJ720896 SIJ720902:SIJ786432 SIJ786438:SIJ851968 SIJ851974:SIJ917504 SIJ917510:SIJ983040 SIJ983046:SIJ1048576 SIL207:SIL211 SIL217:SIL218 SIL223:SIL224 SIL65743:SIL65747 SIL65753:SIL65754 SIL65759:SIL65760 SIL131279:SIL131283 SIL131289:SIL131290 SIL131295:SIL131296 SIL196815:SIL196819 SIL196825:SIL196826 SIL196831:SIL196832 SIL262351:SIL262355 SIL262361:SIL262362 SIL262367:SIL262368 SIL327887:SIL327891 SIL327897:SIL327898 SIL327903:SIL327904 SIL393423:SIL393427 SIL393433:SIL393434 SIL393439:SIL393440 SIL458959:SIL458963 SIL458969:SIL458970 SIL458975:SIL458976 SIL524495:SIL524499 SIL524505:SIL524506 SIL524511:SIL524512 SIL590031:SIL590035 SIL590041:SIL590042 SIL590047:SIL590048 SIL655567:SIL655571 SIL655577:SIL655578 SIL655583:SIL655584 SIL721103:SIL721107 SIL721113:SIL721114 SIL721119:SIL721120 SIL786639:SIL786643 SIL786649:SIL786650 SIL786655:SIL786656 SIL852175:SIL852179 SIL852185:SIL852186 SIL852191:SIL852192 SIL917711:SIL917715 SIL917721:SIL917722 SIL917727:SIL917728 SIL983247:SIL983251 SIL983257:SIL983258 SIL983263:SIL983264 SIU205:SIU212 SIU215:SIU218 SIU223:SIU226 SIU65741:SIU65748 SIU65751:SIU65754 SIU65759:SIU65762 SIU131277:SIU131284 SIU131287:SIU131290 SIU131295:SIU131298 SIU196813:SIU196820 SIU196823:SIU196826 SIU196831:SIU196834 SIU262349:SIU262356 SIU262359:SIU262362 SIU262367:SIU262370 SIU327885:SIU327892 SIU327895:SIU327898 SIU327903:SIU327906 SIU393421:SIU393428 SIU393431:SIU393434 SIU393439:SIU393442 SIU458957:SIU458964 SIU458967:SIU458970 SIU458975:SIU458978 SIU524493:SIU524500 SIU524503:SIU524506 SIU524511:SIU524514 SIU590029:SIU590036 SIU590039:SIU590042 SIU590047:SIU590050 SIU655565:SIU655572 SIU655575:SIU655578 SIU655583:SIU655586 SIU721101:SIU721108 SIU721111:SIU721114 SIU721119:SIU721122 SIU786637:SIU786644 SIU786647:SIU786650 SIU786655:SIU786658 SIU852173:SIU852180 SIU852183:SIU852186 SIU852191:SIU852194 SIU917709:SIU917716 SIU917719:SIU917722 SIU917727:SIU917730 SIU983245:SIU983252 SIU983255:SIU983258 SIU983263:SIU983266 SRT207:SRT211 SRT217:SRT218 SRT223:SRT224 SRT65743:SRT65747 SRT65753:SRT65754 SRT65759:SRT65760 SRT131279:SRT131283 SRT131289:SRT131290 SRT131295:SRT131296 SRT196815:SRT196819 SRT196825:SRT196826 SRT196831:SRT196832 SRT262351:SRT262355 SRT262361:SRT262362 SRT262367:SRT262368 SRT327887:SRT327891 SRT327897:SRT327898 SRT327903:SRT327904 SRT393423:SRT393427 SRT393433:SRT393434 SRT393439:SRT393440 SRT458959:SRT458963 SRT458969:SRT458970 SRT458975:SRT458976 SRT524495:SRT524499 SRT524505:SRT524506 SRT524511:SRT524512 SRT590031:SRT590035 SRT590041:SRT590042 SRT590047:SRT590048 SRT655567:SRT655571 SRT655577:SRT655578 SRT655583:SRT655584 SRT721103:SRT721107 SRT721113:SRT721114 SRT721119:SRT721120 SRT786639:SRT786643 SRT786649:SRT786650 SRT786655:SRT786656 SRT852175:SRT852179 SRT852185:SRT852186 SRT852191:SRT852192 SRT917711:SRT917715 SRT917721:SRT917722 SRT917727:SRT917728 SRT983247:SRT983251 SRT983257:SRT983258 SRT983263:SRT983264 SSF6:SSF65536 SSF65542:SSF131072 SSF131078:SSF196608 SSF196614:SSF262144 SSF262150:SSF327680 SSF327686:SSF393216 SSF393222:SSF458752 SSF458758:SSF524288 SSF524294:SSF589824 SSF589830:SSF655360 SSF655366:SSF720896 SSF720902:SSF786432 SSF786438:SSF851968 SSF851974:SSF917504 SSF917510:SSF983040 SSF983046:SSF1048576 SSH207:SSH211 SSH217:SSH218 SSH223:SSH224 SSH65743:SSH65747 SSH65753:SSH65754 SSH65759:SSH65760 SSH131279:SSH131283 SSH131289:SSH131290 SSH131295:SSH131296 SSH196815:SSH196819 SSH196825:SSH196826 SSH196831:SSH196832 SSH262351:SSH262355 SSH262361:SSH262362 SSH262367:SSH262368 SSH327887:SSH327891 SSH327897:SSH327898 SSH327903:SSH327904 SSH393423:SSH393427 SSH393433:SSH393434 SSH393439:SSH393440 SSH458959:SSH458963 SSH458969:SSH458970 SSH458975:SSH458976 SSH524495:SSH524499 SSH524505:SSH524506 SSH524511:SSH524512 SSH590031:SSH590035 SSH590041:SSH590042 SSH590047:SSH590048 SSH655567:SSH655571 SSH655577:SSH655578 SSH655583:SSH655584 SSH721103:SSH721107 SSH721113:SSH721114 SSH721119:SSH721120 SSH786639:SSH786643 SSH786649:SSH786650 SSH786655:SSH786656 SSH852175:SSH852179 SSH852185:SSH852186 SSH852191:SSH852192 SSH917711:SSH917715 SSH917721:SSH917722 SSH917727:SSH917728 SSH983247:SSH983251 SSH983257:SSH983258 SSH983263:SSH983264 SSQ205:SSQ212 SSQ215:SSQ218 SSQ223:SSQ226 SSQ65741:SSQ65748 SSQ65751:SSQ65754 SSQ65759:SSQ65762 SSQ131277:SSQ131284 SSQ131287:SSQ131290 SSQ131295:SSQ131298 SSQ196813:SSQ196820 SSQ196823:SSQ196826 SSQ196831:SSQ196834 SSQ262349:SSQ262356 SSQ262359:SSQ262362 SSQ262367:SSQ262370 SSQ327885:SSQ327892 SSQ327895:SSQ327898 SSQ327903:SSQ327906 SSQ393421:SSQ393428 SSQ393431:SSQ393434 SSQ393439:SSQ393442 SSQ458957:SSQ458964 SSQ458967:SSQ458970 SSQ458975:SSQ458978 SSQ524493:SSQ524500 SSQ524503:SSQ524506 SSQ524511:SSQ524514 SSQ590029:SSQ590036 SSQ590039:SSQ590042 SSQ590047:SSQ590050 SSQ655565:SSQ655572 SSQ655575:SSQ655578 SSQ655583:SSQ655586 SSQ721101:SSQ721108 SSQ721111:SSQ721114 SSQ721119:SSQ721122 SSQ786637:SSQ786644 SSQ786647:SSQ786650 SSQ786655:SSQ786658 SSQ852173:SSQ852180 SSQ852183:SSQ852186 SSQ852191:SSQ852194 SSQ917709:SSQ917716 SSQ917719:SSQ917722 SSQ917727:SSQ917730 SSQ983245:SSQ983252 SSQ983255:SSQ983258 SSQ983263:SSQ983266 TBP207:TBP211 TBP217:TBP218 TBP223:TBP224 TBP65743:TBP65747 TBP65753:TBP65754 TBP65759:TBP65760 TBP131279:TBP131283 TBP131289:TBP131290 TBP131295:TBP131296 TBP196815:TBP196819 TBP196825:TBP196826 TBP196831:TBP196832 TBP262351:TBP262355 TBP262361:TBP262362 TBP262367:TBP262368 TBP327887:TBP327891 TBP327897:TBP327898 TBP327903:TBP327904 TBP393423:TBP393427 TBP393433:TBP393434 TBP393439:TBP393440 TBP458959:TBP458963 TBP458969:TBP458970 TBP458975:TBP458976 TBP524495:TBP524499 TBP524505:TBP524506 TBP524511:TBP524512 TBP590031:TBP590035 TBP590041:TBP590042 TBP590047:TBP590048 TBP655567:TBP655571 TBP655577:TBP655578 TBP655583:TBP655584 TBP721103:TBP721107 TBP721113:TBP721114 TBP721119:TBP721120 TBP786639:TBP786643 TBP786649:TBP786650 TBP786655:TBP786656 TBP852175:TBP852179 TBP852185:TBP852186 TBP852191:TBP852192 TBP917711:TBP917715 TBP917721:TBP917722 TBP917727:TBP917728 TBP983247:TBP983251 TBP983257:TBP983258 TBP983263:TBP983264 TCB6:TCB65536 TCB65542:TCB131072 TCB131078:TCB196608 TCB196614:TCB262144 TCB262150:TCB327680 TCB327686:TCB393216 TCB393222:TCB458752 TCB458758:TCB524288 TCB524294:TCB589824 TCB589830:TCB655360 TCB655366:TCB720896 TCB720902:TCB786432 TCB786438:TCB851968 TCB851974:TCB917504 TCB917510:TCB983040 TCB983046:TCB1048576 TCD207:TCD211 TCD217:TCD218 TCD223:TCD224 TCD65743:TCD65747 TCD65753:TCD65754 TCD65759:TCD65760 TCD131279:TCD131283 TCD131289:TCD131290 TCD131295:TCD131296 TCD196815:TCD196819 TCD196825:TCD196826 TCD196831:TCD196832 TCD262351:TCD262355 TCD262361:TCD262362 TCD262367:TCD262368 TCD327887:TCD327891 TCD327897:TCD327898 TCD327903:TCD327904 TCD393423:TCD393427 TCD393433:TCD393434 TCD393439:TCD393440 TCD458959:TCD458963 TCD458969:TCD458970 TCD458975:TCD458976 TCD524495:TCD524499 TCD524505:TCD524506 TCD524511:TCD524512 TCD590031:TCD590035 TCD590041:TCD590042 TCD590047:TCD590048 TCD655567:TCD655571 TCD655577:TCD655578 TCD655583:TCD655584 TCD721103:TCD721107 TCD721113:TCD721114 TCD721119:TCD721120 TCD786639:TCD786643 TCD786649:TCD786650 TCD786655:TCD786656 TCD852175:TCD852179 TCD852185:TCD852186 TCD852191:TCD852192 TCD917711:TCD917715 TCD917721:TCD917722 TCD917727:TCD917728 TCD983247:TCD983251 TCD983257:TCD983258 TCD983263:TCD983264 TCM205:TCM212 TCM215:TCM218 TCM223:TCM226 TCM65741:TCM65748 TCM65751:TCM65754 TCM65759:TCM65762 TCM131277:TCM131284 TCM131287:TCM131290 TCM131295:TCM131298 TCM196813:TCM196820 TCM196823:TCM196826 TCM196831:TCM196834 TCM262349:TCM262356 TCM262359:TCM262362 TCM262367:TCM262370 TCM327885:TCM327892 TCM327895:TCM327898 TCM327903:TCM327906 TCM393421:TCM393428 TCM393431:TCM393434 TCM393439:TCM393442 TCM458957:TCM458964 TCM458967:TCM458970 TCM458975:TCM458978 TCM524493:TCM524500 TCM524503:TCM524506 TCM524511:TCM524514 TCM590029:TCM590036 TCM590039:TCM590042 TCM590047:TCM590050 TCM655565:TCM655572 TCM655575:TCM655578 TCM655583:TCM655586 TCM721101:TCM721108 TCM721111:TCM721114 TCM721119:TCM721122 TCM786637:TCM786644 TCM786647:TCM786650 TCM786655:TCM786658 TCM852173:TCM852180 TCM852183:TCM852186 TCM852191:TCM852194 TCM917709:TCM917716 TCM917719:TCM917722 TCM917727:TCM917730 TCM983245:TCM983252 TCM983255:TCM983258 TCM983263:TCM983266 TLL207:TLL211 TLL217:TLL218 TLL223:TLL224 TLL65743:TLL65747 TLL65753:TLL65754 TLL65759:TLL65760 TLL131279:TLL131283 TLL131289:TLL131290 TLL131295:TLL131296 TLL196815:TLL196819 TLL196825:TLL196826 TLL196831:TLL196832 TLL262351:TLL262355 TLL262361:TLL262362 TLL262367:TLL262368 TLL327887:TLL327891 TLL327897:TLL327898 TLL327903:TLL327904 TLL393423:TLL393427 TLL393433:TLL393434 TLL393439:TLL393440 TLL458959:TLL458963 TLL458969:TLL458970 TLL458975:TLL458976 TLL524495:TLL524499 TLL524505:TLL524506 TLL524511:TLL524512 TLL590031:TLL590035 TLL590041:TLL590042 TLL590047:TLL590048 TLL655567:TLL655571 TLL655577:TLL655578 TLL655583:TLL655584 TLL721103:TLL721107 TLL721113:TLL721114 TLL721119:TLL721120 TLL786639:TLL786643 TLL786649:TLL786650 TLL786655:TLL786656 TLL852175:TLL852179 TLL852185:TLL852186 TLL852191:TLL852192 TLL917711:TLL917715 TLL917721:TLL917722 TLL917727:TLL917728 TLL983247:TLL983251 TLL983257:TLL983258 TLL983263:TLL983264 TLX6:TLX65536 TLX65542:TLX131072 TLX131078:TLX196608 TLX196614:TLX262144 TLX262150:TLX327680 TLX327686:TLX393216 TLX393222:TLX458752 TLX458758:TLX524288 TLX524294:TLX589824 TLX589830:TLX655360 TLX655366:TLX720896 TLX720902:TLX786432 TLX786438:TLX851968 TLX851974:TLX917504 TLX917510:TLX983040 TLX983046:TLX1048576 TLZ207:TLZ211 TLZ217:TLZ218 TLZ223:TLZ224 TLZ65743:TLZ65747 TLZ65753:TLZ65754 TLZ65759:TLZ65760 TLZ131279:TLZ131283 TLZ131289:TLZ131290 TLZ131295:TLZ131296 TLZ196815:TLZ196819 TLZ196825:TLZ196826 TLZ196831:TLZ196832 TLZ262351:TLZ262355 TLZ262361:TLZ262362 TLZ262367:TLZ262368 TLZ327887:TLZ327891 TLZ327897:TLZ327898 TLZ327903:TLZ327904 TLZ393423:TLZ393427 TLZ393433:TLZ393434 TLZ393439:TLZ393440 TLZ458959:TLZ458963 TLZ458969:TLZ458970 TLZ458975:TLZ458976 TLZ524495:TLZ524499 TLZ524505:TLZ524506 TLZ524511:TLZ524512 TLZ590031:TLZ590035 TLZ590041:TLZ590042 TLZ590047:TLZ590048 TLZ655567:TLZ655571 TLZ655577:TLZ655578 TLZ655583:TLZ655584 TLZ721103:TLZ721107 TLZ721113:TLZ721114 TLZ721119:TLZ721120 TLZ786639:TLZ786643 TLZ786649:TLZ786650 TLZ786655:TLZ786656 TLZ852175:TLZ852179 TLZ852185:TLZ852186 TLZ852191:TLZ852192 TLZ917711:TLZ917715 TLZ917721:TLZ917722 TLZ917727:TLZ917728 TLZ983247:TLZ983251 TLZ983257:TLZ983258 TLZ983263:TLZ983264 TMI205:TMI212 TMI215:TMI218 TMI223:TMI226 TMI65741:TMI65748 TMI65751:TMI65754 TMI65759:TMI65762 TMI131277:TMI131284 TMI131287:TMI131290 TMI131295:TMI131298 TMI196813:TMI196820 TMI196823:TMI196826 TMI196831:TMI196834 TMI262349:TMI262356 TMI262359:TMI262362 TMI262367:TMI262370 TMI327885:TMI327892 TMI327895:TMI327898 TMI327903:TMI327906 TMI393421:TMI393428 TMI393431:TMI393434 TMI393439:TMI393442 TMI458957:TMI458964 TMI458967:TMI458970 TMI458975:TMI458978 TMI524493:TMI524500 TMI524503:TMI524506 TMI524511:TMI524514 TMI590029:TMI590036 TMI590039:TMI590042 TMI590047:TMI590050 TMI655565:TMI655572 TMI655575:TMI655578 TMI655583:TMI655586 TMI721101:TMI721108 TMI721111:TMI721114 TMI721119:TMI721122 TMI786637:TMI786644 TMI786647:TMI786650 TMI786655:TMI786658 TMI852173:TMI852180 TMI852183:TMI852186 TMI852191:TMI852194 TMI917709:TMI917716 TMI917719:TMI917722 TMI917727:TMI917730 TMI983245:TMI983252 TMI983255:TMI983258 TMI983263:TMI983266 TVH207:TVH211 TVH217:TVH218 TVH223:TVH224 TVH65743:TVH65747 TVH65753:TVH65754 TVH65759:TVH65760 TVH131279:TVH131283 TVH131289:TVH131290 TVH131295:TVH131296 TVH196815:TVH196819 TVH196825:TVH196826 TVH196831:TVH196832 TVH262351:TVH262355 TVH262361:TVH262362 TVH262367:TVH262368 TVH327887:TVH327891 TVH327897:TVH327898 TVH327903:TVH327904 TVH393423:TVH393427 TVH393433:TVH393434 TVH393439:TVH393440 TVH458959:TVH458963 TVH458969:TVH458970 TVH458975:TVH458976 TVH524495:TVH524499 TVH524505:TVH524506 TVH524511:TVH524512 TVH590031:TVH590035 TVH590041:TVH590042 TVH590047:TVH590048 TVH655567:TVH655571 TVH655577:TVH655578 TVH655583:TVH655584 TVH721103:TVH721107 TVH721113:TVH721114 TVH721119:TVH721120 TVH786639:TVH786643 TVH786649:TVH786650 TVH786655:TVH786656 TVH852175:TVH852179 TVH852185:TVH852186 TVH852191:TVH852192 TVH917711:TVH917715 TVH917721:TVH917722 TVH917727:TVH917728 TVH983247:TVH983251 TVH983257:TVH983258 TVH983263:TVH983264 TVT6:TVT65536 TVT65542:TVT131072 TVT131078:TVT196608 TVT196614:TVT262144 TVT262150:TVT327680 TVT327686:TVT393216 TVT393222:TVT458752 TVT458758:TVT524288 TVT524294:TVT589824 TVT589830:TVT655360 TVT655366:TVT720896 TVT720902:TVT786432 TVT786438:TVT851968 TVT851974:TVT917504 TVT917510:TVT983040 TVT983046:TVT1048576 TVV207:TVV211 TVV217:TVV218 TVV223:TVV224 TVV65743:TVV65747 TVV65753:TVV65754 TVV65759:TVV65760 TVV131279:TVV131283 TVV131289:TVV131290 TVV131295:TVV131296 TVV196815:TVV196819 TVV196825:TVV196826 TVV196831:TVV196832 TVV262351:TVV262355 TVV262361:TVV262362 TVV262367:TVV262368 TVV327887:TVV327891 TVV327897:TVV327898 TVV327903:TVV327904 TVV393423:TVV393427 TVV393433:TVV393434 TVV393439:TVV393440 TVV458959:TVV458963 TVV458969:TVV458970 TVV458975:TVV458976 TVV524495:TVV524499 TVV524505:TVV524506 TVV524511:TVV524512 TVV590031:TVV590035 TVV590041:TVV590042 TVV590047:TVV590048 TVV655567:TVV655571 TVV655577:TVV655578 TVV655583:TVV655584 TVV721103:TVV721107 TVV721113:TVV721114 TVV721119:TVV721120 TVV786639:TVV786643 TVV786649:TVV786650 TVV786655:TVV786656 TVV852175:TVV852179 TVV852185:TVV852186 TVV852191:TVV852192 TVV917711:TVV917715 TVV917721:TVV917722 TVV917727:TVV917728 TVV983247:TVV983251 TVV983257:TVV983258 TVV983263:TVV983264 TWE205:TWE212 TWE215:TWE218 TWE223:TWE226 TWE65741:TWE65748 TWE65751:TWE65754 TWE65759:TWE65762 TWE131277:TWE131284 TWE131287:TWE131290 TWE131295:TWE131298 TWE196813:TWE196820 TWE196823:TWE196826 TWE196831:TWE196834 TWE262349:TWE262356 TWE262359:TWE262362 TWE262367:TWE262370 TWE327885:TWE327892 TWE327895:TWE327898 TWE327903:TWE327906 TWE393421:TWE393428 TWE393431:TWE393434 TWE393439:TWE393442 TWE458957:TWE458964 TWE458967:TWE458970 TWE458975:TWE458978 TWE524493:TWE524500 TWE524503:TWE524506 TWE524511:TWE524514 TWE590029:TWE590036 TWE590039:TWE590042 TWE590047:TWE590050 TWE655565:TWE655572 TWE655575:TWE655578 TWE655583:TWE655586 TWE721101:TWE721108 TWE721111:TWE721114 TWE721119:TWE721122 TWE786637:TWE786644 TWE786647:TWE786650 TWE786655:TWE786658 TWE852173:TWE852180 TWE852183:TWE852186 TWE852191:TWE852194 TWE917709:TWE917716 TWE917719:TWE917722 TWE917727:TWE917730 TWE983245:TWE983252 TWE983255:TWE983258 TWE983263:TWE983266 UFD207:UFD211 UFD217:UFD218 UFD223:UFD224 UFD65743:UFD65747 UFD65753:UFD65754 UFD65759:UFD65760 UFD131279:UFD131283 UFD131289:UFD131290 UFD131295:UFD131296 UFD196815:UFD196819 UFD196825:UFD196826 UFD196831:UFD196832 UFD262351:UFD262355 UFD262361:UFD262362 UFD262367:UFD262368 UFD327887:UFD327891 UFD327897:UFD327898 UFD327903:UFD327904 UFD393423:UFD393427 UFD393433:UFD393434 UFD393439:UFD393440 UFD458959:UFD458963 UFD458969:UFD458970 UFD458975:UFD458976 UFD524495:UFD524499 UFD524505:UFD524506 UFD524511:UFD524512 UFD590031:UFD590035 UFD590041:UFD590042 UFD590047:UFD590048 UFD655567:UFD655571 UFD655577:UFD655578 UFD655583:UFD655584 UFD721103:UFD721107 UFD721113:UFD721114 UFD721119:UFD721120 UFD786639:UFD786643 UFD786649:UFD786650 UFD786655:UFD786656 UFD852175:UFD852179 UFD852185:UFD852186 UFD852191:UFD852192 UFD917711:UFD917715 UFD917721:UFD917722 UFD917727:UFD917728 UFD983247:UFD983251 UFD983257:UFD983258 UFD983263:UFD983264 UFP6:UFP65536 UFP65542:UFP131072 UFP131078:UFP196608 UFP196614:UFP262144 UFP262150:UFP327680 UFP327686:UFP393216 UFP393222:UFP458752 UFP458758:UFP524288 UFP524294:UFP589824 UFP589830:UFP655360 UFP655366:UFP720896 UFP720902:UFP786432 UFP786438:UFP851968 UFP851974:UFP917504 UFP917510:UFP983040 UFP983046:UFP1048576 UFR207:UFR211 UFR217:UFR218 UFR223:UFR224 UFR65743:UFR65747 UFR65753:UFR65754 UFR65759:UFR65760 UFR131279:UFR131283 UFR131289:UFR131290 UFR131295:UFR131296 UFR196815:UFR196819 UFR196825:UFR196826 UFR196831:UFR196832 UFR262351:UFR262355 UFR262361:UFR262362 UFR262367:UFR262368 UFR327887:UFR327891 UFR327897:UFR327898 UFR327903:UFR327904 UFR393423:UFR393427 UFR393433:UFR393434 UFR393439:UFR393440 UFR458959:UFR458963 UFR458969:UFR458970 UFR458975:UFR458976 UFR524495:UFR524499 UFR524505:UFR524506 UFR524511:UFR524512 UFR590031:UFR590035 UFR590041:UFR590042 UFR590047:UFR590048 UFR655567:UFR655571 UFR655577:UFR655578 UFR655583:UFR655584 UFR721103:UFR721107 UFR721113:UFR721114 UFR721119:UFR721120 UFR786639:UFR786643 UFR786649:UFR786650 UFR786655:UFR786656 UFR852175:UFR852179 UFR852185:UFR852186 UFR852191:UFR852192 UFR917711:UFR917715 UFR917721:UFR917722 UFR917727:UFR917728 UFR983247:UFR983251 UFR983257:UFR983258 UFR983263:UFR983264 UGA205:UGA212 UGA215:UGA218 UGA223:UGA226 UGA65741:UGA65748 UGA65751:UGA65754 UGA65759:UGA65762 UGA131277:UGA131284 UGA131287:UGA131290 UGA131295:UGA131298 UGA196813:UGA196820 UGA196823:UGA196826 UGA196831:UGA196834 UGA262349:UGA262356 UGA262359:UGA262362 UGA262367:UGA262370 UGA327885:UGA327892 UGA327895:UGA327898 UGA327903:UGA327906 UGA393421:UGA393428 UGA393431:UGA393434 UGA393439:UGA393442 UGA458957:UGA458964 UGA458967:UGA458970 UGA458975:UGA458978 UGA524493:UGA524500 UGA524503:UGA524506 UGA524511:UGA524514 UGA590029:UGA590036 UGA590039:UGA590042 UGA590047:UGA590050 UGA655565:UGA655572 UGA655575:UGA655578 UGA655583:UGA655586 UGA721101:UGA721108 UGA721111:UGA721114 UGA721119:UGA721122 UGA786637:UGA786644 UGA786647:UGA786650 UGA786655:UGA786658 UGA852173:UGA852180 UGA852183:UGA852186 UGA852191:UGA852194 UGA917709:UGA917716 UGA917719:UGA917722 UGA917727:UGA917730 UGA983245:UGA983252 UGA983255:UGA983258 UGA983263:UGA983266 UOZ207:UOZ211 UOZ217:UOZ218 UOZ223:UOZ224 UOZ65743:UOZ65747 UOZ65753:UOZ65754 UOZ65759:UOZ65760 UOZ131279:UOZ131283 UOZ131289:UOZ131290 UOZ131295:UOZ131296 UOZ196815:UOZ196819 UOZ196825:UOZ196826 UOZ196831:UOZ196832 UOZ262351:UOZ262355 UOZ262361:UOZ262362 UOZ262367:UOZ262368 UOZ327887:UOZ327891 UOZ327897:UOZ327898 UOZ327903:UOZ327904 UOZ393423:UOZ393427 UOZ393433:UOZ393434 UOZ393439:UOZ393440 UOZ458959:UOZ458963 UOZ458969:UOZ458970 UOZ458975:UOZ458976 UOZ524495:UOZ524499 UOZ524505:UOZ524506 UOZ524511:UOZ524512 UOZ590031:UOZ590035 UOZ590041:UOZ590042 UOZ590047:UOZ590048 UOZ655567:UOZ655571 UOZ655577:UOZ655578 UOZ655583:UOZ655584 UOZ721103:UOZ721107 UOZ721113:UOZ721114 UOZ721119:UOZ721120 UOZ786639:UOZ786643 UOZ786649:UOZ786650 UOZ786655:UOZ786656 UOZ852175:UOZ852179 UOZ852185:UOZ852186 UOZ852191:UOZ852192 UOZ917711:UOZ917715 UOZ917721:UOZ917722 UOZ917727:UOZ917728 UOZ983247:UOZ983251 UOZ983257:UOZ983258 UOZ983263:UOZ983264 UPL6:UPL65536 UPL65542:UPL131072 UPL131078:UPL196608 UPL196614:UPL262144 UPL262150:UPL327680 UPL327686:UPL393216 UPL393222:UPL458752 UPL458758:UPL524288 UPL524294:UPL589824 UPL589830:UPL655360 UPL655366:UPL720896 UPL720902:UPL786432 UPL786438:UPL851968 UPL851974:UPL917504 UPL917510:UPL983040 UPL983046:UPL1048576 UPN207:UPN211 UPN217:UPN218 UPN223:UPN224 UPN65743:UPN65747 UPN65753:UPN65754 UPN65759:UPN65760 UPN131279:UPN131283 UPN131289:UPN131290 UPN131295:UPN131296 UPN196815:UPN196819 UPN196825:UPN196826 UPN196831:UPN196832 UPN262351:UPN262355 UPN262361:UPN262362 UPN262367:UPN262368 UPN327887:UPN327891 UPN327897:UPN327898 UPN327903:UPN327904 UPN393423:UPN393427 UPN393433:UPN393434 UPN393439:UPN393440 UPN458959:UPN458963 UPN458969:UPN458970 UPN458975:UPN458976 UPN524495:UPN524499 UPN524505:UPN524506 UPN524511:UPN524512 UPN590031:UPN590035 UPN590041:UPN590042 UPN590047:UPN590048 UPN655567:UPN655571 UPN655577:UPN655578 UPN655583:UPN655584 UPN721103:UPN721107 UPN721113:UPN721114 UPN721119:UPN721120 UPN786639:UPN786643 UPN786649:UPN786650 UPN786655:UPN786656 UPN852175:UPN852179 UPN852185:UPN852186 UPN852191:UPN852192 UPN917711:UPN917715 UPN917721:UPN917722 UPN917727:UPN917728 UPN983247:UPN983251 UPN983257:UPN983258 UPN983263:UPN983264 UPW205:UPW212 UPW215:UPW218 UPW223:UPW226 UPW65741:UPW65748 UPW65751:UPW65754 UPW65759:UPW65762 UPW131277:UPW131284 UPW131287:UPW131290 UPW131295:UPW131298 UPW196813:UPW196820 UPW196823:UPW196826 UPW196831:UPW196834 UPW262349:UPW262356 UPW262359:UPW262362 UPW262367:UPW262370 UPW327885:UPW327892 UPW327895:UPW327898 UPW327903:UPW327906 UPW393421:UPW393428 UPW393431:UPW393434 UPW393439:UPW393442 UPW458957:UPW458964 UPW458967:UPW458970 UPW458975:UPW458978 UPW524493:UPW524500 UPW524503:UPW524506 UPW524511:UPW524514 UPW590029:UPW590036 UPW590039:UPW590042 UPW590047:UPW590050 UPW655565:UPW655572 UPW655575:UPW655578 UPW655583:UPW655586 UPW721101:UPW721108 UPW721111:UPW721114 UPW721119:UPW721122 UPW786637:UPW786644 UPW786647:UPW786650 UPW786655:UPW786658 UPW852173:UPW852180 UPW852183:UPW852186 UPW852191:UPW852194 UPW917709:UPW917716 UPW917719:UPW917722 UPW917727:UPW917730 UPW983245:UPW983252 UPW983255:UPW983258 UPW983263:UPW983266 UYV207:UYV211 UYV217:UYV218 UYV223:UYV224 UYV65743:UYV65747 UYV65753:UYV65754 UYV65759:UYV65760 UYV131279:UYV131283 UYV131289:UYV131290 UYV131295:UYV131296 UYV196815:UYV196819 UYV196825:UYV196826 UYV196831:UYV196832 UYV262351:UYV262355 UYV262361:UYV262362 UYV262367:UYV262368 UYV327887:UYV327891 UYV327897:UYV327898 UYV327903:UYV327904 UYV393423:UYV393427 UYV393433:UYV393434 UYV393439:UYV393440 UYV458959:UYV458963 UYV458969:UYV458970 UYV458975:UYV458976 UYV524495:UYV524499 UYV524505:UYV524506 UYV524511:UYV524512 UYV590031:UYV590035 UYV590041:UYV590042 UYV590047:UYV590048 UYV655567:UYV655571 UYV655577:UYV655578 UYV655583:UYV655584 UYV721103:UYV721107 UYV721113:UYV721114 UYV721119:UYV721120 UYV786639:UYV786643 UYV786649:UYV786650 UYV786655:UYV786656 UYV852175:UYV852179 UYV852185:UYV852186 UYV852191:UYV852192 UYV917711:UYV917715 UYV917721:UYV917722 UYV917727:UYV917728 UYV983247:UYV983251 UYV983257:UYV983258 UYV983263:UYV983264 UZH6:UZH65536 UZH65542:UZH131072 UZH131078:UZH196608 UZH196614:UZH262144 UZH262150:UZH327680 UZH327686:UZH393216 UZH393222:UZH458752 UZH458758:UZH524288 UZH524294:UZH589824 UZH589830:UZH655360 UZH655366:UZH720896 UZH720902:UZH786432 UZH786438:UZH851968 UZH851974:UZH917504 UZH917510:UZH983040 UZH983046:UZH1048576 UZJ207:UZJ211 UZJ217:UZJ218 UZJ223:UZJ224 UZJ65743:UZJ65747 UZJ65753:UZJ65754 UZJ65759:UZJ65760 UZJ131279:UZJ131283 UZJ131289:UZJ131290 UZJ131295:UZJ131296 UZJ196815:UZJ196819 UZJ196825:UZJ196826 UZJ196831:UZJ196832 UZJ262351:UZJ262355 UZJ262361:UZJ262362 UZJ262367:UZJ262368 UZJ327887:UZJ327891 UZJ327897:UZJ327898 UZJ327903:UZJ327904 UZJ393423:UZJ393427 UZJ393433:UZJ393434 UZJ393439:UZJ393440 UZJ458959:UZJ458963 UZJ458969:UZJ458970 UZJ458975:UZJ458976 UZJ524495:UZJ524499 UZJ524505:UZJ524506 UZJ524511:UZJ524512 UZJ590031:UZJ590035 UZJ590041:UZJ590042 UZJ590047:UZJ590048 UZJ655567:UZJ655571 UZJ655577:UZJ655578 UZJ655583:UZJ655584 UZJ721103:UZJ721107 UZJ721113:UZJ721114 UZJ721119:UZJ721120 UZJ786639:UZJ786643 UZJ786649:UZJ786650 UZJ786655:UZJ786656 UZJ852175:UZJ852179 UZJ852185:UZJ852186 UZJ852191:UZJ852192 UZJ917711:UZJ917715 UZJ917721:UZJ917722 UZJ917727:UZJ917728 UZJ983247:UZJ983251 UZJ983257:UZJ983258 UZJ983263:UZJ983264 UZS205:UZS212 UZS215:UZS218 UZS223:UZS226 UZS65741:UZS65748 UZS65751:UZS65754 UZS65759:UZS65762 UZS131277:UZS131284 UZS131287:UZS131290 UZS131295:UZS131298 UZS196813:UZS196820 UZS196823:UZS196826 UZS196831:UZS196834 UZS262349:UZS262356 UZS262359:UZS262362 UZS262367:UZS262370 UZS327885:UZS327892 UZS327895:UZS327898 UZS327903:UZS327906 UZS393421:UZS393428 UZS393431:UZS393434 UZS393439:UZS393442 UZS458957:UZS458964 UZS458967:UZS458970 UZS458975:UZS458978 UZS524493:UZS524500 UZS524503:UZS524506 UZS524511:UZS524514 UZS590029:UZS590036 UZS590039:UZS590042 UZS590047:UZS590050 UZS655565:UZS655572 UZS655575:UZS655578 UZS655583:UZS655586 UZS721101:UZS721108 UZS721111:UZS721114 UZS721119:UZS721122 UZS786637:UZS786644 UZS786647:UZS786650 UZS786655:UZS786658 UZS852173:UZS852180 UZS852183:UZS852186 UZS852191:UZS852194 UZS917709:UZS917716 UZS917719:UZS917722 UZS917727:UZS917730 UZS983245:UZS983252 UZS983255:UZS983258 UZS983263:UZS983266 VIR207:VIR211 VIR217:VIR218 VIR223:VIR224 VIR65743:VIR65747 VIR65753:VIR65754 VIR65759:VIR65760 VIR131279:VIR131283 VIR131289:VIR131290 VIR131295:VIR131296 VIR196815:VIR196819 VIR196825:VIR196826 VIR196831:VIR196832 VIR262351:VIR262355 VIR262361:VIR262362 VIR262367:VIR262368 VIR327887:VIR327891 VIR327897:VIR327898 VIR327903:VIR327904 VIR393423:VIR393427 VIR393433:VIR393434 VIR393439:VIR393440 VIR458959:VIR458963 VIR458969:VIR458970 VIR458975:VIR458976 VIR524495:VIR524499 VIR524505:VIR524506 VIR524511:VIR524512 VIR590031:VIR590035 VIR590041:VIR590042 VIR590047:VIR590048 VIR655567:VIR655571 VIR655577:VIR655578 VIR655583:VIR655584 VIR721103:VIR721107 VIR721113:VIR721114 VIR721119:VIR721120 VIR786639:VIR786643 VIR786649:VIR786650 VIR786655:VIR786656 VIR852175:VIR852179 VIR852185:VIR852186 VIR852191:VIR852192 VIR917711:VIR917715 VIR917721:VIR917722 VIR917727:VIR917728 VIR983247:VIR983251 VIR983257:VIR983258 VIR983263:VIR983264 VJD6:VJD65536 VJD65542:VJD131072 VJD131078:VJD196608 VJD196614:VJD262144 VJD262150:VJD327680 VJD327686:VJD393216 VJD393222:VJD458752 VJD458758:VJD524288 VJD524294:VJD589824 VJD589830:VJD655360 VJD655366:VJD720896 VJD720902:VJD786432 VJD786438:VJD851968 VJD851974:VJD917504 VJD917510:VJD983040 VJD983046:VJD1048576 VJF207:VJF211 VJF217:VJF218 VJF223:VJF224 VJF65743:VJF65747 VJF65753:VJF65754 VJF65759:VJF65760 VJF131279:VJF131283 VJF131289:VJF131290 VJF131295:VJF131296 VJF196815:VJF196819 VJF196825:VJF196826 VJF196831:VJF196832 VJF262351:VJF262355 VJF262361:VJF262362 VJF262367:VJF262368 VJF327887:VJF327891 VJF327897:VJF327898 VJF327903:VJF327904 VJF393423:VJF393427 VJF393433:VJF393434 VJF393439:VJF393440 VJF458959:VJF458963 VJF458969:VJF458970 VJF458975:VJF458976 VJF524495:VJF524499 VJF524505:VJF524506 VJF524511:VJF524512 VJF590031:VJF590035 VJF590041:VJF590042 VJF590047:VJF590048 VJF655567:VJF655571 VJF655577:VJF655578 VJF655583:VJF655584 VJF721103:VJF721107 VJF721113:VJF721114 VJF721119:VJF721120 VJF786639:VJF786643 VJF786649:VJF786650 VJF786655:VJF786656 VJF852175:VJF852179 VJF852185:VJF852186 VJF852191:VJF852192 VJF917711:VJF917715 VJF917721:VJF917722 VJF917727:VJF917728 VJF983247:VJF983251 VJF983257:VJF983258 VJF983263:VJF983264 VJO205:VJO212 VJO215:VJO218 VJO223:VJO226 VJO65741:VJO65748 VJO65751:VJO65754 VJO65759:VJO65762 VJO131277:VJO131284 VJO131287:VJO131290 VJO131295:VJO131298 VJO196813:VJO196820 VJO196823:VJO196826 VJO196831:VJO196834 VJO262349:VJO262356 VJO262359:VJO262362 VJO262367:VJO262370 VJO327885:VJO327892 VJO327895:VJO327898 VJO327903:VJO327906 VJO393421:VJO393428 VJO393431:VJO393434 VJO393439:VJO393442 VJO458957:VJO458964 VJO458967:VJO458970 VJO458975:VJO458978 VJO524493:VJO524500 VJO524503:VJO524506 VJO524511:VJO524514 VJO590029:VJO590036 VJO590039:VJO590042 VJO590047:VJO590050 VJO655565:VJO655572 VJO655575:VJO655578 VJO655583:VJO655586 VJO721101:VJO721108 VJO721111:VJO721114 VJO721119:VJO721122 VJO786637:VJO786644 VJO786647:VJO786650 VJO786655:VJO786658 VJO852173:VJO852180 VJO852183:VJO852186 VJO852191:VJO852194 VJO917709:VJO917716 VJO917719:VJO917722 VJO917727:VJO917730 VJO983245:VJO983252 VJO983255:VJO983258 VJO983263:VJO983266 VSN207:VSN211 VSN217:VSN218 VSN223:VSN224 VSN65743:VSN65747 VSN65753:VSN65754 VSN65759:VSN65760 VSN131279:VSN131283 VSN131289:VSN131290 VSN131295:VSN131296 VSN196815:VSN196819 VSN196825:VSN196826 VSN196831:VSN196832 VSN262351:VSN262355 VSN262361:VSN262362 VSN262367:VSN262368 VSN327887:VSN327891 VSN327897:VSN327898 VSN327903:VSN327904 VSN393423:VSN393427 VSN393433:VSN393434 VSN393439:VSN393440 VSN458959:VSN458963 VSN458969:VSN458970 VSN458975:VSN458976 VSN524495:VSN524499 VSN524505:VSN524506 VSN524511:VSN524512 VSN590031:VSN590035 VSN590041:VSN590042 VSN590047:VSN590048 VSN655567:VSN655571 VSN655577:VSN655578 VSN655583:VSN655584 VSN721103:VSN721107 VSN721113:VSN721114 VSN721119:VSN721120 VSN786639:VSN786643 VSN786649:VSN786650 VSN786655:VSN786656 VSN852175:VSN852179 VSN852185:VSN852186 VSN852191:VSN852192 VSN917711:VSN917715 VSN917721:VSN917722 VSN917727:VSN917728 VSN983247:VSN983251 VSN983257:VSN983258 VSN983263:VSN983264 VSZ6:VSZ65536 VSZ65542:VSZ131072 VSZ131078:VSZ196608 VSZ196614:VSZ262144 VSZ262150:VSZ327680 VSZ327686:VSZ393216 VSZ393222:VSZ458752 VSZ458758:VSZ524288 VSZ524294:VSZ589824 VSZ589830:VSZ655360 VSZ655366:VSZ720896 VSZ720902:VSZ786432 VSZ786438:VSZ851968 VSZ851974:VSZ917504 VSZ917510:VSZ983040 VSZ983046:VSZ1048576 VTB207:VTB211 VTB217:VTB218 VTB223:VTB224 VTB65743:VTB65747 VTB65753:VTB65754 VTB65759:VTB65760 VTB131279:VTB131283 VTB131289:VTB131290 VTB131295:VTB131296 VTB196815:VTB196819 VTB196825:VTB196826 VTB196831:VTB196832 VTB262351:VTB262355 VTB262361:VTB262362 VTB262367:VTB262368 VTB327887:VTB327891 VTB327897:VTB327898 VTB327903:VTB327904 VTB393423:VTB393427 VTB393433:VTB393434 VTB393439:VTB393440 VTB458959:VTB458963 VTB458969:VTB458970 VTB458975:VTB458976 VTB524495:VTB524499 VTB524505:VTB524506 VTB524511:VTB524512 VTB590031:VTB590035 VTB590041:VTB590042 VTB590047:VTB590048 VTB655567:VTB655571 VTB655577:VTB655578 VTB655583:VTB655584 VTB721103:VTB721107 VTB721113:VTB721114 VTB721119:VTB721120 VTB786639:VTB786643 VTB786649:VTB786650 VTB786655:VTB786656 VTB852175:VTB852179 VTB852185:VTB852186 VTB852191:VTB852192 VTB917711:VTB917715 VTB917721:VTB917722 VTB917727:VTB917728 VTB983247:VTB983251 VTB983257:VTB983258 VTB983263:VTB983264 VTK205:VTK212 VTK215:VTK218 VTK223:VTK226 VTK65741:VTK65748 VTK65751:VTK65754 VTK65759:VTK65762 VTK131277:VTK131284 VTK131287:VTK131290 VTK131295:VTK131298 VTK196813:VTK196820 VTK196823:VTK196826 VTK196831:VTK196834 VTK262349:VTK262356 VTK262359:VTK262362 VTK262367:VTK262370 VTK327885:VTK327892 VTK327895:VTK327898 VTK327903:VTK327906 VTK393421:VTK393428 VTK393431:VTK393434 VTK393439:VTK393442 VTK458957:VTK458964 VTK458967:VTK458970 VTK458975:VTK458978 VTK524493:VTK524500 VTK524503:VTK524506 VTK524511:VTK524514 VTK590029:VTK590036 VTK590039:VTK590042 VTK590047:VTK590050 VTK655565:VTK655572 VTK655575:VTK655578 VTK655583:VTK655586 VTK721101:VTK721108 VTK721111:VTK721114 VTK721119:VTK721122 VTK786637:VTK786644 VTK786647:VTK786650 VTK786655:VTK786658 VTK852173:VTK852180 VTK852183:VTK852186 VTK852191:VTK852194 VTK917709:VTK917716 VTK917719:VTK917722 VTK917727:VTK917730 VTK983245:VTK983252 VTK983255:VTK983258 VTK983263:VTK983266 WCJ207:WCJ211 WCJ217:WCJ218 WCJ223:WCJ224 WCJ65743:WCJ65747 WCJ65753:WCJ65754 WCJ65759:WCJ65760 WCJ131279:WCJ131283 WCJ131289:WCJ131290 WCJ131295:WCJ131296 WCJ196815:WCJ196819 WCJ196825:WCJ196826 WCJ196831:WCJ196832 WCJ262351:WCJ262355 WCJ262361:WCJ262362 WCJ262367:WCJ262368 WCJ327887:WCJ327891 WCJ327897:WCJ327898 WCJ327903:WCJ327904 WCJ393423:WCJ393427 WCJ393433:WCJ393434 WCJ393439:WCJ393440 WCJ458959:WCJ458963 WCJ458969:WCJ458970 WCJ458975:WCJ458976 WCJ524495:WCJ524499 WCJ524505:WCJ524506 WCJ524511:WCJ524512 WCJ590031:WCJ590035 WCJ590041:WCJ590042 WCJ590047:WCJ590048 WCJ655567:WCJ655571 WCJ655577:WCJ655578 WCJ655583:WCJ655584 WCJ721103:WCJ721107 WCJ721113:WCJ721114 WCJ721119:WCJ721120 WCJ786639:WCJ786643 WCJ786649:WCJ786650 WCJ786655:WCJ786656 WCJ852175:WCJ852179 WCJ852185:WCJ852186 WCJ852191:WCJ852192 WCJ917711:WCJ917715 WCJ917721:WCJ917722 WCJ917727:WCJ917728 WCJ983247:WCJ983251 WCJ983257:WCJ983258 WCJ983263:WCJ983264 WCV6:WCV65536 WCV65542:WCV131072 WCV131078:WCV196608 WCV196614:WCV262144 WCV262150:WCV327680 WCV327686:WCV393216 WCV393222:WCV458752 WCV458758:WCV524288 WCV524294:WCV589824 WCV589830:WCV655360 WCV655366:WCV720896 WCV720902:WCV786432 WCV786438:WCV851968 WCV851974:WCV917504 WCV917510:WCV983040 WCV983046:WCV1048576 WCX207:WCX211 WCX217:WCX218 WCX223:WCX224 WCX65743:WCX65747 WCX65753:WCX65754 WCX65759:WCX65760 WCX131279:WCX131283 WCX131289:WCX131290 WCX131295:WCX131296 WCX196815:WCX196819 WCX196825:WCX196826 WCX196831:WCX196832 WCX262351:WCX262355 WCX262361:WCX262362 WCX262367:WCX262368 WCX327887:WCX327891 WCX327897:WCX327898 WCX327903:WCX327904 WCX393423:WCX393427 WCX393433:WCX393434 WCX393439:WCX393440 WCX458959:WCX458963 WCX458969:WCX458970 WCX458975:WCX458976 WCX524495:WCX524499 WCX524505:WCX524506 WCX524511:WCX524512 WCX590031:WCX590035 WCX590041:WCX590042 WCX590047:WCX590048 WCX655567:WCX655571 WCX655577:WCX655578 WCX655583:WCX655584 WCX721103:WCX721107 WCX721113:WCX721114 WCX721119:WCX721120 WCX786639:WCX786643 WCX786649:WCX786650 WCX786655:WCX786656 WCX852175:WCX852179 WCX852185:WCX852186 WCX852191:WCX852192 WCX917711:WCX917715 WCX917721:WCX917722 WCX917727:WCX917728 WCX983247:WCX983251 WCX983257:WCX983258 WCX983263:WCX983264 WDG205:WDG212 WDG215:WDG218 WDG223:WDG226 WDG65741:WDG65748 WDG65751:WDG65754 WDG65759:WDG65762 WDG131277:WDG131284 WDG131287:WDG131290 WDG131295:WDG131298 WDG196813:WDG196820 WDG196823:WDG196826 WDG196831:WDG196834 WDG262349:WDG262356 WDG262359:WDG262362 WDG262367:WDG262370 WDG327885:WDG327892 WDG327895:WDG327898 WDG327903:WDG327906 WDG393421:WDG393428 WDG393431:WDG393434 WDG393439:WDG393442 WDG458957:WDG458964 WDG458967:WDG458970 WDG458975:WDG458978 WDG524493:WDG524500 WDG524503:WDG524506 WDG524511:WDG524514 WDG590029:WDG590036 WDG590039:WDG590042 WDG590047:WDG590050 WDG655565:WDG655572 WDG655575:WDG655578 WDG655583:WDG655586 WDG721101:WDG721108 WDG721111:WDG721114 WDG721119:WDG721122 WDG786637:WDG786644 WDG786647:WDG786650 WDG786655:WDG786658 WDG852173:WDG852180 WDG852183:WDG852186 WDG852191:WDG852194 WDG917709:WDG917716 WDG917719:WDG917722 WDG917727:WDG917730 WDG983245:WDG983252 WDG983255:WDG983258 WDG983263:WDG983266 WMF207:WMF211 WMF217:WMF218 WMF223:WMF224 WMF65743:WMF65747 WMF65753:WMF65754 WMF65759:WMF65760 WMF131279:WMF131283 WMF131289:WMF131290 WMF131295:WMF131296 WMF196815:WMF196819 WMF196825:WMF196826 WMF196831:WMF196832 WMF262351:WMF262355 WMF262361:WMF262362 WMF262367:WMF262368 WMF327887:WMF327891 WMF327897:WMF327898 WMF327903:WMF327904 WMF393423:WMF393427 WMF393433:WMF393434 WMF393439:WMF393440 WMF458959:WMF458963 WMF458969:WMF458970 WMF458975:WMF458976 WMF524495:WMF524499 WMF524505:WMF524506 WMF524511:WMF524512 WMF590031:WMF590035 WMF590041:WMF590042 WMF590047:WMF590048 WMF655567:WMF655571 WMF655577:WMF655578 WMF655583:WMF655584 WMF721103:WMF721107 WMF721113:WMF721114 WMF721119:WMF721120 WMF786639:WMF786643 WMF786649:WMF786650 WMF786655:WMF786656 WMF852175:WMF852179 WMF852185:WMF852186 WMF852191:WMF852192 WMF917711:WMF917715 WMF917721:WMF917722 WMF917727:WMF917728 WMF983247:WMF983251 WMF983257:WMF983258 WMF983263:WMF983264 WMR6:WMR65536 WMR65542:WMR131072 WMR131078:WMR196608 WMR196614:WMR262144 WMR262150:WMR327680 WMR327686:WMR393216 WMR393222:WMR458752 WMR458758:WMR524288 WMR524294:WMR589824 WMR589830:WMR655360 WMR655366:WMR720896 WMR720902:WMR786432 WMR786438:WMR851968 WMR851974:WMR917504 WMR917510:WMR983040 WMR983046:WMR1048576 WMT207:WMT211 WMT217:WMT218 WMT223:WMT224 WMT65743:WMT65747 WMT65753:WMT65754 WMT65759:WMT65760 WMT131279:WMT131283 WMT131289:WMT131290 WMT131295:WMT131296 WMT196815:WMT196819 WMT196825:WMT196826 WMT196831:WMT196832 WMT262351:WMT262355 WMT262361:WMT262362 WMT262367:WMT262368 WMT327887:WMT327891 WMT327897:WMT327898 WMT327903:WMT327904 WMT393423:WMT393427 WMT393433:WMT393434 WMT393439:WMT393440 WMT458959:WMT458963 WMT458969:WMT458970 WMT458975:WMT458976 WMT524495:WMT524499 WMT524505:WMT524506 WMT524511:WMT524512 WMT590031:WMT590035 WMT590041:WMT590042 WMT590047:WMT590048 WMT655567:WMT655571 WMT655577:WMT655578 WMT655583:WMT655584 WMT721103:WMT721107 WMT721113:WMT721114 WMT721119:WMT721120 WMT786639:WMT786643 WMT786649:WMT786650 WMT786655:WMT786656 WMT852175:WMT852179 WMT852185:WMT852186 WMT852191:WMT852192 WMT917711:WMT917715 WMT917721:WMT917722 WMT917727:WMT917728 WMT983247:WMT983251 WMT983257:WMT983258 WMT983263:WMT983264 WNC205:WNC212 WNC215:WNC218 WNC223:WNC226 WNC65741:WNC65748 WNC65751:WNC65754 WNC65759:WNC65762 WNC131277:WNC131284 WNC131287:WNC131290 WNC131295:WNC131298 WNC196813:WNC196820 WNC196823:WNC196826 WNC196831:WNC196834 WNC262349:WNC262356 WNC262359:WNC262362 WNC262367:WNC262370 WNC327885:WNC327892 WNC327895:WNC327898 WNC327903:WNC327906 WNC393421:WNC393428 WNC393431:WNC393434 WNC393439:WNC393442 WNC458957:WNC458964 WNC458967:WNC458970 WNC458975:WNC458978 WNC524493:WNC524500 WNC524503:WNC524506 WNC524511:WNC524514 WNC590029:WNC590036 WNC590039:WNC590042 WNC590047:WNC590050 WNC655565:WNC655572 WNC655575:WNC655578 WNC655583:WNC655586 WNC721101:WNC721108 WNC721111:WNC721114 WNC721119:WNC721122 WNC786637:WNC786644 WNC786647:WNC786650 WNC786655:WNC786658 WNC852173:WNC852180 WNC852183:WNC852186 WNC852191:WNC852194 WNC917709:WNC917716 WNC917719:WNC917722 WNC917727:WNC917730 WNC983245:WNC983252 WNC983255:WNC983258 WNC983263:WNC983266 WWB207:WWB211 WWB217:WWB218 WWB223:WWB224 WWB65743:WWB65747 WWB65753:WWB65754 WWB65759:WWB65760 WWB131279:WWB131283 WWB131289:WWB131290 WWB131295:WWB131296 WWB196815:WWB196819 WWB196825:WWB196826 WWB196831:WWB196832 WWB262351:WWB262355 WWB262361:WWB262362 WWB262367:WWB262368 WWB327887:WWB327891 WWB327897:WWB327898 WWB327903:WWB327904 WWB393423:WWB393427 WWB393433:WWB393434 WWB393439:WWB393440 WWB458959:WWB458963 WWB458969:WWB458970 WWB458975:WWB458976 WWB524495:WWB524499 WWB524505:WWB524506 WWB524511:WWB524512 WWB590031:WWB590035 WWB590041:WWB590042 WWB590047:WWB590048 WWB655567:WWB655571 WWB655577:WWB655578 WWB655583:WWB655584 WWB721103:WWB721107 WWB721113:WWB721114 WWB721119:WWB721120 WWB786639:WWB786643 WWB786649:WWB786650 WWB786655:WWB786656 WWB852175:WWB852179 WWB852185:WWB852186 WWB852191:WWB852192 WWB917711:WWB917715 WWB917721:WWB917722 WWB917727:WWB917728 WWB983247:WWB983251 WWB983257:WWB983258 WWB983263:WWB983264 WWN6:WWN65536 WWN65542:WWN131072 WWN131078:WWN196608 WWN196614:WWN262144 WWN262150:WWN327680 WWN327686:WWN393216 WWN393222:WWN458752 WWN458758:WWN524288 WWN524294:WWN589824 WWN589830:WWN655360 WWN655366:WWN720896 WWN720902:WWN786432 WWN786438:WWN851968 WWN851974:WWN917504 WWN917510:WWN983040 WWN983046:WWN1048576 WWP207:WWP211 WWP217:WWP218 WWP223:WWP224 WWP65743:WWP65747 WWP65753:WWP65754 WWP65759:WWP65760 WWP131279:WWP131283 WWP131289:WWP131290 WWP131295:WWP131296 WWP196815:WWP196819 WWP196825:WWP196826 WWP196831:WWP196832 WWP262351:WWP262355 WWP262361:WWP262362 WWP262367:WWP262368 WWP327887:WWP327891 WWP327897:WWP327898 WWP327903:WWP327904 WWP393423:WWP393427 WWP393433:WWP393434 WWP393439:WWP393440 WWP458959:WWP458963 WWP458969:WWP458970 WWP458975:WWP458976 WWP524495:WWP524499 WWP524505:WWP524506 WWP524511:WWP524512 WWP590031:WWP590035 WWP590041:WWP590042 WWP590047:WWP590048 WWP655567:WWP655571 WWP655577:WWP655578 WWP655583:WWP655584 WWP721103:WWP721107 WWP721113:WWP721114 WWP721119:WWP721120 WWP786639:WWP786643 WWP786649:WWP786650 WWP786655:WWP786656 WWP852175:WWP852179 WWP852185:WWP852186 WWP852191:WWP852192 WWP917711:WWP917715 WWP917721:WWP917722 WWP917727:WWP917728 WWP983247:WWP983251 WWP983257:WWP983258 WWP983263:WWP983264 WWY205:WWY212 WWY215:WWY218 WWY223:WWY226 WWY65741:WWY65748 WWY65751:WWY65754 WWY65759:WWY65762 WWY131277:WWY131284 WWY131287:WWY131290 WWY131295:WWY131298 WWY196813:WWY196820 WWY196823:WWY196826 WWY196831:WWY196834 WWY262349:WWY262356 WWY262359:WWY262362 WWY262367:WWY262370 WWY327885:WWY327892 WWY327895:WWY327898 WWY327903:WWY327906 WWY393421:WWY393428 WWY393431:WWY393434 WWY393439:WWY393442 WWY458957:WWY458964 WWY458967:WWY458970 WWY458975:WWY458978 WWY524493:WWY524500 WWY524503:WWY524506 WWY524511:WWY524514 WWY590029:WWY590036 WWY590039:WWY590042 WWY590047:WWY590050 WWY655565:WWY655572 WWY655575:WWY655578 WWY655583:WWY655586 WWY721101:WWY721108 WWY721111:WWY721114 WWY721119:WWY721122 WWY786637:WWY786644 WWY786647:WWY786650 WWY786655:WWY786658 WWY852173:WWY852180 WWY852183:WWY852186 WWY852191:WWY852194 WWY917709:WWY917716 WWY917719:WWY917722 WWY917727:WWY917730 WWY983245:WWY983252 WWY983255:WWY983258 WWY983263:WWY983266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22"/>
  <sheetViews>
    <sheetView topLeftCell="A7" workbookViewId="0">
      <pane xSplit="6" ySplit="2" topLeftCell="K9" activePane="bottomRight" state="frozen"/>
      <selection pane="topRight"/>
      <selection pane="bottomLeft"/>
      <selection pane="bottomRight" activeCell="B41" sqref="A1:T1048576"/>
    </sheetView>
  </sheetViews>
  <sheetFormatPr defaultColWidth="9.109375" defaultRowHeight="13.8"/>
  <cols>
    <col min="1" max="1" width="4.5546875" style="21" customWidth="1"/>
    <col min="2" max="2" width="13" style="21" customWidth="1"/>
    <col min="3" max="3" width="17.44140625" style="21" customWidth="1"/>
    <col min="4" max="4" width="9.109375" style="22" customWidth="1"/>
    <col min="5" max="5" width="10.109375" style="21" customWidth="1"/>
    <col min="6" max="6" width="5.33203125" style="21" customWidth="1"/>
    <col min="7" max="7" width="5.109375" style="22" customWidth="1"/>
    <col min="8" max="8" width="24.5546875" style="23" customWidth="1"/>
    <col min="9" max="9" width="18.33203125" style="21" customWidth="1"/>
    <col min="10" max="10" width="6.88671875" style="21" customWidth="1"/>
    <col min="11" max="13" width="11.33203125" style="21" customWidth="1"/>
    <col min="14" max="14" width="14.44140625" style="22" customWidth="1"/>
    <col min="15" max="15" width="11.33203125" style="21" customWidth="1"/>
    <col min="16" max="16" width="26.88671875" style="21" customWidth="1"/>
    <col min="17" max="17" width="34.109375" style="21" customWidth="1"/>
    <col min="18" max="18" width="17.6640625" style="21" customWidth="1"/>
    <col min="19" max="19" width="14.5546875" style="21" customWidth="1"/>
    <col min="20" max="20" width="12.33203125" style="21" customWidth="1"/>
    <col min="21" max="21" width="13.5546875" style="21" customWidth="1"/>
    <col min="22" max="22" width="9.33203125" style="21" customWidth="1"/>
    <col min="23" max="16384" width="9.109375" style="21"/>
  </cols>
  <sheetData>
    <row r="1" spans="1:26" ht="24.6">
      <c r="A1" s="1054" t="s">
        <v>1494</v>
      </c>
      <c r="B1" s="1054"/>
      <c r="C1" s="1054"/>
      <c r="D1" s="1054"/>
      <c r="E1" s="1054"/>
      <c r="F1" s="1054"/>
      <c r="G1" s="1054"/>
      <c r="H1" s="1054"/>
      <c r="I1" s="1054"/>
      <c r="J1" s="1054"/>
      <c r="K1" s="1054"/>
      <c r="L1" s="1054"/>
      <c r="M1" s="1054"/>
      <c r="N1" s="1054"/>
      <c r="O1" s="1054"/>
      <c r="P1" s="1054"/>
      <c r="Q1" s="1054"/>
      <c r="R1" s="1054"/>
      <c r="S1" s="1054"/>
      <c r="T1" s="1054"/>
      <c r="U1"/>
      <c r="V1"/>
      <c r="W1"/>
      <c r="X1"/>
      <c r="Y1"/>
      <c r="Z1"/>
    </row>
    <row r="2" spans="1:26" ht="14.4">
      <c r="A2" s="1055" t="str">
        <f ca="1">CONCATENATE("As of ",TEXT(NOW(),"mmmm dd, yyyy"))</f>
        <v>As of March 24, 2026</v>
      </c>
      <c r="B2" s="1055"/>
      <c r="C2" s="1055"/>
      <c r="D2" s="1055"/>
      <c r="E2" s="1055"/>
      <c r="F2" s="1055"/>
      <c r="G2" s="1055"/>
      <c r="H2" s="1055"/>
      <c r="I2" s="1055"/>
      <c r="J2" s="1055"/>
      <c r="K2" s="1055"/>
      <c r="L2" s="1055"/>
      <c r="M2" s="1055"/>
      <c r="N2" s="1055"/>
      <c r="O2" s="1055"/>
      <c r="P2" s="1055"/>
      <c r="Q2" s="1055"/>
      <c r="R2" s="1055"/>
      <c r="S2" s="1055"/>
      <c r="T2" s="1055"/>
      <c r="U2"/>
      <c r="V2"/>
      <c r="W2"/>
      <c r="X2"/>
      <c r="Y2"/>
      <c r="Z2"/>
    </row>
    <row r="3" spans="1:26" ht="14.4">
      <c r="A3" s="641"/>
      <c r="B3" s="641"/>
      <c r="C3" s="641"/>
      <c r="D3" s="641"/>
      <c r="E3" s="641"/>
      <c r="F3" s="641"/>
      <c r="G3" s="641"/>
      <c r="H3" s="642"/>
      <c r="I3" s="641"/>
      <c r="J3" s="641"/>
      <c r="K3" s="641"/>
      <c r="L3" s="641"/>
      <c r="M3" s="641"/>
      <c r="N3"/>
      <c r="O3" s="641"/>
      <c r="P3" s="641"/>
      <c r="Q3" s="641"/>
      <c r="R3" s="641"/>
      <c r="S3" s="641"/>
      <c r="T3" s="658"/>
      <c r="U3"/>
      <c r="V3"/>
      <c r="W3"/>
      <c r="X3"/>
      <c r="Y3"/>
      <c r="Z3"/>
    </row>
    <row r="4" spans="1:26" s="17" customFormat="1" ht="22.8">
      <c r="A4" s="1056" t="s">
        <v>1495</v>
      </c>
      <c r="B4" s="1056"/>
      <c r="C4" s="1056"/>
      <c r="D4" s="1056"/>
      <c r="E4" s="1056"/>
      <c r="F4" s="1056"/>
      <c r="G4" s="1056"/>
      <c r="H4" s="1056"/>
      <c r="I4" s="1056"/>
      <c r="J4" s="1056"/>
      <c r="K4" s="1056"/>
      <c r="L4" s="1056"/>
      <c r="M4" s="1056"/>
      <c r="N4" s="1056"/>
      <c r="O4" s="1056"/>
      <c r="P4" s="1056"/>
      <c r="Q4" s="1056"/>
      <c r="R4" s="1056"/>
      <c r="S4" s="1056"/>
      <c r="T4" s="1056"/>
      <c r="U4"/>
      <c r="V4"/>
      <c r="W4"/>
      <c r="X4"/>
      <c r="Y4"/>
      <c r="Z4"/>
    </row>
    <row r="5" spans="1:26" s="18" customFormat="1" ht="17.399999999999999">
      <c r="A5" s="1057" t="s">
        <v>1496</v>
      </c>
      <c r="B5" s="1057"/>
      <c r="C5" s="1057"/>
      <c r="D5" s="1057"/>
      <c r="E5" s="1057"/>
      <c r="F5" s="1057"/>
      <c r="G5" s="1057"/>
      <c r="H5" s="1057"/>
      <c r="I5" s="1057"/>
      <c r="J5" s="1057"/>
      <c r="K5" s="1057"/>
      <c r="L5" s="1057"/>
      <c r="M5" s="1057"/>
      <c r="N5" s="1057"/>
      <c r="O5" s="1057"/>
      <c r="P5" s="1057"/>
      <c r="Q5" s="1057"/>
      <c r="R5" s="1057"/>
      <c r="S5" s="1057"/>
      <c r="T5" s="1057"/>
      <c r="U5"/>
      <c r="V5"/>
      <c r="W5"/>
      <c r="X5"/>
      <c r="Y5"/>
      <c r="Z5"/>
    </row>
    <row r="6" spans="1:26" ht="14.4">
      <c r="A6"/>
      <c r="B6"/>
      <c r="C6"/>
      <c r="D6"/>
      <c r="E6"/>
      <c r="F6"/>
      <c r="G6"/>
      <c r="H6"/>
      <c r="I6"/>
      <c r="J6"/>
      <c r="K6"/>
      <c r="L6"/>
      <c r="M6"/>
      <c r="N6" s="642"/>
      <c r="O6" s="655"/>
      <c r="P6"/>
      <c r="Q6"/>
      <c r="R6"/>
      <c r="S6"/>
      <c r="T6" s="658"/>
      <c r="U6"/>
      <c r="V6"/>
      <c r="W6"/>
      <c r="X6"/>
      <c r="Y6"/>
      <c r="Z6"/>
    </row>
    <row r="7" spans="1:26" ht="41.4">
      <c r="A7" s="643" t="s">
        <v>1497</v>
      </c>
      <c r="B7" s="644" t="s">
        <v>1498</v>
      </c>
      <c r="C7" s="644" t="s">
        <v>1499</v>
      </c>
      <c r="D7" s="644" t="s">
        <v>1500</v>
      </c>
      <c r="E7" s="644" t="s">
        <v>1501</v>
      </c>
      <c r="F7" s="645" t="s">
        <v>1502</v>
      </c>
      <c r="G7" s="644" t="s">
        <v>1503</v>
      </c>
      <c r="H7" s="644" t="s">
        <v>1504</v>
      </c>
      <c r="I7" s="644" t="s">
        <v>1505</v>
      </c>
      <c r="J7" s="645" t="s">
        <v>1506</v>
      </c>
      <c r="K7" s="645" t="s">
        <v>1507</v>
      </c>
      <c r="L7" s="645" t="s">
        <v>1508</v>
      </c>
      <c r="M7" s="645" t="s">
        <v>1509</v>
      </c>
      <c r="N7" s="644" t="s">
        <v>1510</v>
      </c>
      <c r="O7" s="645" t="s">
        <v>1511</v>
      </c>
      <c r="P7" s="656" t="s">
        <v>1512</v>
      </c>
      <c r="Q7" s="659" t="s">
        <v>1513</v>
      </c>
      <c r="R7" s="660" t="s">
        <v>1514</v>
      </c>
      <c r="S7" s="660" t="s">
        <v>1515</v>
      </c>
      <c r="T7" s="660" t="s">
        <v>1516</v>
      </c>
      <c r="U7" s="162"/>
      <c r="V7" s="162"/>
      <c r="W7" s="162"/>
      <c r="X7" s="162"/>
      <c r="Y7" s="162"/>
      <c r="Z7" s="162"/>
    </row>
    <row r="8" spans="1:26" s="19" customFormat="1" ht="14.4">
      <c r="A8" s="646"/>
      <c r="B8" s="647"/>
      <c r="C8" s="647"/>
      <c r="D8" s="647"/>
      <c r="E8" s="647"/>
      <c r="F8" s="648"/>
      <c r="G8" s="647"/>
      <c r="H8" s="647"/>
      <c r="I8" s="647"/>
      <c r="J8" s="648"/>
      <c r="K8" s="648"/>
      <c r="L8" s="648"/>
      <c r="M8" s="648"/>
      <c r="N8" s="647"/>
      <c r="O8" s="648"/>
      <c r="P8" s="647" t="s">
        <v>1517</v>
      </c>
      <c r="Q8" s="661" t="s">
        <v>1518</v>
      </c>
      <c r="R8" s="662"/>
      <c r="S8" s="662"/>
      <c r="T8" s="662"/>
      <c r="U8"/>
      <c r="V8"/>
      <c r="W8"/>
      <c r="X8"/>
      <c r="Y8"/>
      <c r="Z8"/>
    </row>
    <row r="9" spans="1:26" ht="19.5" customHeight="1">
      <c r="A9" s="649">
        <v>1</v>
      </c>
      <c r="B9" s="637" t="s">
        <v>1519</v>
      </c>
      <c r="C9" s="637" t="s">
        <v>1520</v>
      </c>
      <c r="D9" s="650" t="s">
        <v>161</v>
      </c>
      <c r="E9" s="651">
        <v>32370</v>
      </c>
      <c r="F9" s="650">
        <f t="shared" ref="F9:F40" ca="1" si="0">DATEDIF(E9,TODAY(),"Y")</f>
        <v>37</v>
      </c>
      <c r="G9" s="650" t="s">
        <v>62</v>
      </c>
      <c r="H9" s="637" t="s">
        <v>1521</v>
      </c>
      <c r="I9" s="650" t="s">
        <v>1522</v>
      </c>
      <c r="J9" s="650">
        <v>1</v>
      </c>
      <c r="K9" s="651">
        <v>42601</v>
      </c>
      <c r="L9" s="651">
        <v>43465</v>
      </c>
      <c r="M9" s="651" t="s">
        <v>1523</v>
      </c>
      <c r="N9" s="650" t="str">
        <f>CONCATENATE(DATEDIF(K9,L9,"Y"),"y ",DATEDIF(K9+(360*(DATEDIF(K9,L9,"Y"))),L9,"M"),"m ",DATEDIF(K9+(30.5*(DATEDIF(K9,L9,"M"))),L9,"D"),"d")</f>
        <v>2y 4m 10d</v>
      </c>
      <c r="O9" s="637" t="s">
        <v>174</v>
      </c>
      <c r="P9" s="637" t="s">
        <v>1524</v>
      </c>
      <c r="Q9" s="663" t="s">
        <v>1525</v>
      </c>
      <c r="R9" s="663" t="s">
        <v>1526</v>
      </c>
      <c r="S9" s="35">
        <v>10833</v>
      </c>
      <c r="T9" s="664" t="s">
        <v>1527</v>
      </c>
      <c r="U9" s="665">
        <v>42735</v>
      </c>
      <c r="V9" s="665">
        <f ca="1">DATEDIF(U9,TODAY(),"Y")</f>
        <v>9</v>
      </c>
      <c r="W9"/>
      <c r="X9"/>
      <c r="Y9"/>
      <c r="Z9"/>
    </row>
    <row r="10" spans="1:26" ht="19.5" customHeight="1">
      <c r="A10" s="649">
        <f>A119+1</f>
        <v>3</v>
      </c>
      <c r="B10" s="637" t="s">
        <v>1528</v>
      </c>
      <c r="C10" s="637" t="s">
        <v>1529</v>
      </c>
      <c r="D10" s="650" t="s">
        <v>115</v>
      </c>
      <c r="E10" s="651">
        <v>31040</v>
      </c>
      <c r="F10" s="650">
        <f t="shared" ca="1" si="0"/>
        <v>41</v>
      </c>
      <c r="G10" s="650" t="s">
        <v>62</v>
      </c>
      <c r="H10" s="637" t="s">
        <v>1530</v>
      </c>
      <c r="I10" s="650" t="s">
        <v>1522</v>
      </c>
      <c r="J10" s="650">
        <v>2</v>
      </c>
      <c r="K10" s="651">
        <v>42887</v>
      </c>
      <c r="L10" s="651">
        <v>43465</v>
      </c>
      <c r="M10" s="651" t="s">
        <v>1523</v>
      </c>
      <c r="N10" s="650" t="str">
        <f>CONCATENATE(DATEDIF(K10,L10,"Y"),"y ",DATEDIF(K10+(360*(DATEDIF(K10,L10,"Y"))),L10,"M"),"m ",DATEDIF(K10+(30.5*(DATEDIF(K10,L10,"M"))),L10,"D"),"d")</f>
        <v>1y 7m 29d</v>
      </c>
      <c r="O10" s="637" t="s">
        <v>1531</v>
      </c>
      <c r="P10" s="637" t="s">
        <v>1532</v>
      </c>
      <c r="Q10" s="663" t="s">
        <v>1533</v>
      </c>
      <c r="R10" s="663" t="s">
        <v>1534</v>
      </c>
      <c r="S10" s="35">
        <v>36409</v>
      </c>
      <c r="T10" s="664" t="s">
        <v>1535</v>
      </c>
      <c r="U10" s="665"/>
      <c r="V10" s="665"/>
      <c r="W10"/>
      <c r="X10"/>
      <c r="Y10"/>
      <c r="Z10"/>
    </row>
    <row r="11" spans="1:26" ht="19.5" customHeight="1">
      <c r="A11" s="649">
        <f t="shared" ref="A11:A20" si="1">A10+1</f>
        <v>4</v>
      </c>
      <c r="B11" s="637" t="s">
        <v>1536</v>
      </c>
      <c r="C11" s="637" t="s">
        <v>1537</v>
      </c>
      <c r="D11" s="650" t="s">
        <v>81</v>
      </c>
      <c r="E11" s="651">
        <v>28656</v>
      </c>
      <c r="F11" s="650">
        <f t="shared" ca="1" si="0"/>
        <v>47</v>
      </c>
      <c r="G11" s="650" t="s">
        <v>62</v>
      </c>
      <c r="H11" s="637" t="s">
        <v>1521</v>
      </c>
      <c r="I11" s="650" t="s">
        <v>1522</v>
      </c>
      <c r="J11" s="650">
        <v>1</v>
      </c>
      <c r="K11" s="651">
        <v>42629</v>
      </c>
      <c r="L11" s="651">
        <v>43465</v>
      </c>
      <c r="M11" s="651" t="s">
        <v>1523</v>
      </c>
      <c r="N11" s="650" t="str">
        <f>CONCATENATE(DATEDIF(K11,L11,"Y"),"y ",DATEDIF(K11+(360*(DATEDIF(K11,L11,"Y"))),L11,"M"),"m ",DATEDIF(K11+(30*(DATEDIF(K11,L11,"M"))),L11,"D"),"d")</f>
        <v>2y 3m 26d</v>
      </c>
      <c r="O11" s="637" t="s">
        <v>1531</v>
      </c>
      <c r="P11" s="637" t="s">
        <v>1524</v>
      </c>
      <c r="Q11" s="663" t="s">
        <v>1525</v>
      </c>
      <c r="R11" s="663" t="s">
        <v>1526</v>
      </c>
      <c r="S11" s="35">
        <v>10833</v>
      </c>
      <c r="T11" s="664" t="s">
        <v>1538</v>
      </c>
      <c r="U11" s="665"/>
      <c r="V11" s="665"/>
      <c r="W11"/>
      <c r="X11"/>
      <c r="Y11"/>
      <c r="Z11"/>
    </row>
    <row r="12" spans="1:26" ht="19.5" customHeight="1">
      <c r="A12" s="649">
        <f t="shared" si="1"/>
        <v>5</v>
      </c>
      <c r="B12" s="637" t="s">
        <v>1539</v>
      </c>
      <c r="C12" s="637" t="s">
        <v>1540</v>
      </c>
      <c r="D12" s="650" t="s">
        <v>1541</v>
      </c>
      <c r="E12" s="651">
        <v>33047</v>
      </c>
      <c r="F12" s="650">
        <f t="shared" ca="1" si="0"/>
        <v>35</v>
      </c>
      <c r="G12" s="650" t="s">
        <v>62</v>
      </c>
      <c r="H12" s="637" t="s">
        <v>1521</v>
      </c>
      <c r="I12" s="650" t="s">
        <v>1522</v>
      </c>
      <c r="J12" s="650">
        <v>1</v>
      </c>
      <c r="K12" s="651">
        <v>42767</v>
      </c>
      <c r="L12" s="651">
        <v>43465</v>
      </c>
      <c r="M12" s="651" t="s">
        <v>1523</v>
      </c>
      <c r="N12" s="650" t="str">
        <f t="shared" ref="N12:N23" si="2">CONCATENATE(DATEDIF(K12,L12,"Y"),"y ",DATEDIF(K12+(360*(DATEDIF(K12,L12,"Y"))),L12,"M"),"m ",DATEDIF(K12+(30.5*(DATEDIF(K12,L12,"M"))),L12,"D"),"d")</f>
        <v>1y 11m 27d</v>
      </c>
      <c r="O12" s="637" t="s">
        <v>1542</v>
      </c>
      <c r="P12" s="637" t="s">
        <v>1524</v>
      </c>
      <c r="Q12" s="663" t="s">
        <v>1525</v>
      </c>
      <c r="R12" s="663" t="s">
        <v>1526</v>
      </c>
      <c r="S12" s="35">
        <v>10833</v>
      </c>
      <c r="T12" s="664" t="s">
        <v>1543</v>
      </c>
      <c r="U12" s="665">
        <v>42735</v>
      </c>
      <c r="V12" s="665">
        <f ca="1">DATEDIF(U12,TODAY(),"Y")</f>
        <v>9</v>
      </c>
      <c r="W12"/>
      <c r="X12"/>
      <c r="Y12"/>
      <c r="Z12"/>
    </row>
    <row r="13" spans="1:26" ht="19.5" customHeight="1">
      <c r="A13" s="649">
        <f t="shared" si="1"/>
        <v>6</v>
      </c>
      <c r="B13" s="637" t="s">
        <v>1544</v>
      </c>
      <c r="C13" s="637" t="s">
        <v>107</v>
      </c>
      <c r="D13" s="650" t="s">
        <v>865</v>
      </c>
      <c r="E13" s="651">
        <v>33316</v>
      </c>
      <c r="F13" s="650">
        <f t="shared" ca="1" si="0"/>
        <v>35</v>
      </c>
      <c r="G13" s="650" t="s">
        <v>62</v>
      </c>
      <c r="H13" s="637" t="s">
        <v>1530</v>
      </c>
      <c r="I13" s="650" t="s">
        <v>1522</v>
      </c>
      <c r="J13" s="650">
        <v>2</v>
      </c>
      <c r="K13" s="651">
        <v>42905</v>
      </c>
      <c r="L13" s="651">
        <v>43465</v>
      </c>
      <c r="M13" s="651" t="s">
        <v>1523</v>
      </c>
      <c r="N13" s="650" t="str">
        <f t="shared" si="2"/>
        <v>1y 6m 11d</v>
      </c>
      <c r="O13" s="637" t="s">
        <v>408</v>
      </c>
      <c r="P13" s="637" t="s">
        <v>1532</v>
      </c>
      <c r="Q13" s="663" t="s">
        <v>1545</v>
      </c>
      <c r="R13" s="663" t="s">
        <v>1534</v>
      </c>
      <c r="S13" s="35">
        <v>28417</v>
      </c>
      <c r="T13" s="664" t="s">
        <v>1546</v>
      </c>
      <c r="U13" s="665"/>
      <c r="V13" s="665"/>
      <c r="W13"/>
      <c r="X13"/>
      <c r="Y13"/>
      <c r="Z13"/>
    </row>
    <row r="14" spans="1:26" ht="19.5" customHeight="1">
      <c r="A14" s="649">
        <f t="shared" si="1"/>
        <v>7</v>
      </c>
      <c r="B14" s="637" t="s">
        <v>1547</v>
      </c>
      <c r="C14" s="637" t="s">
        <v>1548</v>
      </c>
      <c r="D14" s="650" t="s">
        <v>115</v>
      </c>
      <c r="E14" s="651">
        <v>32952</v>
      </c>
      <c r="F14" s="650">
        <f t="shared" ca="1" si="0"/>
        <v>36</v>
      </c>
      <c r="G14" s="650" t="s">
        <v>62</v>
      </c>
      <c r="H14" s="637" t="s">
        <v>1521</v>
      </c>
      <c r="I14" s="650" t="s">
        <v>1522</v>
      </c>
      <c r="J14" s="650">
        <v>1</v>
      </c>
      <c r="K14" s="651">
        <v>42552</v>
      </c>
      <c r="L14" s="651">
        <v>43465</v>
      </c>
      <c r="M14" s="651" t="s">
        <v>1523</v>
      </c>
      <c r="N14" s="650" t="str">
        <f t="shared" si="2"/>
        <v>2y 6m 29d</v>
      </c>
      <c r="O14" s="637" t="s">
        <v>174</v>
      </c>
      <c r="P14" s="637" t="s">
        <v>1549</v>
      </c>
      <c r="Q14" s="663" t="s">
        <v>1550</v>
      </c>
      <c r="R14" s="663" t="s">
        <v>1526</v>
      </c>
      <c r="S14" s="35">
        <v>9478</v>
      </c>
      <c r="T14" s="664" t="s">
        <v>1551</v>
      </c>
      <c r="U14" s="665"/>
      <c r="V14" s="665" t="s">
        <v>1552</v>
      </c>
      <c r="W14"/>
      <c r="X14"/>
      <c r="Y14"/>
      <c r="Z14"/>
    </row>
    <row r="15" spans="1:26" ht="19.5" customHeight="1">
      <c r="A15" s="649">
        <f t="shared" si="1"/>
        <v>8</v>
      </c>
      <c r="B15" s="637" t="s">
        <v>1553</v>
      </c>
      <c r="C15" s="637" t="s">
        <v>1554</v>
      </c>
      <c r="D15" s="650" t="s">
        <v>865</v>
      </c>
      <c r="E15" s="651">
        <v>32944</v>
      </c>
      <c r="F15" s="650">
        <f t="shared" ca="1" si="0"/>
        <v>36</v>
      </c>
      <c r="G15" s="650" t="s">
        <v>100</v>
      </c>
      <c r="H15" s="637" t="s">
        <v>1555</v>
      </c>
      <c r="I15" s="650" t="s">
        <v>1522</v>
      </c>
      <c r="J15" s="650">
        <v>2</v>
      </c>
      <c r="K15" s="651">
        <v>42307</v>
      </c>
      <c r="L15" s="651">
        <v>43465</v>
      </c>
      <c r="M15" s="651" t="s">
        <v>1523</v>
      </c>
      <c r="N15" s="650" t="e">
        <f t="shared" si="2"/>
        <v>#NUM!</v>
      </c>
      <c r="O15" s="637" t="s">
        <v>181</v>
      </c>
      <c r="P15" s="637" t="s">
        <v>1532</v>
      </c>
      <c r="Q15" s="663" t="s">
        <v>1533</v>
      </c>
      <c r="R15" s="663" t="s">
        <v>1534</v>
      </c>
      <c r="S15" s="35">
        <v>36409</v>
      </c>
      <c r="T15" s="664" t="s">
        <v>1556</v>
      </c>
      <c r="U15" s="665"/>
      <c r="V15" s="665"/>
      <c r="W15"/>
      <c r="X15"/>
      <c r="Y15"/>
      <c r="Z15"/>
    </row>
    <row r="16" spans="1:26" ht="19.5" customHeight="1">
      <c r="A16" s="649">
        <f t="shared" si="1"/>
        <v>9</v>
      </c>
      <c r="B16" s="637" t="s">
        <v>1557</v>
      </c>
      <c r="C16" s="637" t="s">
        <v>1558</v>
      </c>
      <c r="D16" s="650" t="s">
        <v>60</v>
      </c>
      <c r="E16" s="651">
        <v>31374</v>
      </c>
      <c r="F16" s="650">
        <f t="shared" ca="1" si="0"/>
        <v>40</v>
      </c>
      <c r="G16" s="650" t="s">
        <v>62</v>
      </c>
      <c r="H16" s="637" t="s">
        <v>1530</v>
      </c>
      <c r="I16" s="650" t="s">
        <v>1522</v>
      </c>
      <c r="J16" s="650">
        <v>2</v>
      </c>
      <c r="K16" s="651">
        <v>42201</v>
      </c>
      <c r="L16" s="651">
        <v>43465</v>
      </c>
      <c r="M16" s="651" t="s">
        <v>1523</v>
      </c>
      <c r="N16" s="650" t="str">
        <f t="shared" si="2"/>
        <v>3y 6m 14d</v>
      </c>
      <c r="O16" s="637" t="s">
        <v>211</v>
      </c>
      <c r="P16" s="637" t="s">
        <v>1532</v>
      </c>
      <c r="Q16" s="663" t="s">
        <v>1533</v>
      </c>
      <c r="R16" s="663" t="s">
        <v>1534</v>
      </c>
      <c r="S16" s="35">
        <v>36409</v>
      </c>
      <c r="T16" s="664" t="s">
        <v>1559</v>
      </c>
      <c r="U16" s="665"/>
      <c r="V16" s="665"/>
      <c r="W16"/>
      <c r="X16"/>
      <c r="Y16"/>
      <c r="Z16"/>
    </row>
    <row r="17" spans="1:26" ht="19.5" customHeight="1">
      <c r="A17" s="649">
        <f t="shared" si="1"/>
        <v>10</v>
      </c>
      <c r="B17" s="637" t="s">
        <v>1560</v>
      </c>
      <c r="C17" s="637" t="s">
        <v>1561</v>
      </c>
      <c r="D17" s="650" t="s">
        <v>115</v>
      </c>
      <c r="E17" s="651">
        <v>27437</v>
      </c>
      <c r="F17" s="650">
        <f t="shared" ca="1" si="0"/>
        <v>51</v>
      </c>
      <c r="G17" s="650" t="s">
        <v>100</v>
      </c>
      <c r="H17" s="637" t="s">
        <v>1562</v>
      </c>
      <c r="I17" s="650" t="s">
        <v>1522</v>
      </c>
      <c r="J17" s="650">
        <v>2</v>
      </c>
      <c r="K17" s="651">
        <v>42982</v>
      </c>
      <c r="L17" s="651">
        <v>43465</v>
      </c>
      <c r="M17" s="651" t="s">
        <v>1523</v>
      </c>
      <c r="N17" s="650" t="str">
        <f t="shared" si="2"/>
        <v>1y 4m 26d</v>
      </c>
      <c r="O17" s="637" t="s">
        <v>1531</v>
      </c>
      <c r="P17" s="637" t="s">
        <v>1532</v>
      </c>
      <c r="Q17" s="663" t="s">
        <v>1563</v>
      </c>
      <c r="R17" s="663" t="s">
        <v>1564</v>
      </c>
      <c r="S17" s="35">
        <v>56610</v>
      </c>
      <c r="T17" s="664" t="s">
        <v>1565</v>
      </c>
      <c r="U17" s="665"/>
      <c r="V17" s="665"/>
      <c r="W17"/>
      <c r="X17"/>
      <c r="Y17"/>
      <c r="Z17"/>
    </row>
    <row r="18" spans="1:26" ht="19.5" customHeight="1">
      <c r="A18" s="649">
        <f t="shared" si="1"/>
        <v>11</v>
      </c>
      <c r="B18" s="637" t="s">
        <v>1566</v>
      </c>
      <c r="C18" s="637" t="s">
        <v>1567</v>
      </c>
      <c r="D18" s="650" t="s">
        <v>81</v>
      </c>
      <c r="E18" s="651">
        <v>31099</v>
      </c>
      <c r="F18" s="650">
        <f t="shared" ca="1" si="0"/>
        <v>41</v>
      </c>
      <c r="G18" s="650" t="s">
        <v>62</v>
      </c>
      <c r="H18" s="637" t="s">
        <v>1521</v>
      </c>
      <c r="I18" s="650" t="s">
        <v>1522</v>
      </c>
      <c r="J18" s="650">
        <v>2</v>
      </c>
      <c r="K18" s="651">
        <v>42278</v>
      </c>
      <c r="L18" s="651">
        <v>43465</v>
      </c>
      <c r="M18" s="651" t="s">
        <v>1523</v>
      </c>
      <c r="N18" s="650" t="str">
        <f t="shared" si="2"/>
        <v>3y 3m 28d</v>
      </c>
      <c r="O18" s="637" t="s">
        <v>1531</v>
      </c>
      <c r="P18" s="637" t="s">
        <v>1568</v>
      </c>
      <c r="Q18" s="663" t="s">
        <v>1569</v>
      </c>
      <c r="R18" s="663" t="s">
        <v>1534</v>
      </c>
      <c r="S18" s="35">
        <v>36409</v>
      </c>
      <c r="T18" s="664" t="s">
        <v>1570</v>
      </c>
      <c r="U18" s="665"/>
      <c r="V18" s="665"/>
      <c r="W18"/>
      <c r="X18"/>
      <c r="Y18"/>
      <c r="Z18"/>
    </row>
    <row r="19" spans="1:26" ht="19.5" customHeight="1">
      <c r="A19" s="649">
        <f t="shared" si="1"/>
        <v>12</v>
      </c>
      <c r="B19" s="637" t="s">
        <v>1571</v>
      </c>
      <c r="C19" s="637" t="s">
        <v>1572</v>
      </c>
      <c r="D19" s="650" t="s">
        <v>115</v>
      </c>
      <c r="E19" s="651">
        <v>27605</v>
      </c>
      <c r="F19" s="650">
        <f t="shared" ca="1" si="0"/>
        <v>50</v>
      </c>
      <c r="G19" s="650" t="s">
        <v>62</v>
      </c>
      <c r="H19" s="637" t="s">
        <v>1530</v>
      </c>
      <c r="I19" s="650" t="s">
        <v>1522</v>
      </c>
      <c r="J19" s="650">
        <v>2</v>
      </c>
      <c r="K19" s="651">
        <v>42308</v>
      </c>
      <c r="L19" s="651">
        <v>43465</v>
      </c>
      <c r="M19" s="651" t="s">
        <v>1523</v>
      </c>
      <c r="N19" s="650" t="e">
        <f t="shared" si="2"/>
        <v>#NUM!</v>
      </c>
      <c r="O19" s="637" t="s">
        <v>174</v>
      </c>
      <c r="P19" s="637" t="s">
        <v>1532</v>
      </c>
      <c r="Q19" s="663" t="s">
        <v>1533</v>
      </c>
      <c r="R19" s="663" t="s">
        <v>1534</v>
      </c>
      <c r="S19" s="35">
        <v>36409</v>
      </c>
      <c r="T19" s="664" t="s">
        <v>1573</v>
      </c>
      <c r="U19" s="665"/>
      <c r="V19" s="665"/>
      <c r="W19"/>
      <c r="X19"/>
      <c r="Y19"/>
      <c r="Z19"/>
    </row>
    <row r="20" spans="1:26" ht="19.5" customHeight="1">
      <c r="A20" s="649">
        <f t="shared" si="1"/>
        <v>13</v>
      </c>
      <c r="B20" s="637" t="s">
        <v>1574</v>
      </c>
      <c r="C20" s="637" t="s">
        <v>1575</v>
      </c>
      <c r="D20" s="650" t="s">
        <v>158</v>
      </c>
      <c r="E20" s="651">
        <v>32955</v>
      </c>
      <c r="F20" s="650">
        <f t="shared" ca="1" si="0"/>
        <v>36</v>
      </c>
      <c r="G20" s="650" t="s">
        <v>62</v>
      </c>
      <c r="H20" s="637" t="s">
        <v>1530</v>
      </c>
      <c r="I20" s="650" t="s">
        <v>1522</v>
      </c>
      <c r="J20" s="650">
        <v>2</v>
      </c>
      <c r="K20" s="651">
        <v>42813</v>
      </c>
      <c r="L20" s="651">
        <v>43465</v>
      </c>
      <c r="M20" s="651" t="s">
        <v>1523</v>
      </c>
      <c r="N20" s="650" t="str">
        <f t="shared" si="2"/>
        <v>1y 9m 12d</v>
      </c>
      <c r="O20" s="637" t="s">
        <v>1531</v>
      </c>
      <c r="P20" s="637" t="s">
        <v>1532</v>
      </c>
      <c r="Q20" s="663" t="s">
        <v>1545</v>
      </c>
      <c r="R20" s="663" t="s">
        <v>1534</v>
      </c>
      <c r="S20" s="35">
        <v>28417</v>
      </c>
      <c r="T20" s="664" t="s">
        <v>1576</v>
      </c>
      <c r="U20" s="665"/>
      <c r="V20" s="665"/>
      <c r="W20"/>
      <c r="X20"/>
      <c r="Y20"/>
      <c r="Z20"/>
    </row>
    <row r="21" spans="1:26" ht="19.5" customHeight="1">
      <c r="A21" s="649">
        <f>A120+1</f>
        <v>15</v>
      </c>
      <c r="B21" s="637" t="s">
        <v>1577</v>
      </c>
      <c r="C21" s="637" t="s">
        <v>1578</v>
      </c>
      <c r="D21" s="650" t="s">
        <v>177</v>
      </c>
      <c r="E21" s="651">
        <v>30375</v>
      </c>
      <c r="F21" s="650">
        <f t="shared" ca="1" si="0"/>
        <v>43</v>
      </c>
      <c r="G21" s="650" t="s">
        <v>62</v>
      </c>
      <c r="H21" s="637" t="s">
        <v>1521</v>
      </c>
      <c r="I21" s="650" t="s">
        <v>1522</v>
      </c>
      <c r="J21" s="650">
        <v>1</v>
      </c>
      <c r="K21" s="651">
        <v>42684</v>
      </c>
      <c r="L21" s="651">
        <v>43465</v>
      </c>
      <c r="M21" s="651" t="s">
        <v>1523</v>
      </c>
      <c r="N21" s="650" t="str">
        <f t="shared" si="2"/>
        <v>2y 2m 19d</v>
      </c>
      <c r="O21" s="637" t="s">
        <v>1531</v>
      </c>
      <c r="P21" s="637" t="s">
        <v>1524</v>
      </c>
      <c r="Q21" s="663" t="s">
        <v>1525</v>
      </c>
      <c r="R21" s="663" t="s">
        <v>1526</v>
      </c>
      <c r="S21" s="35">
        <v>10833</v>
      </c>
      <c r="T21" s="664" t="s">
        <v>1579</v>
      </c>
      <c r="U21" s="665"/>
      <c r="V21" s="665"/>
      <c r="W21"/>
      <c r="X21"/>
      <c r="Y21"/>
      <c r="Z21"/>
    </row>
    <row r="22" spans="1:26" ht="19.5" customHeight="1">
      <c r="A22" s="649">
        <f t="shared" ref="A22:A36" si="3">A21+1</f>
        <v>16</v>
      </c>
      <c r="B22" s="637" t="s">
        <v>1580</v>
      </c>
      <c r="C22" s="637" t="s">
        <v>1581</v>
      </c>
      <c r="D22" s="650" t="s">
        <v>115</v>
      </c>
      <c r="E22" s="651">
        <v>24088</v>
      </c>
      <c r="F22" s="650">
        <f t="shared" ca="1" si="0"/>
        <v>60</v>
      </c>
      <c r="G22" s="650" t="s">
        <v>62</v>
      </c>
      <c r="H22" s="637" t="s">
        <v>1521</v>
      </c>
      <c r="I22" s="650" t="s">
        <v>1522</v>
      </c>
      <c r="J22" s="650">
        <v>1</v>
      </c>
      <c r="K22" s="651">
        <v>42186</v>
      </c>
      <c r="L22" s="651">
        <v>43465</v>
      </c>
      <c r="M22" s="651" t="s">
        <v>1523</v>
      </c>
      <c r="N22" s="650" t="str">
        <f t="shared" si="2"/>
        <v>3y 6m 29d</v>
      </c>
      <c r="O22" s="637" t="s">
        <v>211</v>
      </c>
      <c r="P22" s="637" t="s">
        <v>1582</v>
      </c>
      <c r="Q22" s="663" t="s">
        <v>1583</v>
      </c>
      <c r="R22" s="663" t="s">
        <v>1526</v>
      </c>
      <c r="S22" s="35">
        <v>9478</v>
      </c>
      <c r="T22" s="664" t="s">
        <v>1584</v>
      </c>
      <c r="U22" s="665"/>
      <c r="V22" s="665"/>
      <c r="W22"/>
      <c r="X22"/>
      <c r="Y22"/>
      <c r="Z22"/>
    </row>
    <row r="23" spans="1:26" ht="19.5" customHeight="1">
      <c r="A23" s="649">
        <f t="shared" si="3"/>
        <v>17</v>
      </c>
      <c r="B23" s="637" t="s">
        <v>1585</v>
      </c>
      <c r="C23" s="637" t="s">
        <v>1236</v>
      </c>
      <c r="D23" s="650" t="s">
        <v>122</v>
      </c>
      <c r="E23" s="651">
        <v>24617</v>
      </c>
      <c r="F23" s="650">
        <f t="shared" ca="1" si="0"/>
        <v>58</v>
      </c>
      <c r="G23" s="650" t="s">
        <v>100</v>
      </c>
      <c r="H23" s="637" t="s">
        <v>1521</v>
      </c>
      <c r="I23" s="650" t="s">
        <v>1522</v>
      </c>
      <c r="J23" s="650">
        <v>1</v>
      </c>
      <c r="K23" s="651">
        <v>40483</v>
      </c>
      <c r="L23" s="651">
        <v>43465</v>
      </c>
      <c r="M23" s="651" t="s">
        <v>1523</v>
      </c>
      <c r="N23" s="650" t="str">
        <f t="shared" si="2"/>
        <v>8y 3m 24d</v>
      </c>
      <c r="O23" s="637" t="s">
        <v>1531</v>
      </c>
      <c r="P23" s="637" t="s">
        <v>1549</v>
      </c>
      <c r="Q23" s="663" t="s">
        <v>1586</v>
      </c>
      <c r="R23" s="663" t="s">
        <v>1526</v>
      </c>
      <c r="S23" s="35">
        <v>9478</v>
      </c>
      <c r="T23" s="664" t="s">
        <v>1587</v>
      </c>
      <c r="U23" s="665"/>
      <c r="V23" s="665"/>
      <c r="W23"/>
      <c r="X23"/>
      <c r="Y23"/>
      <c r="Z23"/>
    </row>
    <row r="24" spans="1:26" ht="19.5" customHeight="1">
      <c r="A24" s="649">
        <f t="shared" si="3"/>
        <v>18</v>
      </c>
      <c r="B24" s="637" t="s">
        <v>1588</v>
      </c>
      <c r="C24" s="637" t="s">
        <v>1589</v>
      </c>
      <c r="D24" s="650" t="s">
        <v>1037</v>
      </c>
      <c r="E24" s="651"/>
      <c r="F24" s="650">
        <f t="shared" ca="1" si="0"/>
        <v>126</v>
      </c>
      <c r="G24" s="650" t="s">
        <v>62</v>
      </c>
      <c r="H24" s="637" t="s">
        <v>1521</v>
      </c>
      <c r="I24" s="650" t="s">
        <v>1522</v>
      </c>
      <c r="J24" s="650">
        <v>2</v>
      </c>
      <c r="K24" s="651">
        <v>42922</v>
      </c>
      <c r="L24" s="651">
        <v>43465</v>
      </c>
      <c r="M24" s="651" t="s">
        <v>1523</v>
      </c>
      <c r="N24" s="650" t="str">
        <f>CONCATENATE(DATEDIF(K24,L24,"Y"),"y ",DATEDIF(K24+(360*(DATEDIF(K24,L24,"Y"))),L24,"M"),"m ",DATEDIF(K24+(30*(DATEDIF(K24,L24,"M"))),L24,"D"),"d")</f>
        <v>1y 5m 33d</v>
      </c>
      <c r="O24" s="637" t="s">
        <v>1531</v>
      </c>
      <c r="P24" s="637" t="s">
        <v>1590</v>
      </c>
      <c r="Q24" s="663" t="s">
        <v>1591</v>
      </c>
      <c r="R24" s="663" t="s">
        <v>1592</v>
      </c>
      <c r="S24" s="35">
        <v>39151</v>
      </c>
      <c r="T24" s="664" t="s">
        <v>1593</v>
      </c>
      <c r="U24" s="665"/>
      <c r="V24" s="665"/>
      <c r="W24"/>
      <c r="X24"/>
      <c r="Y24"/>
      <c r="Z24"/>
    </row>
    <row r="25" spans="1:26" ht="19.5" customHeight="1">
      <c r="A25" s="649">
        <f t="shared" si="3"/>
        <v>19</v>
      </c>
      <c r="B25" s="637" t="s">
        <v>1594</v>
      </c>
      <c r="C25" s="637" t="s">
        <v>1595</v>
      </c>
      <c r="D25" s="650" t="s">
        <v>60</v>
      </c>
      <c r="E25" s="651">
        <v>34105</v>
      </c>
      <c r="F25" s="650">
        <f t="shared" ca="1" si="0"/>
        <v>32</v>
      </c>
      <c r="G25" s="650" t="s">
        <v>62</v>
      </c>
      <c r="H25" s="637" t="s">
        <v>1530</v>
      </c>
      <c r="I25" s="650" t="s">
        <v>1522</v>
      </c>
      <c r="J25" s="650">
        <v>2</v>
      </c>
      <c r="K25" s="651">
        <v>42857</v>
      </c>
      <c r="L25" s="651">
        <v>43465</v>
      </c>
      <c r="M25" s="651" t="s">
        <v>1523</v>
      </c>
      <c r="N25" s="650" t="str">
        <f>CONCATENATE(DATEDIF(K25,L25,"Y"),"y ",DATEDIF(K25+(360*(DATEDIF(K25,L25,"Y"))),L25,"M"),"m ",DATEDIF(K25+(30.5*(DATEDIF(K25,L25,"M"))),L25,"D"),"d")</f>
        <v>1y 8m 29d</v>
      </c>
      <c r="O25" s="637" t="s">
        <v>1531</v>
      </c>
      <c r="P25" s="637" t="s">
        <v>1532</v>
      </c>
      <c r="Q25" s="663" t="s">
        <v>1545</v>
      </c>
      <c r="R25" s="663" t="s">
        <v>1534</v>
      </c>
      <c r="S25" s="35">
        <v>28417</v>
      </c>
      <c r="T25" s="664" t="s">
        <v>1596</v>
      </c>
      <c r="U25" s="665"/>
      <c r="V25" s="665"/>
      <c r="W25"/>
      <c r="X25"/>
      <c r="Y25"/>
      <c r="Z25"/>
    </row>
    <row r="26" spans="1:26" ht="19.5" customHeight="1">
      <c r="A26" s="649">
        <f t="shared" si="3"/>
        <v>20</v>
      </c>
      <c r="B26" s="637" t="s">
        <v>1597</v>
      </c>
      <c r="C26" s="637" t="s">
        <v>1598</v>
      </c>
      <c r="D26" s="650" t="s">
        <v>62</v>
      </c>
      <c r="E26" s="651">
        <v>34289</v>
      </c>
      <c r="F26" s="650">
        <f t="shared" ca="1" si="0"/>
        <v>32</v>
      </c>
      <c r="G26" s="650" t="s">
        <v>62</v>
      </c>
      <c r="H26" s="637" t="s">
        <v>1599</v>
      </c>
      <c r="I26" s="650" t="s">
        <v>1522</v>
      </c>
      <c r="J26" s="650">
        <v>1</v>
      </c>
      <c r="K26" s="651">
        <v>42537</v>
      </c>
      <c r="L26" s="651">
        <v>43465</v>
      </c>
      <c r="M26" s="651" t="s">
        <v>1523</v>
      </c>
      <c r="N26" s="650" t="str">
        <f>CONCATENATE(DATEDIF(K26,L26,"Y"),"y ",DATEDIF(K26+(360*(DATEDIF(K26,L26,"Y"))),L26,"M"),"m ",DATEDIF(K26+(30*(DATEDIF(K26,L26,"M"))),L26,"D"),"d")</f>
        <v>2y 6m 28d</v>
      </c>
      <c r="O26" s="637" t="s">
        <v>1531</v>
      </c>
      <c r="P26" s="637" t="s">
        <v>1600</v>
      </c>
      <c r="Q26" s="663" t="s">
        <v>1601</v>
      </c>
      <c r="R26" s="663" t="s">
        <v>1526</v>
      </c>
      <c r="S26" s="35">
        <v>11658</v>
      </c>
      <c r="T26" s="664" t="s">
        <v>1602</v>
      </c>
      <c r="U26" s="665"/>
      <c r="V26" s="665"/>
      <c r="W26"/>
      <c r="X26"/>
      <c r="Y26"/>
      <c r="Z26"/>
    </row>
    <row r="27" spans="1:26" ht="19.5" customHeight="1">
      <c r="A27" s="649">
        <f t="shared" si="3"/>
        <v>21</v>
      </c>
      <c r="B27" s="637" t="s">
        <v>1603</v>
      </c>
      <c r="C27" s="637" t="s">
        <v>1604</v>
      </c>
      <c r="D27" s="650" t="s">
        <v>72</v>
      </c>
      <c r="E27" s="651">
        <v>24168</v>
      </c>
      <c r="F27" s="650">
        <f t="shared" ca="1" si="0"/>
        <v>60</v>
      </c>
      <c r="G27" s="650" t="s">
        <v>62</v>
      </c>
      <c r="H27" s="637" t="s">
        <v>1521</v>
      </c>
      <c r="I27" s="650" t="s">
        <v>1522</v>
      </c>
      <c r="J27" s="650">
        <v>1</v>
      </c>
      <c r="K27" s="651">
        <v>42598</v>
      </c>
      <c r="L27" s="651">
        <v>43465</v>
      </c>
      <c r="M27" s="651" t="s">
        <v>1523</v>
      </c>
      <c r="N27" s="650" t="str">
        <f>CONCATENATE(DATEDIF(K27,L27,"Y"),"y ",DATEDIF(K27+(360*(DATEDIF(K27,L27,"Y"))),L27,"M"),"m ",DATEDIF(K27+(30*(DATEDIF(K27,L27,"M"))),L27,"D"),"d")</f>
        <v>2y 4m 27d</v>
      </c>
      <c r="O27" s="637" t="s">
        <v>211</v>
      </c>
      <c r="P27" s="637" t="s">
        <v>1524</v>
      </c>
      <c r="Q27" s="663" t="s">
        <v>1525</v>
      </c>
      <c r="R27" s="663" t="s">
        <v>1526</v>
      </c>
      <c r="S27" s="35">
        <v>10833</v>
      </c>
      <c r="T27" s="664" t="s">
        <v>1605</v>
      </c>
      <c r="U27" s="665"/>
      <c r="V27" s="665"/>
      <c r="W27"/>
      <c r="X27"/>
      <c r="Y27"/>
      <c r="Z27"/>
    </row>
    <row r="28" spans="1:26" ht="19.5" customHeight="1">
      <c r="A28" s="649">
        <f t="shared" si="3"/>
        <v>22</v>
      </c>
      <c r="B28" s="637" t="s">
        <v>1606</v>
      </c>
      <c r="C28" s="637" t="s">
        <v>1607</v>
      </c>
      <c r="D28" s="650" t="s">
        <v>81</v>
      </c>
      <c r="E28" s="651">
        <v>32227</v>
      </c>
      <c r="F28" s="650">
        <f t="shared" ca="1" si="0"/>
        <v>37</v>
      </c>
      <c r="G28" s="650" t="s">
        <v>100</v>
      </c>
      <c r="H28" s="637" t="s">
        <v>1530</v>
      </c>
      <c r="I28" s="650" t="s">
        <v>1522</v>
      </c>
      <c r="J28" s="650">
        <v>2</v>
      </c>
      <c r="K28" s="651">
        <v>42186</v>
      </c>
      <c r="L28" s="651">
        <v>43465</v>
      </c>
      <c r="M28" s="651" t="s">
        <v>1523</v>
      </c>
      <c r="N28" s="650" t="str">
        <f t="shared" ref="N28:N34" si="4">CONCATENATE(DATEDIF(K28,L28,"Y"),"y ",DATEDIF(K28+(360*(DATEDIF(K28,L28,"Y"))),L28,"M"),"m ",DATEDIF(K28+(30.5*(DATEDIF(K28,L28,"M"))),L28,"D"),"d")</f>
        <v>3y 6m 29d</v>
      </c>
      <c r="O28" s="637" t="s">
        <v>268</v>
      </c>
      <c r="P28" s="637" t="s">
        <v>1532</v>
      </c>
      <c r="Q28" s="663" t="s">
        <v>1533</v>
      </c>
      <c r="R28" s="663" t="s">
        <v>1534</v>
      </c>
      <c r="S28" s="35">
        <v>36409</v>
      </c>
      <c r="T28" s="664" t="s">
        <v>1608</v>
      </c>
      <c r="U28" s="665"/>
      <c r="V28" s="665"/>
      <c r="W28"/>
      <c r="X28"/>
      <c r="Y28"/>
      <c r="Z28"/>
    </row>
    <row r="29" spans="1:26" ht="19.5" customHeight="1">
      <c r="A29" s="649">
        <f t="shared" si="3"/>
        <v>23</v>
      </c>
      <c r="B29" s="637" t="s">
        <v>1609</v>
      </c>
      <c r="C29" s="637" t="s">
        <v>1610</v>
      </c>
      <c r="D29" s="650" t="s">
        <v>100</v>
      </c>
      <c r="E29" s="651">
        <v>27484</v>
      </c>
      <c r="F29" s="650">
        <f t="shared" ca="1" si="0"/>
        <v>50</v>
      </c>
      <c r="G29" s="650" t="s">
        <v>62</v>
      </c>
      <c r="H29" s="637" t="s">
        <v>1521</v>
      </c>
      <c r="I29" s="650" t="s">
        <v>1522</v>
      </c>
      <c r="J29" s="650">
        <v>1</v>
      </c>
      <c r="K29" s="651">
        <v>42339</v>
      </c>
      <c r="L29" s="651">
        <v>43465</v>
      </c>
      <c r="M29" s="651" t="s">
        <v>1523</v>
      </c>
      <c r="N29" s="650" t="str">
        <f t="shared" si="4"/>
        <v>3y 1m 28d</v>
      </c>
      <c r="O29" s="637" t="s">
        <v>167</v>
      </c>
      <c r="P29" s="637" t="s">
        <v>1524</v>
      </c>
      <c r="Q29" s="663" t="s">
        <v>1525</v>
      </c>
      <c r="R29" s="663" t="s">
        <v>1526</v>
      </c>
      <c r="S29" s="35">
        <v>10833</v>
      </c>
      <c r="T29" s="664" t="s">
        <v>1611</v>
      </c>
      <c r="U29" s="665"/>
      <c r="V29" s="665"/>
      <c r="W29"/>
      <c r="X29"/>
      <c r="Y29"/>
      <c r="Z29"/>
    </row>
    <row r="30" spans="1:26" s="20" customFormat="1" ht="19.5" customHeight="1">
      <c r="A30" s="649">
        <f t="shared" si="3"/>
        <v>24</v>
      </c>
      <c r="B30" s="637" t="s">
        <v>1612</v>
      </c>
      <c r="C30" s="637" t="s">
        <v>1613</v>
      </c>
      <c r="D30" s="650"/>
      <c r="E30" s="651">
        <v>29448</v>
      </c>
      <c r="F30" s="650">
        <f t="shared" ca="1" si="0"/>
        <v>45</v>
      </c>
      <c r="G30" s="650" t="s">
        <v>100</v>
      </c>
      <c r="H30" s="637" t="s">
        <v>1555</v>
      </c>
      <c r="I30" s="650" t="s">
        <v>1522</v>
      </c>
      <c r="J30" s="650">
        <v>2</v>
      </c>
      <c r="K30" s="651">
        <v>42818</v>
      </c>
      <c r="L30" s="651">
        <v>43465</v>
      </c>
      <c r="M30" s="651" t="s">
        <v>1523</v>
      </c>
      <c r="N30" s="650" t="str">
        <f t="shared" si="4"/>
        <v>1y 9m 7d</v>
      </c>
      <c r="O30" s="637" t="s">
        <v>1531</v>
      </c>
      <c r="P30" s="637" t="s">
        <v>1532</v>
      </c>
      <c r="Q30" s="663" t="s">
        <v>1545</v>
      </c>
      <c r="R30" s="663" t="s">
        <v>1526</v>
      </c>
      <c r="S30" s="35">
        <v>28417</v>
      </c>
      <c r="T30" s="664" t="s">
        <v>1614</v>
      </c>
      <c r="U30" s="665"/>
      <c r="V30" s="665"/>
      <c r="W30"/>
      <c r="X30"/>
      <c r="Y30"/>
      <c r="Z30"/>
    </row>
    <row r="31" spans="1:26" ht="19.5" customHeight="1">
      <c r="A31" s="649">
        <f t="shared" si="3"/>
        <v>25</v>
      </c>
      <c r="B31" s="637" t="s">
        <v>1615</v>
      </c>
      <c r="C31" s="637" t="s">
        <v>1616</v>
      </c>
      <c r="D31" s="650" t="s">
        <v>122</v>
      </c>
      <c r="E31" s="651">
        <v>32575</v>
      </c>
      <c r="F31" s="650">
        <f t="shared" ca="1" si="0"/>
        <v>37</v>
      </c>
      <c r="G31" s="650" t="s">
        <v>62</v>
      </c>
      <c r="H31" s="637" t="s">
        <v>1521</v>
      </c>
      <c r="I31" s="650" t="s">
        <v>1522</v>
      </c>
      <c r="J31" s="650">
        <v>1</v>
      </c>
      <c r="K31" s="651">
        <v>42614</v>
      </c>
      <c r="L31" s="651">
        <v>43465</v>
      </c>
      <c r="M31" s="651" t="s">
        <v>1523</v>
      </c>
      <c r="N31" s="650" t="str">
        <f t="shared" si="4"/>
        <v>2y 4m 28d</v>
      </c>
      <c r="O31" s="637" t="s">
        <v>268</v>
      </c>
      <c r="P31" s="637" t="s">
        <v>1524</v>
      </c>
      <c r="Q31" s="663" t="s">
        <v>1525</v>
      </c>
      <c r="R31" s="663" t="s">
        <v>1526</v>
      </c>
      <c r="S31" s="35">
        <v>10833</v>
      </c>
      <c r="T31" s="664" t="s">
        <v>1617</v>
      </c>
      <c r="U31" s="665"/>
      <c r="V31" s="665"/>
      <c r="W31"/>
      <c r="X31"/>
      <c r="Y31"/>
      <c r="Z31"/>
    </row>
    <row r="32" spans="1:26" ht="19.5" customHeight="1">
      <c r="A32" s="649">
        <f t="shared" si="3"/>
        <v>26</v>
      </c>
      <c r="B32" s="637" t="s">
        <v>1618</v>
      </c>
      <c r="C32" s="637" t="s">
        <v>1619</v>
      </c>
      <c r="D32" s="650" t="s">
        <v>60</v>
      </c>
      <c r="E32" s="651">
        <v>35092</v>
      </c>
      <c r="F32" s="650">
        <f t="shared" ca="1" si="0"/>
        <v>30</v>
      </c>
      <c r="G32" s="650" t="s">
        <v>100</v>
      </c>
      <c r="H32" s="637" t="s">
        <v>1599</v>
      </c>
      <c r="I32" s="650" t="s">
        <v>1522</v>
      </c>
      <c r="J32" s="650">
        <v>1</v>
      </c>
      <c r="K32" s="651">
        <v>42676</v>
      </c>
      <c r="L32" s="651">
        <v>43465</v>
      </c>
      <c r="M32" s="651" t="s">
        <v>1523</v>
      </c>
      <c r="N32" s="650" t="str">
        <f t="shared" si="4"/>
        <v>2y 2m 27d</v>
      </c>
      <c r="O32" s="637" t="s">
        <v>1531</v>
      </c>
      <c r="P32" s="637" t="s">
        <v>1600</v>
      </c>
      <c r="Q32" s="663" t="s">
        <v>1601</v>
      </c>
      <c r="R32" s="663" t="s">
        <v>1526</v>
      </c>
      <c r="S32" s="35">
        <v>11658</v>
      </c>
      <c r="T32" s="664" t="s">
        <v>1620</v>
      </c>
      <c r="U32" s="665"/>
      <c r="V32" s="665"/>
      <c r="W32"/>
      <c r="X32"/>
      <c r="Y32"/>
      <c r="Z32"/>
    </row>
    <row r="33" spans="1:26" ht="19.5" customHeight="1">
      <c r="A33" s="649">
        <f t="shared" si="3"/>
        <v>27</v>
      </c>
      <c r="B33" s="637" t="s">
        <v>1621</v>
      </c>
      <c r="C33" s="637" t="s">
        <v>1622</v>
      </c>
      <c r="D33" s="650" t="s">
        <v>64</v>
      </c>
      <c r="E33" s="651">
        <v>32247</v>
      </c>
      <c r="F33" s="650">
        <f t="shared" ca="1" si="0"/>
        <v>37</v>
      </c>
      <c r="G33" s="650" t="s">
        <v>62</v>
      </c>
      <c r="H33" s="637" t="s">
        <v>1521</v>
      </c>
      <c r="I33" s="650" t="s">
        <v>1522</v>
      </c>
      <c r="J33" s="650">
        <v>2</v>
      </c>
      <c r="K33" s="651">
        <v>42871</v>
      </c>
      <c r="L33" s="651">
        <v>43465</v>
      </c>
      <c r="M33" s="651" t="s">
        <v>1523</v>
      </c>
      <c r="N33" s="650" t="str">
        <f t="shared" si="4"/>
        <v>1y 7m 15d</v>
      </c>
      <c r="O33" s="637" t="s">
        <v>167</v>
      </c>
      <c r="P33" s="637" t="s">
        <v>1623</v>
      </c>
      <c r="Q33" s="663" t="s">
        <v>1624</v>
      </c>
      <c r="R33" s="663" t="s">
        <v>1592</v>
      </c>
      <c r="S33" s="35">
        <v>28417</v>
      </c>
      <c r="T33" s="664" t="s">
        <v>1625</v>
      </c>
      <c r="U33" s="665"/>
      <c r="V33" s="665"/>
      <c r="W33"/>
      <c r="X33"/>
      <c r="Y33"/>
      <c r="Z33"/>
    </row>
    <row r="34" spans="1:26" ht="19.5" customHeight="1">
      <c r="A34" s="649">
        <f t="shared" si="3"/>
        <v>28</v>
      </c>
      <c r="B34" s="637" t="s">
        <v>1626</v>
      </c>
      <c r="C34" s="637" t="s">
        <v>1627</v>
      </c>
      <c r="D34" s="650" t="s">
        <v>64</v>
      </c>
      <c r="E34" s="651">
        <v>28353</v>
      </c>
      <c r="F34" s="650">
        <f t="shared" ca="1" si="0"/>
        <v>48</v>
      </c>
      <c r="G34" s="650" t="s">
        <v>62</v>
      </c>
      <c r="H34" s="637" t="s">
        <v>1530</v>
      </c>
      <c r="I34" s="650" t="s">
        <v>1522</v>
      </c>
      <c r="J34" s="650">
        <v>2</v>
      </c>
      <c r="K34" s="651">
        <v>41325</v>
      </c>
      <c r="L34" s="651">
        <v>43465</v>
      </c>
      <c r="M34" s="651" t="s">
        <v>1523</v>
      </c>
      <c r="N34" s="650" t="str">
        <f t="shared" si="4"/>
        <v>5y 11m 5d</v>
      </c>
      <c r="O34" s="637" t="s">
        <v>1531</v>
      </c>
      <c r="P34" s="637" t="s">
        <v>1532</v>
      </c>
      <c r="Q34" s="663" t="s">
        <v>1533</v>
      </c>
      <c r="R34" s="663" t="s">
        <v>1534</v>
      </c>
      <c r="S34" s="35">
        <v>36409</v>
      </c>
      <c r="T34" s="664" t="s">
        <v>1628</v>
      </c>
      <c r="U34" s="665"/>
      <c r="V34" s="665"/>
      <c r="W34"/>
      <c r="X34"/>
      <c r="Y34"/>
      <c r="Z34"/>
    </row>
    <row r="35" spans="1:26" ht="19.5" customHeight="1">
      <c r="A35" s="649">
        <f t="shared" si="3"/>
        <v>29</v>
      </c>
      <c r="B35" s="637" t="s">
        <v>1626</v>
      </c>
      <c r="C35" s="637" t="s">
        <v>1629</v>
      </c>
      <c r="D35" s="650" t="s">
        <v>177</v>
      </c>
      <c r="E35" s="651">
        <v>30513</v>
      </c>
      <c r="F35" s="650">
        <f t="shared" ca="1" si="0"/>
        <v>42</v>
      </c>
      <c r="G35" s="650" t="s">
        <v>100</v>
      </c>
      <c r="H35" s="637" t="s">
        <v>1630</v>
      </c>
      <c r="I35" s="650" t="s">
        <v>1522</v>
      </c>
      <c r="J35" s="650">
        <v>2</v>
      </c>
      <c r="K35" s="651">
        <v>42922</v>
      </c>
      <c r="L35" s="651">
        <v>43465</v>
      </c>
      <c r="M35" s="651" t="s">
        <v>1523</v>
      </c>
      <c r="N35" s="650" t="str">
        <f>CONCATENATE(DATEDIF(K35,L35,"Y"),"y ",DATEDIF(K35+(360*(DATEDIF(K35,L35,"Y"))),L35,"M"),"m ",DATEDIF(K35+(30*(DATEDIF(K35,L35,"M"))),L35,"D"),"d")</f>
        <v>1y 5m 33d</v>
      </c>
      <c r="O35" s="637" t="s">
        <v>1531</v>
      </c>
      <c r="P35" s="637" t="s">
        <v>1590</v>
      </c>
      <c r="Q35" s="663" t="s">
        <v>1631</v>
      </c>
      <c r="R35" s="663" t="s">
        <v>1592</v>
      </c>
      <c r="S35" s="35">
        <v>39151</v>
      </c>
      <c r="T35" s="664" t="s">
        <v>1632</v>
      </c>
      <c r="U35" s="665"/>
      <c r="V35" s="665"/>
      <c r="W35"/>
      <c r="X35"/>
      <c r="Y35"/>
      <c r="Z35"/>
    </row>
    <row r="36" spans="1:26" ht="19.5" customHeight="1">
      <c r="A36" s="649">
        <f t="shared" si="3"/>
        <v>30</v>
      </c>
      <c r="B36" s="637" t="s">
        <v>1633</v>
      </c>
      <c r="C36" s="637" t="s">
        <v>1634</v>
      </c>
      <c r="D36" s="650" t="s">
        <v>81</v>
      </c>
      <c r="E36" s="651">
        <v>32633</v>
      </c>
      <c r="F36" s="650">
        <f t="shared" ca="1" si="0"/>
        <v>36</v>
      </c>
      <c r="G36" s="650" t="s">
        <v>100</v>
      </c>
      <c r="H36" s="637" t="s">
        <v>1635</v>
      </c>
      <c r="I36" s="650" t="s">
        <v>1522</v>
      </c>
      <c r="J36" s="650">
        <v>2</v>
      </c>
      <c r="K36" s="651">
        <v>42857</v>
      </c>
      <c r="L36" s="651">
        <v>43465</v>
      </c>
      <c r="M36" s="651" t="s">
        <v>1523</v>
      </c>
      <c r="N36" s="650" t="str">
        <f>CONCATENATE(DATEDIF(K36,L36,"Y"),"y ",DATEDIF(K36+(360*(DATEDIF(K36,L36,"Y"))),L36,"M"),"m ",DATEDIF(K36+(30.5*(DATEDIF(K36,L36,"M"))),L36,"D"),"d")</f>
        <v>1y 8m 29d</v>
      </c>
      <c r="O36" s="637" t="s">
        <v>1531</v>
      </c>
      <c r="P36" s="637" t="s">
        <v>1524</v>
      </c>
      <c r="Q36" s="663" t="s">
        <v>1636</v>
      </c>
      <c r="R36" s="663" t="s">
        <v>1534</v>
      </c>
      <c r="S36" s="35">
        <v>36409</v>
      </c>
      <c r="T36" s="664" t="s">
        <v>1637</v>
      </c>
      <c r="U36" s="665"/>
      <c r="V36" s="665"/>
      <c r="W36"/>
      <c r="X36"/>
      <c r="Y36"/>
      <c r="Z36"/>
    </row>
    <row r="37" spans="1:26" ht="19.5" customHeight="1">
      <c r="A37" s="649">
        <f>A121+1</f>
        <v>32</v>
      </c>
      <c r="B37" s="637" t="s">
        <v>975</v>
      </c>
      <c r="C37" s="637" t="s">
        <v>1638</v>
      </c>
      <c r="D37" s="650" t="s">
        <v>62</v>
      </c>
      <c r="E37" s="651">
        <v>32748</v>
      </c>
      <c r="F37" s="650">
        <f t="shared" ca="1" si="0"/>
        <v>36</v>
      </c>
      <c r="G37" s="650" t="s">
        <v>62</v>
      </c>
      <c r="H37" s="637" t="s">
        <v>1521</v>
      </c>
      <c r="I37" s="650" t="s">
        <v>1522</v>
      </c>
      <c r="J37" s="650">
        <v>2</v>
      </c>
      <c r="K37" s="651">
        <v>42857</v>
      </c>
      <c r="L37" s="651">
        <v>43465</v>
      </c>
      <c r="M37" s="651" t="s">
        <v>1523</v>
      </c>
      <c r="N37" s="650" t="str">
        <f>CONCATENATE(DATEDIF(K37,L37,"Y"),"y ",DATEDIF(K37+(360*(DATEDIF(K37,L37,"Y"))),L37,"M"),"m ",DATEDIF(K37+(30.5*(DATEDIF(K37,L37,"M"))),L37,"D"),"d")</f>
        <v>1y 8m 29d</v>
      </c>
      <c r="O37" s="637" t="s">
        <v>1531</v>
      </c>
      <c r="P37" s="637" t="s">
        <v>1639</v>
      </c>
      <c r="Q37" s="663" t="s">
        <v>1640</v>
      </c>
      <c r="R37" s="663" t="s">
        <v>1641</v>
      </c>
      <c r="S37" s="35">
        <v>30000</v>
      </c>
      <c r="T37" s="664" t="s">
        <v>1642</v>
      </c>
      <c r="U37" s="665"/>
      <c r="V37" s="665"/>
      <c r="W37"/>
      <c r="X37"/>
      <c r="Y37"/>
      <c r="Z37"/>
    </row>
    <row r="38" spans="1:26" ht="19.5" customHeight="1">
      <c r="A38" s="649">
        <f>A37+1</f>
        <v>33</v>
      </c>
      <c r="B38" s="637" t="s">
        <v>1643</v>
      </c>
      <c r="C38" s="637" t="s">
        <v>1644</v>
      </c>
      <c r="D38" s="650" t="s">
        <v>122</v>
      </c>
      <c r="E38" s="651">
        <v>29664</v>
      </c>
      <c r="F38" s="650">
        <f t="shared" ca="1" si="0"/>
        <v>45</v>
      </c>
      <c r="G38" s="650" t="s">
        <v>100</v>
      </c>
      <c r="H38" s="637" t="s">
        <v>1645</v>
      </c>
      <c r="I38" s="650" t="s">
        <v>1522</v>
      </c>
      <c r="J38" s="650">
        <v>1</v>
      </c>
      <c r="K38" s="651">
        <v>42537</v>
      </c>
      <c r="L38" s="651">
        <v>43465</v>
      </c>
      <c r="M38" s="651" t="s">
        <v>1523</v>
      </c>
      <c r="N38" s="650" t="str">
        <f>CONCATENATE(DATEDIF(K38,L38,"Y"),"y ",DATEDIF(K38+(360*(DATEDIF(K38,L38,"Y"))),L38,"M"),"m ",DATEDIF(K38+(30*(DATEDIF(K38,L38,"M"))),L38,"D"),"d")</f>
        <v>2y 6m 28d</v>
      </c>
      <c r="O38" s="637" t="s">
        <v>1531</v>
      </c>
      <c r="P38" s="637" t="s">
        <v>1600</v>
      </c>
      <c r="Q38" s="663" t="s">
        <v>1601</v>
      </c>
      <c r="R38" s="663" t="s">
        <v>1526</v>
      </c>
      <c r="S38" s="35">
        <v>11658</v>
      </c>
      <c r="T38" s="664" t="s">
        <v>1646</v>
      </c>
      <c r="U38" s="665"/>
      <c r="V38" s="665"/>
      <c r="W38"/>
      <c r="X38"/>
      <c r="Y38"/>
      <c r="Z38"/>
    </row>
    <row r="39" spans="1:26" ht="19.5" customHeight="1">
      <c r="A39" s="649">
        <f>A38+1</f>
        <v>34</v>
      </c>
      <c r="B39" s="637" t="s">
        <v>1647</v>
      </c>
      <c r="C39" s="637" t="s">
        <v>1648</v>
      </c>
      <c r="D39" s="650" t="s">
        <v>115</v>
      </c>
      <c r="E39" s="651">
        <v>26497</v>
      </c>
      <c r="F39" s="650">
        <f t="shared" ca="1" si="0"/>
        <v>53</v>
      </c>
      <c r="G39" s="650" t="s">
        <v>62</v>
      </c>
      <c r="H39" s="637" t="s">
        <v>1521</v>
      </c>
      <c r="I39" s="650" t="s">
        <v>1522</v>
      </c>
      <c r="J39" s="650">
        <v>1</v>
      </c>
      <c r="K39" s="651">
        <v>42186</v>
      </c>
      <c r="L39" s="651">
        <v>43465</v>
      </c>
      <c r="M39" s="651" t="s">
        <v>1523</v>
      </c>
      <c r="N39" s="650" t="str">
        <f>CONCATENATE(DATEDIF(K39,L39,"Y"),"y ",DATEDIF(K39+(360*(DATEDIF(K39,L39,"Y"))),L39,"M"),"m ",DATEDIF(K39+(30.5*(DATEDIF(K39,L39,"M"))),L39,"D"),"d")</f>
        <v>3y 6m 29d</v>
      </c>
      <c r="O39" s="637" t="s">
        <v>211</v>
      </c>
      <c r="P39" s="637" t="s">
        <v>1582</v>
      </c>
      <c r="Q39" s="663" t="s">
        <v>1583</v>
      </c>
      <c r="R39" s="663" t="s">
        <v>1526</v>
      </c>
      <c r="S39" s="35">
        <v>9478</v>
      </c>
      <c r="T39" s="664" t="s">
        <v>1649</v>
      </c>
      <c r="U39" s="665"/>
      <c r="V39" s="665"/>
      <c r="W39"/>
      <c r="X39"/>
      <c r="Y39"/>
      <c r="Z39"/>
    </row>
    <row r="40" spans="1:26" ht="19.5" customHeight="1">
      <c r="A40" s="649">
        <f>A39+1</f>
        <v>35</v>
      </c>
      <c r="B40" s="637" t="s">
        <v>1650</v>
      </c>
      <c r="C40" s="637" t="s">
        <v>1651</v>
      </c>
      <c r="D40" s="650" t="s">
        <v>122</v>
      </c>
      <c r="E40" s="651">
        <v>25123</v>
      </c>
      <c r="F40" s="650">
        <f t="shared" ca="1" si="0"/>
        <v>57</v>
      </c>
      <c r="G40" s="650" t="s">
        <v>100</v>
      </c>
      <c r="H40" s="637" t="s">
        <v>1521</v>
      </c>
      <c r="I40" s="650" t="s">
        <v>1522</v>
      </c>
      <c r="J40" s="650">
        <v>1</v>
      </c>
      <c r="K40" s="651">
        <v>41372</v>
      </c>
      <c r="L40" s="651">
        <v>43465</v>
      </c>
      <c r="M40" s="651" t="s">
        <v>1523</v>
      </c>
      <c r="N40" s="650" t="str">
        <f t="shared" ref="N40:N63" si="5">CONCATENATE(DATEDIF(K40,L40,"Y"),"y ",DATEDIF(K40+(360*(DATEDIF(K40,L40,"Y"))),L40,"M"),"m ",DATEDIF(K40+(30*(DATEDIF(K40,L40,"M"))),L40,"D"),"d")</f>
        <v>5y 9m 53d</v>
      </c>
      <c r="O40" s="637" t="s">
        <v>1531</v>
      </c>
      <c r="P40" s="637" t="s">
        <v>1549</v>
      </c>
      <c r="Q40" s="663" t="s">
        <v>1550</v>
      </c>
      <c r="R40" s="663" t="s">
        <v>1526</v>
      </c>
      <c r="S40" s="35">
        <v>9478</v>
      </c>
      <c r="T40" s="664" t="s">
        <v>1652</v>
      </c>
      <c r="U40" s="665"/>
      <c r="V40" s="665"/>
      <c r="W40"/>
      <c r="X40"/>
      <c r="Y40"/>
      <c r="Z40"/>
    </row>
    <row r="41" spans="1:26" ht="19.5" customHeight="1">
      <c r="A41" s="649">
        <f>A40+1</f>
        <v>36</v>
      </c>
      <c r="B41" s="637" t="s">
        <v>1653</v>
      </c>
      <c r="C41" s="637" t="s">
        <v>59</v>
      </c>
      <c r="D41" s="650" t="s">
        <v>115</v>
      </c>
      <c r="E41" s="651">
        <v>32206</v>
      </c>
      <c r="F41" s="650">
        <f t="shared" ref="F41:F62" ca="1" si="6">DATEDIF(E41,TODAY(),"Y")</f>
        <v>38</v>
      </c>
      <c r="G41" s="650" t="s">
        <v>62</v>
      </c>
      <c r="H41" s="637" t="s">
        <v>1530</v>
      </c>
      <c r="I41" s="650" t="s">
        <v>1522</v>
      </c>
      <c r="J41" s="650">
        <v>2</v>
      </c>
      <c r="K41" s="651">
        <v>42310</v>
      </c>
      <c r="L41" s="651">
        <v>43465</v>
      </c>
      <c r="M41" s="651" t="s">
        <v>1523</v>
      </c>
      <c r="N41" s="650" t="str">
        <f t="shared" si="5"/>
        <v>3y 2m 45d</v>
      </c>
      <c r="O41" s="637" t="s">
        <v>167</v>
      </c>
      <c r="P41" s="637" t="s">
        <v>1532</v>
      </c>
      <c r="Q41" s="663" t="s">
        <v>1533</v>
      </c>
      <c r="R41" s="663" t="s">
        <v>1534</v>
      </c>
      <c r="S41" s="35">
        <v>36409</v>
      </c>
      <c r="T41" s="664" t="s">
        <v>1654</v>
      </c>
      <c r="U41" s="665"/>
      <c r="V41" s="665"/>
      <c r="W41"/>
      <c r="X41"/>
      <c r="Y41"/>
      <c r="Z41"/>
    </row>
    <row r="42" spans="1:26" ht="19.5" customHeight="1">
      <c r="A42" s="649">
        <f>A41+1</f>
        <v>37</v>
      </c>
      <c r="B42" s="637" t="s">
        <v>1655</v>
      </c>
      <c r="C42" s="637" t="s">
        <v>1656</v>
      </c>
      <c r="D42" s="650" t="s">
        <v>100</v>
      </c>
      <c r="E42" s="651">
        <v>34046</v>
      </c>
      <c r="F42" s="650">
        <f t="shared" ca="1" si="6"/>
        <v>33</v>
      </c>
      <c r="G42" s="650" t="s">
        <v>62</v>
      </c>
      <c r="H42" s="637" t="s">
        <v>1521</v>
      </c>
      <c r="I42" s="650" t="s">
        <v>1522</v>
      </c>
      <c r="J42" s="650">
        <v>1</v>
      </c>
      <c r="K42" s="651">
        <v>42758</v>
      </c>
      <c r="L42" s="651">
        <v>43465</v>
      </c>
      <c r="M42" s="651" t="s">
        <v>1523</v>
      </c>
      <c r="N42" s="650" t="str">
        <f t="shared" si="5"/>
        <v>1y 11m 17d</v>
      </c>
      <c r="O42" s="637" t="s">
        <v>181</v>
      </c>
      <c r="P42" s="637" t="s">
        <v>1582</v>
      </c>
      <c r="Q42" s="663" t="s">
        <v>1583</v>
      </c>
      <c r="R42" s="663" t="s">
        <v>1526</v>
      </c>
      <c r="S42" s="35">
        <v>9478</v>
      </c>
      <c r="T42" s="664" t="s">
        <v>1657</v>
      </c>
      <c r="U42" s="665"/>
      <c r="V42" s="665"/>
      <c r="W42"/>
      <c r="X42"/>
      <c r="Y42"/>
      <c r="Z42"/>
    </row>
    <row r="43" spans="1:26" ht="19.5" customHeight="1">
      <c r="A43" s="649">
        <f>+A118+1</f>
        <v>61</v>
      </c>
      <c r="B43" s="637" t="s">
        <v>1658</v>
      </c>
      <c r="C43" s="637" t="s">
        <v>1659</v>
      </c>
      <c r="D43" s="650" t="s">
        <v>100</v>
      </c>
      <c r="E43" s="651">
        <v>33045</v>
      </c>
      <c r="F43" s="650">
        <f t="shared" ca="1" si="6"/>
        <v>35</v>
      </c>
      <c r="G43" s="650" t="s">
        <v>62</v>
      </c>
      <c r="H43" s="637" t="s">
        <v>1521</v>
      </c>
      <c r="I43" s="650" t="s">
        <v>1522</v>
      </c>
      <c r="J43" s="650">
        <v>1</v>
      </c>
      <c r="K43" s="651">
        <v>42923</v>
      </c>
      <c r="L43" s="651">
        <v>43465</v>
      </c>
      <c r="M43" s="651" t="s">
        <v>1523</v>
      </c>
      <c r="N43" s="650" t="str">
        <f t="shared" si="5"/>
        <v>1y 5m 32d</v>
      </c>
      <c r="O43" s="637" t="s">
        <v>1542</v>
      </c>
      <c r="P43" s="637" t="s">
        <v>1524</v>
      </c>
      <c r="Q43" s="663" t="s">
        <v>1550</v>
      </c>
      <c r="R43" s="663" t="s">
        <v>1526</v>
      </c>
      <c r="S43" s="35">
        <v>9478</v>
      </c>
      <c r="T43" s="664" t="s">
        <v>1660</v>
      </c>
      <c r="U43" s="665"/>
      <c r="V43" s="665"/>
      <c r="W43"/>
      <c r="X43"/>
      <c r="Y43"/>
      <c r="Z43"/>
    </row>
    <row r="44" spans="1:26" ht="19.5" customHeight="1">
      <c r="A44" s="649">
        <f>+A43+1</f>
        <v>62</v>
      </c>
      <c r="B44" s="637" t="s">
        <v>1661</v>
      </c>
      <c r="C44" s="637" t="s">
        <v>1662</v>
      </c>
      <c r="D44" s="650" t="s">
        <v>1663</v>
      </c>
      <c r="E44" s="651"/>
      <c r="F44" s="650">
        <f t="shared" ca="1" si="6"/>
        <v>126</v>
      </c>
      <c r="G44" s="650" t="s">
        <v>62</v>
      </c>
      <c r="H44" s="637"/>
      <c r="I44" s="650" t="s">
        <v>1522</v>
      </c>
      <c r="J44" s="650">
        <v>1</v>
      </c>
      <c r="K44" s="651">
        <v>43024</v>
      </c>
      <c r="L44" s="651">
        <v>43465</v>
      </c>
      <c r="M44" s="651" t="s">
        <v>1523</v>
      </c>
      <c r="N44" s="650" t="str">
        <f t="shared" si="5"/>
        <v>1y 2m 21d</v>
      </c>
      <c r="O44" s="637" t="s">
        <v>408</v>
      </c>
      <c r="P44" s="637" t="s">
        <v>1623</v>
      </c>
      <c r="Q44" s="663" t="s">
        <v>1664</v>
      </c>
      <c r="R44" s="663" t="s">
        <v>1592</v>
      </c>
      <c r="S44" s="35">
        <v>35693</v>
      </c>
      <c r="T44" s="664" t="s">
        <v>1665</v>
      </c>
      <c r="U44" s="665"/>
      <c r="V44" s="665"/>
      <c r="W44"/>
      <c r="X44"/>
      <c r="Y44"/>
      <c r="Z44"/>
    </row>
    <row r="45" spans="1:26" ht="19.5" customHeight="1">
      <c r="A45" s="649">
        <f>+A44+1</f>
        <v>63</v>
      </c>
      <c r="B45" s="637" t="s">
        <v>1666</v>
      </c>
      <c r="C45" s="637" t="s">
        <v>1554</v>
      </c>
      <c r="D45" s="650" t="s">
        <v>64</v>
      </c>
      <c r="E45" s="651"/>
      <c r="F45" s="650">
        <f t="shared" ca="1" si="6"/>
        <v>126</v>
      </c>
      <c r="G45" s="650" t="s">
        <v>100</v>
      </c>
      <c r="H45" s="637"/>
      <c r="I45" s="650" t="s">
        <v>1522</v>
      </c>
      <c r="J45" s="650">
        <v>2</v>
      </c>
      <c r="K45" s="651">
        <v>43024</v>
      </c>
      <c r="L45" s="651">
        <v>43465</v>
      </c>
      <c r="M45" s="651" t="s">
        <v>1523</v>
      </c>
      <c r="N45" s="650" t="str">
        <f t="shared" si="5"/>
        <v>1y 2m 21d</v>
      </c>
      <c r="O45" s="637" t="s">
        <v>268</v>
      </c>
      <c r="P45" s="637" t="s">
        <v>1623</v>
      </c>
      <c r="Q45" s="663" t="s">
        <v>1664</v>
      </c>
      <c r="R45" s="663" t="s">
        <v>1592</v>
      </c>
      <c r="S45" s="35">
        <v>35693</v>
      </c>
      <c r="T45" s="664" t="s">
        <v>1667</v>
      </c>
      <c r="U45" s="665"/>
      <c r="V45" s="665"/>
      <c r="W45"/>
      <c r="X45"/>
      <c r="Y45"/>
      <c r="Z45"/>
    </row>
    <row r="46" spans="1:26" ht="19.5" customHeight="1">
      <c r="A46" s="649">
        <f>+A26+1</f>
        <v>21</v>
      </c>
      <c r="B46" s="637" t="s">
        <v>1668</v>
      </c>
      <c r="C46" s="637" t="s">
        <v>1669</v>
      </c>
      <c r="D46" s="650" t="s">
        <v>77</v>
      </c>
      <c r="E46" s="651"/>
      <c r="F46" s="650">
        <f t="shared" ca="1" si="6"/>
        <v>126</v>
      </c>
      <c r="G46" s="650" t="s">
        <v>100</v>
      </c>
      <c r="H46" s="637"/>
      <c r="I46" s="650" t="s">
        <v>1522</v>
      </c>
      <c r="J46" s="650">
        <v>2</v>
      </c>
      <c r="K46" s="651">
        <v>43024</v>
      </c>
      <c r="L46" s="651">
        <v>43465</v>
      </c>
      <c r="M46" s="651" t="s">
        <v>1523</v>
      </c>
      <c r="N46" s="650" t="str">
        <f t="shared" si="5"/>
        <v>1y 2m 21d</v>
      </c>
      <c r="O46" s="637" t="s">
        <v>181</v>
      </c>
      <c r="P46" s="637" t="s">
        <v>1623</v>
      </c>
      <c r="Q46" s="663" t="s">
        <v>1670</v>
      </c>
      <c r="R46" s="663" t="s">
        <v>1592</v>
      </c>
      <c r="S46" s="35">
        <v>27565</v>
      </c>
      <c r="T46" s="664" t="s">
        <v>1671</v>
      </c>
      <c r="U46" s="665"/>
      <c r="V46" s="665"/>
      <c r="W46"/>
      <c r="X46"/>
      <c r="Y46"/>
      <c r="Z46"/>
    </row>
    <row r="47" spans="1:26" ht="19.5" customHeight="1">
      <c r="A47" s="649">
        <f t="shared" ref="A47:A57" si="7">+A46+1</f>
        <v>22</v>
      </c>
      <c r="B47" s="637" t="s">
        <v>1672</v>
      </c>
      <c r="C47" s="637" t="s">
        <v>1673</v>
      </c>
      <c r="D47" s="650" t="s">
        <v>77</v>
      </c>
      <c r="E47" s="651"/>
      <c r="F47" s="650">
        <f t="shared" ca="1" si="6"/>
        <v>126</v>
      </c>
      <c r="G47" s="650" t="s">
        <v>100</v>
      </c>
      <c r="H47" s="637" t="s">
        <v>1674</v>
      </c>
      <c r="I47" s="650" t="s">
        <v>1522</v>
      </c>
      <c r="J47" s="650">
        <v>2</v>
      </c>
      <c r="K47" s="651">
        <v>43024</v>
      </c>
      <c r="L47" s="651">
        <v>43465</v>
      </c>
      <c r="M47" s="651" t="s">
        <v>1523</v>
      </c>
      <c r="N47" s="650" t="str">
        <f t="shared" si="5"/>
        <v>1y 2m 21d</v>
      </c>
      <c r="O47" s="637" t="s">
        <v>181</v>
      </c>
      <c r="P47" s="637" t="s">
        <v>1623</v>
      </c>
      <c r="Q47" s="663" t="s">
        <v>1664</v>
      </c>
      <c r="R47" s="663" t="s">
        <v>1592</v>
      </c>
      <c r="S47" s="35">
        <v>35693</v>
      </c>
      <c r="T47" s="664" t="s">
        <v>1675</v>
      </c>
      <c r="U47" s="665"/>
      <c r="V47" s="665"/>
      <c r="W47"/>
      <c r="X47"/>
      <c r="Y47"/>
      <c r="Z47"/>
    </row>
    <row r="48" spans="1:26" ht="19.5" customHeight="1">
      <c r="A48" s="649">
        <f t="shared" si="7"/>
        <v>23</v>
      </c>
      <c r="B48" s="637" t="s">
        <v>500</v>
      </c>
      <c r="C48" s="637" t="s">
        <v>1676</v>
      </c>
      <c r="D48" s="650" t="s">
        <v>115</v>
      </c>
      <c r="E48" s="651"/>
      <c r="F48" s="650">
        <f t="shared" ca="1" si="6"/>
        <v>126</v>
      </c>
      <c r="G48" s="650" t="s">
        <v>62</v>
      </c>
      <c r="H48" s="637"/>
      <c r="I48" s="650" t="s">
        <v>1522</v>
      </c>
      <c r="J48" s="650">
        <v>2</v>
      </c>
      <c r="K48" s="651">
        <v>43024</v>
      </c>
      <c r="L48" s="651">
        <v>43465</v>
      </c>
      <c r="M48" s="651" t="s">
        <v>1523</v>
      </c>
      <c r="N48" s="650" t="str">
        <f t="shared" si="5"/>
        <v>1y 2m 21d</v>
      </c>
      <c r="O48" s="637" t="s">
        <v>211</v>
      </c>
      <c r="P48" s="637" t="s">
        <v>1623</v>
      </c>
      <c r="Q48" s="663" t="s">
        <v>1664</v>
      </c>
      <c r="R48" s="663" t="s">
        <v>1592</v>
      </c>
      <c r="S48" s="35">
        <v>35693</v>
      </c>
      <c r="T48" s="664" t="s">
        <v>1677</v>
      </c>
      <c r="U48" s="665"/>
      <c r="V48" s="665"/>
      <c r="W48"/>
      <c r="X48"/>
      <c r="Y48"/>
      <c r="Z48"/>
    </row>
    <row r="49" spans="1:26" ht="19.5" customHeight="1">
      <c r="A49" s="649">
        <f t="shared" si="7"/>
        <v>24</v>
      </c>
      <c r="B49" s="637" t="s">
        <v>1678</v>
      </c>
      <c r="C49" s="637" t="s">
        <v>1679</v>
      </c>
      <c r="D49" s="650" t="s">
        <v>60</v>
      </c>
      <c r="E49" s="651"/>
      <c r="F49" s="650">
        <f t="shared" ca="1" si="6"/>
        <v>126</v>
      </c>
      <c r="G49" s="650" t="s">
        <v>100</v>
      </c>
      <c r="H49" s="637"/>
      <c r="I49" s="650" t="s">
        <v>1522</v>
      </c>
      <c r="J49" s="650">
        <v>2</v>
      </c>
      <c r="K49" s="651">
        <v>43024</v>
      </c>
      <c r="L49" s="651">
        <v>43465</v>
      </c>
      <c r="M49" s="651" t="s">
        <v>1523</v>
      </c>
      <c r="N49" s="650" t="str">
        <f t="shared" si="5"/>
        <v>1y 2m 21d</v>
      </c>
      <c r="O49" s="637" t="s">
        <v>408</v>
      </c>
      <c r="P49" s="637" t="s">
        <v>1623</v>
      </c>
      <c r="Q49" s="663" t="s">
        <v>1670</v>
      </c>
      <c r="R49" s="663" t="s">
        <v>1592</v>
      </c>
      <c r="S49" s="35">
        <v>27565</v>
      </c>
      <c r="T49" s="664" t="s">
        <v>1680</v>
      </c>
      <c r="U49" s="665"/>
      <c r="V49" s="665"/>
      <c r="W49"/>
      <c r="X49"/>
      <c r="Y49"/>
      <c r="Z49"/>
    </row>
    <row r="50" spans="1:26" ht="19.5" customHeight="1">
      <c r="A50" s="649">
        <f t="shared" si="7"/>
        <v>25</v>
      </c>
      <c r="B50" s="637" t="s">
        <v>1681</v>
      </c>
      <c r="C50" s="637" t="s">
        <v>1682</v>
      </c>
      <c r="D50" s="650" t="s">
        <v>60</v>
      </c>
      <c r="E50" s="651"/>
      <c r="F50" s="650">
        <f t="shared" ca="1" si="6"/>
        <v>126</v>
      </c>
      <c r="G50" s="650" t="s">
        <v>62</v>
      </c>
      <c r="H50" s="637"/>
      <c r="I50" s="650" t="s">
        <v>1522</v>
      </c>
      <c r="J50" s="650">
        <v>2</v>
      </c>
      <c r="K50" s="651">
        <v>43024</v>
      </c>
      <c r="L50" s="651">
        <v>43465</v>
      </c>
      <c r="M50" s="651" t="s">
        <v>1523</v>
      </c>
      <c r="N50" s="650" t="str">
        <f t="shared" si="5"/>
        <v>1y 2m 21d</v>
      </c>
      <c r="O50" s="637" t="s">
        <v>167</v>
      </c>
      <c r="P50" s="637" t="s">
        <v>1623</v>
      </c>
      <c r="Q50" s="663" t="s">
        <v>1664</v>
      </c>
      <c r="R50" s="663" t="s">
        <v>1592</v>
      </c>
      <c r="S50" s="35">
        <v>35693</v>
      </c>
      <c r="T50" s="664" t="s">
        <v>1683</v>
      </c>
      <c r="U50" s="665"/>
      <c r="V50" s="665"/>
      <c r="W50"/>
      <c r="X50"/>
      <c r="Y50"/>
      <c r="Z50"/>
    </row>
    <row r="51" spans="1:26" ht="19.5" customHeight="1">
      <c r="A51" s="649">
        <f t="shared" si="7"/>
        <v>26</v>
      </c>
      <c r="B51" s="637" t="s">
        <v>1684</v>
      </c>
      <c r="C51" s="637" t="s">
        <v>1685</v>
      </c>
      <c r="D51" s="650" t="s">
        <v>177</v>
      </c>
      <c r="E51" s="651"/>
      <c r="F51" s="650">
        <f t="shared" ca="1" si="6"/>
        <v>126</v>
      </c>
      <c r="G51" s="650" t="s">
        <v>62</v>
      </c>
      <c r="H51" s="637"/>
      <c r="I51" s="650" t="s">
        <v>1522</v>
      </c>
      <c r="J51" s="650">
        <v>2</v>
      </c>
      <c r="K51" s="651">
        <v>43024</v>
      </c>
      <c r="L51" s="651">
        <v>43465</v>
      </c>
      <c r="M51" s="651" t="s">
        <v>1523</v>
      </c>
      <c r="N51" s="650" t="str">
        <f t="shared" si="5"/>
        <v>1y 2m 21d</v>
      </c>
      <c r="O51" s="637" t="s">
        <v>174</v>
      </c>
      <c r="P51" s="637" t="s">
        <v>1623</v>
      </c>
      <c r="Q51" s="663" t="s">
        <v>1664</v>
      </c>
      <c r="R51" s="663" t="s">
        <v>1592</v>
      </c>
      <c r="S51" s="35">
        <v>35693</v>
      </c>
      <c r="T51" s="664" t="s">
        <v>1686</v>
      </c>
      <c r="U51" s="665"/>
      <c r="V51" s="665"/>
      <c r="W51"/>
      <c r="X51"/>
      <c r="Y51"/>
      <c r="Z51"/>
    </row>
    <row r="52" spans="1:26" ht="19.5" customHeight="1">
      <c r="A52" s="649">
        <f t="shared" si="7"/>
        <v>27</v>
      </c>
      <c r="B52" s="637" t="s">
        <v>1687</v>
      </c>
      <c r="C52" s="637" t="s">
        <v>1688</v>
      </c>
      <c r="D52" s="650" t="s">
        <v>122</v>
      </c>
      <c r="E52" s="651"/>
      <c r="F52" s="650">
        <f t="shared" ca="1" si="6"/>
        <v>126</v>
      </c>
      <c r="G52" s="650" t="s">
        <v>100</v>
      </c>
      <c r="H52" s="637"/>
      <c r="I52" s="650" t="s">
        <v>1522</v>
      </c>
      <c r="J52" s="650">
        <v>2</v>
      </c>
      <c r="K52" s="651">
        <v>43024</v>
      </c>
      <c r="L52" s="651">
        <v>43465</v>
      </c>
      <c r="M52" s="651" t="s">
        <v>1523</v>
      </c>
      <c r="N52" s="650" t="str">
        <f t="shared" si="5"/>
        <v>1y 2m 21d</v>
      </c>
      <c r="O52" s="637" t="s">
        <v>174</v>
      </c>
      <c r="P52" s="637" t="s">
        <v>1623</v>
      </c>
      <c r="Q52" s="663" t="s">
        <v>1670</v>
      </c>
      <c r="R52" s="663" t="s">
        <v>1592</v>
      </c>
      <c r="S52" s="35">
        <v>27565</v>
      </c>
      <c r="T52" s="664" t="s">
        <v>1689</v>
      </c>
      <c r="U52" s="665"/>
      <c r="V52" s="665"/>
      <c r="W52"/>
      <c r="X52"/>
      <c r="Y52"/>
      <c r="Z52"/>
    </row>
    <row r="53" spans="1:26" ht="19.5" customHeight="1">
      <c r="A53" s="649">
        <f t="shared" si="7"/>
        <v>28</v>
      </c>
      <c r="B53" s="637" t="s">
        <v>1690</v>
      </c>
      <c r="C53" s="637" t="s">
        <v>1691</v>
      </c>
      <c r="D53" s="650" t="s">
        <v>60</v>
      </c>
      <c r="E53" s="651"/>
      <c r="F53" s="650">
        <f t="shared" ca="1" si="6"/>
        <v>126</v>
      </c>
      <c r="G53" s="650" t="s">
        <v>100</v>
      </c>
      <c r="H53" s="637"/>
      <c r="I53" s="650" t="s">
        <v>1522</v>
      </c>
      <c r="J53" s="650">
        <v>2</v>
      </c>
      <c r="K53" s="651">
        <v>43024</v>
      </c>
      <c r="L53" s="651">
        <v>43465</v>
      </c>
      <c r="M53" s="651" t="s">
        <v>1523</v>
      </c>
      <c r="N53" s="650" t="str">
        <f t="shared" si="5"/>
        <v>1y 2m 21d</v>
      </c>
      <c r="O53" s="637" t="s">
        <v>211</v>
      </c>
      <c r="P53" s="637" t="s">
        <v>1623</v>
      </c>
      <c r="Q53" s="663" t="s">
        <v>1670</v>
      </c>
      <c r="R53" s="663" t="s">
        <v>1592</v>
      </c>
      <c r="S53" s="35">
        <v>27565</v>
      </c>
      <c r="T53" s="664" t="s">
        <v>1692</v>
      </c>
      <c r="U53" s="665"/>
      <c r="V53" s="665"/>
      <c r="W53"/>
      <c r="X53"/>
      <c r="Y53"/>
      <c r="Z53"/>
    </row>
    <row r="54" spans="1:26" ht="19.5" customHeight="1">
      <c r="A54" s="649">
        <f t="shared" si="7"/>
        <v>29</v>
      </c>
      <c r="B54" s="637" t="s">
        <v>1693</v>
      </c>
      <c r="C54" s="637" t="s">
        <v>1694</v>
      </c>
      <c r="D54" s="650" t="s">
        <v>81</v>
      </c>
      <c r="E54" s="651"/>
      <c r="F54" s="650">
        <f t="shared" ca="1" si="6"/>
        <v>126</v>
      </c>
      <c r="G54" s="650" t="s">
        <v>62</v>
      </c>
      <c r="H54" s="637"/>
      <c r="I54" s="650" t="s">
        <v>1522</v>
      </c>
      <c r="J54" s="650">
        <v>2</v>
      </c>
      <c r="K54" s="651">
        <v>43024</v>
      </c>
      <c r="L54" s="651">
        <v>43465</v>
      </c>
      <c r="M54" s="651" t="s">
        <v>1523</v>
      </c>
      <c r="N54" s="650" t="str">
        <f t="shared" si="5"/>
        <v>1y 2m 21d</v>
      </c>
      <c r="O54" s="637" t="s">
        <v>268</v>
      </c>
      <c r="P54" s="637" t="s">
        <v>1623</v>
      </c>
      <c r="Q54" s="663" t="s">
        <v>1670</v>
      </c>
      <c r="R54" s="663" t="s">
        <v>1592</v>
      </c>
      <c r="S54" s="35">
        <v>27565</v>
      </c>
      <c r="T54" s="664" t="s">
        <v>1695</v>
      </c>
      <c r="U54" s="665"/>
      <c r="V54" s="665"/>
      <c r="W54"/>
      <c r="X54"/>
      <c r="Y54"/>
      <c r="Z54"/>
    </row>
    <row r="55" spans="1:26" ht="19.5" customHeight="1">
      <c r="A55" s="649">
        <f t="shared" si="7"/>
        <v>30</v>
      </c>
      <c r="B55" s="637"/>
      <c r="C55" s="637"/>
      <c r="D55" s="650"/>
      <c r="E55" s="651"/>
      <c r="F55" s="650">
        <f t="shared" ca="1" si="6"/>
        <v>126</v>
      </c>
      <c r="G55" s="650"/>
      <c r="H55" s="637"/>
      <c r="I55" s="650"/>
      <c r="J55" s="650"/>
      <c r="K55" s="651"/>
      <c r="L55" s="651"/>
      <c r="M55" s="651" t="s">
        <v>1523</v>
      </c>
      <c r="N55" s="650" t="str">
        <f t="shared" si="5"/>
        <v>0y 0m 0d</v>
      </c>
      <c r="O55" s="637"/>
      <c r="P55" s="637"/>
      <c r="Q55" s="663"/>
      <c r="R55" s="663"/>
      <c r="S55" s="35"/>
      <c r="T55" s="664" t="s">
        <v>1696</v>
      </c>
      <c r="U55" s="665"/>
      <c r="V55" s="665"/>
      <c r="W55"/>
      <c r="X55"/>
      <c r="Y55"/>
      <c r="Z55"/>
    </row>
    <row r="56" spans="1:26" ht="19.5" customHeight="1">
      <c r="A56" s="649">
        <f t="shared" si="7"/>
        <v>31</v>
      </c>
      <c r="B56" s="637"/>
      <c r="C56" s="637"/>
      <c r="D56" s="650"/>
      <c r="E56" s="651"/>
      <c r="F56" s="650">
        <f t="shared" ca="1" si="6"/>
        <v>126</v>
      </c>
      <c r="G56" s="650"/>
      <c r="H56" s="637"/>
      <c r="I56" s="650" t="s">
        <v>1522</v>
      </c>
      <c r="J56" s="650"/>
      <c r="K56" s="651"/>
      <c r="L56" s="651"/>
      <c r="M56" s="651" t="s">
        <v>1523</v>
      </c>
      <c r="N56" s="650" t="str">
        <f t="shared" si="5"/>
        <v>0y 0m 0d</v>
      </c>
      <c r="O56" s="637"/>
      <c r="P56" s="637"/>
      <c r="Q56" s="663"/>
      <c r="R56" s="663"/>
      <c r="S56" s="35"/>
      <c r="T56" s="664" t="s">
        <v>1697</v>
      </c>
      <c r="U56" s="665"/>
      <c r="V56" s="665"/>
      <c r="W56"/>
      <c r="X56"/>
      <c r="Y56"/>
      <c r="Z56"/>
    </row>
    <row r="57" spans="1:26" ht="19.5" customHeight="1">
      <c r="A57" s="649">
        <f t="shared" si="7"/>
        <v>32</v>
      </c>
      <c r="B57" s="637" t="s">
        <v>1698</v>
      </c>
      <c r="C57" s="637" t="s">
        <v>1699</v>
      </c>
      <c r="D57" s="650" t="s">
        <v>60</v>
      </c>
      <c r="E57" s="651">
        <v>34261</v>
      </c>
      <c r="F57" s="650">
        <f t="shared" ca="1" si="6"/>
        <v>32</v>
      </c>
      <c r="G57" s="650" t="s">
        <v>100</v>
      </c>
      <c r="H57" s="637"/>
      <c r="I57" s="650" t="s">
        <v>1522</v>
      </c>
      <c r="J57" s="650">
        <v>1</v>
      </c>
      <c r="K57" s="651">
        <v>43023</v>
      </c>
      <c r="L57" s="651">
        <v>43465</v>
      </c>
      <c r="M57" s="651" t="s">
        <v>1523</v>
      </c>
      <c r="N57" s="650" t="str">
        <f t="shared" si="5"/>
        <v>1y 2m 22d</v>
      </c>
      <c r="O57" s="637" t="s">
        <v>1531</v>
      </c>
      <c r="P57" s="637" t="s">
        <v>1524</v>
      </c>
      <c r="Q57" s="663" t="s">
        <v>1700</v>
      </c>
      <c r="R57" s="663" t="s">
        <v>1526</v>
      </c>
      <c r="S57" s="35">
        <v>11658</v>
      </c>
      <c r="T57" s="664" t="s">
        <v>1701</v>
      </c>
      <c r="U57" s="665"/>
      <c r="V57" s="665"/>
      <c r="W57"/>
      <c r="X57"/>
      <c r="Y57"/>
      <c r="Z57"/>
    </row>
    <row r="58" spans="1:26" ht="19.5" customHeight="1">
      <c r="A58" s="649">
        <f>+A122+1</f>
        <v>34</v>
      </c>
      <c r="B58" s="637" t="s">
        <v>1702</v>
      </c>
      <c r="C58" s="637" t="s">
        <v>1703</v>
      </c>
      <c r="D58" s="650" t="s">
        <v>72</v>
      </c>
      <c r="E58" s="651">
        <v>28226</v>
      </c>
      <c r="F58" s="650">
        <f t="shared" ca="1" si="6"/>
        <v>48</v>
      </c>
      <c r="G58" s="650" t="s">
        <v>100</v>
      </c>
      <c r="H58" s="637" t="s">
        <v>1521</v>
      </c>
      <c r="I58" s="650" t="s">
        <v>1522</v>
      </c>
      <c r="J58" s="650">
        <v>1</v>
      </c>
      <c r="K58" s="651">
        <v>43070</v>
      </c>
      <c r="L58" s="651">
        <v>43465</v>
      </c>
      <c r="M58" s="651" t="s">
        <v>1523</v>
      </c>
      <c r="N58" s="650" t="str">
        <f t="shared" si="5"/>
        <v>1y 1m 35d</v>
      </c>
      <c r="O58" s="637" t="s">
        <v>1531</v>
      </c>
      <c r="P58" s="637" t="s">
        <v>1524</v>
      </c>
      <c r="Q58" s="663" t="s">
        <v>1550</v>
      </c>
      <c r="R58" s="663" t="s">
        <v>1526</v>
      </c>
      <c r="S58" s="35">
        <v>9478</v>
      </c>
      <c r="T58" s="664" t="s">
        <v>1704</v>
      </c>
      <c r="U58" s="664"/>
      <c r="V58" s="665"/>
      <c r="W58"/>
      <c r="X58"/>
      <c r="Y58"/>
      <c r="Z58"/>
    </row>
    <row r="59" spans="1:26" ht="19.5" customHeight="1">
      <c r="A59" s="649">
        <f>+A58+1</f>
        <v>35</v>
      </c>
      <c r="B59" s="637" t="s">
        <v>589</v>
      </c>
      <c r="C59" s="637" t="s">
        <v>1705</v>
      </c>
      <c r="D59" s="650" t="s">
        <v>81</v>
      </c>
      <c r="E59" s="651">
        <v>24381</v>
      </c>
      <c r="F59" s="650">
        <f t="shared" ca="1" si="6"/>
        <v>59</v>
      </c>
      <c r="G59" s="650" t="s">
        <v>62</v>
      </c>
      <c r="H59" s="637" t="s">
        <v>1521</v>
      </c>
      <c r="I59" s="650" t="s">
        <v>1522</v>
      </c>
      <c r="J59" s="650">
        <v>1</v>
      </c>
      <c r="K59" s="651">
        <v>43057</v>
      </c>
      <c r="L59" s="651">
        <v>43465</v>
      </c>
      <c r="M59" s="651" t="s">
        <v>1523</v>
      </c>
      <c r="N59" s="650" t="str">
        <f t="shared" si="5"/>
        <v>1y 1m 18d</v>
      </c>
      <c r="O59" s="637" t="s">
        <v>408</v>
      </c>
      <c r="P59" s="637" t="s">
        <v>1524</v>
      </c>
      <c r="Q59" s="663" t="s">
        <v>1525</v>
      </c>
      <c r="R59" s="663" t="s">
        <v>1526</v>
      </c>
      <c r="S59" s="35">
        <v>10833</v>
      </c>
      <c r="T59" s="664" t="s">
        <v>1706</v>
      </c>
      <c r="U59" s="665"/>
      <c r="V59" s="665"/>
      <c r="W59"/>
      <c r="X59"/>
      <c r="Y59"/>
      <c r="Z59"/>
    </row>
    <row r="60" spans="1:26" ht="19.5" customHeight="1">
      <c r="A60" s="649">
        <f>+A59+1</f>
        <v>36</v>
      </c>
      <c r="B60" s="637" t="s">
        <v>1707</v>
      </c>
      <c r="C60" s="637"/>
      <c r="D60" s="650"/>
      <c r="E60" s="651"/>
      <c r="F60" s="650">
        <f t="shared" ca="1" si="6"/>
        <v>126</v>
      </c>
      <c r="G60" s="650" t="s">
        <v>62</v>
      </c>
      <c r="H60" s="637"/>
      <c r="I60" s="650" t="s">
        <v>1522</v>
      </c>
      <c r="J60" s="650">
        <v>1</v>
      </c>
      <c r="K60" s="651"/>
      <c r="L60" s="651">
        <v>43465</v>
      </c>
      <c r="M60" s="651" t="s">
        <v>1523</v>
      </c>
      <c r="N60" s="650" t="str">
        <f t="shared" si="5"/>
        <v>118y 32m 655d</v>
      </c>
      <c r="O60" s="637" t="s">
        <v>408</v>
      </c>
      <c r="P60" s="637"/>
      <c r="Q60" s="663" t="s">
        <v>1550</v>
      </c>
      <c r="R60" s="663" t="s">
        <v>1526</v>
      </c>
      <c r="S60" s="35">
        <v>9478</v>
      </c>
      <c r="T60" s="664" t="s">
        <v>1708</v>
      </c>
      <c r="U60" s="665"/>
      <c r="V60" s="665"/>
      <c r="W60"/>
      <c r="X60"/>
      <c r="Y60"/>
      <c r="Z60"/>
    </row>
    <row r="61" spans="1:26" ht="19.5" customHeight="1">
      <c r="A61" s="649">
        <f>+A60+1</f>
        <v>37</v>
      </c>
      <c r="B61" s="637" t="s">
        <v>1709</v>
      </c>
      <c r="C61" s="637" t="s">
        <v>1710</v>
      </c>
      <c r="D61" s="650" t="s">
        <v>54</v>
      </c>
      <c r="E61" s="651">
        <v>28527</v>
      </c>
      <c r="F61" s="650">
        <f t="shared" ca="1" si="6"/>
        <v>48</v>
      </c>
      <c r="G61" s="650" t="s">
        <v>62</v>
      </c>
      <c r="H61" s="637"/>
      <c r="I61" s="650" t="s">
        <v>1522</v>
      </c>
      <c r="J61" s="650">
        <v>2</v>
      </c>
      <c r="K61" s="651">
        <v>43412</v>
      </c>
      <c r="L61" s="651">
        <v>43465</v>
      </c>
      <c r="M61" s="651" t="s">
        <v>1523</v>
      </c>
      <c r="N61" s="650" t="str">
        <f t="shared" si="5"/>
        <v>0y 1m 23d</v>
      </c>
      <c r="O61" s="637" t="s">
        <v>1531</v>
      </c>
      <c r="P61" s="637" t="s">
        <v>1711</v>
      </c>
      <c r="Q61" s="663" t="s">
        <v>1712</v>
      </c>
      <c r="R61" s="663" t="s">
        <v>1526</v>
      </c>
      <c r="S61" s="35" t="s">
        <v>1713</v>
      </c>
      <c r="T61" s="664" t="s">
        <v>1714</v>
      </c>
      <c r="U61" s="664"/>
      <c r="V61" s="665"/>
      <c r="W61"/>
      <c r="X61"/>
      <c r="Y61"/>
      <c r="Z61"/>
    </row>
    <row r="62" spans="1:26" ht="19.5" customHeight="1">
      <c r="A62" s="649">
        <f>+A61+1</f>
        <v>38</v>
      </c>
      <c r="B62" s="637" t="s">
        <v>1715</v>
      </c>
      <c r="C62" s="637" t="s">
        <v>1716</v>
      </c>
      <c r="D62" s="650" t="s">
        <v>115</v>
      </c>
      <c r="E62" s="651">
        <v>35154</v>
      </c>
      <c r="F62" s="650">
        <f t="shared" ca="1" si="6"/>
        <v>29</v>
      </c>
      <c r="G62" s="650" t="s">
        <v>62</v>
      </c>
      <c r="H62" s="637"/>
      <c r="I62" s="650" t="s">
        <v>1522</v>
      </c>
      <c r="J62" s="650">
        <v>1</v>
      </c>
      <c r="K62" s="651">
        <v>43116</v>
      </c>
      <c r="L62" s="651">
        <v>43465</v>
      </c>
      <c r="M62" s="651" t="s">
        <v>1523</v>
      </c>
      <c r="N62" s="650" t="str">
        <f t="shared" si="5"/>
        <v>0y 11m 19d</v>
      </c>
      <c r="O62" s="637" t="s">
        <v>1531</v>
      </c>
      <c r="P62" s="637" t="s">
        <v>1524</v>
      </c>
      <c r="Q62" s="663" t="s">
        <v>1700</v>
      </c>
      <c r="R62" s="663" t="s">
        <v>1526</v>
      </c>
      <c r="S62" s="35">
        <v>11658</v>
      </c>
      <c r="T62" s="664" t="s">
        <v>1717</v>
      </c>
      <c r="U62" s="665"/>
      <c r="V62" s="665"/>
      <c r="W62"/>
      <c r="X62"/>
      <c r="Y62"/>
      <c r="Z62"/>
    </row>
    <row r="63" spans="1:26" ht="19.5" customHeight="1">
      <c r="A63" s="649">
        <v>26</v>
      </c>
      <c r="B63" s="637" t="s">
        <v>1718</v>
      </c>
      <c r="C63" s="637" t="s">
        <v>1719</v>
      </c>
      <c r="D63" s="650" t="s">
        <v>1037</v>
      </c>
      <c r="E63" s="651">
        <v>29283</v>
      </c>
      <c r="F63" s="650">
        <v>37</v>
      </c>
      <c r="G63" s="650" t="s">
        <v>62</v>
      </c>
      <c r="H63" s="637" t="s">
        <v>1521</v>
      </c>
      <c r="I63" s="650" t="s">
        <v>1522</v>
      </c>
      <c r="J63" s="650">
        <v>1</v>
      </c>
      <c r="K63" s="651">
        <v>43103</v>
      </c>
      <c r="L63" s="651">
        <v>43465</v>
      </c>
      <c r="M63" s="651" t="s">
        <v>1523</v>
      </c>
      <c r="N63" s="650" t="str">
        <f t="shared" si="5"/>
        <v>0y 11m 32d</v>
      </c>
      <c r="O63" s="637" t="s">
        <v>1531</v>
      </c>
      <c r="P63" s="637" t="s">
        <v>1549</v>
      </c>
      <c r="Q63" s="663" t="s">
        <v>1550</v>
      </c>
      <c r="R63" s="663" t="s">
        <v>1526</v>
      </c>
      <c r="S63" s="35">
        <v>10883</v>
      </c>
      <c r="T63" s="664" t="s">
        <v>1720</v>
      </c>
      <c r="U63" s="665">
        <v>42870</v>
      </c>
      <c r="V63" s="665" t="s">
        <v>1721</v>
      </c>
      <c r="W63"/>
      <c r="X63"/>
      <c r="Y63"/>
      <c r="Z63"/>
    </row>
    <row r="64" spans="1:26" s="639" customFormat="1" ht="19.5" customHeight="1">
      <c r="A64" s="625">
        <v>4</v>
      </c>
      <c r="B64" s="652" t="s">
        <v>1722</v>
      </c>
      <c r="C64" s="652" t="s">
        <v>1335</v>
      </c>
      <c r="D64" s="625" t="s">
        <v>60</v>
      </c>
      <c r="E64" s="653">
        <v>25553</v>
      </c>
      <c r="F64" s="654">
        <f ca="1">DATEDIF(E64,TODAY(),"Y")</f>
        <v>56</v>
      </c>
      <c r="G64" s="625" t="s">
        <v>62</v>
      </c>
      <c r="H64" s="636" t="s">
        <v>1521</v>
      </c>
      <c r="I64" s="654" t="s">
        <v>1723</v>
      </c>
      <c r="J64" s="654">
        <v>1</v>
      </c>
      <c r="K64" s="657">
        <v>43101</v>
      </c>
      <c r="L64" s="657">
        <v>43281</v>
      </c>
      <c r="M64" s="652"/>
      <c r="N64" s="625" t="str">
        <f>CONCATENATE(DATEDIF(K64,L64,"Y"),"y",DATEDIF(K64+(360*(DATEDIF(K64,L64,"Y"))),L64,"M"),"m ",DATEDIF(K64+(30*(DATEDIF(K64,L64,"M"))),L64,"D"),"d")</f>
        <v>0y5m 30d</v>
      </c>
      <c r="O64" s="652" t="s">
        <v>408</v>
      </c>
      <c r="P64" s="652" t="s">
        <v>1724</v>
      </c>
      <c r="Q64" s="636" t="s">
        <v>1550</v>
      </c>
      <c r="R64" s="652"/>
      <c r="S64" s="666">
        <v>9981</v>
      </c>
      <c r="T64" s="667" t="s">
        <v>1725</v>
      </c>
      <c r="U64" s="668"/>
      <c r="X64" s="669"/>
      <c r="Y64" s="669"/>
    </row>
    <row r="65" spans="1:28" s="639" customFormat="1" ht="19.5" customHeight="1">
      <c r="A65" s="625">
        <v>12</v>
      </c>
      <c r="B65" s="652" t="s">
        <v>1726</v>
      </c>
      <c r="C65" s="652" t="s">
        <v>1727</v>
      </c>
      <c r="D65" s="625" t="s">
        <v>177</v>
      </c>
      <c r="E65" s="670">
        <v>30163</v>
      </c>
      <c r="F65" s="671">
        <f ca="1">DATEDIF(E65,TODAY(),"Y")</f>
        <v>43</v>
      </c>
      <c r="G65" s="625" t="s">
        <v>62</v>
      </c>
      <c r="H65" s="636" t="s">
        <v>1521</v>
      </c>
      <c r="I65" s="654" t="s">
        <v>1723</v>
      </c>
      <c r="J65" s="654">
        <v>1</v>
      </c>
      <c r="K65" s="670">
        <v>43105</v>
      </c>
      <c r="L65" s="670">
        <v>43281</v>
      </c>
      <c r="M65" s="652"/>
      <c r="N65" s="625" t="str">
        <f>CONCATENATE(DATEDIF(K65,L65,"Y"),"y",DATEDIF(K65+(360*(DATEDIF(K65,L65,"Y"))),L65,"M"),"m ",DATEDIF(K65+(30*(DATEDIF(K65,L65,"M"))),L65,"D"),"d")</f>
        <v>0y5m 26d</v>
      </c>
      <c r="O65" s="652"/>
      <c r="P65" s="652" t="s">
        <v>1524</v>
      </c>
      <c r="Q65" s="652" t="s">
        <v>1525</v>
      </c>
      <c r="R65" s="652"/>
      <c r="S65" s="666">
        <v>11837</v>
      </c>
      <c r="T65" s="664" t="s">
        <v>1728</v>
      </c>
      <c r="U65" s="652"/>
      <c r="V65" s="652"/>
      <c r="W65" s="652"/>
      <c r="X65" s="654"/>
      <c r="Y65" s="654"/>
      <c r="Z65" s="652"/>
      <c r="AA65" s="652"/>
      <c r="AB65" s="710"/>
    </row>
    <row r="66" spans="1:28" s="639" customFormat="1" ht="19.5" customHeight="1">
      <c r="A66" s="625">
        <v>21</v>
      </c>
      <c r="B66" s="636" t="s">
        <v>1729</v>
      </c>
      <c r="C66" s="636" t="s">
        <v>1730</v>
      </c>
      <c r="D66" s="625" t="s">
        <v>54</v>
      </c>
      <c r="E66" s="672">
        <v>28527</v>
      </c>
      <c r="F66" s="625">
        <f ca="1">DATEDIF(E66,TODAY(),"Y")</f>
        <v>48</v>
      </c>
      <c r="G66" s="625" t="s">
        <v>62</v>
      </c>
      <c r="H66" s="636" t="s">
        <v>1731</v>
      </c>
      <c r="I66" s="625" t="s">
        <v>1723</v>
      </c>
      <c r="J66" s="625">
        <v>2</v>
      </c>
      <c r="K66" s="672">
        <v>43105</v>
      </c>
      <c r="L66" s="672">
        <v>43281</v>
      </c>
      <c r="M66" s="672"/>
      <c r="N66" s="625" t="str">
        <f>CONCATENATE(DATEDIF(K66,L66,"Y"),"y ",DATEDIF(K66+(360*(DATEDIF(K66,L66,"Y"))),L66,"M"),"m ",DATEDIF(K66+(30*(DATEDIF(K66,L66,"M"))),L66,"D"),"d")</f>
        <v>0y 5m 26d</v>
      </c>
      <c r="O66" s="636"/>
      <c r="P66" s="636" t="s">
        <v>1532</v>
      </c>
      <c r="Q66" s="636" t="s">
        <v>1732</v>
      </c>
      <c r="R66" s="636"/>
      <c r="S66" s="692">
        <v>58310</v>
      </c>
      <c r="T66" s="625" t="s">
        <v>1714</v>
      </c>
      <c r="U66" s="652"/>
      <c r="V66" s="652"/>
      <c r="W66" s="652"/>
      <c r="X66" s="654"/>
      <c r="Y66" s="654"/>
      <c r="Z66" s="652"/>
      <c r="AA66" s="652"/>
      <c r="AB66" s="710"/>
    </row>
    <row r="67" spans="1:28" s="640" customFormat="1" ht="19.5" customHeight="1">
      <c r="A67" s="625">
        <v>44</v>
      </c>
      <c r="B67" s="627" t="s">
        <v>1733</v>
      </c>
      <c r="C67" s="627" t="s">
        <v>1734</v>
      </c>
      <c r="D67" s="628" t="s">
        <v>72</v>
      </c>
      <c r="E67" s="630">
        <v>33760</v>
      </c>
      <c r="F67" s="626">
        <f t="shared" ref="F67:F68" ca="1" si="8">DATEDIF(E67,TODAY(),"Y")</f>
        <v>33</v>
      </c>
      <c r="G67" s="628" t="s">
        <v>62</v>
      </c>
      <c r="H67" s="627"/>
      <c r="I67" s="628" t="s">
        <v>1723</v>
      </c>
      <c r="J67" s="628">
        <v>1</v>
      </c>
      <c r="K67" s="629">
        <v>43193</v>
      </c>
      <c r="L67" s="629">
        <v>43371</v>
      </c>
      <c r="M67" s="629"/>
      <c r="N67" s="628" t="str">
        <f>CONCATENATE(DATEDIF(K67,L67,"Y"),"y ",DATEDIF(K67+(360*(DATEDIF(K67,L67,"Y"))),L67,"M"),"m ",DATEDIF(K67+(30*(DATEDIF(K67,L67,"M"))),L67,"D"),"d")</f>
        <v>0y 5m 28d</v>
      </c>
      <c r="O67" s="627"/>
      <c r="P67" s="627" t="s">
        <v>1724</v>
      </c>
      <c r="Q67" s="627" t="s">
        <v>1550</v>
      </c>
      <c r="R67" s="627"/>
      <c r="S67" s="635">
        <v>9981</v>
      </c>
      <c r="T67" s="628" t="s">
        <v>1735</v>
      </c>
      <c r="U67" s="693"/>
      <c r="V67" s="694"/>
      <c r="W67" s="694"/>
      <c r="X67" s="695"/>
      <c r="Y67" s="695"/>
      <c r="Z67" s="694"/>
      <c r="AA67" s="694"/>
      <c r="AB67" s="711"/>
    </row>
    <row r="68" spans="1:28" s="639" customFormat="1" ht="19.5" customHeight="1">
      <c r="A68" s="625">
        <v>50</v>
      </c>
      <c r="B68" s="631" t="s">
        <v>1736</v>
      </c>
      <c r="C68" s="631" t="s">
        <v>1737</v>
      </c>
      <c r="D68" s="632" t="s">
        <v>122</v>
      </c>
      <c r="E68" s="633">
        <v>22960</v>
      </c>
      <c r="F68" s="632">
        <f t="shared" ca="1" si="8"/>
        <v>63</v>
      </c>
      <c r="G68" s="632" t="s">
        <v>100</v>
      </c>
      <c r="H68" s="631" t="s">
        <v>1521</v>
      </c>
      <c r="I68" s="632" t="s">
        <v>1723</v>
      </c>
      <c r="J68" s="632">
        <v>1</v>
      </c>
      <c r="K68" s="634">
        <v>43160</v>
      </c>
      <c r="L68" s="634">
        <v>43281</v>
      </c>
      <c r="M68" s="634"/>
      <c r="N68" s="632" t="str">
        <f>CONCATENATE(DATEDIF(K68,L68,"Y"),"y ",DATEDIF(K68+(360*(DATEDIF(K68,L68,"Y"))),L68,"M"),"m ",DATEDIF(K68+(30*(DATEDIF(K68,L68,"M"))),L68,"D"),"d")</f>
        <v>0y 3m 31d</v>
      </c>
      <c r="O68" s="631"/>
      <c r="P68" s="631" t="s">
        <v>1724</v>
      </c>
      <c r="Q68" s="631" t="s">
        <v>1550</v>
      </c>
      <c r="R68" s="631"/>
      <c r="S68" s="635">
        <v>9981</v>
      </c>
      <c r="T68" s="628" t="s">
        <v>1738</v>
      </c>
      <c r="U68" s="652"/>
      <c r="V68" s="652"/>
      <c r="W68" s="652"/>
      <c r="X68" s="695"/>
      <c r="Y68" s="695"/>
      <c r="Z68" s="694"/>
      <c r="AA68" s="694"/>
      <c r="AB68" s="711"/>
    </row>
    <row r="69" spans="1:28" ht="19.5" customHeight="1">
      <c r="A69" s="665" t="s">
        <v>1739</v>
      </c>
      <c r="B69"/>
      <c r="C69"/>
      <c r="D69"/>
      <c r="E69"/>
      <c r="F69" s="642"/>
      <c r="G69"/>
      <c r="H69"/>
      <c r="I69" s="642"/>
      <c r="J69" s="642"/>
      <c r="K69" s="642"/>
      <c r="L69" s="642"/>
      <c r="M69" s="642"/>
      <c r="N69"/>
      <c r="O69"/>
      <c r="P69"/>
      <c r="Q69"/>
      <c r="R69"/>
      <c r="S69"/>
      <c r="T69" s="658"/>
      <c r="U69"/>
      <c r="V69"/>
      <c r="W69"/>
      <c r="X69"/>
      <c r="Y69"/>
      <c r="Z69"/>
    </row>
    <row r="70" spans="1:28" ht="19.5" customHeight="1">
      <c r="A70"/>
      <c r="B70"/>
      <c r="C70"/>
      <c r="D70"/>
      <c r="E70" s="673" t="s">
        <v>1740</v>
      </c>
      <c r="F70" s="673" t="s">
        <v>62</v>
      </c>
      <c r="G70" s="673">
        <f>COUNTIF(sexjo,"M")</f>
        <v>36</v>
      </c>
      <c r="H70" s="674">
        <f>SUM(G70:G71)</f>
        <v>54</v>
      </c>
      <c r="I70"/>
      <c r="J70"/>
      <c r="K70"/>
      <c r="L70"/>
      <c r="M70"/>
      <c r="N70"/>
      <c r="O70"/>
      <c r="P70"/>
      <c r="Q70"/>
      <c r="R70"/>
      <c r="S70" t="s">
        <v>1741</v>
      </c>
      <c r="T70" s="658"/>
      <c r="U70"/>
      <c r="V70"/>
      <c r="W70"/>
      <c r="X70"/>
      <c r="Y70"/>
      <c r="Z70"/>
    </row>
    <row r="71" spans="1:28" ht="19.5" customHeight="1">
      <c r="A71"/>
      <c r="B71"/>
      <c r="C71"/>
      <c r="D71"/>
      <c r="E71" s="673"/>
      <c r="F71" s="673" t="s">
        <v>100</v>
      </c>
      <c r="G71" s="673">
        <f>COUNTIF(sexjo,"f")</f>
        <v>18</v>
      </c>
      <c r="H71" s="674"/>
      <c r="I71"/>
      <c r="J71"/>
      <c r="K71"/>
      <c r="L71"/>
      <c r="M71"/>
      <c r="N71"/>
      <c r="O71"/>
      <c r="P71"/>
      <c r="Q71"/>
      <c r="R71"/>
      <c r="S71"/>
      <c r="T71" s="658"/>
      <c r="U71"/>
      <c r="V71"/>
      <c r="W71"/>
      <c r="X71"/>
      <c r="Y71"/>
      <c r="Z71"/>
    </row>
    <row r="72" spans="1:28" ht="19.5" customHeight="1">
      <c r="A72" s="675" t="s">
        <v>1383</v>
      </c>
      <c r="B72"/>
      <c r="C72"/>
      <c r="D72"/>
      <c r="E72" s="673" t="s">
        <v>1742</v>
      </c>
      <c r="F72" s="673" t="s">
        <v>62</v>
      </c>
      <c r="G72" s="673">
        <f>COUNTIFS(sexjo,F72,leveljo,2)</f>
        <v>17</v>
      </c>
      <c r="H72" s="674">
        <f>SUM(G72:G75)</f>
        <v>54</v>
      </c>
      <c r="I72" s="675"/>
      <c r="J72" s="675"/>
      <c r="K72" s="675"/>
      <c r="L72" s="675"/>
      <c r="M72" s="675"/>
      <c r="N72"/>
      <c r="O72"/>
      <c r="P72"/>
      <c r="Q72"/>
      <c r="R72"/>
      <c r="S72"/>
      <c r="T72" s="658"/>
      <c r="U72"/>
      <c r="V72"/>
      <c r="W72"/>
      <c r="X72"/>
      <c r="Y72"/>
      <c r="Z72"/>
    </row>
    <row r="73" spans="1:28" ht="19.5" customHeight="1">
      <c r="A73" s="665" t="s">
        <v>1743</v>
      </c>
      <c r="B73"/>
      <c r="C73"/>
      <c r="D73"/>
      <c r="E73" s="673"/>
      <c r="F73" s="673" t="s">
        <v>100</v>
      </c>
      <c r="G73" s="673">
        <f>COUNTIFS(sexjo,F73,leveljo,2)</f>
        <v>12</v>
      </c>
      <c r="H73" s="674"/>
      <c r="I73"/>
      <c r="J73"/>
      <c r="K73"/>
      <c r="L73"/>
      <c r="M73"/>
      <c r="N73"/>
      <c r="O73"/>
      <c r="P73"/>
      <c r="Q73"/>
      <c r="R73"/>
      <c r="S73"/>
      <c r="T73" s="658"/>
      <c r="U73"/>
      <c r="V73"/>
      <c r="W73"/>
      <c r="X73"/>
      <c r="Y73"/>
      <c r="Z73"/>
    </row>
    <row r="74" spans="1:28" ht="19.5" customHeight="1">
      <c r="A74"/>
      <c r="B74"/>
      <c r="C74"/>
      <c r="D74"/>
      <c r="E74" s="673" t="s">
        <v>1744</v>
      </c>
      <c r="F74" s="673" t="s">
        <v>62</v>
      </c>
      <c r="G74" s="673">
        <f>COUNTIFS(sexjo,F74,leveljo,1)</f>
        <v>19</v>
      </c>
      <c r="H74" s="674"/>
      <c r="I74"/>
      <c r="J74"/>
      <c r="K74"/>
      <c r="L74"/>
      <c r="M74"/>
      <c r="N74"/>
      <c r="O74"/>
      <c r="P74"/>
      <c r="Q74"/>
      <c r="R74"/>
      <c r="S74"/>
      <c r="T74" s="658"/>
      <c r="U74"/>
      <c r="V74"/>
      <c r="W74"/>
      <c r="X74"/>
      <c r="Y74"/>
      <c r="Z74"/>
    </row>
    <row r="75" spans="1:28" ht="19.5" customHeight="1">
      <c r="A75"/>
      <c r="B75"/>
      <c r="C75"/>
      <c r="D75"/>
      <c r="E75" s="673"/>
      <c r="F75" s="673" t="s">
        <v>100</v>
      </c>
      <c r="G75" s="673">
        <f>COUNTIFS(sexjo,F75,leveljo,1)</f>
        <v>6</v>
      </c>
      <c r="H75" s="674"/>
      <c r="I75"/>
      <c r="J75"/>
      <c r="K75"/>
      <c r="L75"/>
      <c r="M75"/>
      <c r="N75"/>
      <c r="O75"/>
      <c r="P75"/>
      <c r="Q75"/>
      <c r="R75"/>
      <c r="S75"/>
      <c r="T75" s="658"/>
      <c r="U75"/>
      <c r="V75"/>
      <c r="W75"/>
      <c r="X75"/>
      <c r="Y75"/>
      <c r="Z75"/>
    </row>
    <row r="76" spans="1:28" ht="19.5" customHeight="1">
      <c r="A76"/>
      <c r="B76"/>
      <c r="C76"/>
      <c r="D76"/>
      <c r="E76"/>
      <c r="F76"/>
      <c r="G76"/>
      <c r="H76"/>
      <c r="I76"/>
      <c r="J76"/>
      <c r="K76"/>
      <c r="L76"/>
      <c r="M76"/>
      <c r="N76"/>
      <c r="O76"/>
      <c r="P76"/>
      <c r="Q76"/>
      <c r="R76"/>
      <c r="S76"/>
      <c r="T76" s="658"/>
      <c r="U76"/>
      <c r="V76"/>
      <c r="W76"/>
      <c r="X76"/>
      <c r="Y76"/>
      <c r="Z76"/>
    </row>
    <row r="77" spans="1:28" ht="19.5" customHeight="1">
      <c r="A77"/>
      <c r="B77"/>
      <c r="C77"/>
      <c r="D77"/>
      <c r="E77"/>
      <c r="F77"/>
      <c r="G77"/>
      <c r="H77"/>
      <c r="I77"/>
      <c r="J77"/>
      <c r="K77"/>
      <c r="L77"/>
      <c r="M77"/>
      <c r="N77"/>
      <c r="O77"/>
      <c r="P77"/>
      <c r="Q77"/>
      <c r="R77"/>
      <c r="S77"/>
      <c r="T77" s="658"/>
      <c r="U77"/>
      <c r="V77"/>
      <c r="W77"/>
      <c r="X77"/>
      <c r="Y77"/>
      <c r="Z77"/>
    </row>
    <row r="78" spans="1:28" ht="19.5" customHeight="1">
      <c r="A78"/>
      <c r="B78"/>
      <c r="C78"/>
      <c r="D78"/>
      <c r="E78"/>
      <c r="F78"/>
      <c r="G78"/>
      <c r="H78"/>
      <c r="I78"/>
      <c r="J78"/>
      <c r="K78"/>
      <c r="L78"/>
      <c r="M78"/>
      <c r="N78"/>
      <c r="O78"/>
      <c r="P78"/>
      <c r="Q78"/>
      <c r="R78"/>
      <c r="S78"/>
      <c r="T78" s="658"/>
      <c r="U78"/>
      <c r="V78"/>
      <c r="W78"/>
      <c r="X78"/>
      <c r="Y78"/>
      <c r="Z78"/>
    </row>
    <row r="79" spans="1:28" ht="19.5" customHeight="1">
      <c r="A79"/>
      <c r="B79"/>
      <c r="C79"/>
      <c r="D79"/>
      <c r="E79"/>
      <c r="F79"/>
      <c r="G79"/>
      <c r="H79"/>
      <c r="I79"/>
      <c r="J79"/>
      <c r="K79"/>
      <c r="L79"/>
      <c r="M79"/>
      <c r="N79"/>
      <c r="O79"/>
      <c r="P79"/>
      <c r="Q79"/>
      <c r="R79"/>
      <c r="S79"/>
      <c r="T79" s="658"/>
      <c r="U79"/>
      <c r="V79"/>
      <c r="W79"/>
      <c r="X79"/>
      <c r="Y79"/>
      <c r="Z79"/>
    </row>
    <row r="80" spans="1:28" ht="19.5" customHeight="1">
      <c r="A80"/>
      <c r="B80"/>
      <c r="C80"/>
      <c r="D80"/>
      <c r="E80"/>
      <c r="F80"/>
      <c r="G80"/>
      <c r="H80"/>
      <c r="I80"/>
      <c r="J80"/>
      <c r="K80"/>
      <c r="L80"/>
      <c r="M80"/>
      <c r="N80"/>
      <c r="O80"/>
      <c r="P80"/>
      <c r="Q80"/>
      <c r="R80"/>
      <c r="S80"/>
      <c r="T80" s="658"/>
      <c r="U80"/>
      <c r="V80"/>
      <c r="W80"/>
      <c r="X80"/>
      <c r="Y80"/>
      <c r="Z80"/>
    </row>
    <row r="81" spans="1:26" ht="19.5" customHeight="1">
      <c r="A81"/>
      <c r="B81"/>
      <c r="C81"/>
      <c r="D81"/>
      <c r="E81"/>
      <c r="F81"/>
      <c r="G81"/>
      <c r="H81"/>
      <c r="I81"/>
      <c r="J81"/>
      <c r="K81"/>
      <c r="L81"/>
      <c r="M81"/>
      <c r="N81"/>
      <c r="O81"/>
      <c r="P81"/>
      <c r="Q81"/>
      <c r="R81"/>
      <c r="S81"/>
      <c r="T81" s="696" t="s">
        <v>1745</v>
      </c>
      <c r="U81"/>
      <c r="V81"/>
      <c r="W81"/>
      <c r="X81"/>
      <c r="Y81"/>
      <c r="Z81"/>
    </row>
    <row r="82" spans="1:26" ht="19.5" customHeight="1">
      <c r="A82" s="649">
        <v>9</v>
      </c>
      <c r="B82" s="676" t="s">
        <v>1746</v>
      </c>
      <c r="C82" s="676" t="s">
        <v>1747</v>
      </c>
      <c r="D82" s="677" t="s">
        <v>64</v>
      </c>
      <c r="E82" s="678">
        <v>27125</v>
      </c>
      <c r="F82" s="679">
        <v>42</v>
      </c>
      <c r="G82" s="677" t="s">
        <v>62</v>
      </c>
      <c r="H82" s="680" t="s">
        <v>1530</v>
      </c>
      <c r="I82" s="677" t="s">
        <v>1723</v>
      </c>
      <c r="J82" s="677"/>
      <c r="K82" s="678">
        <v>41932</v>
      </c>
      <c r="L82" s="678">
        <v>42719</v>
      </c>
      <c r="M82" s="678"/>
      <c r="N82" s="677" t="s">
        <v>1748</v>
      </c>
      <c r="O82" s="688" t="s">
        <v>408</v>
      </c>
      <c r="P82" s="676" t="s">
        <v>1532</v>
      </c>
      <c r="Q82" s="697" t="s">
        <v>1533</v>
      </c>
      <c r="R82" s="698"/>
      <c r="S82" s="698"/>
      <c r="T82" s="699"/>
      <c r="U82" s="655">
        <v>42735</v>
      </c>
      <c r="V82" s="665" t="s">
        <v>1749</v>
      </c>
      <c r="W82"/>
      <c r="X82"/>
      <c r="Y82"/>
      <c r="Z82"/>
    </row>
    <row r="83" spans="1:26" ht="19.5" customHeight="1">
      <c r="A83" s="649">
        <v>15</v>
      </c>
      <c r="B83" s="676" t="s">
        <v>1750</v>
      </c>
      <c r="C83" s="676" t="s">
        <v>1751</v>
      </c>
      <c r="D83" s="677" t="s">
        <v>115</v>
      </c>
      <c r="E83" s="678">
        <v>34145</v>
      </c>
      <c r="F83" s="679">
        <v>23</v>
      </c>
      <c r="G83" s="677" t="s">
        <v>62</v>
      </c>
      <c r="H83" s="680" t="s">
        <v>1645</v>
      </c>
      <c r="I83" s="677" t="s">
        <v>1723</v>
      </c>
      <c r="J83" s="677"/>
      <c r="K83" s="678">
        <v>42536</v>
      </c>
      <c r="L83" s="678">
        <v>42719</v>
      </c>
      <c r="M83" s="678"/>
      <c r="N83" s="677" t="s">
        <v>1752</v>
      </c>
      <c r="O83" s="688" t="s">
        <v>181</v>
      </c>
      <c r="P83" s="676" t="s">
        <v>1582</v>
      </c>
      <c r="Q83" s="697" t="s">
        <v>1583</v>
      </c>
      <c r="R83" s="698"/>
      <c r="S83" s="698"/>
      <c r="T83" s="699"/>
      <c r="U83" s="655">
        <v>42735</v>
      </c>
      <c r="V83" s="665" t="s">
        <v>1749</v>
      </c>
      <c r="W83"/>
      <c r="X83"/>
      <c r="Y83"/>
      <c r="Z83"/>
    </row>
    <row r="84" spans="1:26" ht="19.5" customHeight="1">
      <c r="A84" s="649">
        <v>21</v>
      </c>
      <c r="B84" s="676" t="s">
        <v>1753</v>
      </c>
      <c r="C84" s="676" t="s">
        <v>1754</v>
      </c>
      <c r="D84" s="677" t="s">
        <v>122</v>
      </c>
      <c r="E84" s="678">
        <v>25536</v>
      </c>
      <c r="F84" s="679">
        <v>47</v>
      </c>
      <c r="G84" s="677" t="s">
        <v>62</v>
      </c>
      <c r="H84" s="680" t="s">
        <v>1521</v>
      </c>
      <c r="I84" s="677" t="s">
        <v>1723</v>
      </c>
      <c r="J84" s="677"/>
      <c r="K84" s="678">
        <v>42401</v>
      </c>
      <c r="L84" s="678">
        <v>42719</v>
      </c>
      <c r="M84" s="678"/>
      <c r="N84" s="677" t="s">
        <v>1755</v>
      </c>
      <c r="O84" s="688" t="s">
        <v>1531</v>
      </c>
      <c r="P84" s="676" t="s">
        <v>1549</v>
      </c>
      <c r="Q84" s="697" t="s">
        <v>1756</v>
      </c>
      <c r="R84" s="698"/>
      <c r="S84" s="698"/>
      <c r="T84" s="699"/>
      <c r="U84" s="655">
        <v>42735</v>
      </c>
      <c r="V84" s="665" t="s">
        <v>1757</v>
      </c>
      <c r="W84"/>
      <c r="X84"/>
      <c r="Y84"/>
      <c r="Z84"/>
    </row>
    <row r="85" spans="1:26" ht="19.5" customHeight="1">
      <c r="A85" s="649">
        <v>25</v>
      </c>
      <c r="B85" s="676" t="s">
        <v>1758</v>
      </c>
      <c r="C85" s="676" t="s">
        <v>1759</v>
      </c>
      <c r="D85" s="677" t="s">
        <v>77</v>
      </c>
      <c r="E85" s="678">
        <v>34347</v>
      </c>
      <c r="F85" s="679">
        <v>23</v>
      </c>
      <c r="G85" s="677" t="s">
        <v>62</v>
      </c>
      <c r="H85" s="680" t="s">
        <v>1521</v>
      </c>
      <c r="I85" s="677" t="s">
        <v>1723</v>
      </c>
      <c r="J85" s="677"/>
      <c r="K85" s="678">
        <v>41518</v>
      </c>
      <c r="L85" s="678">
        <v>42719</v>
      </c>
      <c r="M85" s="678"/>
      <c r="N85" s="677" t="s">
        <v>1760</v>
      </c>
      <c r="O85" s="688" t="s">
        <v>1531</v>
      </c>
      <c r="P85" s="676" t="s">
        <v>1549</v>
      </c>
      <c r="Q85" s="697" t="s">
        <v>1550</v>
      </c>
      <c r="R85" s="698"/>
      <c r="S85" s="698"/>
      <c r="T85" s="699"/>
      <c r="U85" s="655">
        <v>42735</v>
      </c>
      <c r="V85" s="665" t="s">
        <v>1757</v>
      </c>
      <c r="W85"/>
      <c r="X85"/>
      <c r="Y85"/>
      <c r="Z85"/>
    </row>
    <row r="86" spans="1:26" ht="19.5" customHeight="1">
      <c r="A86" s="649">
        <v>19</v>
      </c>
      <c r="B86" s="676" t="s">
        <v>1761</v>
      </c>
      <c r="C86" s="676" t="s">
        <v>1762</v>
      </c>
      <c r="D86" s="677" t="s">
        <v>81</v>
      </c>
      <c r="E86" s="678">
        <v>32954</v>
      </c>
      <c r="F86" s="679">
        <f t="shared" ref="F86:F94" ca="1" si="9">DATEDIF(E86,TODAY(),"Y")</f>
        <v>36</v>
      </c>
      <c r="G86" s="677" t="s">
        <v>100</v>
      </c>
      <c r="H86" s="680" t="s">
        <v>1635</v>
      </c>
      <c r="I86" s="677" t="s">
        <v>1723</v>
      </c>
      <c r="J86" s="677">
        <v>2</v>
      </c>
      <c r="K86" s="678">
        <v>42125</v>
      </c>
      <c r="L86" s="678">
        <v>42719</v>
      </c>
      <c r="M86" s="678">
        <v>42736</v>
      </c>
      <c r="N86" s="677" t="str">
        <f>CONCATENATE(DATEDIF(K86,L86,"Y"),"y ",DATEDIF(K86+(360*(DATEDIF(K86,L86,"Y"))),L86,"M"),"m ",DATEDIF(K86+(30*(DATEDIF(K86,L86,"M"))),L86,"D"),"d")</f>
        <v>1y 7m 24d</v>
      </c>
      <c r="O86" s="688" t="s">
        <v>1531</v>
      </c>
      <c r="P86" s="676" t="s">
        <v>1524</v>
      </c>
      <c r="Q86" s="697" t="s">
        <v>1636</v>
      </c>
      <c r="R86" s="698"/>
      <c r="S86" s="698"/>
      <c r="T86" s="699"/>
      <c r="U86" s="655">
        <v>42800</v>
      </c>
      <c r="V86"/>
      <c r="W86"/>
      <c r="X86"/>
      <c r="Y86"/>
      <c r="Z86"/>
    </row>
    <row r="87" spans="1:26" ht="19.5" customHeight="1">
      <c r="A87" s="649">
        <v>22</v>
      </c>
      <c r="B87" s="680" t="s">
        <v>1763</v>
      </c>
      <c r="C87" s="680" t="s">
        <v>1764</v>
      </c>
      <c r="D87" s="677" t="s">
        <v>72</v>
      </c>
      <c r="E87" s="678">
        <v>31172</v>
      </c>
      <c r="F87" s="679">
        <f t="shared" ca="1" si="9"/>
        <v>40</v>
      </c>
      <c r="G87" s="677" t="s">
        <v>100</v>
      </c>
      <c r="H87" s="680" t="s">
        <v>1599</v>
      </c>
      <c r="I87" s="677" t="s">
        <v>1723</v>
      </c>
      <c r="J87" s="677">
        <v>1</v>
      </c>
      <c r="K87" s="678">
        <v>42676</v>
      </c>
      <c r="L87" s="678">
        <v>42719</v>
      </c>
      <c r="M87" s="678">
        <v>42736</v>
      </c>
      <c r="N87" s="677" t="str">
        <f>CONCATENATE(DATEDIF(K87,L87,"Y"),"y ",DATEDIF(K87+(360*(DATEDIF(K87,L87,"Y"))),L87,"M"),"m ",DATEDIF(K87+(30*(DATEDIF(K87,L87,"M"))),L87,"D"),"d")</f>
        <v>0y 1m 13d</v>
      </c>
      <c r="O87" s="689" t="s">
        <v>1531</v>
      </c>
      <c r="P87" s="680" t="s">
        <v>1600</v>
      </c>
      <c r="Q87" s="700" t="s">
        <v>1601</v>
      </c>
      <c r="R87" s="701"/>
      <c r="S87" s="701"/>
      <c r="T87" s="699"/>
      <c r="U87" s="655">
        <v>42857</v>
      </c>
      <c r="V87" s="665" t="s">
        <v>1765</v>
      </c>
      <c r="W87"/>
      <c r="X87"/>
      <c r="Y87"/>
      <c r="Z87"/>
    </row>
    <row r="88" spans="1:26" ht="19.5" customHeight="1">
      <c r="A88" s="649">
        <v>30</v>
      </c>
      <c r="B88" s="681" t="s">
        <v>1766</v>
      </c>
      <c r="C88" s="681" t="s">
        <v>1767</v>
      </c>
      <c r="D88" s="682" t="s">
        <v>62</v>
      </c>
      <c r="E88" s="683">
        <v>32614</v>
      </c>
      <c r="F88" s="684">
        <f t="shared" ca="1" si="9"/>
        <v>36</v>
      </c>
      <c r="G88" s="682" t="s">
        <v>62</v>
      </c>
      <c r="H88" s="681" t="s">
        <v>1768</v>
      </c>
      <c r="I88" s="682" t="s">
        <v>1723</v>
      </c>
      <c r="J88" s="682">
        <v>2</v>
      </c>
      <c r="K88" s="683">
        <v>42751</v>
      </c>
      <c r="L88" s="683" t="s">
        <v>1769</v>
      </c>
      <c r="M88" s="683"/>
      <c r="N88" s="682" t="s">
        <v>1770</v>
      </c>
      <c r="O88" s="690" t="s">
        <v>1531</v>
      </c>
      <c r="P88" s="681" t="s">
        <v>1771</v>
      </c>
      <c r="Q88" s="702" t="s">
        <v>1772</v>
      </c>
      <c r="R88" s="702"/>
      <c r="S88" s="702"/>
      <c r="T88" s="703" t="s">
        <v>1773</v>
      </c>
      <c r="U88" s="655">
        <v>42902</v>
      </c>
      <c r="V88" s="665" t="s">
        <v>1749</v>
      </c>
      <c r="W88"/>
      <c r="X88"/>
      <c r="Y88"/>
      <c r="Z88"/>
    </row>
    <row r="89" spans="1:26" ht="14.4">
      <c r="A89" s="649">
        <v>30</v>
      </c>
      <c r="B89" s="637" t="s">
        <v>1758</v>
      </c>
      <c r="C89" s="637" t="s">
        <v>1774</v>
      </c>
      <c r="D89" s="650" t="s">
        <v>72</v>
      </c>
      <c r="E89" s="651">
        <v>27230</v>
      </c>
      <c r="F89" s="650">
        <f t="shared" ca="1" si="9"/>
        <v>51</v>
      </c>
      <c r="G89" s="650" t="s">
        <v>62</v>
      </c>
      <c r="H89" s="637" t="s">
        <v>1521</v>
      </c>
      <c r="I89" s="650" t="s">
        <v>1723</v>
      </c>
      <c r="J89" s="650">
        <v>1</v>
      </c>
      <c r="K89" s="651">
        <v>41649</v>
      </c>
      <c r="L89" s="651">
        <v>42719</v>
      </c>
      <c r="M89" s="651">
        <v>42736</v>
      </c>
      <c r="N89" s="650" t="str">
        <f>CONCATENATE(DATEDIF(K89,L89,"Y"),"y ",DATEDIF(K89+(360*(DATEDIF(K89,L89,"Y"))),L89,"M"),"m ",DATEDIF(K89+(30*(DATEDIF(K89,L89,"M"))),L89,"D"),"d")</f>
        <v>2y 11m 20d</v>
      </c>
      <c r="O89" s="637" t="s">
        <v>1531</v>
      </c>
      <c r="P89" s="637" t="s">
        <v>1524</v>
      </c>
      <c r="Q89" s="663" t="s">
        <v>1525</v>
      </c>
      <c r="R89" s="663"/>
      <c r="S89" s="663"/>
      <c r="T89" s="664" t="s">
        <v>1775</v>
      </c>
      <c r="U89" s="655">
        <v>42891</v>
      </c>
      <c r="V89" s="665" t="s">
        <v>1776</v>
      </c>
      <c r="W89"/>
      <c r="X89"/>
      <c r="Y89"/>
      <c r="Z89"/>
    </row>
    <row r="90" spans="1:26" ht="14.4">
      <c r="A90" s="649">
        <v>15</v>
      </c>
      <c r="B90" s="637" t="s">
        <v>1777</v>
      </c>
      <c r="C90" s="637" t="s">
        <v>1778</v>
      </c>
      <c r="D90" s="650" t="s">
        <v>60</v>
      </c>
      <c r="E90" s="651">
        <v>27143</v>
      </c>
      <c r="F90" s="650">
        <f t="shared" ca="1" si="9"/>
        <v>51</v>
      </c>
      <c r="G90" s="650" t="s">
        <v>100</v>
      </c>
      <c r="H90" s="637" t="s">
        <v>1521</v>
      </c>
      <c r="I90" s="650" t="s">
        <v>1522</v>
      </c>
      <c r="J90" s="650">
        <v>1</v>
      </c>
      <c r="K90" s="651">
        <v>42688</v>
      </c>
      <c r="L90" s="651">
        <v>42932</v>
      </c>
      <c r="M90" s="651">
        <v>42736</v>
      </c>
      <c r="N90" s="650" t="str">
        <f>CONCATENATE(DATEDIF(K90,L90,"Y"),"y ",DATEDIF(K90+(360*(DATEDIF(K90,L90,"Y"))),L90,"M"),"m ",DATEDIF(K90+(30.5*(DATEDIF(K90,L90,"M"))),L90,"D"),"d")</f>
        <v>0y 8m 0d</v>
      </c>
      <c r="O90" s="637" t="s">
        <v>1542</v>
      </c>
      <c r="P90" s="637" t="s">
        <v>1549</v>
      </c>
      <c r="Q90" s="663" t="s">
        <v>1550</v>
      </c>
      <c r="R90" s="663"/>
      <c r="S90" s="35">
        <v>9478</v>
      </c>
      <c r="T90" s="664" t="s">
        <v>1779</v>
      </c>
      <c r="U90" s="704">
        <v>42916</v>
      </c>
      <c r="V90" s="665" t="s">
        <v>1757</v>
      </c>
      <c r="W90"/>
      <c r="X90"/>
      <c r="Y90"/>
      <c r="Z90"/>
    </row>
    <row r="91" spans="1:26" ht="14.4">
      <c r="A91" s="649">
        <v>26</v>
      </c>
      <c r="B91" s="638" t="s">
        <v>1718</v>
      </c>
      <c r="C91" s="638" t="s">
        <v>1719</v>
      </c>
      <c r="D91" s="685" t="s">
        <v>1037</v>
      </c>
      <c r="E91" s="686">
        <v>29283</v>
      </c>
      <c r="F91" s="687">
        <f t="shared" ca="1" si="9"/>
        <v>46</v>
      </c>
      <c r="G91" s="685" t="s">
        <v>62</v>
      </c>
      <c r="H91" s="638" t="s">
        <v>1521</v>
      </c>
      <c r="I91" s="650" t="s">
        <v>1522</v>
      </c>
      <c r="J91" s="685">
        <v>1</v>
      </c>
      <c r="K91" s="686">
        <v>42744</v>
      </c>
      <c r="L91" s="651">
        <v>42932</v>
      </c>
      <c r="M91" s="686"/>
      <c r="N91" s="650" t="str">
        <f>CONCATENATE(DATEDIF(K91,L91,"Y"),"y ",DATEDIF(K91+(360*(DATEDIF(K91,L91,"Y"))),L91,"M"),"m ",DATEDIF(K91+(30.5*(DATEDIF(K91,L91,"M"))),L91,"D"),"d")</f>
        <v>0y 6m 5d</v>
      </c>
      <c r="O91" s="691" t="s">
        <v>1531</v>
      </c>
      <c r="P91" s="638" t="s">
        <v>1549</v>
      </c>
      <c r="Q91" s="705"/>
      <c r="R91" s="705" t="s">
        <v>1526</v>
      </c>
      <c r="S91" s="706">
        <v>10883</v>
      </c>
      <c r="T91" s="707" t="s">
        <v>1720</v>
      </c>
      <c r="U91" s="704">
        <v>42870</v>
      </c>
      <c r="V91" s="665" t="s">
        <v>1721</v>
      </c>
      <c r="W91" t="s">
        <v>1780</v>
      </c>
      <c r="X91" s="708">
        <v>43101</v>
      </c>
      <c r="Y91"/>
      <c r="Z91"/>
    </row>
    <row r="92" spans="1:26" ht="14.4">
      <c r="A92" s="649">
        <f>A91+1</f>
        <v>27</v>
      </c>
      <c r="B92" s="637" t="s">
        <v>1781</v>
      </c>
      <c r="C92" s="637" t="s">
        <v>1554</v>
      </c>
      <c r="D92" s="650" t="s">
        <v>288</v>
      </c>
      <c r="E92" s="651">
        <v>30417</v>
      </c>
      <c r="F92" s="650">
        <f t="shared" ca="1" si="9"/>
        <v>42</v>
      </c>
      <c r="G92" s="650" t="s">
        <v>100</v>
      </c>
      <c r="H92" s="637" t="s">
        <v>1645</v>
      </c>
      <c r="I92" s="650" t="s">
        <v>1522</v>
      </c>
      <c r="J92" s="650">
        <v>1</v>
      </c>
      <c r="K92" s="651">
        <v>42537</v>
      </c>
      <c r="L92" s="651">
        <v>42932</v>
      </c>
      <c r="M92" s="651">
        <v>42736</v>
      </c>
      <c r="N92" s="650" t="str">
        <f>CONCATENATE(DATEDIF(K92,L92,"Y"),"y ",DATEDIF(K92+(360*(DATEDIF(K92,L92,"Y"))),L92,"M"),"m ",DATEDIF(K92+(30*(DATEDIF(K92,L92,"M"))),L92,"D"),"d")</f>
        <v>1y 1m 5d</v>
      </c>
      <c r="O92" s="637" t="s">
        <v>1531</v>
      </c>
      <c r="P92" s="637" t="s">
        <v>1600</v>
      </c>
      <c r="Q92" s="663" t="s">
        <v>1601</v>
      </c>
      <c r="R92" s="663" t="s">
        <v>1526</v>
      </c>
      <c r="S92" s="35">
        <v>11658</v>
      </c>
      <c r="T92" s="664" t="s">
        <v>1782</v>
      </c>
      <c r="U92" s="708">
        <v>43028</v>
      </c>
      <c r="V92" s="665" t="s">
        <v>1765</v>
      </c>
      <c r="W92"/>
      <c r="X92"/>
      <c r="Y92"/>
      <c r="Z92"/>
    </row>
    <row r="93" spans="1:26" ht="14.4">
      <c r="A93" s="649">
        <f>A92+1</f>
        <v>28</v>
      </c>
      <c r="B93" s="638" t="s">
        <v>1783</v>
      </c>
      <c r="C93" s="638" t="s">
        <v>1784</v>
      </c>
      <c r="D93" s="685" t="s">
        <v>115</v>
      </c>
      <c r="E93" s="686">
        <v>34199</v>
      </c>
      <c r="F93" s="685">
        <f t="shared" ca="1" si="9"/>
        <v>32</v>
      </c>
      <c r="G93" s="685" t="s">
        <v>100</v>
      </c>
      <c r="H93" s="638" t="s">
        <v>1785</v>
      </c>
      <c r="I93" s="650" t="s">
        <v>1522</v>
      </c>
      <c r="J93" s="685">
        <v>2</v>
      </c>
      <c r="K93" s="686">
        <v>42812</v>
      </c>
      <c r="L93" s="651">
        <v>42932</v>
      </c>
      <c r="M93" s="686" t="s">
        <v>1523</v>
      </c>
      <c r="N93" s="650" t="str">
        <f>CONCATENATE(DATEDIF(K93,L93,"Y"),"y ",DATEDIF(K93+(360*(DATEDIF(K93,L93,"Y"))),L93,"M"),"m ",DATEDIF(K93+(30.5*(DATEDIF(K93,L93,"M"))),L93,"D"),"d")</f>
        <v>0y 3m 29d</v>
      </c>
      <c r="O93" s="691" t="s">
        <v>1531</v>
      </c>
      <c r="P93" s="638" t="s">
        <v>1532</v>
      </c>
      <c r="Q93" s="705" t="s">
        <v>1786</v>
      </c>
      <c r="R93" s="705" t="s">
        <v>1526</v>
      </c>
      <c r="S93" s="706">
        <v>36409</v>
      </c>
      <c r="T93" s="707" t="s">
        <v>1787</v>
      </c>
      <c r="U93" s="665"/>
      <c r="V93"/>
      <c r="W93"/>
      <c r="X93"/>
      <c r="Y93"/>
      <c r="Z93"/>
    </row>
    <row r="94" spans="1:26" ht="14.4">
      <c r="A94" s="649">
        <f>A93+1</f>
        <v>29</v>
      </c>
      <c r="B94" s="638" t="s">
        <v>1788</v>
      </c>
      <c r="C94" s="638" t="s">
        <v>1177</v>
      </c>
      <c r="D94" s="685" t="s">
        <v>122</v>
      </c>
      <c r="E94" s="686">
        <v>32879</v>
      </c>
      <c r="F94" s="687">
        <f t="shared" ca="1" si="9"/>
        <v>36</v>
      </c>
      <c r="G94" s="685" t="s">
        <v>62</v>
      </c>
      <c r="H94" s="638" t="s">
        <v>1521</v>
      </c>
      <c r="I94" s="650" t="s">
        <v>1522</v>
      </c>
      <c r="J94" s="685">
        <v>1</v>
      </c>
      <c r="K94" s="686">
        <v>42874</v>
      </c>
      <c r="L94" s="651">
        <v>42932</v>
      </c>
      <c r="M94" s="686" t="s">
        <v>1263</v>
      </c>
      <c r="N94" s="650" t="str">
        <f>CONCATENATE(DATEDIF(K94,L94,"Y"),"y ",DATEDIF(K94+(360*(DATEDIF(K94,L94,"Y"))),L94,"M"),"m ",DATEDIF(K94+(30.5*(DATEDIF(K94,L94,"M"))),L94,"D"),"d")</f>
        <v>0y 1m 28d</v>
      </c>
      <c r="O94" s="691" t="s">
        <v>1531</v>
      </c>
      <c r="P94" s="638" t="s">
        <v>1549</v>
      </c>
      <c r="Q94" s="705" t="s">
        <v>1550</v>
      </c>
      <c r="R94" s="705" t="s">
        <v>1526</v>
      </c>
      <c r="S94" s="706">
        <v>9478</v>
      </c>
      <c r="T94" s="707" t="s">
        <v>1789</v>
      </c>
      <c r="U94"/>
      <c r="V94"/>
      <c r="W94"/>
      <c r="X94"/>
      <c r="Y94"/>
      <c r="Z94"/>
    </row>
    <row r="95" spans="1:26" ht="14.4">
      <c r="A95"/>
      <c r="B95"/>
      <c r="C95"/>
      <c r="D95"/>
      <c r="E95"/>
      <c r="F95"/>
      <c r="G95"/>
      <c r="H95"/>
      <c r="I95"/>
      <c r="J95"/>
      <c r="K95"/>
      <c r="L95"/>
      <c r="M95"/>
      <c r="N95"/>
      <c r="O95"/>
      <c r="P95"/>
      <c r="Q95"/>
      <c r="R95"/>
      <c r="S95"/>
      <c r="T95" s="658"/>
      <c r="U95"/>
      <c r="V95"/>
      <c r="W95"/>
      <c r="X95"/>
      <c r="Y95"/>
      <c r="Z95"/>
    </row>
    <row r="96" spans="1:26" ht="14.4">
      <c r="A96" s="649">
        <f>+A42+1</f>
        <v>38</v>
      </c>
      <c r="B96" s="638" t="s">
        <v>1790</v>
      </c>
      <c r="C96" s="638" t="s">
        <v>1791</v>
      </c>
      <c r="D96" s="685" t="s">
        <v>115</v>
      </c>
      <c r="E96" s="686">
        <v>34776</v>
      </c>
      <c r="F96" s="687">
        <f t="shared" ref="F96:F118" ca="1" si="10">DATEDIF(E96,TODAY(),"Y")</f>
        <v>31</v>
      </c>
      <c r="G96" s="685" t="s">
        <v>62</v>
      </c>
      <c r="H96" s="638" t="s">
        <v>1521</v>
      </c>
      <c r="I96" s="638" t="s">
        <v>1522</v>
      </c>
      <c r="J96" s="685">
        <v>2</v>
      </c>
      <c r="K96" s="686">
        <v>42948</v>
      </c>
      <c r="L96" s="686">
        <v>43100</v>
      </c>
      <c r="M96" s="686" t="s">
        <v>1263</v>
      </c>
      <c r="N96" s="686" t="str">
        <f t="shared" ref="N96:N118" si="11">CONCATENATE(DATEDIF(K96,L96,"Y"),"y ",DATEDIF(K96+(360*(DATEDIF(K96,L96,"Y"))),L96,"M"),"m ",DATEDIF(K96+(30*(DATEDIF(K96,L96,"M"))),L96,"D"),"d")</f>
        <v>0y 4m 32d</v>
      </c>
      <c r="O96" s="691" t="s">
        <v>408</v>
      </c>
      <c r="P96" s="638" t="s">
        <v>1792</v>
      </c>
      <c r="Q96" s="705" t="s">
        <v>1793</v>
      </c>
      <c r="R96" s="705" t="s">
        <v>1794</v>
      </c>
      <c r="S96" s="706">
        <v>30000</v>
      </c>
      <c r="T96" s="707" t="s">
        <v>1795</v>
      </c>
      <c r="U96"/>
      <c r="V96"/>
      <c r="W96"/>
      <c r="X96"/>
      <c r="Y96"/>
      <c r="Z96"/>
    </row>
    <row r="97" spans="1:26" ht="14.4">
      <c r="A97" s="649">
        <f t="shared" ref="A97:A118" si="12">+A96+1</f>
        <v>39</v>
      </c>
      <c r="B97" s="638" t="s">
        <v>1796</v>
      </c>
      <c r="C97" s="638" t="s">
        <v>1797</v>
      </c>
      <c r="D97" s="685" t="s">
        <v>122</v>
      </c>
      <c r="E97" s="686">
        <v>33797</v>
      </c>
      <c r="F97" s="687">
        <f t="shared" ca="1" si="10"/>
        <v>33</v>
      </c>
      <c r="G97" s="685" t="s">
        <v>62</v>
      </c>
      <c r="H97" s="638" t="s">
        <v>1521</v>
      </c>
      <c r="I97" s="638" t="s">
        <v>1522</v>
      </c>
      <c r="J97" s="685">
        <v>2</v>
      </c>
      <c r="K97" s="686">
        <v>42948</v>
      </c>
      <c r="L97" s="686">
        <v>43100</v>
      </c>
      <c r="M97" s="686" t="s">
        <v>1263</v>
      </c>
      <c r="N97" s="686" t="str">
        <f t="shared" si="11"/>
        <v>0y 4m 32d</v>
      </c>
      <c r="O97" s="691" t="s">
        <v>167</v>
      </c>
      <c r="P97" s="638" t="s">
        <v>1792</v>
      </c>
      <c r="Q97" s="705" t="s">
        <v>1793</v>
      </c>
      <c r="R97" s="705" t="s">
        <v>1794</v>
      </c>
      <c r="S97" s="706">
        <v>30001</v>
      </c>
      <c r="T97" s="707" t="s">
        <v>1798</v>
      </c>
      <c r="U97"/>
      <c r="V97"/>
      <c r="W97"/>
      <c r="X97"/>
      <c r="Y97"/>
      <c r="Z97"/>
    </row>
    <row r="98" spans="1:26" ht="14.4">
      <c r="A98" s="649">
        <f t="shared" si="12"/>
        <v>40</v>
      </c>
      <c r="B98" s="638" t="s">
        <v>1799</v>
      </c>
      <c r="C98" s="638" t="s">
        <v>1800</v>
      </c>
      <c r="D98" s="685" t="s">
        <v>115</v>
      </c>
      <c r="E98" s="686">
        <v>34895</v>
      </c>
      <c r="F98" s="687">
        <f t="shared" ca="1" si="10"/>
        <v>30</v>
      </c>
      <c r="G98" s="685" t="s">
        <v>100</v>
      </c>
      <c r="H98" s="638" t="s">
        <v>1801</v>
      </c>
      <c r="I98" s="638" t="s">
        <v>1522</v>
      </c>
      <c r="J98" s="685">
        <v>2</v>
      </c>
      <c r="K98" s="686">
        <v>42948</v>
      </c>
      <c r="L98" s="686">
        <v>43100</v>
      </c>
      <c r="M98" s="686" t="s">
        <v>1263</v>
      </c>
      <c r="N98" s="686" t="str">
        <f t="shared" si="11"/>
        <v>0y 4m 32d</v>
      </c>
      <c r="O98" s="691" t="s">
        <v>174</v>
      </c>
      <c r="P98" s="638" t="s">
        <v>1792</v>
      </c>
      <c r="Q98" s="705" t="s">
        <v>1793</v>
      </c>
      <c r="R98" s="705" t="s">
        <v>1794</v>
      </c>
      <c r="S98" s="706">
        <v>30002</v>
      </c>
      <c r="T98" s="707" t="s">
        <v>1802</v>
      </c>
      <c r="U98"/>
      <c r="V98"/>
      <c r="W98"/>
      <c r="X98"/>
      <c r="Y98"/>
      <c r="Z98"/>
    </row>
    <row r="99" spans="1:26" ht="14.4">
      <c r="A99" s="649">
        <f t="shared" si="12"/>
        <v>41</v>
      </c>
      <c r="B99" s="638" t="s">
        <v>240</v>
      </c>
      <c r="C99" s="638" t="s">
        <v>241</v>
      </c>
      <c r="D99" s="685" t="s">
        <v>122</v>
      </c>
      <c r="E99" s="686">
        <v>17986</v>
      </c>
      <c r="F99" s="687">
        <f t="shared" ca="1" si="10"/>
        <v>76</v>
      </c>
      <c r="G99" s="685" t="s">
        <v>62</v>
      </c>
      <c r="H99" s="638" t="s">
        <v>1803</v>
      </c>
      <c r="I99" s="638" t="s">
        <v>1522</v>
      </c>
      <c r="J99" s="685">
        <v>2</v>
      </c>
      <c r="K99" s="686">
        <v>42948</v>
      </c>
      <c r="L99" s="686">
        <v>43100</v>
      </c>
      <c r="M99" s="686" t="s">
        <v>1263</v>
      </c>
      <c r="N99" s="686" t="str">
        <f t="shared" si="11"/>
        <v>0y 4m 32d</v>
      </c>
      <c r="O99" s="691" t="s">
        <v>181</v>
      </c>
      <c r="P99" s="638" t="s">
        <v>1792</v>
      </c>
      <c r="Q99" s="705" t="s">
        <v>1793</v>
      </c>
      <c r="R99" s="705" t="s">
        <v>1794</v>
      </c>
      <c r="S99" s="706">
        <v>30003</v>
      </c>
      <c r="T99" s="707" t="s">
        <v>1804</v>
      </c>
      <c r="U99"/>
      <c r="V99"/>
      <c r="W99"/>
      <c r="X99"/>
      <c r="Y99"/>
      <c r="Z99"/>
    </row>
    <row r="100" spans="1:26" ht="14.4">
      <c r="A100" s="649">
        <f t="shared" si="12"/>
        <v>42</v>
      </c>
      <c r="B100" s="638" t="s">
        <v>1805</v>
      </c>
      <c r="C100" s="638" t="s">
        <v>1806</v>
      </c>
      <c r="D100" s="685" t="s">
        <v>158</v>
      </c>
      <c r="E100" s="686">
        <v>33253</v>
      </c>
      <c r="F100" s="687">
        <f t="shared" ca="1" si="10"/>
        <v>35</v>
      </c>
      <c r="G100" s="685" t="s">
        <v>100</v>
      </c>
      <c r="H100" s="638" t="s">
        <v>1521</v>
      </c>
      <c r="I100" s="638" t="s">
        <v>1522</v>
      </c>
      <c r="J100" s="685">
        <v>2</v>
      </c>
      <c r="K100" s="686">
        <v>42948</v>
      </c>
      <c r="L100" s="686">
        <v>43100</v>
      </c>
      <c r="M100" s="686" t="s">
        <v>1263</v>
      </c>
      <c r="N100" s="686" t="str">
        <f t="shared" si="11"/>
        <v>0y 4m 32d</v>
      </c>
      <c r="O100" s="691" t="s">
        <v>408</v>
      </c>
      <c r="P100" s="638" t="s">
        <v>1792</v>
      </c>
      <c r="Q100" s="705" t="s">
        <v>1793</v>
      </c>
      <c r="R100" s="705" t="s">
        <v>1794</v>
      </c>
      <c r="S100" s="706">
        <v>30004</v>
      </c>
      <c r="T100" s="707" t="s">
        <v>1807</v>
      </c>
      <c r="U100"/>
      <c r="V100"/>
      <c r="W100"/>
      <c r="X100"/>
      <c r="Y100"/>
      <c r="Z100"/>
    </row>
    <row r="101" spans="1:26" ht="14.4">
      <c r="A101" s="649">
        <f t="shared" si="12"/>
        <v>43</v>
      </c>
      <c r="B101" s="638" t="s">
        <v>1808</v>
      </c>
      <c r="C101" s="638" t="s">
        <v>1809</v>
      </c>
      <c r="D101" s="685" t="s">
        <v>115</v>
      </c>
      <c r="E101" s="686">
        <v>33042</v>
      </c>
      <c r="F101" s="687">
        <f t="shared" ca="1" si="10"/>
        <v>35</v>
      </c>
      <c r="G101" s="685" t="s">
        <v>100</v>
      </c>
      <c r="H101" s="638" t="s">
        <v>1521</v>
      </c>
      <c r="I101" s="638" t="s">
        <v>1522</v>
      </c>
      <c r="J101" s="685">
        <v>2</v>
      </c>
      <c r="K101" s="686">
        <v>42948</v>
      </c>
      <c r="L101" s="686">
        <v>43100</v>
      </c>
      <c r="M101" s="686" t="s">
        <v>1263</v>
      </c>
      <c r="N101" s="686" t="str">
        <f t="shared" si="11"/>
        <v>0y 4m 32d</v>
      </c>
      <c r="O101" s="691" t="s">
        <v>408</v>
      </c>
      <c r="P101" s="638" t="s">
        <v>1792</v>
      </c>
      <c r="Q101" s="705" t="s">
        <v>1793</v>
      </c>
      <c r="R101" s="705" t="s">
        <v>1794</v>
      </c>
      <c r="S101" s="706">
        <v>30005</v>
      </c>
      <c r="T101" s="707" t="s">
        <v>1810</v>
      </c>
      <c r="U101"/>
      <c r="V101"/>
      <c r="W101"/>
      <c r="X101"/>
      <c r="Y101"/>
      <c r="Z101"/>
    </row>
    <row r="102" spans="1:26" ht="14.4">
      <c r="A102" s="649">
        <f t="shared" si="12"/>
        <v>44</v>
      </c>
      <c r="B102" s="638" t="s">
        <v>1811</v>
      </c>
      <c r="C102" s="638" t="s">
        <v>1812</v>
      </c>
      <c r="D102" s="685" t="s">
        <v>158</v>
      </c>
      <c r="E102" s="686">
        <v>35300</v>
      </c>
      <c r="F102" s="687">
        <f t="shared" ca="1" si="10"/>
        <v>29</v>
      </c>
      <c r="G102" s="685" t="s">
        <v>100</v>
      </c>
      <c r="H102" s="638" t="s">
        <v>709</v>
      </c>
      <c r="I102" s="638" t="s">
        <v>1522</v>
      </c>
      <c r="J102" s="685">
        <v>2</v>
      </c>
      <c r="K102" s="686">
        <v>42948</v>
      </c>
      <c r="L102" s="686">
        <v>43100</v>
      </c>
      <c r="M102" s="686" t="s">
        <v>1263</v>
      </c>
      <c r="N102" s="686" t="str">
        <f t="shared" si="11"/>
        <v>0y 4m 32d</v>
      </c>
      <c r="O102" s="691" t="s">
        <v>408</v>
      </c>
      <c r="P102" s="638" t="s">
        <v>1792</v>
      </c>
      <c r="Q102" s="705" t="s">
        <v>1793</v>
      </c>
      <c r="R102" s="705" t="s">
        <v>1794</v>
      </c>
      <c r="S102" s="706">
        <v>30006</v>
      </c>
      <c r="T102" s="707" t="s">
        <v>1813</v>
      </c>
      <c r="U102"/>
      <c r="V102"/>
      <c r="W102"/>
      <c r="X102"/>
      <c r="Y102"/>
      <c r="Z102"/>
    </row>
    <row r="103" spans="1:26" ht="14.4">
      <c r="A103" s="649">
        <f t="shared" si="12"/>
        <v>45</v>
      </c>
      <c r="B103" s="638" t="s">
        <v>1684</v>
      </c>
      <c r="C103" s="638" t="s">
        <v>1814</v>
      </c>
      <c r="D103" s="685" t="s">
        <v>158</v>
      </c>
      <c r="E103" s="686">
        <v>34266</v>
      </c>
      <c r="F103" s="687">
        <f t="shared" ca="1" si="10"/>
        <v>32</v>
      </c>
      <c r="G103" s="685" t="s">
        <v>100</v>
      </c>
      <c r="H103" s="638" t="s">
        <v>1815</v>
      </c>
      <c r="I103" s="638" t="s">
        <v>1522</v>
      </c>
      <c r="J103" s="685">
        <v>2</v>
      </c>
      <c r="K103" s="686">
        <v>42979</v>
      </c>
      <c r="L103" s="686">
        <v>43100</v>
      </c>
      <c r="M103" s="686" t="s">
        <v>1263</v>
      </c>
      <c r="N103" s="686" t="str">
        <f t="shared" si="11"/>
        <v>0y 3m 31d</v>
      </c>
      <c r="O103" s="691" t="s">
        <v>174</v>
      </c>
      <c r="P103" s="638" t="s">
        <v>1792</v>
      </c>
      <c r="Q103" s="705" t="s">
        <v>1793</v>
      </c>
      <c r="R103" s="705" t="s">
        <v>1794</v>
      </c>
      <c r="S103" s="706">
        <v>30007</v>
      </c>
      <c r="T103" s="707" t="s">
        <v>1816</v>
      </c>
      <c r="U103"/>
      <c r="V103"/>
      <c r="W103"/>
      <c r="X103"/>
      <c r="Y103"/>
      <c r="Z103"/>
    </row>
    <row r="104" spans="1:26" ht="14.4">
      <c r="A104" s="649">
        <f t="shared" si="12"/>
        <v>46</v>
      </c>
      <c r="B104" s="638" t="s">
        <v>1817</v>
      </c>
      <c r="C104" s="638" t="s">
        <v>1818</v>
      </c>
      <c r="D104" s="685" t="s">
        <v>81</v>
      </c>
      <c r="E104" s="686">
        <v>29418</v>
      </c>
      <c r="F104" s="687">
        <f t="shared" ca="1" si="10"/>
        <v>45</v>
      </c>
      <c r="G104" s="685" t="s">
        <v>100</v>
      </c>
      <c r="H104" s="638" t="s">
        <v>1521</v>
      </c>
      <c r="I104" s="638" t="s">
        <v>1522</v>
      </c>
      <c r="J104" s="685">
        <v>2</v>
      </c>
      <c r="K104" s="686">
        <v>42948</v>
      </c>
      <c r="L104" s="686">
        <v>43100</v>
      </c>
      <c r="M104" s="686" t="s">
        <v>1263</v>
      </c>
      <c r="N104" s="686" t="str">
        <f t="shared" si="11"/>
        <v>0y 4m 32d</v>
      </c>
      <c r="O104" s="691" t="s">
        <v>1542</v>
      </c>
      <c r="P104" s="638" t="s">
        <v>1792</v>
      </c>
      <c r="Q104" s="705" t="s">
        <v>1793</v>
      </c>
      <c r="R104" s="705" t="s">
        <v>1794</v>
      </c>
      <c r="S104" s="706">
        <v>30008</v>
      </c>
      <c r="T104" s="707" t="s">
        <v>1819</v>
      </c>
      <c r="U104"/>
      <c r="V104"/>
      <c r="W104"/>
      <c r="X104"/>
      <c r="Y104"/>
      <c r="Z104"/>
    </row>
    <row r="105" spans="1:26" ht="14.4">
      <c r="A105" s="649">
        <f t="shared" si="12"/>
        <v>47</v>
      </c>
      <c r="B105" s="638" t="s">
        <v>1820</v>
      </c>
      <c r="C105" s="638" t="s">
        <v>1821</v>
      </c>
      <c r="D105" s="685" t="s">
        <v>64</v>
      </c>
      <c r="E105" s="686">
        <v>35227</v>
      </c>
      <c r="F105" s="687">
        <f t="shared" ca="1" si="10"/>
        <v>29</v>
      </c>
      <c r="G105" s="685" t="s">
        <v>100</v>
      </c>
      <c r="H105" s="638" t="s">
        <v>1521</v>
      </c>
      <c r="I105" s="638" t="s">
        <v>1522</v>
      </c>
      <c r="J105" s="685">
        <v>2</v>
      </c>
      <c r="K105" s="686">
        <v>42948</v>
      </c>
      <c r="L105" s="686">
        <v>43100</v>
      </c>
      <c r="M105" s="686" t="s">
        <v>1263</v>
      </c>
      <c r="N105" s="686" t="str">
        <f t="shared" si="11"/>
        <v>0y 4m 32d</v>
      </c>
      <c r="O105" s="691" t="s">
        <v>408</v>
      </c>
      <c r="P105" s="638" t="s">
        <v>1792</v>
      </c>
      <c r="Q105" s="705" t="s">
        <v>1793</v>
      </c>
      <c r="R105" s="705" t="s">
        <v>1794</v>
      </c>
      <c r="S105" s="706">
        <v>30009</v>
      </c>
      <c r="T105" s="707" t="s">
        <v>1822</v>
      </c>
      <c r="U105"/>
      <c r="V105"/>
      <c r="W105"/>
      <c r="X105"/>
      <c r="Y105"/>
      <c r="Z105"/>
    </row>
    <row r="106" spans="1:26" ht="19.5" customHeight="1">
      <c r="A106" s="649">
        <f t="shared" si="12"/>
        <v>48</v>
      </c>
      <c r="B106" s="638" t="s">
        <v>1823</v>
      </c>
      <c r="C106" s="638" t="s">
        <v>1824</v>
      </c>
      <c r="D106" s="685" t="s">
        <v>60</v>
      </c>
      <c r="E106" s="686">
        <v>32956</v>
      </c>
      <c r="F106" s="687">
        <f t="shared" ca="1" si="10"/>
        <v>36</v>
      </c>
      <c r="G106" s="685" t="s">
        <v>100</v>
      </c>
      <c r="H106" s="638" t="s">
        <v>1674</v>
      </c>
      <c r="I106" s="638" t="s">
        <v>1522</v>
      </c>
      <c r="J106" s="685">
        <v>2</v>
      </c>
      <c r="K106" s="686">
        <v>42948</v>
      </c>
      <c r="L106" s="686">
        <v>43100</v>
      </c>
      <c r="M106" s="686" t="s">
        <v>1263</v>
      </c>
      <c r="N106" s="686" t="str">
        <f t="shared" si="11"/>
        <v>0y 4m 32d</v>
      </c>
      <c r="O106" s="691" t="s">
        <v>211</v>
      </c>
      <c r="P106" s="638" t="s">
        <v>1792</v>
      </c>
      <c r="Q106" s="705" t="s">
        <v>1793</v>
      </c>
      <c r="R106" s="705" t="s">
        <v>1794</v>
      </c>
      <c r="S106" s="706">
        <v>30010</v>
      </c>
      <c r="T106" s="707" t="s">
        <v>1825</v>
      </c>
      <c r="U106"/>
      <c r="V106"/>
      <c r="W106"/>
      <c r="X106"/>
      <c r="Y106"/>
      <c r="Z106"/>
    </row>
    <row r="107" spans="1:26" ht="19.5" customHeight="1">
      <c r="A107" s="649">
        <f t="shared" si="12"/>
        <v>49</v>
      </c>
      <c r="B107" s="638" t="s">
        <v>1826</v>
      </c>
      <c r="C107" s="638" t="s">
        <v>1827</v>
      </c>
      <c r="D107" s="685" t="s">
        <v>122</v>
      </c>
      <c r="E107" s="686">
        <v>26973</v>
      </c>
      <c r="F107" s="687">
        <f t="shared" ca="1" si="10"/>
        <v>52</v>
      </c>
      <c r="G107" s="685" t="s">
        <v>62</v>
      </c>
      <c r="H107" s="638" t="s">
        <v>1521</v>
      </c>
      <c r="I107" s="638" t="s">
        <v>1522</v>
      </c>
      <c r="J107" s="685">
        <v>2</v>
      </c>
      <c r="K107" s="686">
        <v>42948</v>
      </c>
      <c r="L107" s="686">
        <v>43100</v>
      </c>
      <c r="M107" s="686" t="s">
        <v>1263</v>
      </c>
      <c r="N107" s="686" t="str">
        <f t="shared" si="11"/>
        <v>0y 4m 32d</v>
      </c>
      <c r="O107" s="691" t="s">
        <v>181</v>
      </c>
      <c r="P107" s="638" t="s">
        <v>1792</v>
      </c>
      <c r="Q107" s="705" t="s">
        <v>1793</v>
      </c>
      <c r="R107" s="705" t="s">
        <v>1794</v>
      </c>
      <c r="S107" s="706">
        <v>30011</v>
      </c>
      <c r="T107" s="707" t="s">
        <v>1828</v>
      </c>
      <c r="U107"/>
      <c r="V107"/>
      <c r="W107"/>
      <c r="X107"/>
      <c r="Y107"/>
      <c r="Z107"/>
    </row>
    <row r="108" spans="1:26" ht="19.5" customHeight="1">
      <c r="A108" s="649">
        <f t="shared" si="12"/>
        <v>50</v>
      </c>
      <c r="B108" s="638" t="s">
        <v>1829</v>
      </c>
      <c r="C108" s="638" t="s">
        <v>1830</v>
      </c>
      <c r="D108" s="685" t="s">
        <v>177</v>
      </c>
      <c r="E108" s="686">
        <v>34186</v>
      </c>
      <c r="F108" s="687">
        <f t="shared" ca="1" si="10"/>
        <v>32</v>
      </c>
      <c r="G108" s="685" t="s">
        <v>100</v>
      </c>
      <c r="H108" s="638" t="s">
        <v>1521</v>
      </c>
      <c r="I108" s="638" t="s">
        <v>1522</v>
      </c>
      <c r="J108" s="685">
        <v>2</v>
      </c>
      <c r="K108" s="686">
        <v>42948</v>
      </c>
      <c r="L108" s="686">
        <v>43100</v>
      </c>
      <c r="M108" s="686" t="s">
        <v>1263</v>
      </c>
      <c r="N108" s="686" t="str">
        <f t="shared" si="11"/>
        <v>0y 4m 32d</v>
      </c>
      <c r="O108" s="691" t="s">
        <v>408</v>
      </c>
      <c r="P108" s="638" t="s">
        <v>1792</v>
      </c>
      <c r="Q108" s="705" t="s">
        <v>1793</v>
      </c>
      <c r="R108" s="705" t="s">
        <v>1794</v>
      </c>
      <c r="S108" s="706">
        <v>30012</v>
      </c>
      <c r="T108" s="707" t="s">
        <v>1831</v>
      </c>
      <c r="U108"/>
      <c r="V108"/>
      <c r="W108"/>
      <c r="X108"/>
      <c r="Y108"/>
      <c r="Z108"/>
    </row>
    <row r="109" spans="1:26" ht="19.5" customHeight="1">
      <c r="A109" s="649">
        <f t="shared" si="12"/>
        <v>51</v>
      </c>
      <c r="B109" s="638" t="s">
        <v>1832</v>
      </c>
      <c r="C109" s="638" t="s">
        <v>1833</v>
      </c>
      <c r="D109" s="685" t="s">
        <v>55</v>
      </c>
      <c r="E109" s="686">
        <v>30664</v>
      </c>
      <c r="F109" s="687">
        <f t="shared" ca="1" si="10"/>
        <v>42</v>
      </c>
      <c r="G109" s="685" t="s">
        <v>100</v>
      </c>
      <c r="H109" s="638" t="s">
        <v>1815</v>
      </c>
      <c r="I109" s="638" t="s">
        <v>1522</v>
      </c>
      <c r="J109" s="685">
        <v>2</v>
      </c>
      <c r="K109" s="686">
        <v>42948</v>
      </c>
      <c r="L109" s="686">
        <v>43100</v>
      </c>
      <c r="M109" s="686" t="s">
        <v>1263</v>
      </c>
      <c r="N109" s="686" t="str">
        <f t="shared" si="11"/>
        <v>0y 4m 32d</v>
      </c>
      <c r="O109" s="691" t="s">
        <v>268</v>
      </c>
      <c r="P109" s="638" t="s">
        <v>1792</v>
      </c>
      <c r="Q109" s="705" t="s">
        <v>1793</v>
      </c>
      <c r="R109" s="705" t="s">
        <v>1794</v>
      </c>
      <c r="S109" s="706">
        <v>30013</v>
      </c>
      <c r="T109" s="707" t="s">
        <v>1834</v>
      </c>
      <c r="U109"/>
      <c r="V109"/>
      <c r="W109"/>
      <c r="X109"/>
      <c r="Y109"/>
      <c r="Z109"/>
    </row>
    <row r="110" spans="1:26" ht="19.5" customHeight="1">
      <c r="A110" s="649">
        <f t="shared" si="12"/>
        <v>52</v>
      </c>
      <c r="B110" s="638" t="s">
        <v>1835</v>
      </c>
      <c r="C110" s="638" t="s">
        <v>1836</v>
      </c>
      <c r="D110" s="685" t="s">
        <v>81</v>
      </c>
      <c r="E110" s="686">
        <v>31275</v>
      </c>
      <c r="F110" s="687">
        <f t="shared" ca="1" si="10"/>
        <v>40</v>
      </c>
      <c r="G110" s="685" t="s">
        <v>100</v>
      </c>
      <c r="H110" s="638" t="s">
        <v>1674</v>
      </c>
      <c r="I110" s="638" t="s">
        <v>1522</v>
      </c>
      <c r="J110" s="685">
        <v>2</v>
      </c>
      <c r="K110" s="686">
        <v>42948</v>
      </c>
      <c r="L110" s="686">
        <v>43100</v>
      </c>
      <c r="M110" s="686" t="s">
        <v>1263</v>
      </c>
      <c r="N110" s="686" t="str">
        <f t="shared" si="11"/>
        <v>0y 4m 32d</v>
      </c>
      <c r="O110" s="691" t="s">
        <v>167</v>
      </c>
      <c r="P110" s="638" t="s">
        <v>1792</v>
      </c>
      <c r="Q110" s="705" t="s">
        <v>1793</v>
      </c>
      <c r="R110" s="705" t="s">
        <v>1794</v>
      </c>
      <c r="S110" s="706">
        <v>30014</v>
      </c>
      <c r="T110" s="707" t="s">
        <v>1837</v>
      </c>
      <c r="U110"/>
      <c r="V110"/>
      <c r="W110"/>
      <c r="X110"/>
      <c r="Y110"/>
      <c r="Z110"/>
    </row>
    <row r="111" spans="1:26" ht="19.5" customHeight="1">
      <c r="A111" s="649">
        <f t="shared" si="12"/>
        <v>53</v>
      </c>
      <c r="B111" s="638" t="s">
        <v>1838</v>
      </c>
      <c r="C111" s="638" t="s">
        <v>1839</v>
      </c>
      <c r="D111" s="685" t="s">
        <v>81</v>
      </c>
      <c r="E111" s="686">
        <v>33323</v>
      </c>
      <c r="F111" s="687">
        <f t="shared" ca="1" si="10"/>
        <v>34</v>
      </c>
      <c r="G111" s="685" t="s">
        <v>100</v>
      </c>
      <c r="H111" s="638" t="s">
        <v>1803</v>
      </c>
      <c r="I111" s="638" t="s">
        <v>1522</v>
      </c>
      <c r="J111" s="685">
        <v>2</v>
      </c>
      <c r="K111" s="686">
        <v>42948</v>
      </c>
      <c r="L111" s="686">
        <v>43100</v>
      </c>
      <c r="M111" s="686" t="s">
        <v>1263</v>
      </c>
      <c r="N111" s="686" t="str">
        <f t="shared" si="11"/>
        <v>0y 4m 32d</v>
      </c>
      <c r="O111" s="691" t="s">
        <v>167</v>
      </c>
      <c r="P111" s="638" t="s">
        <v>1792</v>
      </c>
      <c r="Q111" s="705" t="s">
        <v>1793</v>
      </c>
      <c r="R111" s="705" t="s">
        <v>1794</v>
      </c>
      <c r="S111" s="706">
        <v>30015</v>
      </c>
      <c r="T111" s="707" t="s">
        <v>1840</v>
      </c>
      <c r="U111"/>
      <c r="V111"/>
      <c r="W111"/>
      <c r="X111"/>
      <c r="Y111"/>
      <c r="Z111"/>
    </row>
    <row r="112" spans="1:26" ht="14.4">
      <c r="A112" s="649">
        <f t="shared" si="12"/>
        <v>54</v>
      </c>
      <c r="B112" s="638" t="s">
        <v>1841</v>
      </c>
      <c r="C112" s="638" t="s">
        <v>1842</v>
      </c>
      <c r="D112" s="685" t="s">
        <v>55</v>
      </c>
      <c r="E112" s="686">
        <v>32716</v>
      </c>
      <c r="F112" s="687">
        <f t="shared" ca="1" si="10"/>
        <v>36</v>
      </c>
      <c r="G112" s="685" t="s">
        <v>62</v>
      </c>
      <c r="H112" s="638" t="s">
        <v>1521</v>
      </c>
      <c r="I112" s="638" t="s">
        <v>1522</v>
      </c>
      <c r="J112" s="685">
        <v>2</v>
      </c>
      <c r="K112" s="686">
        <v>42948</v>
      </c>
      <c r="L112" s="686">
        <v>43100</v>
      </c>
      <c r="M112" s="686" t="s">
        <v>1263</v>
      </c>
      <c r="N112" s="686" t="str">
        <f t="shared" si="11"/>
        <v>0y 4m 32d</v>
      </c>
      <c r="O112" s="691" t="s">
        <v>174</v>
      </c>
      <c r="P112" s="638" t="s">
        <v>1792</v>
      </c>
      <c r="Q112" s="705" t="s">
        <v>1793</v>
      </c>
      <c r="R112" s="705" t="s">
        <v>1794</v>
      </c>
      <c r="S112" s="706">
        <v>30016</v>
      </c>
      <c r="T112" s="707" t="s">
        <v>1843</v>
      </c>
      <c r="U112"/>
      <c r="V112"/>
      <c r="W112"/>
      <c r="X112"/>
      <c r="Y112"/>
      <c r="Z112"/>
    </row>
    <row r="113" spans="1:26" ht="19.5" customHeight="1">
      <c r="A113" s="649">
        <f t="shared" si="12"/>
        <v>55</v>
      </c>
      <c r="B113" s="638" t="s">
        <v>1844</v>
      </c>
      <c r="C113" s="638" t="s">
        <v>1845</v>
      </c>
      <c r="D113" s="685" t="s">
        <v>54</v>
      </c>
      <c r="E113" s="686">
        <v>31179</v>
      </c>
      <c r="F113" s="687">
        <f t="shared" ca="1" si="10"/>
        <v>40</v>
      </c>
      <c r="G113" s="685" t="s">
        <v>62</v>
      </c>
      <c r="H113" s="638" t="s">
        <v>1521</v>
      </c>
      <c r="I113" s="638" t="s">
        <v>1522</v>
      </c>
      <c r="J113" s="685">
        <v>2</v>
      </c>
      <c r="K113" s="686">
        <v>42948</v>
      </c>
      <c r="L113" s="686">
        <v>43100</v>
      </c>
      <c r="M113" s="686" t="s">
        <v>1263</v>
      </c>
      <c r="N113" s="686" t="str">
        <f t="shared" si="11"/>
        <v>0y 4m 32d</v>
      </c>
      <c r="O113" s="691" t="s">
        <v>211</v>
      </c>
      <c r="P113" s="638" t="s">
        <v>1792</v>
      </c>
      <c r="Q113" s="705" t="s">
        <v>1793</v>
      </c>
      <c r="R113" s="705" t="s">
        <v>1794</v>
      </c>
      <c r="S113" s="706">
        <v>30017</v>
      </c>
      <c r="T113" s="707" t="s">
        <v>1846</v>
      </c>
      <c r="U113"/>
      <c r="V113"/>
      <c r="W113"/>
      <c r="X113"/>
      <c r="Y113"/>
      <c r="Z113"/>
    </row>
    <row r="114" spans="1:26" ht="14.4">
      <c r="A114" s="649">
        <f t="shared" si="12"/>
        <v>56</v>
      </c>
      <c r="B114" s="638" t="s">
        <v>1847</v>
      </c>
      <c r="C114" s="638" t="s">
        <v>1848</v>
      </c>
      <c r="D114" s="685" t="s">
        <v>100</v>
      </c>
      <c r="E114" s="686">
        <v>34143</v>
      </c>
      <c r="F114" s="687">
        <f t="shared" ca="1" si="10"/>
        <v>32</v>
      </c>
      <c r="G114" s="685" t="s">
        <v>62</v>
      </c>
      <c r="H114" s="638" t="s">
        <v>1521</v>
      </c>
      <c r="I114" s="638" t="s">
        <v>1522</v>
      </c>
      <c r="J114" s="685">
        <v>2</v>
      </c>
      <c r="K114" s="686">
        <v>42948</v>
      </c>
      <c r="L114" s="686">
        <v>43100</v>
      </c>
      <c r="M114" s="686" t="s">
        <v>1263</v>
      </c>
      <c r="N114" s="686" t="str">
        <f t="shared" si="11"/>
        <v>0y 4m 32d</v>
      </c>
      <c r="O114" s="691" t="s">
        <v>408</v>
      </c>
      <c r="P114" s="638" t="s">
        <v>1792</v>
      </c>
      <c r="Q114" s="705" t="s">
        <v>1793</v>
      </c>
      <c r="R114" s="705" t="s">
        <v>1794</v>
      </c>
      <c r="S114" s="706">
        <v>30018</v>
      </c>
      <c r="T114" s="707" t="s">
        <v>1849</v>
      </c>
      <c r="U114"/>
      <c r="V114"/>
      <c r="W114"/>
      <c r="X114"/>
      <c r="Y114"/>
      <c r="Z114"/>
    </row>
    <row r="115" spans="1:26" ht="14.4">
      <c r="A115" s="649">
        <f t="shared" si="12"/>
        <v>57</v>
      </c>
      <c r="B115" s="638" t="s">
        <v>1850</v>
      </c>
      <c r="C115" s="638" t="s">
        <v>1851</v>
      </c>
      <c r="D115" s="685" t="s">
        <v>62</v>
      </c>
      <c r="E115" s="686">
        <v>34470</v>
      </c>
      <c r="F115" s="687">
        <f t="shared" ca="1" si="10"/>
        <v>31</v>
      </c>
      <c r="G115" s="685" t="s">
        <v>100</v>
      </c>
      <c r="H115" s="638" t="s">
        <v>1630</v>
      </c>
      <c r="I115" s="638" t="s">
        <v>1522</v>
      </c>
      <c r="J115" s="685">
        <v>2</v>
      </c>
      <c r="K115" s="686">
        <v>42948</v>
      </c>
      <c r="L115" s="686">
        <v>43100</v>
      </c>
      <c r="M115" s="686" t="s">
        <v>1263</v>
      </c>
      <c r="N115" s="686" t="str">
        <f t="shared" si="11"/>
        <v>0y 4m 32d</v>
      </c>
      <c r="O115" s="691" t="s">
        <v>268</v>
      </c>
      <c r="P115" s="638" t="s">
        <v>1792</v>
      </c>
      <c r="Q115" s="705" t="s">
        <v>1793</v>
      </c>
      <c r="R115" s="705" t="s">
        <v>1794</v>
      </c>
      <c r="S115" s="706">
        <v>30018</v>
      </c>
      <c r="T115" s="707" t="s">
        <v>1852</v>
      </c>
      <c r="U115"/>
      <c r="V115"/>
      <c r="W115"/>
      <c r="X115"/>
      <c r="Y115"/>
      <c r="Z115"/>
    </row>
    <row r="116" spans="1:26" ht="14.4">
      <c r="A116" s="649">
        <f t="shared" si="12"/>
        <v>58</v>
      </c>
      <c r="B116" s="638" t="s">
        <v>1853</v>
      </c>
      <c r="C116" s="638" t="s">
        <v>1854</v>
      </c>
      <c r="D116" s="685" t="s">
        <v>77</v>
      </c>
      <c r="E116" s="686">
        <v>34849</v>
      </c>
      <c r="F116" s="687">
        <f t="shared" ca="1" si="10"/>
        <v>30</v>
      </c>
      <c r="G116" s="685" t="s">
        <v>100</v>
      </c>
      <c r="H116" s="638" t="s">
        <v>1815</v>
      </c>
      <c r="I116" s="638" t="s">
        <v>1522</v>
      </c>
      <c r="J116" s="685">
        <v>2</v>
      </c>
      <c r="K116" s="686">
        <v>42948</v>
      </c>
      <c r="L116" s="686">
        <v>43100</v>
      </c>
      <c r="M116" s="686" t="s">
        <v>1263</v>
      </c>
      <c r="N116" s="686" t="str">
        <f t="shared" si="11"/>
        <v>0y 4m 32d</v>
      </c>
      <c r="O116" s="691" t="s">
        <v>167</v>
      </c>
      <c r="P116" s="638" t="s">
        <v>1792</v>
      </c>
      <c r="Q116" s="705" t="s">
        <v>1793</v>
      </c>
      <c r="R116" s="705" t="s">
        <v>1794</v>
      </c>
      <c r="S116" s="706">
        <v>30018</v>
      </c>
      <c r="T116" s="707" t="s">
        <v>1855</v>
      </c>
      <c r="U116"/>
      <c r="V116"/>
      <c r="W116"/>
      <c r="X116"/>
      <c r="Y116"/>
      <c r="Z116"/>
    </row>
    <row r="117" spans="1:26" ht="14.4">
      <c r="A117" s="649">
        <f t="shared" si="12"/>
        <v>59</v>
      </c>
      <c r="B117" s="638" t="s">
        <v>1856</v>
      </c>
      <c r="C117" s="638" t="s">
        <v>1857</v>
      </c>
      <c r="D117" s="685" t="s">
        <v>60</v>
      </c>
      <c r="E117" s="686">
        <v>35229</v>
      </c>
      <c r="F117" s="687">
        <f t="shared" ca="1" si="10"/>
        <v>29</v>
      </c>
      <c r="G117" s="685" t="s">
        <v>100</v>
      </c>
      <c r="H117" s="638" t="s">
        <v>1815</v>
      </c>
      <c r="I117" s="638" t="s">
        <v>1522</v>
      </c>
      <c r="J117" s="685">
        <v>2</v>
      </c>
      <c r="K117" s="686">
        <v>43033</v>
      </c>
      <c r="L117" s="686">
        <v>43100</v>
      </c>
      <c r="M117" s="686" t="s">
        <v>1263</v>
      </c>
      <c r="N117" s="686" t="str">
        <f t="shared" si="11"/>
        <v>0y 2m 7d</v>
      </c>
      <c r="O117" s="691" t="s">
        <v>1531</v>
      </c>
      <c r="P117" s="638" t="s">
        <v>1792</v>
      </c>
      <c r="Q117" s="705" t="s">
        <v>1858</v>
      </c>
      <c r="R117" s="705" t="s">
        <v>1794</v>
      </c>
      <c r="S117" s="706">
        <v>30018</v>
      </c>
      <c r="T117" s="707" t="s">
        <v>1859</v>
      </c>
      <c r="U117"/>
      <c r="V117"/>
      <c r="W117"/>
      <c r="X117"/>
      <c r="Y117"/>
      <c r="Z117"/>
    </row>
    <row r="118" spans="1:26" ht="14.4">
      <c r="A118" s="649">
        <f t="shared" si="12"/>
        <v>60</v>
      </c>
      <c r="B118" s="638" t="s">
        <v>1860</v>
      </c>
      <c r="C118" s="638" t="s">
        <v>1861</v>
      </c>
      <c r="D118" s="685" t="s">
        <v>64</v>
      </c>
      <c r="E118" s="686">
        <v>33340</v>
      </c>
      <c r="F118" s="687">
        <f t="shared" ca="1" si="10"/>
        <v>34</v>
      </c>
      <c r="G118" s="685" t="s">
        <v>62</v>
      </c>
      <c r="H118" s="638" t="s">
        <v>1815</v>
      </c>
      <c r="I118" s="638" t="s">
        <v>1522</v>
      </c>
      <c r="J118" s="685">
        <v>2</v>
      </c>
      <c r="K118" s="686">
        <v>43033</v>
      </c>
      <c r="L118" s="686">
        <v>43100</v>
      </c>
      <c r="M118" s="686"/>
      <c r="N118" s="686" t="str">
        <f t="shared" si="11"/>
        <v>0y 2m 7d</v>
      </c>
      <c r="O118" s="691" t="s">
        <v>1531</v>
      </c>
      <c r="P118" s="638" t="s">
        <v>1792</v>
      </c>
      <c r="Q118" s="705" t="s">
        <v>1858</v>
      </c>
      <c r="R118" s="705"/>
      <c r="S118" s="706">
        <v>30018</v>
      </c>
      <c r="T118" s="707" t="s">
        <v>1862</v>
      </c>
      <c r="U118"/>
      <c r="V118"/>
      <c r="W118"/>
      <c r="X118"/>
      <c r="Y118"/>
      <c r="Z118"/>
    </row>
    <row r="119" spans="1:26" ht="14.4">
      <c r="A119" s="649">
        <f>A9+1</f>
        <v>2</v>
      </c>
      <c r="B119" s="638" t="s">
        <v>1863</v>
      </c>
      <c r="C119" s="638" t="s">
        <v>1864</v>
      </c>
      <c r="D119" s="685" t="s">
        <v>54</v>
      </c>
      <c r="E119" s="686">
        <v>33154</v>
      </c>
      <c r="F119" s="685"/>
      <c r="G119" s="685" t="s">
        <v>100</v>
      </c>
      <c r="H119" s="638" t="s">
        <v>1521</v>
      </c>
      <c r="I119" s="650" t="s">
        <v>1522</v>
      </c>
      <c r="J119" s="685">
        <v>1</v>
      </c>
      <c r="K119" s="686">
        <v>42877</v>
      </c>
      <c r="L119" s="651">
        <v>43100</v>
      </c>
      <c r="M119" s="686" t="s">
        <v>1523</v>
      </c>
      <c r="N119" s="650" t="str">
        <f>CONCATENATE(DATEDIF(K119,L119,"Y"),"y ",DATEDIF(K119+(360*(DATEDIF(K119,L119,"Y"))),L119,"M"),"m ",DATEDIF(K119+(30.5*(DATEDIF(K119,L119,"M"))),L119,"D"),"d")</f>
        <v>0y 7m 10d</v>
      </c>
      <c r="O119" s="691" t="s">
        <v>1531</v>
      </c>
      <c r="P119" s="638" t="s">
        <v>1524</v>
      </c>
      <c r="Q119" s="705" t="s">
        <v>1601</v>
      </c>
      <c r="R119" s="705" t="s">
        <v>1865</v>
      </c>
      <c r="S119" s="706">
        <v>11658</v>
      </c>
      <c r="T119" s="707" t="s">
        <v>1866</v>
      </c>
      <c r="U119" s="665"/>
      <c r="V119"/>
      <c r="W119"/>
      <c r="X119"/>
      <c r="Y119"/>
      <c r="Z119"/>
    </row>
    <row r="120" spans="1:26" ht="14.4">
      <c r="A120" s="649">
        <f>A20+1</f>
        <v>14</v>
      </c>
      <c r="B120" s="638" t="s">
        <v>1867</v>
      </c>
      <c r="C120" s="638" t="s">
        <v>1868</v>
      </c>
      <c r="D120" s="685" t="s">
        <v>81</v>
      </c>
      <c r="E120" s="686">
        <v>23199</v>
      </c>
      <c r="F120" s="685">
        <f ca="1">DATEDIF(E120,TODAY(),"Y")</f>
        <v>62</v>
      </c>
      <c r="G120" s="685" t="s">
        <v>100</v>
      </c>
      <c r="H120" s="638" t="s">
        <v>1521</v>
      </c>
      <c r="I120" s="650" t="s">
        <v>1522</v>
      </c>
      <c r="J120" s="685">
        <v>2</v>
      </c>
      <c r="K120" s="686">
        <v>42887</v>
      </c>
      <c r="L120" s="651">
        <v>43100</v>
      </c>
      <c r="M120" s="686" t="s">
        <v>1263</v>
      </c>
      <c r="N120" s="650" t="str">
        <f>CONCATENATE(DATEDIF(K120,L120,"Y"),"y ",DATEDIF(K120+(360*(DATEDIF(K120,L120,"Y"))),L120,"M"),"m ",DATEDIF(K120+(30.5*(DATEDIF(K120,L120,"M"))),L120,"D"),"d")</f>
        <v>0y 6m 30d</v>
      </c>
      <c r="O120" s="691" t="s">
        <v>1531</v>
      </c>
      <c r="P120" s="638" t="s">
        <v>1792</v>
      </c>
      <c r="Q120" s="705" t="s">
        <v>1869</v>
      </c>
      <c r="R120" s="705" t="s">
        <v>1794</v>
      </c>
      <c r="S120" s="706">
        <v>35000</v>
      </c>
      <c r="T120" s="707" t="s">
        <v>1870</v>
      </c>
      <c r="U120" s="665"/>
      <c r="V120"/>
      <c r="W120" s="709"/>
      <c r="X120"/>
      <c r="Y120"/>
      <c r="Z120"/>
    </row>
    <row r="121" spans="1:26" ht="19.5" customHeight="1">
      <c r="A121" s="649">
        <f>A36+1</f>
        <v>31</v>
      </c>
      <c r="B121" s="637" t="s">
        <v>1871</v>
      </c>
      <c r="C121" s="637" t="s">
        <v>1737</v>
      </c>
      <c r="D121" s="650" t="s">
        <v>170</v>
      </c>
      <c r="E121" s="651">
        <v>28226</v>
      </c>
      <c r="F121" s="650">
        <f ca="1">DATEDIF(E121,TODAY(),"Y")</f>
        <v>48</v>
      </c>
      <c r="G121" s="650" t="s">
        <v>100</v>
      </c>
      <c r="H121" s="637" t="s">
        <v>1521</v>
      </c>
      <c r="I121" s="650" t="s">
        <v>1522</v>
      </c>
      <c r="J121" s="650">
        <v>1</v>
      </c>
      <c r="K121" s="651">
        <v>43070</v>
      </c>
      <c r="L121" s="651">
        <v>43465</v>
      </c>
      <c r="M121" s="651" t="s">
        <v>1523</v>
      </c>
      <c r="N121" s="650" t="str">
        <f>CONCATENATE(DATEDIF(K121,L121,"Y"),"y ",DATEDIF(K121+(360*(DATEDIF(K121,L121,"Y"))),L121,"M"),"m ",DATEDIF(K121+(30.5*(DATEDIF(K121,L121,"M"))),L121,"D"),"d")</f>
        <v>1y 1m 29d</v>
      </c>
      <c r="O121" s="637" t="s">
        <v>1531</v>
      </c>
      <c r="P121" s="637" t="s">
        <v>1549</v>
      </c>
      <c r="Q121" s="663" t="s">
        <v>1550</v>
      </c>
      <c r="R121" s="663" t="s">
        <v>1526</v>
      </c>
      <c r="S121" s="35">
        <v>9478</v>
      </c>
      <c r="T121" s="664" t="s">
        <v>1725</v>
      </c>
      <c r="U121" s="665"/>
      <c r="V121" s="665"/>
      <c r="W121"/>
      <c r="X121"/>
      <c r="Y121"/>
      <c r="Z121"/>
    </row>
    <row r="122" spans="1:26" ht="19.5" customHeight="1">
      <c r="A122" s="649">
        <f>+A57+1</f>
        <v>33</v>
      </c>
      <c r="B122" s="637" t="s">
        <v>1872</v>
      </c>
      <c r="C122" s="637" t="s">
        <v>1873</v>
      </c>
      <c r="D122" s="650" t="s">
        <v>115</v>
      </c>
      <c r="E122" s="651">
        <v>35501</v>
      </c>
      <c r="F122" s="650">
        <f ca="1">DATEDIF(E122,TODAY(),"Y")</f>
        <v>29</v>
      </c>
      <c r="G122" s="650" t="s">
        <v>100</v>
      </c>
      <c r="H122" s="637" t="s">
        <v>1521</v>
      </c>
      <c r="I122" s="650" t="s">
        <v>1522</v>
      </c>
      <c r="J122" s="650">
        <v>1</v>
      </c>
      <c r="K122" s="651">
        <v>43081</v>
      </c>
      <c r="L122" s="651">
        <v>43465</v>
      </c>
      <c r="M122" s="651" t="s">
        <v>1523</v>
      </c>
      <c r="N122" s="650" t="str">
        <f>CONCATENATE(DATEDIF(K122,L122,"Y"),"y ",DATEDIF(K122+(360*(DATEDIF(K122,L122,"Y"))),L122,"M"),"m ",DATEDIF(K122+(30*(DATEDIF(K122,L122,"M"))),L122,"D"),"d")</f>
        <v>1y 0m 24d</v>
      </c>
      <c r="O122" s="637" t="s">
        <v>1531</v>
      </c>
      <c r="P122" s="637" t="s">
        <v>1524</v>
      </c>
      <c r="Q122" s="663" t="s">
        <v>1700</v>
      </c>
      <c r="R122" s="663" t="s">
        <v>1526</v>
      </c>
      <c r="S122" s="35">
        <v>11658</v>
      </c>
      <c r="T122" s="664" t="s">
        <v>1874</v>
      </c>
      <c r="U122" s="665"/>
      <c r="V122" s="665"/>
      <c r="W122"/>
      <c r="X122"/>
      <c r="Y122"/>
      <c r="Z122"/>
    </row>
  </sheetData>
  <autoFilter ref="A8:W75" xr:uid="{00000000-0009-0000-0000-000002000000}"/>
  <sortState xmlns:xlrd2="http://schemas.microsoft.com/office/spreadsheetml/2017/richdata2" ref="A1:V122">
    <sortCondition ref="V97"/>
  </sortState>
  <mergeCells count="4">
    <mergeCell ref="A1:T1"/>
    <mergeCell ref="A2:T2"/>
    <mergeCell ref="A4:T4"/>
    <mergeCell ref="A5:T5"/>
  </mergeCells>
  <printOptions horizontalCentered="1"/>
  <pageMargins left="0.69930555555555596" right="0.69930555555555596" top="0.34930555555555598" bottom="0.38888888888888901" header="0.3" footer="0.3"/>
  <pageSetup paperSize="9"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Q276"/>
  <sheetViews>
    <sheetView view="pageBreakPreview" topLeftCell="B28" zoomScaleNormal="145" zoomScaleSheetLayoutView="100" workbookViewId="0">
      <pane xSplit="1" topLeftCell="M1" activePane="topRight" state="frozen"/>
      <selection activeCell="B8" sqref="B8"/>
      <selection pane="topRight" activeCell="T235" sqref="T235"/>
    </sheetView>
  </sheetViews>
  <sheetFormatPr defaultColWidth="9" defaultRowHeight="14.4"/>
  <cols>
    <col min="1" max="1" width="18.6640625" style="401" hidden="1" customWidth="1"/>
    <col min="2" max="2" width="19.33203125" style="299" customWidth="1"/>
    <col min="3" max="3" width="4.5546875" style="325" customWidth="1"/>
    <col min="4" max="7" width="22" style="325" customWidth="1"/>
    <col min="8" max="8" width="51.6640625" style="402" customWidth="1"/>
    <col min="9" max="9" width="7.109375" style="325" hidden="1" customWidth="1"/>
    <col min="10" max="10" width="6.88671875" style="325" hidden="1" customWidth="1"/>
    <col min="11" max="11" width="5.44140625" style="325" hidden="1" customWidth="1"/>
    <col min="12" max="12" width="7.44140625" style="325" hidden="1" customWidth="1"/>
    <col min="13" max="31" width="7.44140625" style="325" customWidth="1"/>
    <col min="32" max="32" width="7.5546875" style="325" customWidth="1"/>
    <col min="33" max="33" width="7.44140625" style="325" customWidth="1"/>
    <col min="34" max="34" width="10.5546875" style="299" customWidth="1"/>
    <col min="35" max="35" width="9.6640625" style="299" customWidth="1"/>
    <col min="36" max="36" width="3.109375" style="326" customWidth="1"/>
    <col min="37" max="37" width="3.88671875" style="403" customWidth="1"/>
    <col min="38" max="39" width="3.33203125" style="325" customWidth="1"/>
    <col min="40" max="40" width="6.88671875" style="404" customWidth="1"/>
    <col min="41" max="42" width="9.109375" style="299" hidden="1" customWidth="1"/>
    <col min="43" max="43" width="5.33203125" style="299" hidden="1" customWidth="1"/>
    <col min="44" max="44" width="9.5546875" style="299" hidden="1" customWidth="1"/>
    <col min="45" max="45" width="8.109375" style="299" hidden="1" customWidth="1"/>
    <col min="46" max="46" width="10.109375" style="299" hidden="1" customWidth="1"/>
    <col min="47" max="47" width="2.5546875" style="299" hidden="1" customWidth="1"/>
    <col min="48" max="48" width="14.5546875" style="299" hidden="1" customWidth="1"/>
    <col min="49" max="49" width="18.88671875" style="299" customWidth="1"/>
    <col min="50" max="50" width="6.5546875" style="299" customWidth="1"/>
    <col min="51" max="51" width="2.5546875" style="325" customWidth="1"/>
    <col min="52" max="52" width="9" style="325" customWidth="1"/>
    <col min="53" max="53" width="4" style="405" customWidth="1"/>
    <col min="54" max="56" width="6.6640625" style="325" hidden="1" customWidth="1"/>
    <col min="57" max="57" width="0.44140625" style="325" customWidth="1"/>
    <col min="58" max="58" width="9" style="325" customWidth="1"/>
    <col min="59" max="59" width="9" style="406" customWidth="1"/>
    <col min="60" max="60" width="9.5546875" style="407" customWidth="1"/>
    <col min="61" max="62" width="3.6640625" style="325" customWidth="1"/>
    <col min="63" max="63" width="9" style="406" customWidth="1"/>
    <col min="64" max="64" width="3.33203125" style="325" customWidth="1"/>
    <col min="65" max="65" width="3.5546875" style="325" customWidth="1"/>
    <col min="66" max="67" width="9.109375" style="299" customWidth="1"/>
    <col min="68" max="68" width="7.44140625" style="299" customWidth="1"/>
    <col min="69" max="69" width="7.44140625" style="299" hidden="1" customWidth="1"/>
  </cols>
  <sheetData>
    <row r="1" spans="1:69" ht="28.8">
      <c r="A1" s="1006" t="s">
        <v>2199</v>
      </c>
      <c r="B1" s="1006"/>
      <c r="C1" s="1006"/>
      <c r="D1" s="1006"/>
      <c r="E1" s="1006"/>
      <c r="F1" s="1006"/>
      <c r="G1" s="1006"/>
      <c r="H1" s="1007"/>
      <c r="I1" s="1006"/>
      <c r="J1" s="1006"/>
      <c r="K1" s="1006"/>
      <c r="L1" s="1006"/>
      <c r="M1" s="1006"/>
      <c r="N1" s="1006"/>
      <c r="O1" s="1006"/>
      <c r="P1" s="1006"/>
      <c r="Q1" s="1006"/>
      <c r="R1" s="1006"/>
      <c r="S1" s="1006"/>
      <c r="T1" s="1006"/>
      <c r="U1" s="1006"/>
      <c r="V1" s="1006"/>
      <c r="W1" s="1006"/>
      <c r="X1" s="1006"/>
      <c r="Y1" s="1006"/>
      <c r="Z1" s="1006"/>
      <c r="AA1" s="1006"/>
      <c r="AB1" s="1006"/>
      <c r="AC1" s="1006"/>
      <c r="AD1" s="1006"/>
      <c r="AE1" s="1006"/>
      <c r="AF1" s="1006"/>
      <c r="AG1" s="1006"/>
      <c r="AH1" s="1006"/>
      <c r="AI1" s="1006"/>
      <c r="AJ1" s="1006"/>
      <c r="AK1" s="1006"/>
      <c r="AL1" s="1006"/>
      <c r="AM1" s="1006"/>
      <c r="AN1" s="1008"/>
      <c r="AO1" s="1006"/>
      <c r="AP1" s="1006"/>
      <c r="AQ1" s="1006"/>
      <c r="AR1" s="1006"/>
      <c r="AS1" s="1006"/>
      <c r="AT1" s="1006"/>
      <c r="AU1" s="1006"/>
      <c r="AV1" s="1006"/>
      <c r="AW1" s="1006"/>
      <c r="AX1" s="1006"/>
      <c r="AY1" s="1006"/>
      <c r="AZ1" s="1006"/>
      <c r="BA1" s="1006"/>
      <c r="BB1" s="1006"/>
      <c r="BC1" s="1006"/>
      <c r="BD1" s="1006"/>
      <c r="BE1" s="1006"/>
      <c r="BF1" s="1006"/>
      <c r="BG1" s="1006"/>
      <c r="BH1" s="1006"/>
      <c r="BI1" s="1006"/>
      <c r="BJ1" s="1006"/>
      <c r="BK1" s="1006"/>
      <c r="BL1" s="1006"/>
      <c r="BM1" s="1006"/>
      <c r="BN1" s="1006"/>
      <c r="BO1" s="1006"/>
      <c r="BP1" s="1006"/>
      <c r="BQ1" s="408"/>
    </row>
    <row r="2" spans="1:69">
      <c r="A2" s="1009" t="str">
        <f ca="1">CONCATENATE("As of ",TEXT(NOW(),"mmmm dd, yyyy"))</f>
        <v>As of March 24, 2026</v>
      </c>
      <c r="B2" s="1009"/>
      <c r="C2" s="1009"/>
      <c r="D2" s="1009"/>
      <c r="E2" s="1009"/>
      <c r="F2" s="1009"/>
      <c r="G2" s="1009"/>
      <c r="H2" s="1010"/>
      <c r="I2" s="1009"/>
      <c r="J2" s="1009"/>
      <c r="K2" s="1009"/>
      <c r="L2" s="1009"/>
      <c r="M2" s="1009"/>
      <c r="N2" s="1009"/>
      <c r="O2" s="1009"/>
      <c r="P2" s="1009"/>
      <c r="Q2" s="1009"/>
      <c r="R2" s="1009"/>
      <c r="S2" s="1009"/>
      <c r="T2" s="1009"/>
      <c r="U2" s="1009"/>
      <c r="V2" s="1009"/>
      <c r="W2" s="1009"/>
      <c r="X2" s="1009"/>
      <c r="Y2" s="1009"/>
      <c r="Z2" s="1009"/>
      <c r="AA2" s="1009"/>
      <c r="AB2" s="1009"/>
      <c r="AC2" s="1009"/>
      <c r="AD2" s="1009"/>
      <c r="AE2" s="1009"/>
      <c r="AF2" s="1009"/>
      <c r="AG2" s="1009"/>
      <c r="AH2" s="1009"/>
      <c r="AI2" s="1009"/>
      <c r="AJ2" s="1009"/>
      <c r="AK2" s="1009"/>
      <c r="AL2" s="1009"/>
      <c r="AM2" s="1009"/>
      <c r="AN2" s="1011"/>
      <c r="AO2" s="1009"/>
      <c r="AP2" s="1009"/>
      <c r="AQ2" s="1009"/>
      <c r="AR2" s="1009"/>
      <c r="AS2" s="1009"/>
      <c r="AT2" s="1009"/>
      <c r="AU2" s="1009"/>
      <c r="AV2" s="1009"/>
      <c r="AW2" s="1009"/>
      <c r="AX2" s="1009"/>
      <c r="AY2" s="1009"/>
      <c r="AZ2" s="1009"/>
      <c r="BA2" s="1009"/>
      <c r="BB2" s="1009"/>
      <c r="BC2" s="1009"/>
      <c r="BD2" s="1009"/>
      <c r="BE2" s="1009"/>
      <c r="BF2" s="1009"/>
      <c r="BG2" s="1009"/>
      <c r="BH2" s="1009"/>
      <c r="BI2" s="1009"/>
      <c r="BJ2" s="1009"/>
      <c r="BK2" s="1009"/>
      <c r="BL2" s="1009"/>
      <c r="BM2" s="1009"/>
      <c r="BN2" s="1009"/>
      <c r="BO2" s="1009"/>
      <c r="BP2" s="1009"/>
      <c r="BQ2" s="300"/>
    </row>
    <row r="3" spans="1:69" ht="14.4" hidden="1" customHeight="1">
      <c r="A3" s="300"/>
      <c r="B3" s="300"/>
      <c r="C3" s="300"/>
      <c r="D3" s="300"/>
      <c r="E3" s="300"/>
      <c r="F3" s="300"/>
      <c r="G3" s="300"/>
      <c r="H3" s="300"/>
      <c r="I3" s="300"/>
      <c r="J3" s="300"/>
      <c r="K3" s="300"/>
      <c r="L3" s="300"/>
      <c r="M3" s="300"/>
      <c r="N3" s="300"/>
      <c r="O3" s="300"/>
      <c r="P3" s="300"/>
      <c r="Q3" s="300"/>
      <c r="R3" s="300"/>
      <c r="S3" s="300"/>
      <c r="T3" s="300"/>
      <c r="U3" s="300"/>
      <c r="V3" s="300"/>
      <c r="W3" s="300"/>
      <c r="X3" s="300"/>
      <c r="Y3" s="300"/>
      <c r="Z3" s="300"/>
      <c r="AA3" s="300"/>
      <c r="AB3" s="300"/>
      <c r="AC3" s="300"/>
      <c r="AD3" s="300"/>
      <c r="AE3" s="300"/>
      <c r="AF3" s="300"/>
      <c r="AG3" s="300"/>
      <c r="AH3" s="300"/>
      <c r="AI3" s="300"/>
      <c r="AJ3" s="300"/>
      <c r="AK3" s="437"/>
      <c r="AL3" s="300"/>
      <c r="AM3" s="300"/>
      <c r="AN3" s="437"/>
      <c r="AO3" s="300"/>
      <c r="AP3" s="300"/>
      <c r="AQ3" s="300"/>
      <c r="AR3" s="300"/>
      <c r="AS3" s="300"/>
      <c r="AT3" s="300"/>
      <c r="AU3" s="300"/>
      <c r="AV3" s="300"/>
      <c r="AW3" s="300"/>
      <c r="AX3" s="300"/>
      <c r="AY3" s="300"/>
      <c r="AZ3" s="300"/>
      <c r="BA3" s="467"/>
      <c r="BB3" s="300"/>
      <c r="BC3" s="300"/>
      <c r="BD3" s="300"/>
      <c r="BE3" s="300"/>
      <c r="BF3" s="300"/>
      <c r="BG3" s="300"/>
      <c r="BH3" s="478"/>
      <c r="BI3" s="300"/>
      <c r="BJ3" s="300"/>
      <c r="BK3" s="300"/>
      <c r="BL3" s="300"/>
      <c r="BM3" s="300"/>
      <c r="BN3" s="300"/>
      <c r="BO3" s="300"/>
      <c r="BP3" s="300"/>
      <c r="BQ3" s="300"/>
    </row>
    <row r="4" spans="1:69" ht="23.4">
      <c r="A4" s="409" t="s">
        <v>1495</v>
      </c>
      <c r="B4" s="409"/>
      <c r="C4"/>
      <c r="D4"/>
      <c r="E4"/>
      <c r="F4"/>
      <c r="G4"/>
      <c r="H4" s="410"/>
      <c r="I4"/>
      <c r="J4"/>
      <c r="K4"/>
      <c r="L4"/>
      <c r="M4"/>
      <c r="N4"/>
      <c r="O4"/>
      <c r="P4"/>
      <c r="Q4"/>
      <c r="R4"/>
      <c r="S4"/>
      <c r="T4"/>
      <c r="U4"/>
      <c r="V4"/>
      <c r="W4"/>
      <c r="X4"/>
      <c r="Y4"/>
      <c r="Z4"/>
      <c r="AA4"/>
      <c r="AB4"/>
      <c r="AC4"/>
      <c r="AD4"/>
      <c r="AE4"/>
      <c r="AF4"/>
      <c r="AG4"/>
      <c r="AH4" s="438"/>
      <c r="AI4" s="438"/>
      <c r="AJ4" s="438"/>
      <c r="AK4" s="439"/>
      <c r="AL4" s="438"/>
      <c r="AM4" s="438"/>
      <c r="AN4" s="464"/>
      <c r="AO4"/>
      <c r="AP4"/>
      <c r="AQ4"/>
      <c r="AR4"/>
      <c r="AS4"/>
      <c r="AT4"/>
      <c r="AU4"/>
      <c r="AV4"/>
      <c r="AW4"/>
      <c r="AX4"/>
      <c r="AY4"/>
      <c r="AZ4"/>
      <c r="BA4"/>
      <c r="BB4"/>
      <c r="BC4"/>
      <c r="BD4"/>
      <c r="BE4"/>
      <c r="BF4"/>
      <c r="BG4"/>
      <c r="BH4" s="479"/>
      <c r="BI4"/>
      <c r="BJ4"/>
      <c r="BK4"/>
      <c r="BL4"/>
      <c r="BM4" s="504"/>
      <c r="BN4" s="504"/>
      <c r="BO4" s="504"/>
      <c r="BP4" s="300"/>
      <c r="BQ4" s="300"/>
    </row>
    <row r="5" spans="1:69">
      <c r="A5" t="s">
        <v>1496</v>
      </c>
      <c r="B5"/>
      <c r="C5"/>
      <c r="D5"/>
      <c r="E5"/>
      <c r="F5"/>
      <c r="G5"/>
      <c r="H5" s="410"/>
      <c r="I5"/>
      <c r="J5"/>
      <c r="K5"/>
      <c r="L5"/>
      <c r="M5"/>
      <c r="N5"/>
      <c r="O5"/>
      <c r="P5"/>
      <c r="Q5"/>
      <c r="R5"/>
      <c r="S5"/>
      <c r="T5"/>
      <c r="U5"/>
      <c r="V5"/>
      <c r="W5"/>
      <c r="X5"/>
      <c r="Y5"/>
      <c r="Z5"/>
      <c r="AA5"/>
      <c r="AB5"/>
      <c r="AC5"/>
      <c r="AD5"/>
      <c r="AE5"/>
      <c r="AF5"/>
      <c r="AG5"/>
      <c r="AH5"/>
      <c r="AI5"/>
      <c r="AJ5"/>
      <c r="AK5" s="440"/>
      <c r="AL5"/>
      <c r="AM5"/>
      <c r="AN5" s="464"/>
      <c r="AO5"/>
      <c r="AP5"/>
      <c r="AQ5"/>
      <c r="AR5"/>
      <c r="AS5"/>
      <c r="AT5"/>
      <c r="AU5"/>
      <c r="AV5"/>
      <c r="AW5"/>
      <c r="AX5"/>
      <c r="AY5"/>
      <c r="AZ5"/>
      <c r="BA5"/>
      <c r="BB5"/>
      <c r="BC5"/>
      <c r="BD5"/>
      <c r="BE5"/>
      <c r="BF5"/>
      <c r="BG5"/>
      <c r="BH5" s="480"/>
      <c r="BI5"/>
      <c r="BJ5"/>
      <c r="BK5"/>
      <c r="BL5"/>
      <c r="BM5" s="504"/>
      <c r="BN5" s="504"/>
      <c r="BO5" s="504"/>
      <c r="BP5" s="504"/>
      <c r="BQ5" s="504"/>
    </row>
    <row r="6" spans="1:69" ht="6.75" customHeight="1" thickBot="1">
      <c r="A6"/>
      <c r="B6"/>
      <c r="C6"/>
      <c r="D6"/>
      <c r="E6"/>
      <c r="F6"/>
      <c r="G6"/>
      <c r="H6" s="410"/>
      <c r="I6"/>
      <c r="J6"/>
      <c r="K6"/>
      <c r="L6"/>
      <c r="M6"/>
      <c r="N6"/>
      <c r="O6"/>
      <c r="P6"/>
      <c r="Q6"/>
      <c r="R6"/>
      <c r="S6"/>
      <c r="T6"/>
      <c r="U6"/>
      <c r="V6"/>
      <c r="W6"/>
      <c r="X6"/>
      <c r="Y6"/>
      <c r="Z6"/>
      <c r="AA6"/>
      <c r="AB6"/>
      <c r="AC6"/>
      <c r="AD6"/>
      <c r="AE6"/>
      <c r="AF6"/>
      <c r="AG6"/>
      <c r="AH6"/>
      <c r="AI6"/>
      <c r="AJ6"/>
      <c r="AK6" s="440"/>
      <c r="AL6"/>
      <c r="AM6"/>
      <c r="AN6" s="464"/>
      <c r="AO6"/>
      <c r="AP6"/>
      <c r="AQ6"/>
      <c r="AR6"/>
      <c r="AS6"/>
      <c r="AT6"/>
      <c r="AU6"/>
      <c r="AV6"/>
      <c r="AW6"/>
      <c r="AX6"/>
      <c r="AY6"/>
      <c r="AZ6"/>
      <c r="BA6"/>
      <c r="BB6"/>
      <c r="BC6"/>
      <c r="BD6"/>
      <c r="BE6"/>
      <c r="BF6"/>
      <c r="BG6" s="299"/>
      <c r="BH6" s="481"/>
      <c r="BI6"/>
      <c r="BJ6"/>
      <c r="BK6" s="299"/>
      <c r="BL6"/>
      <c r="BM6" s="299"/>
    </row>
    <row r="7" spans="1:69" ht="15.75" customHeight="1" thickBot="1">
      <c r="A7" s="411"/>
      <c r="B7" s="975" t="s">
        <v>2200</v>
      </c>
      <c r="C7" s="977" t="s">
        <v>8</v>
      </c>
      <c r="D7" s="412"/>
      <c r="E7" s="412"/>
      <c r="F7" s="412"/>
      <c r="G7" s="412"/>
      <c r="H7" s="412"/>
      <c r="I7" s="412"/>
      <c r="J7" s="412"/>
      <c r="K7" s="412"/>
      <c r="L7" s="441"/>
      <c r="M7" s="930"/>
      <c r="N7" s="930"/>
      <c r="O7" s="930"/>
      <c r="P7" s="930"/>
      <c r="Q7" s="930"/>
      <c r="R7" s="930"/>
      <c r="S7" s="930"/>
      <c r="T7" s="930"/>
      <c r="U7" s="930"/>
      <c r="V7" s="930"/>
      <c r="W7" s="930"/>
      <c r="X7" s="930"/>
      <c r="Y7" s="930"/>
      <c r="Z7" s="930"/>
      <c r="AA7" s="930"/>
      <c r="AB7" s="930"/>
      <c r="AC7" s="930"/>
      <c r="AD7" s="930"/>
      <c r="AE7" s="930"/>
      <c r="AF7" s="930"/>
      <c r="AG7" s="930"/>
      <c r="AH7" s="1012" t="s">
        <v>9</v>
      </c>
      <c r="AI7" s="1013"/>
      <c r="AJ7" s="979" t="s">
        <v>10</v>
      </c>
      <c r="AK7" s="1014" t="s">
        <v>11</v>
      </c>
      <c r="AL7" s="1015"/>
      <c r="AM7" s="1016"/>
      <c r="AN7" s="465"/>
      <c r="AO7" s="301"/>
      <c r="AP7" s="301"/>
      <c r="AQ7" s="301"/>
      <c r="AR7" s="301"/>
      <c r="AS7" s="301"/>
      <c r="AT7" s="301"/>
      <c r="AU7" s="301"/>
      <c r="AV7" s="301"/>
      <c r="AW7" s="981" t="s">
        <v>2201</v>
      </c>
      <c r="AX7" s="301"/>
      <c r="AY7" s="979" t="s">
        <v>2202</v>
      </c>
      <c r="AZ7" s="981" t="s">
        <v>15</v>
      </c>
      <c r="BA7" s="468"/>
      <c r="BB7" s="482"/>
      <c r="BC7" s="482"/>
      <c r="BD7" s="482"/>
      <c r="BE7" s="482"/>
      <c r="BF7" s="993" t="s">
        <v>2203</v>
      </c>
      <c r="BG7" s="995" t="s">
        <v>17</v>
      </c>
      <c r="BH7" s="483"/>
      <c r="BI7" s="484"/>
      <c r="BJ7" s="482"/>
      <c r="BK7" s="995" t="s">
        <v>18</v>
      </c>
      <c r="BL7" s="484"/>
      <c r="BM7" s="996" t="s">
        <v>19</v>
      </c>
      <c r="BN7" s="993" t="s">
        <v>20</v>
      </c>
      <c r="BO7" s="505"/>
      <c r="BP7" s="998" t="s">
        <v>21</v>
      </c>
      <c r="BQ7" s="506"/>
    </row>
    <row r="8" spans="1:69" ht="44.25" customHeight="1">
      <c r="A8" s="302" t="s">
        <v>2204</v>
      </c>
      <c r="B8" s="976"/>
      <c r="C8" s="978"/>
      <c r="D8" s="1010" t="s">
        <v>2205</v>
      </c>
      <c r="E8" s="1010"/>
      <c r="F8" s="1010"/>
      <c r="G8" s="1017"/>
      <c r="H8" s="413"/>
      <c r="I8" s="442" t="s">
        <v>2206</v>
      </c>
      <c r="J8" s="442" t="s">
        <v>2207</v>
      </c>
      <c r="K8" s="442" t="s">
        <v>2208</v>
      </c>
      <c r="L8" s="443" t="s">
        <v>2209</v>
      </c>
      <c r="M8" s="983" t="s">
        <v>3423</v>
      </c>
      <c r="N8" s="984"/>
      <c r="O8" s="984"/>
      <c r="P8" s="984"/>
      <c r="Q8" s="984"/>
      <c r="R8" s="984"/>
      <c r="S8" s="984"/>
      <c r="T8" s="984"/>
      <c r="U8" s="984"/>
      <c r="V8" s="984"/>
      <c r="W8" s="984"/>
      <c r="X8" s="984"/>
      <c r="Y8" s="984"/>
      <c r="Z8" s="984"/>
      <c r="AA8" s="984"/>
      <c r="AB8" s="984"/>
      <c r="AC8" s="984"/>
      <c r="AD8" s="984"/>
      <c r="AE8" s="984"/>
      <c r="AF8" s="984"/>
      <c r="AG8" s="985"/>
      <c r="AH8" s="442" t="s">
        <v>2210</v>
      </c>
      <c r="AI8" s="442" t="s">
        <v>2211</v>
      </c>
      <c r="AJ8" s="980"/>
      <c r="AK8" s="444" t="s">
        <v>32</v>
      </c>
      <c r="AL8" s="441" t="s">
        <v>33</v>
      </c>
      <c r="AM8" s="441" t="s">
        <v>34</v>
      </c>
      <c r="AN8" s="466" t="s">
        <v>12</v>
      </c>
      <c r="AO8" s="302" t="s">
        <v>2212</v>
      </c>
      <c r="AP8" s="302" t="s">
        <v>2213</v>
      </c>
      <c r="AQ8" s="302" t="s">
        <v>2214</v>
      </c>
      <c r="AR8" s="302" t="s">
        <v>1881</v>
      </c>
      <c r="AS8" s="302" t="s">
        <v>1882</v>
      </c>
      <c r="AT8" s="302" t="s">
        <v>1883</v>
      </c>
      <c r="AU8" s="302" t="s">
        <v>2215</v>
      </c>
      <c r="AV8" s="302"/>
      <c r="AW8" s="982"/>
      <c r="AX8" s="302" t="s">
        <v>2216</v>
      </c>
      <c r="AY8" s="992"/>
      <c r="AZ8" s="992"/>
      <c r="BA8" s="469" t="s">
        <v>37</v>
      </c>
      <c r="BB8" s="485" t="s">
        <v>2217</v>
      </c>
      <c r="BC8" s="485" t="s">
        <v>2218</v>
      </c>
      <c r="BD8" s="485" t="s">
        <v>2219</v>
      </c>
      <c r="BE8" s="485" t="s">
        <v>2220</v>
      </c>
      <c r="BF8" s="994"/>
      <c r="BG8" s="994"/>
      <c r="BH8" s="486" t="s">
        <v>38</v>
      </c>
      <c r="BI8" s="487" t="s">
        <v>2221</v>
      </c>
      <c r="BJ8" s="485" t="s">
        <v>2222</v>
      </c>
      <c r="BK8" s="994"/>
      <c r="BL8" s="487" t="s">
        <v>2223</v>
      </c>
      <c r="BM8" s="997"/>
      <c r="BN8" s="997"/>
      <c r="BO8" s="995" t="s">
        <v>2224</v>
      </c>
      <c r="BP8" s="999"/>
      <c r="BQ8" s="506" t="s">
        <v>2225</v>
      </c>
    </row>
    <row r="9" spans="1:69" ht="9.75" customHeight="1" thickBot="1">
      <c r="A9" s="922" t="s">
        <v>2226</v>
      </c>
      <c r="B9" s="923" t="s">
        <v>2227</v>
      </c>
      <c r="C9" s="414"/>
      <c r="D9" s="415" t="s">
        <v>2228</v>
      </c>
      <c r="E9" s="415" t="s">
        <v>2229</v>
      </c>
      <c r="F9" s="415" t="s">
        <v>2230</v>
      </c>
      <c r="G9" s="415" t="s">
        <v>2231</v>
      </c>
      <c r="H9" s="415" t="s">
        <v>2232</v>
      </c>
      <c r="I9" s="445"/>
      <c r="J9" s="445"/>
      <c r="K9" s="445"/>
      <c r="L9" s="303"/>
      <c r="M9" s="1000" t="s">
        <v>3424</v>
      </c>
      <c r="N9" s="1001"/>
      <c r="O9" s="1001"/>
      <c r="P9" s="1002"/>
      <c r="Q9" s="1003" t="s">
        <v>3425</v>
      </c>
      <c r="R9" s="1004"/>
      <c r="S9" s="1004"/>
      <c r="T9" s="1004"/>
      <c r="U9" s="1004"/>
      <c r="V9" s="1004"/>
      <c r="W9" s="1005"/>
      <c r="X9" s="986" t="s">
        <v>3426</v>
      </c>
      <c r="Y9" s="987"/>
      <c r="Z9" s="987"/>
      <c r="AA9" s="987"/>
      <c r="AB9" s="987"/>
      <c r="AC9" s="988"/>
      <c r="AD9" s="989" t="s">
        <v>3427</v>
      </c>
      <c r="AE9" s="990"/>
      <c r="AF9" s="990"/>
      <c r="AG9" s="991"/>
      <c r="AH9" s="922" t="s">
        <v>2233</v>
      </c>
      <c r="AI9" s="922" t="s">
        <v>2234</v>
      </c>
      <c r="AJ9" s="924" t="s">
        <v>2235</v>
      </c>
      <c r="AK9" s="925" t="s">
        <v>2236</v>
      </c>
      <c r="AL9" s="924" t="s">
        <v>2237</v>
      </c>
      <c r="AM9" s="924" t="s">
        <v>2238</v>
      </c>
      <c r="AN9" s="925" t="s">
        <v>2239</v>
      </c>
      <c r="AO9" s="303"/>
      <c r="AP9" s="303"/>
      <c r="AQ9" s="303"/>
      <c r="AR9" s="303"/>
      <c r="AS9" s="303"/>
      <c r="AT9" s="303"/>
      <c r="AU9" s="303"/>
      <c r="AV9" s="303"/>
      <c r="AW9" s="303">
        <v>10</v>
      </c>
      <c r="AX9" s="303"/>
      <c r="AY9" s="303">
        <v>11</v>
      </c>
      <c r="AZ9" s="303">
        <v>12</v>
      </c>
      <c r="BA9" s="470"/>
      <c r="BB9" s="488"/>
      <c r="BC9" s="488"/>
      <c r="BD9" s="488"/>
      <c r="BE9" s="488"/>
      <c r="BF9" s="489">
        <v>13</v>
      </c>
      <c r="BG9" s="489">
        <v>14</v>
      </c>
      <c r="BH9" s="490"/>
      <c r="BI9" s="488"/>
      <c r="BJ9" s="488"/>
      <c r="BK9" s="489">
        <v>15</v>
      </c>
      <c r="BL9" s="488"/>
      <c r="BM9" s="489">
        <v>16</v>
      </c>
      <c r="BN9" s="489">
        <v>17</v>
      </c>
      <c r="BO9" s="994"/>
      <c r="BP9" s="507">
        <v>18</v>
      </c>
      <c r="BQ9" s="508"/>
    </row>
    <row r="10" spans="1:69" ht="9.75" customHeight="1" thickBot="1">
      <c r="A10" s="963"/>
      <c r="B10" s="964"/>
      <c r="C10" s="965"/>
      <c r="D10" s="506"/>
      <c r="E10" s="506"/>
      <c r="F10" s="506"/>
      <c r="G10" s="506"/>
      <c r="H10" s="506"/>
      <c r="I10" s="508"/>
      <c r="J10" s="508"/>
      <c r="K10" s="508"/>
      <c r="L10" s="508"/>
      <c r="M10" s="966" t="s">
        <v>3428</v>
      </c>
      <c r="N10" s="966" t="s">
        <v>3429</v>
      </c>
      <c r="O10" s="966" t="s">
        <v>3430</v>
      </c>
      <c r="P10" s="966" t="s">
        <v>3431</v>
      </c>
      <c r="Q10" s="967" t="s">
        <v>3432</v>
      </c>
      <c r="R10" s="967" t="s">
        <v>170</v>
      </c>
      <c r="S10" s="967" t="s">
        <v>3433</v>
      </c>
      <c r="T10" s="967" t="s">
        <v>3434</v>
      </c>
      <c r="U10" s="967" t="s">
        <v>3435</v>
      </c>
      <c r="V10" s="967" t="s">
        <v>3436</v>
      </c>
      <c r="W10" s="967" t="s">
        <v>3437</v>
      </c>
      <c r="X10" s="968" t="s">
        <v>3439</v>
      </c>
      <c r="Y10" s="968" t="s">
        <v>3438</v>
      </c>
      <c r="Z10" s="968" t="s">
        <v>3440</v>
      </c>
      <c r="AA10" s="968" t="s">
        <v>3441</v>
      </c>
      <c r="AB10" s="968" t="s">
        <v>3432</v>
      </c>
      <c r="AC10" s="968" t="s">
        <v>3442</v>
      </c>
      <c r="AD10" s="969" t="s">
        <v>3443</v>
      </c>
      <c r="AE10" s="969" t="s">
        <v>3444</v>
      </c>
      <c r="AF10" s="969" t="s">
        <v>3445</v>
      </c>
      <c r="AG10" s="969" t="s">
        <v>3446</v>
      </c>
      <c r="AH10" s="970"/>
      <c r="AI10" s="970"/>
      <c r="AJ10" s="971"/>
      <c r="AK10" s="972"/>
      <c r="AL10" s="971"/>
      <c r="AM10" s="971"/>
      <c r="AN10" s="972"/>
      <c r="AO10" s="508"/>
      <c r="AP10" s="508"/>
      <c r="AQ10" s="508"/>
      <c r="AR10" s="508"/>
      <c r="AS10" s="508"/>
      <c r="AT10" s="508"/>
      <c r="AU10" s="508"/>
      <c r="AV10" s="508"/>
      <c r="AW10" s="508"/>
      <c r="AX10" s="508"/>
      <c r="AY10" s="508"/>
      <c r="AZ10" s="508"/>
      <c r="BA10" s="470"/>
      <c r="BB10" s="488"/>
      <c r="BC10" s="488"/>
      <c r="BD10" s="488"/>
      <c r="BE10" s="488"/>
      <c r="BF10" s="489"/>
      <c r="BG10" s="489"/>
      <c r="BH10" s="490"/>
      <c r="BI10" s="488"/>
      <c r="BJ10" s="488"/>
      <c r="BK10" s="489"/>
      <c r="BL10" s="488"/>
      <c r="BM10" s="489"/>
      <c r="BN10" s="489"/>
      <c r="BO10" s="973"/>
      <c r="BP10" s="507"/>
      <c r="BQ10" s="508"/>
    </row>
    <row r="11" spans="1:69" ht="15.75" customHeight="1">
      <c r="A11" s="416" t="s">
        <v>2240</v>
      </c>
      <c r="B11" s="417"/>
      <c r="C11" s="418"/>
      <c r="D11" s="418"/>
      <c r="E11" s="418"/>
      <c r="F11" s="418"/>
      <c r="G11" s="418"/>
      <c r="H11" s="418"/>
      <c r="I11" s="418"/>
      <c r="J11" s="418"/>
      <c r="K11" s="418"/>
      <c r="L11" s="304"/>
      <c r="M11" s="931"/>
      <c r="N11" s="931"/>
      <c r="O11" s="931"/>
      <c r="P11" s="931"/>
      <c r="Q11" s="939"/>
      <c r="R11" s="939"/>
      <c r="S11" s="939"/>
      <c r="T11" s="939"/>
      <c r="U11" s="939"/>
      <c r="V11" s="939"/>
      <c r="W11" s="939"/>
      <c r="X11" s="947"/>
      <c r="Y11" s="947"/>
      <c r="Z11" s="947"/>
      <c r="AA11" s="947"/>
      <c r="AB11" s="947"/>
      <c r="AC11" s="947"/>
      <c r="AD11" s="955"/>
      <c r="AE11" s="955"/>
      <c r="AF11" s="955"/>
      <c r="AG11" s="955"/>
      <c r="AH11" s="304"/>
      <c r="AI11" s="304"/>
      <c r="AJ11" s="304"/>
      <c r="AK11" s="446"/>
      <c r="AL11" s="304"/>
      <c r="AM11" s="304"/>
      <c r="AN11" s="446"/>
      <c r="AO11" s="304"/>
      <c r="AP11" s="304"/>
      <c r="AQ11" s="304"/>
      <c r="AR11" s="304"/>
      <c r="AS11" s="304"/>
      <c r="AT11" s="304"/>
      <c r="AU11" s="304"/>
      <c r="AV11" s="304"/>
      <c r="AW11" s="304"/>
      <c r="AX11" s="304"/>
      <c r="AY11" s="304"/>
      <c r="AZ11" s="304"/>
      <c r="BA11" s="471"/>
      <c r="BB11" s="304"/>
      <c r="BC11" s="304"/>
      <c r="BD11" s="304"/>
      <c r="BE11" s="304"/>
      <c r="BF11" s="304"/>
      <c r="BG11" s="304"/>
      <c r="BH11" s="491"/>
      <c r="BI11" s="304"/>
      <c r="BJ11" s="304"/>
      <c r="BK11" s="304"/>
      <c r="BL11" s="304"/>
      <c r="BM11" s="304"/>
      <c r="BN11" s="304"/>
      <c r="BO11" s="509"/>
      <c r="BP11" s="510"/>
      <c r="BQ11" s="511"/>
    </row>
    <row r="12" spans="1:69" ht="19.95" customHeight="1">
      <c r="A12" s="419" t="s">
        <v>2241</v>
      </c>
      <c r="B12" s="420" t="s">
        <v>52</v>
      </c>
      <c r="C12" s="421">
        <v>28</v>
      </c>
      <c r="D12" s="421" t="s">
        <v>2242</v>
      </c>
      <c r="E12" s="421" t="s">
        <v>2243</v>
      </c>
      <c r="F12" s="421" t="s">
        <v>2244</v>
      </c>
      <c r="G12" s="421" t="s">
        <v>2245</v>
      </c>
      <c r="H12" s="421"/>
      <c r="I12" s="419" t="s">
        <v>2246</v>
      </c>
      <c r="J12" s="421" t="str">
        <f t="shared" ref="J12:J18" si="0">IF(AX12="Regional Office",CONCATENATE(I12,"R"),IF(AX12="Abra",CONCATENATE(I12,"Ab"),IF(AX12="Apayao",CONCATENATE(I12,"Ap"),IF(AX12="Baguio City",CONCATENATE(I12,"BC"),IF(AX12="Ifugao",CONCATENATE(I12,"I"),IF(AX12="Mt. Province",CONCATENATE(I12,"MP"),IF(AX12="Kalinga",CONCATENATE(I12,"K"),IF(AX12="Benguet",CONCATENATE(I12,"B"),"Vacant"))))))))</f>
        <v>DIR4R</v>
      </c>
      <c r="K12" s="421" t="str">
        <f t="shared" ref="K12:K18" si="1">CONCATENATE(J12,AY12)</f>
        <v>DIR4RM</v>
      </c>
      <c r="L12" s="447" t="str">
        <f t="shared" ref="L12:L18" si="2">IF(AX12="Regional Office",(IF(AY12="M","RM","RF")),IF(AX12="Abra",(IF(AY12="M","AbM","AbF")),IF(AX12="Baguio City",(IF(AY12="M","BCM","BCF")),IF(AX12="Apayao",(IF(AY12="M","ApM","ApF")),IF(AX12="Benguet",(IF(AY12="M","BM","BF")),IF(AX12="Ifugao",(IF(AY12="M","IM","IF")),IF(AX12="Kalinga",(IF(AY12="M","KM","KF")),IF(AX12="Mt. Province",(IF(AY12="M","MPM","MPF")),"XXX"))))))))</f>
        <v>RM</v>
      </c>
      <c r="M12" s="932">
        <v>4</v>
      </c>
      <c r="N12" s="932">
        <v>4</v>
      </c>
      <c r="O12" s="932">
        <v>4</v>
      </c>
      <c r="P12" s="932">
        <v>4</v>
      </c>
      <c r="Q12" s="940"/>
      <c r="R12" s="940"/>
      <c r="S12" s="940"/>
      <c r="T12" s="940"/>
      <c r="U12" s="940"/>
      <c r="V12" s="940"/>
      <c r="W12" s="940"/>
      <c r="X12" s="948"/>
      <c r="Y12" s="948"/>
      <c r="Z12" s="948"/>
      <c r="AA12" s="948"/>
      <c r="AB12" s="948"/>
      <c r="AC12" s="948"/>
      <c r="AD12" s="616"/>
      <c r="AE12" s="616"/>
      <c r="AF12" s="616"/>
      <c r="AG12" s="616"/>
      <c r="AH12" s="448">
        <f t="shared" ref="AH12:AH18" si="3">VLOOKUP(C12,idica,2,FALSE)*12</f>
        <v>1646340</v>
      </c>
      <c r="AI12" s="449">
        <f t="shared" ref="AI12:AI18" si="4">(SUMPRODUCT((norman=C12)*(grace=AJ12)*(barnachea)))*12</f>
        <v>1673208</v>
      </c>
      <c r="AJ12" s="450">
        <v>2</v>
      </c>
      <c r="AK12" s="451" t="s">
        <v>53</v>
      </c>
      <c r="AL12" s="450" t="s">
        <v>54</v>
      </c>
      <c r="AM12" s="450" t="s">
        <v>55</v>
      </c>
      <c r="AN12" s="450">
        <v>310100100001000</v>
      </c>
      <c r="AO12" s="306" t="s">
        <v>57</v>
      </c>
      <c r="AP12" s="306" t="s">
        <v>2247</v>
      </c>
      <c r="AQ12" s="306" t="s">
        <v>57</v>
      </c>
      <c r="AR12" s="306" t="s">
        <v>1884</v>
      </c>
      <c r="AS12" s="306" t="s">
        <v>1885</v>
      </c>
      <c r="AT12" s="306" t="s">
        <v>1886</v>
      </c>
      <c r="AU12" s="306" t="str">
        <f>LEFT(AT12)&amp;IF(ISNUMBER(FIND(" ",AT12)),MID(AT12,FIND(" ",AT12)+1,1),"")&amp;IF(ISNUMBER(FIND(" ",AT12,FIND(" ",AT12)+1)),MID(AT12,FIND(" ",AT12,FIND(" ",AT12)+1)+1,1),"")</f>
        <v>L</v>
      </c>
      <c r="AV12" s="306" t="str">
        <f t="shared" ref="AV12:AV18" si="5">PROPER(CONCATENATE(AS12," ",AU12,". ",AR12))</f>
        <v>Marlo L. Iringan</v>
      </c>
      <c r="AW12" s="306" t="str">
        <f t="shared" ref="AW12:AW18" si="6">CONCATENATE(AR12,", ",AS12," ",AT12)</f>
        <v>IRINGAN, Marlo Lingan</v>
      </c>
      <c r="AX12" s="313" t="s">
        <v>57</v>
      </c>
      <c r="AY12" s="447" t="s">
        <v>62</v>
      </c>
      <c r="AZ12" s="472">
        <v>24422</v>
      </c>
      <c r="BA12" s="101">
        <f t="shared" ref="BA12:BA18" ca="1" si="7">DATEDIF(AZ12,TODAY(),"Y")</f>
        <v>59</v>
      </c>
      <c r="BB12" s="492" t="str">
        <f t="shared" ref="BB12:BB18" ca="1" si="8">IF(BA12&lt;30,"A",IF(BA12&lt;40,"B",IF(BA12&lt;50,"C",IF(BA12&lt;60,"D",IF(BA12&lt;65,"E","VACANT")))))</f>
        <v>D</v>
      </c>
      <c r="BC12" s="492" t="str">
        <f t="shared" ref="BC12:BC18" ca="1" si="9">+IF(AX12="Regional Office",(IF(BB12="A","RA",(IF(BB12="B","RB",IF(BB12="C","RC",IF(BB12="D","RD",IF(BB12="E","RE","VACANT"))))))),IF(AX12="Abra",(IF(BB12="A","AbA",(IF(BB12="B","AbB",IF(BB12="C","AbC",IF(BB12="D","AbD",IF(BB12="E","AbE","VACANT"))))))),IF(AX12="Baguio City",(IF(BB12="A","BCA",(IF(BB12="B","BCB",IF(BB12="C","BCC",IF(BB12="D","BCD",IF(BB12="E","BCE","VACANT"))))))),IF(AX12="Apayao",(IF(BB12="A","ApA",(IF(BB12="B","ApB",IF(BB12="C","ApC",IF(BB12="D","ApD",IF(BB12="E","ApE","VACANT"))))))),IF(AX12="Benguet",(IF(BB12="A","BA",(IF(BB12="B","BB",IF(BB12="C","BC",IF(BB12="D","BD",IF(BB12="E","BE","VACANT"))))))),IF(AX12="Ifugao",(IF(BB12="A","IA",(IF(BB12="B","IB",IF(BB12="C","IC",IF(BB12="D","ID",IF(BB12="E","IE","VACANT"))))))),IF(AX12="Kalinga",(IF(BB12="A","KA",(IF(BB12="B","KB",IF(BB12="C","KC",IF(BB12="D","KD",IF(BB12="E","KE","VACANT"))))))),IF(AX12="Mt. Province",(IF(BB12="A","MPA",(IF(BB12="B","MPB",IF(BB12="C","MPC",IF(BB12="D","MPD",IF(BB12="E","MPE","VACANT"))))))),"XXX"))))))))</f>
        <v>RD</v>
      </c>
      <c r="BD12" s="492" t="str">
        <f t="shared" ref="BD12:BD18" ca="1" si="10">CONCATENATE(BC12,AY12)</f>
        <v>RDM</v>
      </c>
      <c r="BE12" s="492" t="str">
        <f t="shared" ref="BE12:BE18" ca="1" si="11">CONCATENATE(I12,BD12)</f>
        <v>DIR4RDM</v>
      </c>
      <c r="BF12" s="447" t="s">
        <v>2248</v>
      </c>
      <c r="BG12" s="493">
        <v>32546</v>
      </c>
      <c r="BH12" s="493">
        <v>32675</v>
      </c>
      <c r="BI12" s="447">
        <f t="shared" ref="BI12:BI18" ca="1" si="12">DATEDIF(BG12,TODAY(),"Y")</f>
        <v>37</v>
      </c>
      <c r="BJ12" s="447">
        <f t="shared" ref="BJ12:BJ18" ca="1" si="13">DATEDIF(BH12,TODAY(),"Y")</f>
        <v>36</v>
      </c>
      <c r="BK12" s="493">
        <v>43146</v>
      </c>
      <c r="BL12" s="447">
        <f t="shared" ref="BL12:BL18" ca="1" si="14">DATEDIF(BK12,TODAY(),"Y")</f>
        <v>8</v>
      </c>
      <c r="BM12" s="447" t="s">
        <v>64</v>
      </c>
      <c r="BN12" s="512" t="s">
        <v>2249</v>
      </c>
      <c r="BO12" s="423" t="s">
        <v>2250</v>
      </c>
      <c r="BP12" s="513"/>
      <c r="BQ12" s="514" t="str">
        <f>CONCATENATE(3,AY12,BM12)</f>
        <v>3MP</v>
      </c>
    </row>
    <row r="13" spans="1:69" ht="19.95" customHeight="1">
      <c r="A13" s="422" t="s">
        <v>2251</v>
      </c>
      <c r="B13" s="423" t="s">
        <v>68</v>
      </c>
      <c r="C13" s="424">
        <v>27</v>
      </c>
      <c r="D13" s="421" t="s">
        <v>2242</v>
      </c>
      <c r="E13" s="421" t="s">
        <v>2243</v>
      </c>
      <c r="F13" s="421" t="s">
        <v>2244</v>
      </c>
      <c r="G13" s="421" t="s">
        <v>2245</v>
      </c>
      <c r="H13" s="424"/>
      <c r="I13" s="422" t="s">
        <v>2252</v>
      </c>
      <c r="J13" s="421" t="str">
        <f t="shared" si="0"/>
        <v>DIR3R</v>
      </c>
      <c r="K13" s="421" t="str">
        <f t="shared" si="1"/>
        <v>DIR3RF</v>
      </c>
      <c r="L13" s="447" t="str">
        <f t="shared" si="2"/>
        <v>RF</v>
      </c>
      <c r="M13" s="932">
        <v>4</v>
      </c>
      <c r="N13" s="932">
        <v>4</v>
      </c>
      <c r="O13" s="932">
        <v>4</v>
      </c>
      <c r="P13" s="932">
        <v>4</v>
      </c>
      <c r="Q13" s="940"/>
      <c r="R13" s="940"/>
      <c r="S13" s="940"/>
      <c r="T13" s="940"/>
      <c r="U13" s="940"/>
      <c r="V13" s="940"/>
      <c r="W13" s="940"/>
      <c r="X13" s="948"/>
      <c r="Y13" s="948"/>
      <c r="Z13" s="948"/>
      <c r="AA13" s="948"/>
      <c r="AB13" s="948"/>
      <c r="AC13" s="948"/>
      <c r="AD13" s="616"/>
      <c r="AE13" s="616"/>
      <c r="AF13" s="616"/>
      <c r="AG13" s="616"/>
      <c r="AH13" s="448">
        <f t="shared" si="3"/>
        <v>1456932</v>
      </c>
      <c r="AI13" s="449">
        <f t="shared" si="4"/>
        <v>1480716</v>
      </c>
      <c r="AJ13" s="450">
        <v>2</v>
      </c>
      <c r="AK13" s="452" t="s">
        <v>53</v>
      </c>
      <c r="AL13" s="447" t="s">
        <v>54</v>
      </c>
      <c r="AM13" s="447" t="s">
        <v>55</v>
      </c>
      <c r="AN13" s="447">
        <v>310100100001000</v>
      </c>
      <c r="AO13" s="306" t="s">
        <v>57</v>
      </c>
      <c r="AP13" s="306" t="s">
        <v>2247</v>
      </c>
      <c r="AQ13" s="306" t="s">
        <v>57</v>
      </c>
      <c r="AR13" s="306" t="s">
        <v>1955</v>
      </c>
      <c r="AS13" s="306" t="s">
        <v>1956</v>
      </c>
      <c r="AT13" s="306" t="s">
        <v>1957</v>
      </c>
      <c r="AU13" s="306" t="str">
        <f>LEFT(AT13)&amp;IF(ISNUMBER(FIND(" ",AT13)),MID(AT13,FIND(" ",AT13)+1,1),"")&amp;IF(ISNUMBER(FIND(" ",AT13,FIND(" ",AT13)+1)),MID(AT13,FIND(" ",AT13,FIND(" ",AT13)+1)+1,1),"")</f>
        <v>A</v>
      </c>
      <c r="AV13" s="306" t="str">
        <f t="shared" si="5"/>
        <v>Araceli A. San Jose</v>
      </c>
      <c r="AW13" s="306" t="str">
        <f t="shared" si="6"/>
        <v>SAN JOSE, Araceli Arruejo</v>
      </c>
      <c r="AX13" s="313" t="s">
        <v>57</v>
      </c>
      <c r="AY13" s="447" t="s">
        <v>100</v>
      </c>
      <c r="AZ13" s="472">
        <v>25461</v>
      </c>
      <c r="BA13" s="101">
        <f t="shared" ca="1" si="7"/>
        <v>56</v>
      </c>
      <c r="BB13" s="492" t="str">
        <f t="shared" ca="1" si="8"/>
        <v>D</v>
      </c>
      <c r="BC13" s="492" t="str">
        <f t="shared" ca="1" si="9"/>
        <v>RD</v>
      </c>
      <c r="BD13" s="492" t="str">
        <f t="shared" ca="1" si="10"/>
        <v>RDF</v>
      </c>
      <c r="BE13" s="492" t="str">
        <f t="shared" ca="1" si="11"/>
        <v>DIR3RDF</v>
      </c>
      <c r="BF13" s="447" t="s">
        <v>2253</v>
      </c>
      <c r="BG13" s="493">
        <v>35457</v>
      </c>
      <c r="BH13" s="493">
        <v>35457</v>
      </c>
      <c r="BI13" s="447">
        <f t="shared" ca="1" si="12"/>
        <v>29</v>
      </c>
      <c r="BJ13" s="447">
        <f t="shared" ca="1" si="13"/>
        <v>29</v>
      </c>
      <c r="BK13" s="493">
        <v>43549</v>
      </c>
      <c r="BL13" s="447">
        <f t="shared" ca="1" si="14"/>
        <v>6</v>
      </c>
      <c r="BM13" s="447" t="s">
        <v>64</v>
      </c>
      <c r="BN13" s="512" t="s">
        <v>65</v>
      </c>
      <c r="BO13" s="423" t="s">
        <v>2254</v>
      </c>
      <c r="BP13" s="513"/>
      <c r="BQ13" s="514" t="str">
        <f>CONCATENATE(3,AY13,BM13)</f>
        <v>3FP</v>
      </c>
    </row>
    <row r="14" spans="1:69" ht="19.95" customHeight="1">
      <c r="A14" s="422" t="s">
        <v>2255</v>
      </c>
      <c r="B14" s="423" t="s">
        <v>76</v>
      </c>
      <c r="C14" s="424">
        <v>23</v>
      </c>
      <c r="D14" s="424" t="s">
        <v>2256</v>
      </c>
      <c r="E14" s="424" t="s">
        <v>2257</v>
      </c>
      <c r="F14" s="424" t="s">
        <v>2258</v>
      </c>
      <c r="G14" s="424" t="s">
        <v>84</v>
      </c>
      <c r="H14" s="305" t="s">
        <v>2259</v>
      </c>
      <c r="I14" s="422" t="s">
        <v>2260</v>
      </c>
      <c r="J14" s="421" t="str">
        <f t="shared" si="0"/>
        <v>ATTY4R</v>
      </c>
      <c r="K14" s="421" t="str">
        <f t="shared" si="1"/>
        <v>ATTY4RF</v>
      </c>
      <c r="L14" s="447" t="str">
        <f t="shared" si="2"/>
        <v>RF</v>
      </c>
      <c r="M14" s="932">
        <v>3</v>
      </c>
      <c r="N14" s="932">
        <v>3</v>
      </c>
      <c r="O14" s="932">
        <v>3</v>
      </c>
      <c r="P14" s="932">
        <v>3</v>
      </c>
      <c r="Q14" s="940"/>
      <c r="R14" s="940"/>
      <c r="S14" s="940"/>
      <c r="T14" s="940"/>
      <c r="U14" s="940"/>
      <c r="V14" s="940"/>
      <c r="W14" s="940"/>
      <c r="X14" s="948"/>
      <c r="Y14" s="948"/>
      <c r="Z14" s="948"/>
      <c r="AA14" s="948"/>
      <c r="AB14" s="948"/>
      <c r="AC14" s="948"/>
      <c r="AD14" s="616"/>
      <c r="AE14" s="616"/>
      <c r="AF14" s="616"/>
      <c r="AG14" s="616"/>
      <c r="AH14" s="448">
        <f t="shared" si="3"/>
        <v>885732</v>
      </c>
      <c r="AI14" s="449">
        <f t="shared" si="4"/>
        <v>885732</v>
      </c>
      <c r="AJ14" s="450">
        <v>1</v>
      </c>
      <c r="AK14" s="452" t="s">
        <v>53</v>
      </c>
      <c r="AL14" s="447" t="s">
        <v>54</v>
      </c>
      <c r="AM14" s="447" t="s">
        <v>77</v>
      </c>
      <c r="AN14" s="447">
        <v>310100100001000</v>
      </c>
      <c r="AO14" s="306" t="s">
        <v>57</v>
      </c>
      <c r="AP14" s="305" t="s">
        <v>2247</v>
      </c>
      <c r="AQ14" s="306" t="s">
        <v>57</v>
      </c>
      <c r="AR14" s="306" t="s">
        <v>2166</v>
      </c>
      <c r="AS14" s="306" t="s">
        <v>2261</v>
      </c>
      <c r="AT14" s="306" t="s">
        <v>2167</v>
      </c>
      <c r="AU14" s="306" t="str">
        <f>LEFT(AT14)&amp;IF(ISNUMBER(FIND(" ",AT14)),MID(AT14,FIND(" ",AT14)+1,1),"")&amp;IF(ISNUMBER(FIND(" ",AT14,FIND(" ",AT14)+1)),MID(AT14,FIND(" ",AT14,FIND(" ",AT14)+1)+1,1),"")</f>
        <v>M</v>
      </c>
      <c r="AV14" s="306" t="str">
        <f t="shared" si="5"/>
        <v>Genevieve M. Shontogan</v>
      </c>
      <c r="AW14" s="306" t="str">
        <f t="shared" si="6"/>
        <v>SHONTOGAN, Genevieve Miguel</v>
      </c>
      <c r="AX14" s="313" t="s">
        <v>57</v>
      </c>
      <c r="AY14" s="447" t="s">
        <v>100</v>
      </c>
      <c r="AZ14" s="472">
        <v>31267</v>
      </c>
      <c r="BA14" s="101">
        <f t="shared" ca="1" si="7"/>
        <v>40</v>
      </c>
      <c r="BB14" s="492" t="str">
        <f t="shared" ca="1" si="8"/>
        <v>C</v>
      </c>
      <c r="BC14" s="492" t="str">
        <f t="shared" ca="1" si="9"/>
        <v>RC</v>
      </c>
      <c r="BD14" s="492" t="str">
        <f t="shared" ca="1" si="10"/>
        <v>RCF</v>
      </c>
      <c r="BE14" s="492" t="str">
        <f t="shared" ca="1" si="11"/>
        <v>ATTY4RCF</v>
      </c>
      <c r="BF14" s="447" t="s">
        <v>2262</v>
      </c>
      <c r="BG14" s="493">
        <v>41824</v>
      </c>
      <c r="BH14" s="494">
        <v>43360</v>
      </c>
      <c r="BI14" s="447">
        <f t="shared" ca="1" si="12"/>
        <v>11</v>
      </c>
      <c r="BJ14" s="447">
        <f t="shared" ca="1" si="13"/>
        <v>7</v>
      </c>
      <c r="BK14" s="493">
        <v>43360</v>
      </c>
      <c r="BL14" s="447">
        <f t="shared" ca="1" si="14"/>
        <v>7</v>
      </c>
      <c r="BM14" s="447" t="s">
        <v>64</v>
      </c>
      <c r="BN14" s="512" t="s">
        <v>84</v>
      </c>
      <c r="BO14" s="423" t="s">
        <v>2263</v>
      </c>
      <c r="BP14" s="513"/>
      <c r="BQ14" s="514" t="str">
        <f>CONCATENATE(2,AY14,BM14)</f>
        <v>2FP</v>
      </c>
    </row>
    <row r="15" spans="1:69" ht="19.95" customHeight="1">
      <c r="A15" s="422" t="s">
        <v>2264</v>
      </c>
      <c r="B15" s="423" t="s">
        <v>94</v>
      </c>
      <c r="C15" s="424">
        <v>19</v>
      </c>
      <c r="D15" s="424" t="s">
        <v>2265</v>
      </c>
      <c r="E15" s="424" t="s">
        <v>2257</v>
      </c>
      <c r="F15" s="424" t="s">
        <v>2258</v>
      </c>
      <c r="G15" s="424" t="s">
        <v>2266</v>
      </c>
      <c r="H15" s="305" t="s">
        <v>2267</v>
      </c>
      <c r="I15" s="422" t="s">
        <v>2268</v>
      </c>
      <c r="J15" s="421" t="str">
        <f t="shared" si="0"/>
        <v>ITO1R</v>
      </c>
      <c r="K15" s="421" t="str">
        <f t="shared" si="1"/>
        <v>ITO1RM</v>
      </c>
      <c r="L15" s="447" t="str">
        <f t="shared" si="2"/>
        <v>RM</v>
      </c>
      <c r="M15" s="932">
        <v>3</v>
      </c>
      <c r="N15" s="932">
        <v>3</v>
      </c>
      <c r="O15" s="932">
        <v>3</v>
      </c>
      <c r="P15" s="932">
        <v>3</v>
      </c>
      <c r="Q15" s="940"/>
      <c r="R15" s="940"/>
      <c r="S15" s="940"/>
      <c r="T15" s="940"/>
      <c r="U15" s="940"/>
      <c r="V15" s="940"/>
      <c r="W15" s="940"/>
      <c r="X15" s="948"/>
      <c r="Y15" s="948"/>
      <c r="Z15" s="948"/>
      <c r="AA15" s="948"/>
      <c r="AB15" s="948"/>
      <c r="AC15" s="948"/>
      <c r="AD15" s="616"/>
      <c r="AE15" s="616"/>
      <c r="AF15" s="616"/>
      <c r="AG15" s="616"/>
      <c r="AH15" s="448">
        <f t="shared" si="3"/>
        <v>543228</v>
      </c>
      <c r="AI15" s="449">
        <f t="shared" si="4"/>
        <v>561108</v>
      </c>
      <c r="AJ15" s="450">
        <v>3</v>
      </c>
      <c r="AK15" s="452" t="s">
        <v>53</v>
      </c>
      <c r="AL15" s="447" t="s">
        <v>54</v>
      </c>
      <c r="AM15" s="447" t="s">
        <v>77</v>
      </c>
      <c r="AN15" s="447">
        <v>310100100001000</v>
      </c>
      <c r="AO15" s="306" t="s">
        <v>57</v>
      </c>
      <c r="AP15" s="306" t="s">
        <v>2247</v>
      </c>
      <c r="AQ15" s="306" t="s">
        <v>57</v>
      </c>
      <c r="AR15" s="306" t="s">
        <v>379</v>
      </c>
      <c r="AS15" s="306" t="s">
        <v>380</v>
      </c>
      <c r="AT15" s="306" t="s">
        <v>1999</v>
      </c>
      <c r="AU15" s="306" t="str">
        <f>LEFT(AT15)&amp;IF(ISNUMBER(FIND(" ",AT15)),MID(AT15,FIND(" ",AT15)+1,1),"")&amp;IF(ISNUMBER(FIND(" ",AT15,FIND(" ",AT15)+1)),MID(AT15,FIND(" ",AT15,FIND(" ",AT15)+1)+1,1),"")</f>
        <v>B</v>
      </c>
      <c r="AV15" s="306" t="str">
        <f t="shared" si="5"/>
        <v>Zaldy B. Papat-Iw</v>
      </c>
      <c r="AW15" s="306" t="str">
        <f t="shared" si="6"/>
        <v>PAPAT-IW, Zaldy Bugtong</v>
      </c>
      <c r="AX15" s="313" t="s">
        <v>57</v>
      </c>
      <c r="AY15" s="424" t="s">
        <v>62</v>
      </c>
      <c r="AZ15" s="472">
        <v>27757</v>
      </c>
      <c r="BA15" s="101">
        <f t="shared" ca="1" si="7"/>
        <v>50</v>
      </c>
      <c r="BB15" s="492" t="str">
        <f t="shared" ca="1" si="8"/>
        <v>D</v>
      </c>
      <c r="BC15" s="492" t="str">
        <f t="shared" ca="1" si="9"/>
        <v>RD</v>
      </c>
      <c r="BD15" s="492" t="str">
        <f t="shared" ca="1" si="10"/>
        <v>RDM</v>
      </c>
      <c r="BE15" s="492" t="str">
        <f t="shared" ca="1" si="11"/>
        <v>ITO1RDM</v>
      </c>
      <c r="BF15" s="424" t="s">
        <v>382</v>
      </c>
      <c r="BG15" s="495">
        <v>37655</v>
      </c>
      <c r="BH15" s="495">
        <v>37655</v>
      </c>
      <c r="BI15" s="447">
        <f t="shared" ca="1" si="12"/>
        <v>23</v>
      </c>
      <c r="BJ15" s="447">
        <f t="shared" ca="1" si="13"/>
        <v>23</v>
      </c>
      <c r="BK15" s="515">
        <v>40969</v>
      </c>
      <c r="BL15" s="447">
        <f t="shared" ca="1" si="14"/>
        <v>14</v>
      </c>
      <c r="BM15" s="424" t="s">
        <v>64</v>
      </c>
      <c r="BN15" s="516" t="s">
        <v>102</v>
      </c>
      <c r="BO15" s="517" t="s">
        <v>2269</v>
      </c>
      <c r="BP15" s="513"/>
      <c r="BQ15" s="514" t="str">
        <f>CONCATENATE(2,AY15,BM15)</f>
        <v>2MP</v>
      </c>
    </row>
    <row r="16" spans="1:69" ht="19.95" customHeight="1">
      <c r="A16" s="422" t="s">
        <v>2270</v>
      </c>
      <c r="B16" s="423" t="s">
        <v>87</v>
      </c>
      <c r="C16" s="424">
        <v>18</v>
      </c>
      <c r="D16" s="424"/>
      <c r="E16" s="424"/>
      <c r="F16" s="424"/>
      <c r="G16" s="424"/>
      <c r="H16" s="424"/>
      <c r="I16" s="422" t="s">
        <v>2271</v>
      </c>
      <c r="J16" s="421" t="str">
        <f t="shared" si="0"/>
        <v>PLO3R</v>
      </c>
      <c r="K16" s="421" t="str">
        <f t="shared" si="1"/>
        <v>PLO3RF</v>
      </c>
      <c r="L16" s="447" t="str">
        <f t="shared" si="2"/>
        <v>RF</v>
      </c>
      <c r="M16" s="932">
        <v>3</v>
      </c>
      <c r="N16" s="932">
        <v>3</v>
      </c>
      <c r="O16" s="932">
        <v>3</v>
      </c>
      <c r="P16" s="932">
        <v>3</v>
      </c>
      <c r="Q16" s="940"/>
      <c r="R16" s="940"/>
      <c r="S16" s="940"/>
      <c r="T16" s="940"/>
      <c r="U16" s="940"/>
      <c r="V16" s="940"/>
      <c r="W16" s="940"/>
      <c r="X16" s="948"/>
      <c r="Y16" s="948"/>
      <c r="Z16" s="948"/>
      <c r="AA16" s="948"/>
      <c r="AB16" s="948"/>
      <c r="AC16" s="948"/>
      <c r="AD16" s="616"/>
      <c r="AE16" s="616"/>
      <c r="AF16" s="616"/>
      <c r="AG16" s="616"/>
      <c r="AH16" s="448">
        <f t="shared" si="3"/>
        <v>487644</v>
      </c>
      <c r="AI16" s="449">
        <f t="shared" si="4"/>
        <v>487644</v>
      </c>
      <c r="AJ16" s="450">
        <v>1</v>
      </c>
      <c r="AK16" s="452" t="s">
        <v>53</v>
      </c>
      <c r="AL16" s="447" t="s">
        <v>54</v>
      </c>
      <c r="AM16" s="447" t="s">
        <v>77</v>
      </c>
      <c r="AN16" s="447">
        <v>310100100001000</v>
      </c>
      <c r="AO16" s="306" t="s">
        <v>57</v>
      </c>
      <c r="AP16" s="306" t="s">
        <v>2247</v>
      </c>
      <c r="AQ16" s="306" t="s">
        <v>57</v>
      </c>
      <c r="AR16" s="312" t="s">
        <v>2079</v>
      </c>
      <c r="AS16" s="312" t="s">
        <v>2080</v>
      </c>
      <c r="AT16" s="312" t="s">
        <v>2081</v>
      </c>
      <c r="AU16" s="306" t="str">
        <f t="shared" ref="AU16:AU28" si="15">LEFT(AT16)&amp;IF(ISNUMBER(FIND(" ",AT16)),MID(AT16,FIND(" ",AT16)+1,1),"")&amp;IF(ISNUMBER(FIND(" ",AT16,FIND(" ",AT16)+1)),MID(AT16,FIND(" ",AT16,FIND(" ",AT16)+1)+1,1),"")</f>
        <v>S</v>
      </c>
      <c r="AV16" s="306" t="str">
        <f t="shared" si="5"/>
        <v>Fe S. Binay-An</v>
      </c>
      <c r="AW16" s="306" t="str">
        <f t="shared" si="6"/>
        <v>BINAY-AN, Fe Suerte</v>
      </c>
      <c r="AX16" s="313" t="s">
        <v>57</v>
      </c>
      <c r="AY16" s="447" t="s">
        <v>100</v>
      </c>
      <c r="AZ16" s="472">
        <v>29850</v>
      </c>
      <c r="BA16" s="101">
        <f t="shared" ca="1" si="7"/>
        <v>44</v>
      </c>
      <c r="BB16" s="492" t="str">
        <f t="shared" ca="1" si="8"/>
        <v>C</v>
      </c>
      <c r="BC16" s="492" t="str">
        <f t="shared" ca="1" si="9"/>
        <v>RC</v>
      </c>
      <c r="BD16" s="492" t="str">
        <f t="shared" ca="1" si="10"/>
        <v>RCF</v>
      </c>
      <c r="BE16" s="492" t="str">
        <f t="shared" ca="1" si="11"/>
        <v>PLO3RCF</v>
      </c>
      <c r="BF16" s="447" t="s">
        <v>2272</v>
      </c>
      <c r="BG16" s="493">
        <v>41260</v>
      </c>
      <c r="BH16" s="493">
        <v>41260</v>
      </c>
      <c r="BI16" s="447">
        <f t="shared" ca="1" si="12"/>
        <v>13</v>
      </c>
      <c r="BJ16" s="447">
        <f t="shared" ca="1" si="13"/>
        <v>13</v>
      </c>
      <c r="BK16" s="493">
        <v>42653</v>
      </c>
      <c r="BL16" s="447">
        <f t="shared" ca="1" si="14"/>
        <v>9</v>
      </c>
      <c r="BM16" s="447" t="s">
        <v>64</v>
      </c>
      <c r="BN16" s="512" t="s">
        <v>84</v>
      </c>
      <c r="BO16" s="423" t="s">
        <v>2273</v>
      </c>
      <c r="BP16" s="513"/>
      <c r="BQ16" s="514" t="str">
        <f>CONCATENATE(2,AY16,BM16)</f>
        <v>2FP</v>
      </c>
    </row>
    <row r="17" spans="1:69" ht="19.95" customHeight="1">
      <c r="A17" s="422" t="s">
        <v>111</v>
      </c>
      <c r="B17" s="423" t="s">
        <v>370</v>
      </c>
      <c r="C17" s="424">
        <v>9</v>
      </c>
      <c r="D17" s="424" t="s">
        <v>2276</v>
      </c>
      <c r="E17" s="424" t="s">
        <v>2277</v>
      </c>
      <c r="F17" s="424" t="s">
        <v>2278</v>
      </c>
      <c r="G17" s="424" t="s">
        <v>2279</v>
      </c>
      <c r="H17" s="305" t="s">
        <v>2280</v>
      </c>
      <c r="I17" s="422" t="s">
        <v>2281</v>
      </c>
      <c r="J17" s="421" t="str">
        <f t="shared" si="0"/>
        <v>ADAS3R</v>
      </c>
      <c r="K17" s="421" t="str">
        <f t="shared" si="1"/>
        <v>ADAS3RF</v>
      </c>
      <c r="L17" s="447" t="str">
        <f t="shared" si="2"/>
        <v>RF</v>
      </c>
      <c r="M17" s="932">
        <v>1</v>
      </c>
      <c r="N17" s="932">
        <v>1</v>
      </c>
      <c r="O17" s="932">
        <v>1</v>
      </c>
      <c r="P17" s="932">
        <v>1</v>
      </c>
      <c r="Q17" s="940"/>
      <c r="R17" s="940"/>
      <c r="S17" s="940"/>
      <c r="T17" s="940"/>
      <c r="U17" s="940"/>
      <c r="V17" s="940"/>
      <c r="W17" s="940"/>
      <c r="X17" s="948"/>
      <c r="Y17" s="948"/>
      <c r="Z17" s="948"/>
      <c r="AA17" s="948"/>
      <c r="AB17" s="948"/>
      <c r="AC17" s="948"/>
      <c r="AD17" s="616"/>
      <c r="AE17" s="616"/>
      <c r="AF17" s="616"/>
      <c r="AG17" s="616"/>
      <c r="AH17" s="448">
        <f t="shared" si="3"/>
        <v>215700</v>
      </c>
      <c r="AI17" s="449">
        <f t="shared" si="4"/>
        <v>226752</v>
      </c>
      <c r="AJ17" s="450">
        <v>7</v>
      </c>
      <c r="AK17" s="452" t="s">
        <v>53</v>
      </c>
      <c r="AL17" s="447" t="s">
        <v>54</v>
      </c>
      <c r="AM17" s="447" t="s">
        <v>81</v>
      </c>
      <c r="AN17" s="447">
        <v>310100100001000</v>
      </c>
      <c r="AO17" s="306" t="s">
        <v>57</v>
      </c>
      <c r="AP17" s="306" t="s">
        <v>2247</v>
      </c>
      <c r="AQ17" s="306" t="s">
        <v>57</v>
      </c>
      <c r="AR17" s="305" t="s">
        <v>113</v>
      </c>
      <c r="AS17" s="305" t="s">
        <v>2282</v>
      </c>
      <c r="AT17" s="305" t="s">
        <v>1949</v>
      </c>
      <c r="AU17" s="306" t="str">
        <f t="shared" si="15"/>
        <v>B</v>
      </c>
      <c r="AV17" s="306" t="str">
        <f t="shared" si="5"/>
        <v>Marian Pait B. Daoas</v>
      </c>
      <c r="AW17" s="306" t="str">
        <f t="shared" si="6"/>
        <v>DAOAS, Marian Pait Bigsang</v>
      </c>
      <c r="AX17" s="313" t="s">
        <v>57</v>
      </c>
      <c r="AY17" s="447" t="s">
        <v>100</v>
      </c>
      <c r="AZ17" s="472">
        <v>23697</v>
      </c>
      <c r="BA17" s="101">
        <f t="shared" ca="1" si="7"/>
        <v>61</v>
      </c>
      <c r="BB17" s="492" t="str">
        <f t="shared" ca="1" si="8"/>
        <v>E</v>
      </c>
      <c r="BC17" s="492" t="str">
        <f t="shared" ca="1" si="9"/>
        <v>RE</v>
      </c>
      <c r="BD17" s="492" t="str">
        <f t="shared" ca="1" si="10"/>
        <v>REF</v>
      </c>
      <c r="BE17" s="492" t="str">
        <f t="shared" ca="1" si="11"/>
        <v>ADAS3REF</v>
      </c>
      <c r="BF17" s="447" t="s">
        <v>117</v>
      </c>
      <c r="BG17" s="493">
        <v>35037</v>
      </c>
      <c r="BH17" s="493">
        <v>35037</v>
      </c>
      <c r="BI17" s="447">
        <f t="shared" ca="1" si="12"/>
        <v>30</v>
      </c>
      <c r="BJ17" s="447">
        <f t="shared" ca="1" si="13"/>
        <v>30</v>
      </c>
      <c r="BK17" s="493">
        <v>36069</v>
      </c>
      <c r="BL17" s="447">
        <f t="shared" ca="1" si="14"/>
        <v>27</v>
      </c>
      <c r="BM17" s="447" t="s">
        <v>64</v>
      </c>
      <c r="BN17" s="512" t="s">
        <v>215</v>
      </c>
      <c r="BO17" s="423" t="s">
        <v>2283</v>
      </c>
      <c r="BP17" s="513"/>
      <c r="BQ17" s="514" t="str">
        <f>CONCATENATE(1,AY17,BM17)</f>
        <v>1FP</v>
      </c>
    </row>
    <row r="18" spans="1:69" ht="19.95" customHeight="1">
      <c r="A18" s="422" t="s">
        <v>132</v>
      </c>
      <c r="B18" s="423" t="s">
        <v>133</v>
      </c>
      <c r="C18" s="424">
        <v>4</v>
      </c>
      <c r="D18" s="424" t="s">
        <v>2284</v>
      </c>
      <c r="E18" s="424" t="s">
        <v>265</v>
      </c>
      <c r="F18" s="424" t="s">
        <v>265</v>
      </c>
      <c r="G18" s="424" t="s">
        <v>2285</v>
      </c>
      <c r="H18" s="424"/>
      <c r="I18" s="422" t="s">
        <v>2286</v>
      </c>
      <c r="J18" s="421" t="str">
        <f t="shared" si="0"/>
        <v>ADA4R</v>
      </c>
      <c r="K18" s="421" t="str">
        <f t="shared" si="1"/>
        <v>ADA4RM</v>
      </c>
      <c r="L18" s="447" t="str">
        <f t="shared" si="2"/>
        <v>RM</v>
      </c>
      <c r="M18" s="932">
        <v>1</v>
      </c>
      <c r="N18" s="932">
        <v>1</v>
      </c>
      <c r="O18" s="932">
        <v>1</v>
      </c>
      <c r="P18" s="932">
        <v>1</v>
      </c>
      <c r="Q18" s="940"/>
      <c r="R18" s="940"/>
      <c r="S18" s="940"/>
      <c r="T18" s="940"/>
      <c r="U18" s="940"/>
      <c r="V18" s="940"/>
      <c r="W18" s="940"/>
      <c r="X18" s="948"/>
      <c r="Y18" s="948"/>
      <c r="Z18" s="948"/>
      <c r="AA18" s="948"/>
      <c r="AB18" s="948"/>
      <c r="AC18" s="948"/>
      <c r="AD18" s="616"/>
      <c r="AE18" s="616"/>
      <c r="AF18" s="616"/>
      <c r="AG18" s="616"/>
      <c r="AH18" s="448">
        <f t="shared" si="3"/>
        <v>158568</v>
      </c>
      <c r="AI18" s="449">
        <f t="shared" si="4"/>
        <v>158568</v>
      </c>
      <c r="AJ18" s="450">
        <v>1</v>
      </c>
      <c r="AK18" s="452" t="s">
        <v>53</v>
      </c>
      <c r="AL18" s="447" t="s">
        <v>54</v>
      </c>
      <c r="AM18" s="447" t="s">
        <v>81</v>
      </c>
      <c r="AN18" s="447">
        <v>310100100001000</v>
      </c>
      <c r="AO18" s="306" t="s">
        <v>57</v>
      </c>
      <c r="AP18" s="305" t="s">
        <v>2247</v>
      </c>
      <c r="AQ18" s="306" t="s">
        <v>57</v>
      </c>
      <c r="AR18" s="306" t="s">
        <v>2158</v>
      </c>
      <c r="AS18" s="306" t="s">
        <v>2287</v>
      </c>
      <c r="AT18" s="306" t="s">
        <v>2159</v>
      </c>
      <c r="AU18" s="306" t="str">
        <f t="shared" si="15"/>
        <v>L</v>
      </c>
      <c r="AV18" s="306" t="str">
        <f t="shared" si="5"/>
        <v>El-Wood Duane  L. Pultz</v>
      </c>
      <c r="AW18" s="306" t="str">
        <f t="shared" si="6"/>
        <v>PULTZ, El-wood Duane  Lingbawan</v>
      </c>
      <c r="AX18" s="313" t="s">
        <v>57</v>
      </c>
      <c r="AY18" s="447" t="s">
        <v>62</v>
      </c>
      <c r="AZ18" s="472">
        <v>27230</v>
      </c>
      <c r="BA18" s="101">
        <f t="shared" ca="1" si="7"/>
        <v>51</v>
      </c>
      <c r="BB18" s="492" t="str">
        <f t="shared" ca="1" si="8"/>
        <v>D</v>
      </c>
      <c r="BC18" s="492" t="str">
        <f t="shared" ca="1" si="9"/>
        <v>RD</v>
      </c>
      <c r="BD18" s="492" t="str">
        <f t="shared" ca="1" si="10"/>
        <v>RDM</v>
      </c>
      <c r="BE18" s="492" t="str">
        <f t="shared" ca="1" si="11"/>
        <v>ADA4RDM</v>
      </c>
      <c r="BF18" s="447" t="s">
        <v>2288</v>
      </c>
      <c r="BG18" s="493">
        <v>42891</v>
      </c>
      <c r="BH18" s="493">
        <v>42891</v>
      </c>
      <c r="BI18" s="447">
        <f t="shared" ca="1" si="12"/>
        <v>8</v>
      </c>
      <c r="BJ18" s="447">
        <f t="shared" ca="1" si="13"/>
        <v>8</v>
      </c>
      <c r="BK18" s="493">
        <v>42891</v>
      </c>
      <c r="BL18" s="447">
        <f t="shared" ca="1" si="14"/>
        <v>8</v>
      </c>
      <c r="BM18" s="447" t="s">
        <v>2289</v>
      </c>
      <c r="BN18" s="512"/>
      <c r="BO18" s="423" t="s">
        <v>2290</v>
      </c>
      <c r="BP18" s="513"/>
      <c r="BQ18" s="514" t="str">
        <f>CONCATENATE(1,AY18,BM18)</f>
        <v>1MCTO</v>
      </c>
    </row>
    <row r="19" spans="1:69" ht="19.95" customHeight="1" thickBot="1">
      <c r="A19" s="425" t="s">
        <v>147</v>
      </c>
      <c r="B19" s="426"/>
      <c r="C19" s="427"/>
      <c r="D19" s="427"/>
      <c r="E19" s="427"/>
      <c r="F19" s="427"/>
      <c r="G19" s="427"/>
      <c r="H19" s="427"/>
      <c r="I19" s="425"/>
      <c r="J19" s="453"/>
      <c r="K19" s="453"/>
      <c r="L19" s="447"/>
      <c r="M19" s="933"/>
      <c r="N19" s="933"/>
      <c r="O19" s="933"/>
      <c r="P19" s="933"/>
      <c r="Q19" s="941"/>
      <c r="R19" s="941"/>
      <c r="S19" s="941"/>
      <c r="T19" s="941"/>
      <c r="U19" s="941"/>
      <c r="V19" s="941"/>
      <c r="W19" s="941"/>
      <c r="X19" s="949"/>
      <c r="Y19" s="949"/>
      <c r="Z19" s="949"/>
      <c r="AA19" s="949"/>
      <c r="AB19" s="949"/>
      <c r="AC19" s="949"/>
      <c r="AD19" s="956"/>
      <c r="AE19" s="956"/>
      <c r="AF19" s="956"/>
      <c r="AG19" s="956"/>
      <c r="AH19" s="308"/>
      <c r="AI19" s="308"/>
      <c r="AJ19" s="454">
        <f>COUNTIF(AJ12:AJ18,"&lt;&gt;")</f>
        <v>7</v>
      </c>
      <c r="AK19" s="455"/>
      <c r="AL19" s="308"/>
      <c r="AM19" s="308"/>
      <c r="AN19" s="308"/>
      <c r="AO19" s="308"/>
      <c r="AP19" s="308"/>
      <c r="AQ19" s="308"/>
      <c r="AR19" s="308"/>
      <c r="AS19" s="308"/>
      <c r="AT19" s="308"/>
      <c r="AU19" s="308"/>
      <c r="AV19" s="308"/>
      <c r="AW19" s="308"/>
      <c r="AX19" s="308"/>
      <c r="AY19" s="308"/>
      <c r="AZ19" s="308"/>
      <c r="BA19" s="473"/>
      <c r="BB19" s="308"/>
      <c r="BC19" s="308"/>
      <c r="BD19" s="308"/>
      <c r="BE19" s="308"/>
      <c r="BF19" s="308"/>
      <c r="BG19" s="308"/>
      <c r="BH19" s="496"/>
      <c r="BI19" s="308"/>
      <c r="BJ19" s="308"/>
      <c r="BK19" s="308"/>
      <c r="BL19" s="308"/>
      <c r="BM19" s="308"/>
      <c r="BN19" s="308"/>
      <c r="BO19" s="308"/>
      <c r="BP19" s="518"/>
      <c r="BQ19" s="519"/>
    </row>
    <row r="20" spans="1:69" ht="19.95" customHeight="1">
      <c r="A20" s="428" t="s">
        <v>2291</v>
      </c>
      <c r="B20" s="429"/>
      <c r="C20" s="430"/>
      <c r="D20" s="430"/>
      <c r="E20" s="430"/>
      <c r="F20" s="430"/>
      <c r="G20" s="430"/>
      <c r="H20" s="430"/>
      <c r="I20" s="428"/>
      <c r="J20" s="430"/>
      <c r="K20" s="430"/>
      <c r="L20" s="447"/>
      <c r="M20" s="934"/>
      <c r="N20" s="934"/>
      <c r="O20" s="934"/>
      <c r="P20" s="934"/>
      <c r="Q20" s="942"/>
      <c r="R20" s="942"/>
      <c r="S20" s="942"/>
      <c r="T20" s="942"/>
      <c r="U20" s="942"/>
      <c r="V20" s="942"/>
      <c r="W20" s="942"/>
      <c r="X20" s="950"/>
      <c r="Y20" s="950"/>
      <c r="Z20" s="950"/>
      <c r="AA20" s="950"/>
      <c r="AB20" s="950"/>
      <c r="AC20" s="950"/>
      <c r="AD20" s="957"/>
      <c r="AE20" s="957"/>
      <c r="AF20" s="957"/>
      <c r="AG20" s="957"/>
      <c r="AH20" s="456"/>
      <c r="AI20" s="456"/>
      <c r="AJ20" s="456"/>
      <c r="AK20" s="457"/>
      <c r="AL20" s="456"/>
      <c r="AM20" s="456"/>
      <c r="AN20" s="456"/>
      <c r="AO20" s="456"/>
      <c r="AP20" s="456"/>
      <c r="AQ20" s="456"/>
      <c r="AR20" s="456"/>
      <c r="AS20" s="456"/>
      <c r="AT20" s="456"/>
      <c r="AU20" s="456"/>
      <c r="AV20" s="456"/>
      <c r="AW20" s="456"/>
      <c r="AX20" s="456"/>
      <c r="AY20" s="456"/>
      <c r="AZ20" s="456"/>
      <c r="BA20" s="474"/>
      <c r="BB20" s="456"/>
      <c r="BC20" s="456"/>
      <c r="BD20" s="456"/>
      <c r="BE20" s="456"/>
      <c r="BF20" s="456"/>
      <c r="BG20" s="456"/>
      <c r="BH20" s="497"/>
      <c r="BI20" s="456"/>
      <c r="BJ20" s="456"/>
      <c r="BK20" s="456"/>
      <c r="BL20" s="456"/>
      <c r="BM20" s="456"/>
      <c r="BN20" s="456"/>
      <c r="BO20" s="456"/>
      <c r="BP20" s="520"/>
      <c r="BQ20" s="521"/>
    </row>
    <row r="21" spans="1:69" ht="19.95" customHeight="1">
      <c r="A21" s="422" t="s">
        <v>150</v>
      </c>
      <c r="B21" s="423" t="s">
        <v>151</v>
      </c>
      <c r="C21" s="424">
        <v>24</v>
      </c>
      <c r="D21" s="424" t="s">
        <v>2292</v>
      </c>
      <c r="E21" s="424" t="s">
        <v>2293</v>
      </c>
      <c r="F21" s="424" t="s">
        <v>2294</v>
      </c>
      <c r="G21" s="424" t="s">
        <v>2295</v>
      </c>
      <c r="H21" s="424"/>
      <c r="I21" s="422" t="s">
        <v>2296</v>
      </c>
      <c r="J21" s="421" t="str">
        <f t="shared" ref="J21:J28" si="16">IF(AX21="Regional Office",CONCATENATE(I21,"R"),IF(AX21="Abra",CONCATENATE(I21,"Ab"),IF(AX21="Apayao",CONCATENATE(I21,"Ap"),IF(AX21="Baguio City",CONCATENATE(I21,"BC"),IF(AX21="Ifugao",CONCATENATE(I21,"I"),IF(AX21="Mt. Province",CONCATENATE(I21,"MP"),IF(AX21="Kalinga",CONCATENATE(I21,"K"),IF(AX21="Benguet",CONCATENATE(I21,"B"),"Vacant"))))))))</f>
        <v>LGOO7R</v>
      </c>
      <c r="K21" s="421" t="str">
        <f t="shared" ref="K21:K28" si="17">CONCATENATE(J21,AY21)</f>
        <v>LGOO7RF</v>
      </c>
      <c r="L21" s="447" t="str">
        <f t="shared" ref="L21:L28" si="18">IF(AX21="Regional Office",(IF(AY21="M","RM","RF")),IF(AX21="Abra",(IF(AY21="M","AbM","AbF")),IF(AX21="Baguio City",(IF(AY21="M","BCM","BCF")),IF(AX21="Apayao",(IF(AY21="M","ApM","ApF")),IF(AX21="Benguet",(IF(AY21="M","BM","BF")),IF(AX21="Ifugao",(IF(AY21="M","IM","IF")),IF(AX21="Kalinga",(IF(AY21="M","KM","KF")),IF(AX21="Mt. Province",(IF(AY21="M","MPM","MPF")),"XXX"))))))))</f>
        <v>RF</v>
      </c>
      <c r="M21" s="932">
        <v>3</v>
      </c>
      <c r="N21" s="932">
        <v>3</v>
      </c>
      <c r="O21" s="932">
        <v>3</v>
      </c>
      <c r="P21" s="932">
        <v>3</v>
      </c>
      <c r="Q21" s="940"/>
      <c r="R21" s="940"/>
      <c r="S21" s="940"/>
      <c r="T21" s="940"/>
      <c r="U21" s="940"/>
      <c r="V21" s="940"/>
      <c r="W21" s="940"/>
      <c r="X21" s="948"/>
      <c r="Y21" s="948"/>
      <c r="Z21" s="948"/>
      <c r="AA21" s="948"/>
      <c r="AB21" s="948"/>
      <c r="AC21" s="948"/>
      <c r="AD21" s="616"/>
      <c r="AE21" s="616"/>
      <c r="AF21" s="616"/>
      <c r="AG21" s="616"/>
      <c r="AH21" s="448">
        <f t="shared" ref="AH21:AH28" si="19">VLOOKUP(C21,idica,2,FALSE)*12</f>
        <v>1000872</v>
      </c>
      <c r="AI21" s="449">
        <f t="shared" ref="AI21:AI28" si="20">(SUMPRODUCT((norman=C21)*(grace=AJ21)*(barnachea)))*12</f>
        <v>1000872</v>
      </c>
      <c r="AJ21" s="450">
        <v>1</v>
      </c>
      <c r="AK21" s="452" t="s">
        <v>197</v>
      </c>
      <c r="AL21" s="447" t="s">
        <v>64</v>
      </c>
      <c r="AM21" s="447" t="s">
        <v>55</v>
      </c>
      <c r="AN21" s="447">
        <v>310100100001000</v>
      </c>
      <c r="AO21" s="306" t="s">
        <v>57</v>
      </c>
      <c r="AP21" s="306" t="s">
        <v>2297</v>
      </c>
      <c r="AQ21" s="306" t="s">
        <v>2298</v>
      </c>
      <c r="AR21" s="306" t="s">
        <v>705</v>
      </c>
      <c r="AS21" s="306" t="s">
        <v>706</v>
      </c>
      <c r="AT21" s="306" t="s">
        <v>1922</v>
      </c>
      <c r="AU21" s="306" t="str">
        <f t="shared" si="15"/>
        <v>A</v>
      </c>
      <c r="AV21" s="306" t="str">
        <f t="shared" ref="AV21:AV28" si="21">PROPER(CONCATENATE(AS21," ",AU21,". ",AR21))</f>
        <v>Daisy A. Payang</v>
      </c>
      <c r="AW21" s="306" t="str">
        <f t="shared" ref="AW21:AW28" si="22">CONCATENATE(AR21,", ",AS21," ",AT21)</f>
        <v>PAYANG, Daisy Amoy</v>
      </c>
      <c r="AX21" s="314" t="s">
        <v>57</v>
      </c>
      <c r="AY21" s="447" t="s">
        <v>100</v>
      </c>
      <c r="AZ21" s="472">
        <v>25540</v>
      </c>
      <c r="BA21" s="101">
        <f t="shared" ref="BA21:BA28" ca="1" si="23">DATEDIF(AZ21,TODAY(),"Y")</f>
        <v>56</v>
      </c>
      <c r="BB21" s="492" t="str">
        <f t="shared" ref="BB21:BB28" ca="1" si="24">IF(BA21&lt;30,"A",IF(BA21&lt;40,"B",IF(BA21&lt;50,"C",IF(BA21&lt;60,"D",IF(BA21&lt;65,"E","VACANT")))))</f>
        <v>D</v>
      </c>
      <c r="BC21" s="492" t="str">
        <f t="shared" ref="BC21:BC28" ca="1" si="25">+IF(AX21="Regional Office",(IF(BB21="A","RA",(IF(BB21="B","RB",IF(BB21="C","RC",IF(BB21="D","RD",IF(BB21="E","RE","VACANT"))))))),IF(AX21="Abra",(IF(BB21="A","AbA",(IF(BB21="B","AbB",IF(BB21="C","AbC",IF(BB21="D","AbD",IF(BB21="E","AbE","VACANT"))))))),IF(AX21="Baguio City",(IF(BB21="A","BCA",(IF(BB21="B","BCB",IF(BB21="C","BCC",IF(BB21="D","BCD",IF(BB21="E","BCE","VACANT"))))))),IF(AX21="Apayao",(IF(BB21="A","ApA",(IF(BB21="B","ApB",IF(BB21="C","ApC",IF(BB21="D","ApD",IF(BB21="E","ApE","VACANT"))))))),IF(AX21="Benguet",(IF(BB21="A","BA",(IF(BB21="B","BB",IF(BB21="C","BC",IF(BB21="D","BD",IF(BB21="E","BE","VACANT"))))))),IF(AX21="Ifugao",(IF(BB21="A","IA",(IF(BB21="B","IB",IF(BB21="C","IC",IF(BB21="D","ID",IF(BB21="E","IE","VACANT"))))))),IF(AX21="Kalinga",(IF(BB21="A","KA",(IF(BB21="B","KB",IF(BB21="C","KC",IF(BB21="D","KD",IF(BB21="E","KE","VACANT"))))))),IF(AX21="Mt. Province",(IF(BB21="A","MPA",(IF(BB21="B","MPB",IF(BB21="C","MPC",IF(BB21="D","MPD",IF(BB21="E","MPE","VACANT"))))))),"XXX"))))))))</f>
        <v>RD</v>
      </c>
      <c r="BD21" s="492" t="str">
        <f t="shared" ref="BD21:BD28" ca="1" si="26">CONCATENATE(BC21,AY21)</f>
        <v>RDF</v>
      </c>
      <c r="BE21" s="492" t="str">
        <f t="shared" ref="BE21:BE28" ca="1" si="27">CONCATENATE(I21,BD21)</f>
        <v>LGOO7RDF</v>
      </c>
      <c r="BF21" s="447" t="s">
        <v>708</v>
      </c>
      <c r="BG21" s="493">
        <v>33648</v>
      </c>
      <c r="BH21" s="493">
        <v>33648</v>
      </c>
      <c r="BI21" s="447">
        <f t="shared" ref="BI21:BI28" ca="1" si="28">DATEDIF(BG21,TODAY(),"Y")</f>
        <v>34</v>
      </c>
      <c r="BJ21" s="447">
        <f t="shared" ref="BJ21:BJ28" ca="1" si="29">DATEDIF(BH21,TODAY(),"Y")</f>
        <v>34</v>
      </c>
      <c r="BK21" s="493">
        <v>42569</v>
      </c>
      <c r="BL21" s="447">
        <f t="shared" ref="BL21:BL28" ca="1" si="30">DATEDIF(BK21,TODAY(),"Y")</f>
        <v>9</v>
      </c>
      <c r="BM21" s="447" t="s">
        <v>64</v>
      </c>
      <c r="BN21" s="512" t="s">
        <v>709</v>
      </c>
      <c r="BO21" s="423" t="s">
        <v>2299</v>
      </c>
      <c r="BP21" s="513"/>
      <c r="BQ21" s="514" t="str">
        <f t="shared" ref="BQ21:BQ27" si="31">CONCATENATE(2,AY21,BM21)</f>
        <v>2FP</v>
      </c>
    </row>
    <row r="22" spans="1:69" ht="19.95" customHeight="1">
      <c r="A22" s="422" t="s">
        <v>156</v>
      </c>
      <c r="B22" s="423" t="s">
        <v>157</v>
      </c>
      <c r="C22" s="424">
        <v>22</v>
      </c>
      <c r="D22" s="424"/>
      <c r="E22" s="424"/>
      <c r="F22" s="424"/>
      <c r="G22" s="424"/>
      <c r="H22" s="424"/>
      <c r="I22" s="422" t="s">
        <v>2300</v>
      </c>
      <c r="J22" s="421" t="str">
        <f t="shared" si="16"/>
        <v>LGOO6B</v>
      </c>
      <c r="K22" s="421" t="str">
        <f t="shared" si="17"/>
        <v>LGOO6BF</v>
      </c>
      <c r="L22" s="447" t="str">
        <f t="shared" si="18"/>
        <v>BF</v>
      </c>
      <c r="M22" s="932">
        <v>3</v>
      </c>
      <c r="N22" s="932">
        <v>3</v>
      </c>
      <c r="O22" s="932">
        <v>3</v>
      </c>
      <c r="P22" s="932">
        <v>3</v>
      </c>
      <c r="Q22" s="940"/>
      <c r="R22" s="940"/>
      <c r="S22" s="940"/>
      <c r="T22" s="940"/>
      <c r="U22" s="940"/>
      <c r="V22" s="940"/>
      <c r="W22" s="940"/>
      <c r="X22" s="948"/>
      <c r="Y22" s="948"/>
      <c r="Z22" s="948"/>
      <c r="AA22" s="948"/>
      <c r="AB22" s="948"/>
      <c r="AC22" s="948"/>
      <c r="AD22" s="616"/>
      <c r="AE22" s="616"/>
      <c r="AF22" s="616"/>
      <c r="AG22" s="616"/>
      <c r="AH22" s="448">
        <f t="shared" si="19"/>
        <v>783828</v>
      </c>
      <c r="AI22" s="449">
        <f t="shared" si="20"/>
        <v>822840</v>
      </c>
      <c r="AJ22" s="450">
        <v>4</v>
      </c>
      <c r="AK22" s="452" t="s">
        <v>53</v>
      </c>
      <c r="AL22" s="447" t="s">
        <v>54</v>
      </c>
      <c r="AM22" s="447" t="s">
        <v>158</v>
      </c>
      <c r="AN22" s="447">
        <v>310100100001000</v>
      </c>
      <c r="AO22" s="306" t="s">
        <v>57</v>
      </c>
      <c r="AP22" s="306" t="s">
        <v>2297</v>
      </c>
      <c r="AQ22" s="306" t="s">
        <v>57</v>
      </c>
      <c r="AR22" s="305" t="s">
        <v>159</v>
      </c>
      <c r="AS22" s="305" t="s">
        <v>160</v>
      </c>
      <c r="AT22" s="305" t="s">
        <v>1899</v>
      </c>
      <c r="AU22" s="306" t="str">
        <f t="shared" si="15"/>
        <v>L</v>
      </c>
      <c r="AV22" s="306" t="str">
        <f t="shared" si="21"/>
        <v>Ofelia L. Claudio</v>
      </c>
      <c r="AW22" s="306" t="str">
        <f t="shared" si="22"/>
        <v>CLAUDIO, Ofelia Linggon</v>
      </c>
      <c r="AX22" s="306" t="s">
        <v>167</v>
      </c>
      <c r="AY22" s="447" t="s">
        <v>100</v>
      </c>
      <c r="AZ22" s="472">
        <v>21997</v>
      </c>
      <c r="BA22" s="101">
        <f t="shared" ca="1" si="23"/>
        <v>66</v>
      </c>
      <c r="BB22" s="492" t="str">
        <f t="shared" ca="1" si="24"/>
        <v>VACANT</v>
      </c>
      <c r="BC22" s="492" t="str">
        <f t="shared" ca="1" si="25"/>
        <v>VACANT</v>
      </c>
      <c r="BD22" s="492" t="str">
        <f t="shared" ca="1" si="26"/>
        <v>VACANTF</v>
      </c>
      <c r="BE22" s="492" t="str">
        <f t="shared" ca="1" si="27"/>
        <v>LGOO6VACANTF</v>
      </c>
      <c r="BF22" s="447" t="s">
        <v>163</v>
      </c>
      <c r="BG22" s="493">
        <v>32687</v>
      </c>
      <c r="BH22" s="493">
        <v>32687</v>
      </c>
      <c r="BI22" s="447">
        <f t="shared" ca="1" si="28"/>
        <v>36</v>
      </c>
      <c r="BJ22" s="447">
        <f t="shared" ca="1" si="29"/>
        <v>36</v>
      </c>
      <c r="BK22" s="493">
        <v>39510</v>
      </c>
      <c r="BL22" s="447">
        <f t="shared" ca="1" si="30"/>
        <v>18</v>
      </c>
      <c r="BM22" s="447" t="s">
        <v>64</v>
      </c>
      <c r="BN22" s="512" t="s">
        <v>102</v>
      </c>
      <c r="BO22" s="423" t="s">
        <v>2301</v>
      </c>
      <c r="BP22" s="513"/>
      <c r="BQ22" s="514" t="str">
        <f t="shared" si="31"/>
        <v>2FP</v>
      </c>
    </row>
    <row r="23" spans="1:69" ht="19.95" customHeight="1">
      <c r="A23" s="422" t="s">
        <v>164</v>
      </c>
      <c r="B23" s="423" t="s">
        <v>165</v>
      </c>
      <c r="C23" s="424">
        <v>20</v>
      </c>
      <c r="D23" s="424"/>
      <c r="E23" s="424"/>
      <c r="F23" s="424"/>
      <c r="G23" s="424"/>
      <c r="H23" s="424"/>
      <c r="I23" s="422" t="s">
        <v>2302</v>
      </c>
      <c r="J23" s="421" t="str">
        <f t="shared" si="16"/>
        <v>LGOO5R</v>
      </c>
      <c r="K23" s="421" t="str">
        <f t="shared" si="17"/>
        <v>LGOO5RM</v>
      </c>
      <c r="L23" s="447" t="str">
        <f t="shared" si="18"/>
        <v>RM</v>
      </c>
      <c r="M23" s="932">
        <v>3</v>
      </c>
      <c r="N23" s="932">
        <v>3</v>
      </c>
      <c r="O23" s="932">
        <v>3</v>
      </c>
      <c r="P23" s="932">
        <v>3</v>
      </c>
      <c r="Q23" s="940"/>
      <c r="R23" s="940"/>
      <c r="S23" s="940"/>
      <c r="T23" s="940"/>
      <c r="U23" s="940"/>
      <c r="V23" s="940"/>
      <c r="W23" s="940"/>
      <c r="X23" s="948"/>
      <c r="Y23" s="948"/>
      <c r="Z23" s="948"/>
      <c r="AA23" s="948"/>
      <c r="AB23" s="948"/>
      <c r="AC23" s="948"/>
      <c r="AD23" s="616"/>
      <c r="AE23" s="616"/>
      <c r="AF23" s="616"/>
      <c r="AG23" s="616"/>
      <c r="AH23" s="448">
        <f t="shared" si="19"/>
        <v>613860</v>
      </c>
      <c r="AI23" s="449">
        <f t="shared" si="20"/>
        <v>654924</v>
      </c>
      <c r="AJ23" s="450">
        <v>5</v>
      </c>
      <c r="AK23" s="452" t="s">
        <v>166</v>
      </c>
      <c r="AL23" s="447" t="s">
        <v>62</v>
      </c>
      <c r="AM23" s="447" t="s">
        <v>158</v>
      </c>
      <c r="AN23" s="447">
        <v>310100100001000</v>
      </c>
      <c r="AO23" s="306" t="s">
        <v>57</v>
      </c>
      <c r="AP23" s="305" t="s">
        <v>2297</v>
      </c>
      <c r="AQ23" s="306" t="s">
        <v>2303</v>
      </c>
      <c r="AR23" s="305" t="s">
        <v>120</v>
      </c>
      <c r="AS23" s="305" t="s">
        <v>711</v>
      </c>
      <c r="AT23" s="305" t="s">
        <v>1946</v>
      </c>
      <c r="AU23" s="306" t="str">
        <f t="shared" si="15"/>
        <v>R</v>
      </c>
      <c r="AV23" s="306" t="str">
        <f t="shared" si="21"/>
        <v>Rolando R. Gonzales</v>
      </c>
      <c r="AW23" s="306" t="str">
        <f t="shared" si="22"/>
        <v>GONZALES, Rolando Ronquillo</v>
      </c>
      <c r="AX23" s="314" t="s">
        <v>57</v>
      </c>
      <c r="AY23" s="447" t="s">
        <v>62</v>
      </c>
      <c r="AZ23" s="472">
        <v>23864</v>
      </c>
      <c r="BA23" s="101">
        <f t="shared" ca="1" si="23"/>
        <v>60</v>
      </c>
      <c r="BB23" s="492" t="str">
        <f t="shared" ca="1" si="24"/>
        <v>E</v>
      </c>
      <c r="BC23" s="492" t="str">
        <f t="shared" ca="1" si="25"/>
        <v>RE</v>
      </c>
      <c r="BD23" s="492" t="str">
        <f t="shared" ca="1" si="26"/>
        <v>REM</v>
      </c>
      <c r="BE23" s="492" t="str">
        <f t="shared" ca="1" si="27"/>
        <v>LGOO5REM</v>
      </c>
      <c r="BF23" s="447" t="s">
        <v>713</v>
      </c>
      <c r="BG23" s="493">
        <v>35079</v>
      </c>
      <c r="BH23" s="493">
        <v>35079</v>
      </c>
      <c r="BI23" s="447">
        <f t="shared" ca="1" si="28"/>
        <v>30</v>
      </c>
      <c r="BJ23" s="447">
        <f t="shared" ca="1" si="29"/>
        <v>30</v>
      </c>
      <c r="BK23" s="493">
        <v>38607</v>
      </c>
      <c r="BL23" s="447">
        <f t="shared" ca="1" si="30"/>
        <v>20</v>
      </c>
      <c r="BM23" s="447" t="s">
        <v>64</v>
      </c>
      <c r="BN23" s="512" t="s">
        <v>102</v>
      </c>
      <c r="BO23" s="423" t="s">
        <v>2254</v>
      </c>
      <c r="BP23" s="513" t="s">
        <v>1207</v>
      </c>
      <c r="BQ23" s="514" t="str">
        <f t="shared" si="31"/>
        <v>2MP</v>
      </c>
    </row>
    <row r="24" spans="1:69" ht="19.95" customHeight="1">
      <c r="A24" s="422" t="s">
        <v>173</v>
      </c>
      <c r="B24" s="423" t="s">
        <v>165</v>
      </c>
      <c r="C24" s="424">
        <v>20</v>
      </c>
      <c r="D24" s="424"/>
      <c r="E24" s="424"/>
      <c r="F24" s="424"/>
      <c r="G24" s="424"/>
      <c r="H24" s="424"/>
      <c r="I24" s="422" t="s">
        <v>2302</v>
      </c>
      <c r="J24" s="421" t="str">
        <f t="shared" si="16"/>
        <v>LGOO5R</v>
      </c>
      <c r="K24" s="421" t="str">
        <f t="shared" si="17"/>
        <v>LGOO5RM</v>
      </c>
      <c r="L24" s="447" t="str">
        <f t="shared" si="18"/>
        <v>RM</v>
      </c>
      <c r="M24" s="932">
        <v>3</v>
      </c>
      <c r="N24" s="932">
        <v>3</v>
      </c>
      <c r="O24" s="932">
        <v>3</v>
      </c>
      <c r="P24" s="932">
        <v>3</v>
      </c>
      <c r="Q24" s="940"/>
      <c r="R24" s="940"/>
      <c r="S24" s="940"/>
      <c r="T24" s="940"/>
      <c r="U24" s="940"/>
      <c r="V24" s="940"/>
      <c r="W24" s="940"/>
      <c r="X24" s="948"/>
      <c r="Y24" s="948"/>
      <c r="Z24" s="948"/>
      <c r="AA24" s="948"/>
      <c r="AB24" s="948"/>
      <c r="AC24" s="948"/>
      <c r="AD24" s="616"/>
      <c r="AE24" s="616"/>
      <c r="AF24" s="616"/>
      <c r="AG24" s="616"/>
      <c r="AH24" s="448">
        <f t="shared" si="19"/>
        <v>613860</v>
      </c>
      <c r="AI24" s="449">
        <f t="shared" si="20"/>
        <v>665616</v>
      </c>
      <c r="AJ24" s="450">
        <v>6</v>
      </c>
      <c r="AK24" s="452" t="s">
        <v>53</v>
      </c>
      <c r="AL24" s="447" t="s">
        <v>54</v>
      </c>
      <c r="AM24" s="447" t="s">
        <v>158</v>
      </c>
      <c r="AN24" s="447">
        <v>310100100001000</v>
      </c>
      <c r="AO24" s="306" t="s">
        <v>57</v>
      </c>
      <c r="AP24" s="305" t="s">
        <v>2297</v>
      </c>
      <c r="AQ24" s="306" t="s">
        <v>57</v>
      </c>
      <c r="AR24" s="306" t="s">
        <v>851</v>
      </c>
      <c r="AS24" s="306" t="s">
        <v>852</v>
      </c>
      <c r="AT24" s="306" t="s">
        <v>1941</v>
      </c>
      <c r="AU24" s="306" t="str">
        <f t="shared" si="15"/>
        <v>L</v>
      </c>
      <c r="AV24" s="306" t="str">
        <f t="shared" si="21"/>
        <v>Johnny L. Mauting</v>
      </c>
      <c r="AW24" s="306" t="str">
        <f t="shared" si="22"/>
        <v>MAUTING, Johnny Laayon</v>
      </c>
      <c r="AX24" s="314" t="s">
        <v>57</v>
      </c>
      <c r="AY24" s="447" t="s">
        <v>62</v>
      </c>
      <c r="AZ24" s="472">
        <v>26969</v>
      </c>
      <c r="BA24" s="101">
        <f t="shared" ca="1" si="23"/>
        <v>52</v>
      </c>
      <c r="BB24" s="492" t="str">
        <f t="shared" ca="1" si="24"/>
        <v>D</v>
      </c>
      <c r="BC24" s="492" t="str">
        <f t="shared" ca="1" si="25"/>
        <v>RD</v>
      </c>
      <c r="BD24" s="492" t="str">
        <f t="shared" ca="1" si="26"/>
        <v>RDM</v>
      </c>
      <c r="BE24" s="492" t="str">
        <f t="shared" ca="1" si="27"/>
        <v>LGOO5RDM</v>
      </c>
      <c r="BF24" s="447" t="s">
        <v>854</v>
      </c>
      <c r="BG24" s="493">
        <v>34892</v>
      </c>
      <c r="BH24" s="493">
        <v>34892</v>
      </c>
      <c r="BI24" s="447">
        <f t="shared" ca="1" si="28"/>
        <v>30</v>
      </c>
      <c r="BJ24" s="447">
        <f t="shared" ca="1" si="29"/>
        <v>30</v>
      </c>
      <c r="BK24" s="493">
        <v>37355</v>
      </c>
      <c r="BL24" s="447">
        <f t="shared" ca="1" si="30"/>
        <v>23</v>
      </c>
      <c r="BM24" s="447" t="s">
        <v>64</v>
      </c>
      <c r="BN24" s="512" t="s">
        <v>102</v>
      </c>
      <c r="BO24" s="423" t="s">
        <v>2254</v>
      </c>
      <c r="BP24" s="513" t="s">
        <v>1207</v>
      </c>
      <c r="BQ24" s="514" t="str">
        <f t="shared" si="31"/>
        <v>2MP</v>
      </c>
    </row>
    <row r="25" spans="1:69" ht="19.95" customHeight="1">
      <c r="A25" s="422" t="s">
        <v>180</v>
      </c>
      <c r="B25" s="423" t="s">
        <v>165</v>
      </c>
      <c r="C25" s="424">
        <v>20</v>
      </c>
      <c r="D25" s="424"/>
      <c r="E25" s="424"/>
      <c r="F25" s="424"/>
      <c r="G25" s="424"/>
      <c r="H25" s="424"/>
      <c r="I25" s="422" t="s">
        <v>2302</v>
      </c>
      <c r="J25" s="421" t="str">
        <f t="shared" si="16"/>
        <v>Vacant</v>
      </c>
      <c r="K25" s="421" t="str">
        <f t="shared" si="17"/>
        <v>Vacant</v>
      </c>
      <c r="L25" s="447" t="str">
        <f t="shared" si="18"/>
        <v>XXX</v>
      </c>
      <c r="M25" s="932">
        <v>3</v>
      </c>
      <c r="N25" s="932">
        <v>3</v>
      </c>
      <c r="O25" s="932">
        <v>3</v>
      </c>
      <c r="P25" s="932">
        <v>3</v>
      </c>
      <c r="Q25" s="940"/>
      <c r="R25" s="940"/>
      <c r="S25" s="940"/>
      <c r="T25" s="940"/>
      <c r="U25" s="940"/>
      <c r="V25" s="940"/>
      <c r="W25" s="940"/>
      <c r="X25" s="948"/>
      <c r="Y25" s="948"/>
      <c r="Z25" s="948"/>
      <c r="AA25" s="948"/>
      <c r="AB25" s="948"/>
      <c r="AC25" s="948"/>
      <c r="AD25" s="616"/>
      <c r="AE25" s="616"/>
      <c r="AF25" s="616"/>
      <c r="AG25" s="616"/>
      <c r="AH25" s="448">
        <f t="shared" si="19"/>
        <v>613860</v>
      </c>
      <c r="AI25" s="449">
        <f t="shared" si="20"/>
        <v>0</v>
      </c>
      <c r="AJ25" s="450">
        <v>0</v>
      </c>
      <c r="AK25" s="452" t="s">
        <v>53</v>
      </c>
      <c r="AL25" s="447" t="s">
        <v>54</v>
      </c>
      <c r="AM25" s="447" t="s">
        <v>158</v>
      </c>
      <c r="AN25" s="447">
        <v>310100100001000</v>
      </c>
      <c r="AO25" s="306" t="s">
        <v>57</v>
      </c>
      <c r="AP25" s="306" t="s">
        <v>2297</v>
      </c>
      <c r="AQ25" s="306" t="s">
        <v>57</v>
      </c>
      <c r="AR25" s="305" t="s">
        <v>2305</v>
      </c>
      <c r="AS25" s="305"/>
      <c r="AT25" s="305"/>
      <c r="AU25" s="306" t="str">
        <f t="shared" si="15"/>
        <v/>
      </c>
      <c r="AV25" s="306" t="str">
        <f t="shared" si="21"/>
        <v xml:space="preserve"> . Vacant Griba</v>
      </c>
      <c r="AW25" s="306" t="str">
        <f t="shared" si="22"/>
        <v xml:space="preserve">Vacant GRIBA,  </v>
      </c>
      <c r="AX25" s="314"/>
      <c r="AY25" s="447"/>
      <c r="AZ25" s="472"/>
      <c r="BA25" s="101">
        <f t="shared" ca="1" si="23"/>
        <v>126</v>
      </c>
      <c r="BB25" s="492" t="str">
        <f t="shared" ca="1" si="24"/>
        <v>VACANT</v>
      </c>
      <c r="BC25" s="492" t="str">
        <f t="shared" si="25"/>
        <v>XXX</v>
      </c>
      <c r="BD25" s="492" t="str">
        <f t="shared" si="26"/>
        <v>XXX</v>
      </c>
      <c r="BE25" s="492" t="str">
        <f t="shared" si="27"/>
        <v>LGOO5XXX</v>
      </c>
      <c r="BF25" s="498"/>
      <c r="BG25" s="495"/>
      <c r="BH25" s="495"/>
      <c r="BI25" s="447">
        <f t="shared" ca="1" si="28"/>
        <v>126</v>
      </c>
      <c r="BJ25" s="447">
        <f t="shared" ca="1" si="29"/>
        <v>126</v>
      </c>
      <c r="BK25" s="495"/>
      <c r="BL25" s="447">
        <f t="shared" ca="1" si="30"/>
        <v>126</v>
      </c>
      <c r="BM25" s="447"/>
      <c r="BN25" s="512"/>
      <c r="BO25" s="423"/>
      <c r="BP25" s="513"/>
      <c r="BQ25" s="514" t="str">
        <f t="shared" si="31"/>
        <v>2</v>
      </c>
    </row>
    <row r="26" spans="1:69" ht="19.95" customHeight="1">
      <c r="A26" s="422" t="s">
        <v>196</v>
      </c>
      <c r="B26" s="423" t="s">
        <v>187</v>
      </c>
      <c r="C26" s="424">
        <v>18</v>
      </c>
      <c r="D26" s="424"/>
      <c r="E26" s="424"/>
      <c r="F26" s="424"/>
      <c r="G26" s="424"/>
      <c r="H26" s="424"/>
      <c r="I26" s="422" t="s">
        <v>2306</v>
      </c>
      <c r="J26" s="421" t="str">
        <f t="shared" si="16"/>
        <v>LGOO4R</v>
      </c>
      <c r="K26" s="421" t="str">
        <f t="shared" si="17"/>
        <v>LGOO4RM</v>
      </c>
      <c r="L26" s="447" t="str">
        <f t="shared" si="18"/>
        <v>RM</v>
      </c>
      <c r="M26" s="932">
        <v>3</v>
      </c>
      <c r="N26" s="932">
        <v>3</v>
      </c>
      <c r="O26" s="932">
        <v>3</v>
      </c>
      <c r="P26" s="932">
        <v>3</v>
      </c>
      <c r="Q26" s="940"/>
      <c r="R26" s="940"/>
      <c r="S26" s="940"/>
      <c r="T26" s="940"/>
      <c r="U26" s="940"/>
      <c r="V26" s="940"/>
      <c r="W26" s="940"/>
      <c r="X26" s="948"/>
      <c r="Y26" s="948"/>
      <c r="Z26" s="948"/>
      <c r="AA26" s="948"/>
      <c r="AB26" s="948"/>
      <c r="AC26" s="948"/>
      <c r="AD26" s="616"/>
      <c r="AE26" s="616"/>
      <c r="AF26" s="616"/>
      <c r="AG26" s="616"/>
      <c r="AH26" s="448">
        <f t="shared" si="19"/>
        <v>487644</v>
      </c>
      <c r="AI26" s="449">
        <f t="shared" si="20"/>
        <v>487644</v>
      </c>
      <c r="AJ26" s="450">
        <v>1</v>
      </c>
      <c r="AK26" s="452" t="s">
        <v>53</v>
      </c>
      <c r="AL26" s="447" t="s">
        <v>64</v>
      </c>
      <c r="AM26" s="447" t="s">
        <v>158</v>
      </c>
      <c r="AN26" s="447">
        <v>310100100001000</v>
      </c>
      <c r="AO26" s="306" t="s">
        <v>57</v>
      </c>
      <c r="AP26" s="306" t="s">
        <v>2307</v>
      </c>
      <c r="AQ26" s="306" t="s">
        <v>57</v>
      </c>
      <c r="AR26" s="305" t="s">
        <v>2034</v>
      </c>
      <c r="AS26" s="305" t="s">
        <v>2035</v>
      </c>
      <c r="AT26" s="305" t="s">
        <v>2036</v>
      </c>
      <c r="AU26" s="306" t="str">
        <f t="shared" si="15"/>
        <v>O</v>
      </c>
      <c r="AV26" s="306" t="str">
        <f t="shared" si="21"/>
        <v>Sherwin Ray O. Daep</v>
      </c>
      <c r="AW26" s="306" t="str">
        <f t="shared" si="22"/>
        <v>DAEP, Sherwin Ray Ochoco</v>
      </c>
      <c r="AX26" s="314" t="s">
        <v>57</v>
      </c>
      <c r="AY26" s="447" t="s">
        <v>62</v>
      </c>
      <c r="AZ26" s="472">
        <v>30364</v>
      </c>
      <c r="BA26" s="101">
        <f t="shared" ca="1" si="23"/>
        <v>43</v>
      </c>
      <c r="BB26" s="492" t="str">
        <f t="shared" ca="1" si="24"/>
        <v>C</v>
      </c>
      <c r="BC26" s="492" t="str">
        <f t="shared" ca="1" si="25"/>
        <v>RC</v>
      </c>
      <c r="BD26" s="492" t="str">
        <f t="shared" ca="1" si="26"/>
        <v>RCM</v>
      </c>
      <c r="BE26" s="492" t="str">
        <f t="shared" ca="1" si="27"/>
        <v>LGOO4RCM</v>
      </c>
      <c r="BF26" s="447" t="s">
        <v>2308</v>
      </c>
      <c r="BG26" s="493">
        <v>40927</v>
      </c>
      <c r="BH26" s="494">
        <v>40927</v>
      </c>
      <c r="BI26" s="447">
        <f t="shared" ca="1" si="28"/>
        <v>14</v>
      </c>
      <c r="BJ26" s="447">
        <f t="shared" ca="1" si="29"/>
        <v>14</v>
      </c>
      <c r="BK26" s="493">
        <v>43129</v>
      </c>
      <c r="BL26" s="447">
        <f t="shared" ca="1" si="30"/>
        <v>8</v>
      </c>
      <c r="BM26" s="447" t="s">
        <v>64</v>
      </c>
      <c r="BN26" s="512" t="s">
        <v>102</v>
      </c>
      <c r="BO26" s="423" t="s">
        <v>2309</v>
      </c>
      <c r="BP26" s="513" t="s">
        <v>1531</v>
      </c>
      <c r="BQ26" s="514" t="str">
        <f t="shared" si="31"/>
        <v>2MP</v>
      </c>
    </row>
    <row r="27" spans="1:69" ht="19.95" customHeight="1">
      <c r="A27" s="422" t="s">
        <v>204</v>
      </c>
      <c r="B27" s="423" t="s">
        <v>187</v>
      </c>
      <c r="C27" s="424">
        <v>18</v>
      </c>
      <c r="D27" s="424"/>
      <c r="E27" s="424"/>
      <c r="F27" s="424"/>
      <c r="G27" s="424"/>
      <c r="H27" s="424"/>
      <c r="I27" s="422" t="s">
        <v>2306</v>
      </c>
      <c r="J27" s="421" t="str">
        <f t="shared" si="16"/>
        <v>LGOO4R</v>
      </c>
      <c r="K27" s="421" t="str">
        <f t="shared" si="17"/>
        <v>LGOO4RM</v>
      </c>
      <c r="L27" s="447" t="str">
        <f t="shared" si="18"/>
        <v>RM</v>
      </c>
      <c r="M27" s="932">
        <v>3</v>
      </c>
      <c r="N27" s="932">
        <v>3</v>
      </c>
      <c r="O27" s="932">
        <v>3</v>
      </c>
      <c r="P27" s="932">
        <v>3</v>
      </c>
      <c r="Q27" s="940"/>
      <c r="R27" s="940"/>
      <c r="S27" s="940"/>
      <c r="T27" s="940"/>
      <c r="U27" s="940"/>
      <c r="V27" s="940"/>
      <c r="W27" s="940"/>
      <c r="X27" s="948"/>
      <c r="Y27" s="948"/>
      <c r="Z27" s="948"/>
      <c r="AA27" s="948"/>
      <c r="AB27" s="948"/>
      <c r="AC27" s="948"/>
      <c r="AD27" s="616"/>
      <c r="AE27" s="616"/>
      <c r="AF27" s="616"/>
      <c r="AG27" s="616"/>
      <c r="AH27" s="448">
        <f t="shared" si="19"/>
        <v>487644</v>
      </c>
      <c r="AI27" s="449">
        <f t="shared" si="20"/>
        <v>487644</v>
      </c>
      <c r="AJ27" s="450">
        <v>1</v>
      </c>
      <c r="AK27" s="452" t="s">
        <v>53</v>
      </c>
      <c r="AL27" s="447" t="s">
        <v>54</v>
      </c>
      <c r="AM27" s="447" t="s">
        <v>158</v>
      </c>
      <c r="AN27" s="447">
        <v>310100100001000</v>
      </c>
      <c r="AO27" s="306" t="s">
        <v>57</v>
      </c>
      <c r="AP27" s="305" t="s">
        <v>2297</v>
      </c>
      <c r="AQ27" s="306" t="s">
        <v>57</v>
      </c>
      <c r="AR27" s="305" t="s">
        <v>2109</v>
      </c>
      <c r="AS27" s="305" t="s">
        <v>2110</v>
      </c>
      <c r="AT27" s="305" t="s">
        <v>2111</v>
      </c>
      <c r="AU27" s="306" t="str">
        <f t="shared" si="15"/>
        <v>B</v>
      </c>
      <c r="AV27" s="306" t="str">
        <f t="shared" si="21"/>
        <v>Ralph Kevin B. Brett</v>
      </c>
      <c r="AW27" s="306" t="str">
        <f t="shared" si="22"/>
        <v>BRETT, Ralph Kevin Bacagan</v>
      </c>
      <c r="AX27" s="314" t="s">
        <v>57</v>
      </c>
      <c r="AY27" s="447" t="s">
        <v>62</v>
      </c>
      <c r="AZ27" s="472">
        <v>30231</v>
      </c>
      <c r="BA27" s="101">
        <f t="shared" ref="BA27" ca="1" si="32">DATEDIF(AZ27,TODAY(),"Y")</f>
        <v>43</v>
      </c>
      <c r="BB27" s="492" t="str">
        <f t="shared" ref="BB27" ca="1" si="33">IF(BA27&lt;30,"A",IF(BA27&lt;40,"B",IF(BA27&lt;50,"C",IF(BA27&lt;60,"D",IF(BA27&lt;65,"E","VACANT")))))</f>
        <v>C</v>
      </c>
      <c r="BC27" s="492" t="str">
        <f t="shared" ca="1" si="25"/>
        <v>RC</v>
      </c>
      <c r="BD27" s="492" t="str">
        <f t="shared" ca="1" si="26"/>
        <v>RCM</v>
      </c>
      <c r="BE27" s="492" t="str">
        <f t="shared" ca="1" si="27"/>
        <v>LGOO4RCM</v>
      </c>
      <c r="BF27" s="447" t="s">
        <v>2311</v>
      </c>
      <c r="BG27" s="493">
        <v>41927</v>
      </c>
      <c r="BH27" s="493">
        <v>41927</v>
      </c>
      <c r="BI27" s="447">
        <f t="shared" ref="BI27" ca="1" si="34">DATEDIF(BG27,TODAY(),"Y")</f>
        <v>11</v>
      </c>
      <c r="BJ27" s="447">
        <f t="shared" ca="1" si="29"/>
        <v>11</v>
      </c>
      <c r="BK27" s="493">
        <v>43283</v>
      </c>
      <c r="BL27" s="447">
        <f t="shared" ref="BL27" ca="1" si="35">DATEDIF(BK27,TODAY(),"Y")</f>
        <v>7</v>
      </c>
      <c r="BM27" s="447" t="s">
        <v>64</v>
      </c>
      <c r="BN27" s="512" t="s">
        <v>102</v>
      </c>
      <c r="BO27" s="423" t="s">
        <v>2312</v>
      </c>
      <c r="BP27" s="513"/>
      <c r="BQ27" s="514" t="str">
        <f t="shared" si="31"/>
        <v>2MP</v>
      </c>
    </row>
    <row r="28" spans="1:69" ht="19.95" customHeight="1">
      <c r="A28" s="422" t="s">
        <v>217</v>
      </c>
      <c r="B28" s="423" t="s">
        <v>273</v>
      </c>
      <c r="C28" s="424">
        <v>6</v>
      </c>
      <c r="D28" s="424" t="s">
        <v>2276</v>
      </c>
      <c r="E28" s="424" t="s">
        <v>265</v>
      </c>
      <c r="F28" s="424" t="s">
        <v>265</v>
      </c>
      <c r="G28" s="424" t="s">
        <v>2279</v>
      </c>
      <c r="H28" s="431" t="s">
        <v>2315</v>
      </c>
      <c r="I28" s="422" t="s">
        <v>2316</v>
      </c>
      <c r="J28" s="421" t="str">
        <f t="shared" si="16"/>
        <v>Vacant</v>
      </c>
      <c r="K28" s="421" t="str">
        <f t="shared" si="17"/>
        <v>Vacant</v>
      </c>
      <c r="L28" s="447" t="str">
        <f t="shared" si="18"/>
        <v>XXX</v>
      </c>
      <c r="M28" s="932">
        <v>1</v>
      </c>
      <c r="N28" s="932">
        <v>1</v>
      </c>
      <c r="O28" s="932">
        <v>1</v>
      </c>
      <c r="P28" s="932">
        <v>1</v>
      </c>
      <c r="Q28" s="940"/>
      <c r="R28" s="940"/>
      <c r="S28" s="940"/>
      <c r="T28" s="940"/>
      <c r="U28" s="940"/>
      <c r="V28" s="940"/>
      <c r="W28" s="940"/>
      <c r="X28" s="948"/>
      <c r="Y28" s="948"/>
      <c r="Z28" s="948"/>
      <c r="AA28" s="948"/>
      <c r="AB28" s="948"/>
      <c r="AC28" s="948"/>
      <c r="AD28" s="616"/>
      <c r="AE28" s="616"/>
      <c r="AF28" s="616"/>
      <c r="AG28" s="616"/>
      <c r="AH28" s="448">
        <f t="shared" si="19"/>
        <v>178164</v>
      </c>
      <c r="AI28" s="449">
        <f t="shared" si="20"/>
        <v>0</v>
      </c>
      <c r="AJ28" s="450">
        <v>0</v>
      </c>
      <c r="AK28" s="452" t="s">
        <v>53</v>
      </c>
      <c r="AL28" s="447" t="s">
        <v>54</v>
      </c>
      <c r="AM28" s="447" t="s">
        <v>81</v>
      </c>
      <c r="AN28" s="447">
        <v>310100100001000</v>
      </c>
      <c r="AO28" s="306" t="s">
        <v>57</v>
      </c>
      <c r="AP28" s="305" t="s">
        <v>2297</v>
      </c>
      <c r="AQ28" s="306" t="s">
        <v>57</v>
      </c>
      <c r="AR28" s="306" t="s">
        <v>2317</v>
      </c>
      <c r="AS28" s="306"/>
      <c r="AT28" s="306"/>
      <c r="AU28" s="306" t="str">
        <f t="shared" si="15"/>
        <v/>
      </c>
      <c r="AV28" s="306" t="str">
        <f t="shared" si="21"/>
        <v xml:space="preserve"> . Vacant Mago</v>
      </c>
      <c r="AW28" s="306" t="str">
        <f t="shared" si="22"/>
        <v xml:space="preserve">Vacant MAGO,  </v>
      </c>
      <c r="AX28" s="305"/>
      <c r="AY28" s="447"/>
      <c r="AZ28" s="472"/>
      <c r="BA28" s="101">
        <f t="shared" ca="1" si="23"/>
        <v>126</v>
      </c>
      <c r="BB28" s="492" t="str">
        <f t="shared" ca="1" si="24"/>
        <v>VACANT</v>
      </c>
      <c r="BC28" s="492" t="str">
        <f t="shared" si="25"/>
        <v>XXX</v>
      </c>
      <c r="BD28" s="492" t="str">
        <f t="shared" si="26"/>
        <v>XXX</v>
      </c>
      <c r="BE28" s="492" t="str">
        <f t="shared" si="27"/>
        <v>ADA6XXX</v>
      </c>
      <c r="BF28" s="447"/>
      <c r="BG28" s="493"/>
      <c r="BH28" s="493"/>
      <c r="BI28" s="447">
        <f t="shared" ca="1" si="28"/>
        <v>126</v>
      </c>
      <c r="BJ28" s="447">
        <f t="shared" ca="1" si="29"/>
        <v>126</v>
      </c>
      <c r="BK28" s="493"/>
      <c r="BL28" s="447">
        <f t="shared" ca="1" si="30"/>
        <v>126</v>
      </c>
      <c r="BM28" s="447"/>
      <c r="BN28" s="522"/>
      <c r="BO28" s="523"/>
      <c r="BP28" s="513"/>
      <c r="BQ28" s="514" t="str">
        <f>CONCATENATE(1,AY28,BM28)</f>
        <v>1</v>
      </c>
    </row>
    <row r="29" spans="1:69" ht="19.95" customHeight="1" thickBot="1">
      <c r="A29" s="432" t="s">
        <v>147</v>
      </c>
      <c r="B29" s="433"/>
      <c r="C29" s="427"/>
      <c r="D29" s="427"/>
      <c r="E29" s="427"/>
      <c r="F29" s="427"/>
      <c r="G29" s="427"/>
      <c r="H29" s="427"/>
      <c r="I29" s="432"/>
      <c r="J29" s="453"/>
      <c r="K29" s="453"/>
      <c r="L29" s="447"/>
      <c r="M29" s="935"/>
      <c r="N29" s="935"/>
      <c r="O29" s="935"/>
      <c r="P29" s="935"/>
      <c r="Q29" s="943"/>
      <c r="R29" s="943"/>
      <c r="S29" s="943"/>
      <c r="T29" s="943"/>
      <c r="U29" s="943"/>
      <c r="V29" s="943"/>
      <c r="W29" s="943"/>
      <c r="X29" s="951"/>
      <c r="Y29" s="951"/>
      <c r="Z29" s="951"/>
      <c r="AA29" s="951"/>
      <c r="AB29" s="951"/>
      <c r="AC29" s="951"/>
      <c r="AD29" s="958"/>
      <c r="AE29" s="958"/>
      <c r="AF29" s="958"/>
      <c r="AG29" s="958"/>
      <c r="AH29" s="458"/>
      <c r="AI29" s="459"/>
      <c r="AJ29" s="454">
        <f>COUNTIF(AJ21:AJ28,"&lt;&gt;")</f>
        <v>8</v>
      </c>
      <c r="AK29" s="460"/>
      <c r="AL29" s="453"/>
      <c r="AM29" s="453"/>
      <c r="AN29" s="453"/>
      <c r="AO29" s="308"/>
      <c r="AP29" s="308"/>
      <c r="AQ29" s="308"/>
      <c r="AR29" s="308"/>
      <c r="AS29" s="308"/>
      <c r="AT29" s="308"/>
      <c r="AU29" s="308"/>
      <c r="AV29" s="308"/>
      <c r="AW29" s="308"/>
      <c r="AX29" s="308"/>
      <c r="AY29" s="453"/>
      <c r="AZ29" s="475"/>
      <c r="BA29" s="476"/>
      <c r="BB29" s="453"/>
      <c r="BC29" s="453"/>
      <c r="BD29" s="453"/>
      <c r="BE29" s="453"/>
      <c r="BF29" s="453"/>
      <c r="BG29" s="499"/>
      <c r="BH29" s="499"/>
      <c r="BI29" s="500"/>
      <c r="BJ29" s="500"/>
      <c r="BK29" s="499"/>
      <c r="BL29" s="500"/>
      <c r="BM29" s="453"/>
      <c r="BN29" s="524"/>
      <c r="BO29" s="524"/>
      <c r="BP29" s="525"/>
      <c r="BQ29" s="514"/>
    </row>
    <row r="30" spans="1:69" ht="19.95" customHeight="1">
      <c r="A30" s="434" t="s">
        <v>2318</v>
      </c>
      <c r="B30" s="429"/>
      <c r="C30" s="430"/>
      <c r="D30" s="430"/>
      <c r="E30" s="430"/>
      <c r="F30" s="430"/>
      <c r="G30" s="430"/>
      <c r="H30" s="430"/>
      <c r="I30" s="434"/>
      <c r="J30" s="430"/>
      <c r="K30" s="430"/>
      <c r="L30" s="447"/>
      <c r="M30" s="936"/>
      <c r="N30" s="936"/>
      <c r="O30" s="936"/>
      <c r="P30" s="936"/>
      <c r="Q30" s="944"/>
      <c r="R30" s="944"/>
      <c r="S30" s="944"/>
      <c r="T30" s="944"/>
      <c r="U30" s="944"/>
      <c r="V30" s="944"/>
      <c r="W30" s="944"/>
      <c r="X30" s="952"/>
      <c r="Y30" s="952"/>
      <c r="Z30" s="952"/>
      <c r="AA30" s="952"/>
      <c r="AB30" s="952"/>
      <c r="AC30" s="952"/>
      <c r="AD30" s="959"/>
      <c r="AE30" s="959"/>
      <c r="AF30" s="959"/>
      <c r="AG30" s="959"/>
      <c r="AH30" s="461"/>
      <c r="AI30" s="456"/>
      <c r="AJ30" s="456"/>
      <c r="AK30" s="457"/>
      <c r="AL30" s="456"/>
      <c r="AM30" s="456"/>
      <c r="AN30" s="456"/>
      <c r="AO30" s="456"/>
      <c r="AP30" s="456"/>
      <c r="AQ30" s="456"/>
      <c r="AR30" s="456"/>
      <c r="AS30" s="456"/>
      <c r="AT30" s="456"/>
      <c r="AU30" s="456"/>
      <c r="AV30" s="456"/>
      <c r="AW30" s="456"/>
      <c r="AX30" s="456"/>
      <c r="AY30" s="456"/>
      <c r="AZ30" s="456"/>
      <c r="BA30" s="474"/>
      <c r="BB30" s="456"/>
      <c r="BC30" s="456"/>
      <c r="BD30" s="456"/>
      <c r="BE30" s="456"/>
      <c r="BF30" s="456"/>
      <c r="BG30" s="456"/>
      <c r="BH30" s="456"/>
      <c r="BI30" s="456"/>
      <c r="BJ30" s="456"/>
      <c r="BK30" s="456"/>
      <c r="BL30" s="456"/>
      <c r="BM30" s="456"/>
      <c r="BN30" s="456"/>
      <c r="BO30" s="456"/>
      <c r="BP30" s="520"/>
      <c r="BQ30" s="521"/>
    </row>
    <row r="31" spans="1:69" ht="19.95" customHeight="1">
      <c r="A31" s="422" t="s">
        <v>222</v>
      </c>
      <c r="B31" s="423" t="s">
        <v>151</v>
      </c>
      <c r="C31" s="424">
        <v>24</v>
      </c>
      <c r="D31" s="424" t="s">
        <v>2292</v>
      </c>
      <c r="E31" s="424" t="s">
        <v>2293</v>
      </c>
      <c r="F31" s="424" t="s">
        <v>2294</v>
      </c>
      <c r="G31" s="424" t="s">
        <v>2295</v>
      </c>
      <c r="H31" s="424"/>
      <c r="I31" s="422" t="s">
        <v>2296</v>
      </c>
      <c r="J31" s="421" t="str">
        <f t="shared" ref="J31:J40" si="36">IF(AX31="Regional Office",CONCATENATE(I31,"R"),IF(AX31="Abra",CONCATENATE(I31,"Ab"),IF(AX31="Apayao",CONCATENATE(I31,"Ap"),IF(AX31="Baguio City",CONCATENATE(I31,"BC"),IF(AX31="Ifugao",CONCATENATE(I31,"I"),IF(AX31="Mt. Province",CONCATENATE(I31,"MP"),IF(AX31="Kalinga",CONCATENATE(I31,"K"),IF(AX31="Benguet",CONCATENATE(I31,"B"),"Vacant"))))))))</f>
        <v>LGOO7R</v>
      </c>
      <c r="K31" s="421" t="str">
        <f t="shared" ref="K31:K40" si="37">CONCATENATE(J31,AY31)</f>
        <v>LGOO7RF</v>
      </c>
      <c r="L31" s="447" t="str">
        <f t="shared" ref="L31:L40" si="38">IF(AX31="Regional Office",(IF(AY31="M","RM","RF")),IF(AX31="Abra",(IF(AY31="M","AbM","AbF")),IF(AX31="Baguio City",(IF(AY31="M","BCM","BCF")),IF(AX31="Apayao",(IF(AY31="M","ApM","ApF")),IF(AX31="Benguet",(IF(AY31="M","BM","BF")),IF(AX31="Ifugao",(IF(AY31="M","IM","IF")),IF(AX31="Kalinga",(IF(AY31="M","KM","KF")),IF(AX31="Mt. Province",(IF(AY31="M","MPM","MPF")),"XXX"))))))))</f>
        <v>RF</v>
      </c>
      <c r="M31" s="932">
        <v>3</v>
      </c>
      <c r="N31" s="932">
        <v>3</v>
      </c>
      <c r="O31" s="932">
        <v>3</v>
      </c>
      <c r="P31" s="932">
        <v>3</v>
      </c>
      <c r="Q31" s="940"/>
      <c r="R31" s="940"/>
      <c r="S31" s="940"/>
      <c r="T31" s="940"/>
      <c r="U31" s="940"/>
      <c r="V31" s="940"/>
      <c r="W31" s="940"/>
      <c r="X31" s="948"/>
      <c r="Y31" s="948"/>
      <c r="Z31" s="948"/>
      <c r="AA31" s="948"/>
      <c r="AB31" s="948"/>
      <c r="AC31" s="948"/>
      <c r="AD31" s="616"/>
      <c r="AE31" s="616"/>
      <c r="AF31" s="616"/>
      <c r="AG31" s="616"/>
      <c r="AH31" s="448">
        <f t="shared" ref="AH31:AH40" si="39">VLOOKUP(C31,idica,2,FALSE)*12</f>
        <v>1000872</v>
      </c>
      <c r="AI31" s="449">
        <f t="shared" ref="AI31:AI40" si="40">(SUMPRODUCT((norman=C31)*(grace=AJ31)*(barnachea)))*12</f>
        <v>1000872</v>
      </c>
      <c r="AJ31" s="450">
        <v>1</v>
      </c>
      <c r="AK31" s="452" t="s">
        <v>53</v>
      </c>
      <c r="AL31" s="447" t="s">
        <v>64</v>
      </c>
      <c r="AM31" s="447" t="s">
        <v>55</v>
      </c>
      <c r="AN31" s="447">
        <v>310100100001000</v>
      </c>
      <c r="AO31" s="306" t="s">
        <v>57</v>
      </c>
      <c r="AP31" s="306" t="s">
        <v>2307</v>
      </c>
      <c r="AQ31" s="306" t="s">
        <v>57</v>
      </c>
      <c r="AR31" s="306" t="s">
        <v>911</v>
      </c>
      <c r="AS31" s="306" t="s">
        <v>912</v>
      </c>
      <c r="AT31" s="306" t="s">
        <v>1907</v>
      </c>
      <c r="AU31" s="306" t="str">
        <f>LEFT(AT31)&amp;IF(ISNUMBER(FIND(" ",AT31)),MID(AT31,FIND(" ",AT31)+1,1),"")&amp;IF(ISNUMBER(FIND(" ",AT31,FIND(" ",AT31)+1)),MID(AT31,FIND(" ",AT31,FIND(" ",AT31)+1)+1,1),"")</f>
        <v>M</v>
      </c>
      <c r="AV31" s="306" t="str">
        <f>PROPER(CONCATENATE(AS31," ",AU31,". ",AR31))</f>
        <v>Marleen M. Guerzon</v>
      </c>
      <c r="AW31" s="306" t="str">
        <f>CONCATENATE(AR31,", ",AS31," ",AT31)</f>
        <v>GUERZON, Marleen Montano</v>
      </c>
      <c r="AX31" s="307" t="s">
        <v>57</v>
      </c>
      <c r="AY31" s="447" t="s">
        <v>100</v>
      </c>
      <c r="AZ31" s="472">
        <v>24396</v>
      </c>
      <c r="BA31" s="101">
        <f ca="1">DATEDIF(AZ31,TODAY(),"Y")</f>
        <v>59</v>
      </c>
      <c r="BB31" s="492" t="str">
        <f ca="1">IF(BA31&lt;30,"A",IF(BA31&lt;40,"B",IF(BA31&lt;50,"C",IF(BA31&lt;60,"D",IF(BA31&lt;65,"E","VACANT")))))</f>
        <v>D</v>
      </c>
      <c r="BC31" s="492" t="str">
        <f ca="1">+IF(AX31="Regional Office",(IF(BB31="A","RA",(IF(BB31="B","RB",IF(BB31="C","RC",IF(BB31="D","RD",IF(BB31="E","RE","VACANT"))))))),IF(AX31="Abra",(IF(BB31="A","AbA",(IF(BB31="B","AbB",IF(BB31="C","AbC",IF(BB31="D","AbD",IF(BB31="E","AbE","VACANT"))))))),IF(AX31="Baguio City",(IF(BB31="A","BCA",(IF(BB31="B","BCB",IF(BB31="C","BCC",IF(BB31="D","BCD",IF(BB31="E","BCE","VACANT"))))))),IF(AX31="Apayao",(IF(BB31="A","ApA",(IF(BB31="B","ApB",IF(BB31="C","ApC",IF(BB31="D","ApD",IF(BB31="E","ApE","VACANT"))))))),IF(AX31="Benguet",(IF(BB31="A","BA",(IF(BB31="B","BB",IF(BB31="C","BC",IF(BB31="D","BD",IF(BB31="E","BE","VACANT"))))))),IF(AX31="Ifugao",(IF(BB31="A","IA",(IF(BB31="B","IB",IF(BB31="C","IC",IF(BB31="D","ID",IF(BB31="E","IE","VACANT"))))))),IF(AX31="Kalinga",(IF(BB31="A","KA",(IF(BB31="B","KB",IF(BB31="C","KC",IF(BB31="D","KD",IF(BB31="E","KE","VACANT"))))))),IF(AX31="Mt. Province",(IF(BB31="A","MPA",(IF(BB31="B","MPB",IF(BB31="C","MPC",IF(BB31="D","MPD",IF(BB31="E","MPE","VACANT"))))))),"XXX"))))))))</f>
        <v>RD</v>
      </c>
      <c r="BD31" s="492" t="str">
        <f ca="1">CONCATENATE(BC31,AY31)</f>
        <v>RDF</v>
      </c>
      <c r="BE31" s="492" t="str">
        <f ca="1">CONCATENATE(I31,BD31)</f>
        <v>LGOO7RDF</v>
      </c>
      <c r="BF31" s="447" t="s">
        <v>914</v>
      </c>
      <c r="BG31" s="493">
        <v>32511</v>
      </c>
      <c r="BH31" s="493">
        <v>32511</v>
      </c>
      <c r="BI31" s="447">
        <f ca="1">DATEDIF(BG31,TODAY(),"Y")</f>
        <v>37</v>
      </c>
      <c r="BJ31" s="447">
        <f t="shared" ref="BJ31:BJ40" ca="1" si="41">DATEDIF(BH31,TODAY(),"Y")</f>
        <v>37</v>
      </c>
      <c r="BK31" s="493">
        <v>43132</v>
      </c>
      <c r="BL31" s="447">
        <f ca="1">DATEDIF(BK31,TODAY(),"Y")</f>
        <v>8</v>
      </c>
      <c r="BM31" s="447" t="s">
        <v>64</v>
      </c>
      <c r="BN31" s="512" t="s">
        <v>102</v>
      </c>
      <c r="BO31" s="423" t="s">
        <v>2301</v>
      </c>
      <c r="BP31" s="513" t="s">
        <v>2319</v>
      </c>
      <c r="BQ31" s="514" t="str">
        <f t="shared" ref="BQ31:BQ39" si="42">CONCATENATE(2,AY31,BM31)</f>
        <v>2FP</v>
      </c>
    </row>
    <row r="32" spans="1:69" ht="19.95" customHeight="1">
      <c r="A32" s="422" t="s">
        <v>229</v>
      </c>
      <c r="B32" s="423" t="s">
        <v>157</v>
      </c>
      <c r="C32" s="424">
        <v>22</v>
      </c>
      <c r="D32" s="424"/>
      <c r="E32" s="424"/>
      <c r="F32" s="424"/>
      <c r="G32" s="424"/>
      <c r="H32" s="424"/>
      <c r="I32" s="422" t="s">
        <v>2300</v>
      </c>
      <c r="J32" s="421" t="str">
        <f t="shared" si="36"/>
        <v>LGOO6R</v>
      </c>
      <c r="K32" s="421" t="str">
        <f t="shared" si="37"/>
        <v>LGOO6RF</v>
      </c>
      <c r="L32" s="447" t="str">
        <f t="shared" si="38"/>
        <v>RF</v>
      </c>
      <c r="M32" s="932">
        <v>3</v>
      </c>
      <c r="N32" s="932">
        <v>3</v>
      </c>
      <c r="O32" s="932">
        <v>3</v>
      </c>
      <c r="P32" s="932">
        <v>3</v>
      </c>
      <c r="Q32" s="940"/>
      <c r="R32" s="940"/>
      <c r="S32" s="940"/>
      <c r="T32" s="940"/>
      <c r="U32" s="940"/>
      <c r="V32" s="940"/>
      <c r="W32" s="940"/>
      <c r="X32" s="948"/>
      <c r="Y32" s="948"/>
      <c r="Z32" s="948"/>
      <c r="AA32" s="948"/>
      <c r="AB32" s="948"/>
      <c r="AC32" s="948"/>
      <c r="AD32" s="616"/>
      <c r="AE32" s="616"/>
      <c r="AF32" s="616"/>
      <c r="AG32" s="616"/>
      <c r="AH32" s="448">
        <f t="shared" si="39"/>
        <v>783828</v>
      </c>
      <c r="AI32" s="449">
        <f t="shared" si="40"/>
        <v>809628</v>
      </c>
      <c r="AJ32" s="450">
        <v>3</v>
      </c>
      <c r="AK32" s="452" t="s">
        <v>53</v>
      </c>
      <c r="AL32" s="447" t="s">
        <v>54</v>
      </c>
      <c r="AM32" s="447" t="s">
        <v>158</v>
      </c>
      <c r="AN32" s="447">
        <v>310100100001000</v>
      </c>
      <c r="AO32" s="306" t="s">
        <v>57</v>
      </c>
      <c r="AP32" s="306" t="s">
        <v>2307</v>
      </c>
      <c r="AQ32" s="306" t="s">
        <v>57</v>
      </c>
      <c r="AR32" s="305" t="s">
        <v>230</v>
      </c>
      <c r="AS32" s="305" t="s">
        <v>231</v>
      </c>
      <c r="AT32" s="305" t="s">
        <v>1934</v>
      </c>
      <c r="AU32" s="306" t="str">
        <f t="shared" ref="AU32:AU40" si="43">LEFT(AT32)&amp;IF(ISNUMBER(FIND(" ",AT32)),MID(AT32,FIND(" ",AT32)+1,1),"")&amp;IF(ISNUMBER(FIND(" ",AT32,FIND(" ",AT32)+1)),MID(AT32,FIND(" ",AT32,FIND(" ",AT32)+1)+1,1),"")</f>
        <v>G</v>
      </c>
      <c r="AV32" s="306" t="str">
        <f t="shared" ref="AV32:AV40" si="44">PROPER(CONCATENATE(AS32," ",AU32,". ",AR32))</f>
        <v>Bable G. Adnol</v>
      </c>
      <c r="AW32" s="306" t="str">
        <f t="shared" ref="AW32:AW40" si="45">CONCATENATE(AR32,", ",AS32," ",AT32)</f>
        <v>ADNOL, Bable Ged-ang</v>
      </c>
      <c r="AX32" s="307" t="s">
        <v>57</v>
      </c>
      <c r="AY32" s="447" t="s">
        <v>100</v>
      </c>
      <c r="AZ32" s="472">
        <v>25374</v>
      </c>
      <c r="BA32" s="101">
        <f t="shared" ref="BA32:BA40" ca="1" si="46">DATEDIF(AZ32,TODAY(),"Y")</f>
        <v>56</v>
      </c>
      <c r="BB32" s="492" t="str">
        <f t="shared" ref="BB32:BB40" ca="1" si="47">IF(BA32&lt;30,"A",IF(BA32&lt;40,"B",IF(BA32&lt;50,"C",IF(BA32&lt;60,"D",IF(BA32&lt;65,"E","VACANT")))))</f>
        <v>D</v>
      </c>
      <c r="BC32" s="492" t="str">
        <f t="shared" ref="BC32:BC40" ca="1" si="48">+IF(AX32="Regional Office",(IF(BB32="A","RA",(IF(BB32="B","RB",IF(BB32="C","RC",IF(BB32="D","RD",IF(BB32="E","RE","VACANT"))))))),IF(AX32="Abra",(IF(BB32="A","AbA",(IF(BB32="B","AbB",IF(BB32="C","AbC",IF(BB32="D","AbD",IF(BB32="E","AbE","VACANT"))))))),IF(AX32="Baguio City",(IF(BB32="A","BCA",(IF(BB32="B","BCB",IF(BB32="C","BCC",IF(BB32="D","BCD",IF(BB32="E","BCE","VACANT"))))))),IF(AX32="Apayao",(IF(BB32="A","ApA",(IF(BB32="B","ApB",IF(BB32="C","ApC",IF(BB32="D","ApD",IF(BB32="E","ApE","VACANT"))))))),IF(AX32="Benguet",(IF(BB32="A","BA",(IF(BB32="B","BB",IF(BB32="C","BC",IF(BB32="D","BD",IF(BB32="E","BE","VACANT"))))))),IF(AX32="Ifugao",(IF(BB32="A","IA",(IF(BB32="B","IB",IF(BB32="C","IC",IF(BB32="D","ID",IF(BB32="E","IE","VACANT"))))))),IF(AX32="Kalinga",(IF(BB32="A","KA",(IF(BB32="B","KB",IF(BB32="C","KC",IF(BB32="D","KD",IF(BB32="E","KE","VACANT"))))))),IF(AX32="Mt. Province",(IF(BB32="A","MPA",(IF(BB32="B","MPB",IF(BB32="C","MPC",IF(BB32="D","MPD",IF(BB32="E","MPE","VACANT"))))))),"XXX"))))))))</f>
        <v>RD</v>
      </c>
      <c r="BD32" s="492" t="str">
        <f t="shared" ref="BD32:BD65" ca="1" si="49">CONCATENATE(BC32,AY32)</f>
        <v>RDF</v>
      </c>
      <c r="BE32" s="492" t="str">
        <f t="shared" ref="BE32:BE40" ca="1" si="50">CONCATENATE(I32,BD32)</f>
        <v>LGOO6RDF</v>
      </c>
      <c r="BF32" s="447" t="s">
        <v>233</v>
      </c>
      <c r="BG32" s="493">
        <v>34808</v>
      </c>
      <c r="BH32" s="494">
        <v>34808</v>
      </c>
      <c r="BI32" s="447">
        <f t="shared" ref="BI32:BI40" ca="1" si="51">DATEDIF(BG32,TODAY(),"Y")</f>
        <v>30</v>
      </c>
      <c r="BJ32" s="447">
        <f t="shared" ca="1" si="41"/>
        <v>30</v>
      </c>
      <c r="BK32" s="493">
        <v>40262</v>
      </c>
      <c r="BL32" s="447">
        <f t="shared" ref="BL32:BL40" ca="1" si="52">DATEDIF(BK32,TODAY(),"Y")</f>
        <v>15</v>
      </c>
      <c r="BM32" s="447" t="s">
        <v>64</v>
      </c>
      <c r="BN32" s="512" t="s">
        <v>102</v>
      </c>
      <c r="BO32" s="423" t="s">
        <v>2299</v>
      </c>
      <c r="BP32" s="513"/>
      <c r="BQ32" s="514" t="str">
        <f t="shared" si="42"/>
        <v>2FP</v>
      </c>
    </row>
    <row r="33" spans="1:69" ht="19.95" customHeight="1">
      <c r="A33" s="422" t="s">
        <v>1485</v>
      </c>
      <c r="B33" s="423" t="s">
        <v>165</v>
      </c>
      <c r="C33" s="424">
        <v>20</v>
      </c>
      <c r="D33" s="424"/>
      <c r="E33" s="424"/>
      <c r="F33" s="424"/>
      <c r="G33" s="424"/>
      <c r="H33" s="424"/>
      <c r="I33" s="422" t="s">
        <v>2302</v>
      </c>
      <c r="J33" s="421" t="str">
        <f t="shared" si="36"/>
        <v>LGOO5R</v>
      </c>
      <c r="K33" s="421" t="str">
        <f t="shared" si="37"/>
        <v>LGOO5RF</v>
      </c>
      <c r="L33" s="447" t="str">
        <f t="shared" si="38"/>
        <v>RF</v>
      </c>
      <c r="M33" s="932">
        <v>3</v>
      </c>
      <c r="N33" s="932">
        <v>3</v>
      </c>
      <c r="O33" s="932">
        <v>3</v>
      </c>
      <c r="P33" s="932">
        <v>3</v>
      </c>
      <c r="Q33" s="940"/>
      <c r="R33" s="940"/>
      <c r="S33" s="940"/>
      <c r="T33" s="940"/>
      <c r="U33" s="940"/>
      <c r="V33" s="940"/>
      <c r="W33" s="940"/>
      <c r="X33" s="948"/>
      <c r="Y33" s="948"/>
      <c r="Z33" s="948"/>
      <c r="AA33" s="948"/>
      <c r="AB33" s="948"/>
      <c r="AC33" s="948"/>
      <c r="AD33" s="616"/>
      <c r="AE33" s="616"/>
      <c r="AF33" s="616"/>
      <c r="AG33" s="616"/>
      <c r="AH33" s="448">
        <f t="shared" si="39"/>
        <v>613860</v>
      </c>
      <c r="AI33" s="449">
        <f t="shared" si="40"/>
        <v>623868</v>
      </c>
      <c r="AJ33" s="450">
        <v>2</v>
      </c>
      <c r="AK33" s="452" t="s">
        <v>53</v>
      </c>
      <c r="AL33" s="447" t="s">
        <v>54</v>
      </c>
      <c r="AM33" s="447" t="s">
        <v>158</v>
      </c>
      <c r="AN33" s="447">
        <v>310100100001000</v>
      </c>
      <c r="AO33" s="306" t="s">
        <v>57</v>
      </c>
      <c r="AP33" s="306" t="s">
        <v>2307</v>
      </c>
      <c r="AQ33" s="306" t="s">
        <v>57</v>
      </c>
      <c r="AR33" s="306" t="s">
        <v>97</v>
      </c>
      <c r="AS33" s="306" t="s">
        <v>98</v>
      </c>
      <c r="AT33" s="306" t="s">
        <v>1981</v>
      </c>
      <c r="AU33" s="306" t="str">
        <f t="shared" si="43"/>
        <v>L</v>
      </c>
      <c r="AV33" s="306" t="str">
        <f t="shared" si="44"/>
        <v>Marie Cris L. Rimando</v>
      </c>
      <c r="AW33" s="306" t="str">
        <f t="shared" si="45"/>
        <v>RIMANDO, Marie Cris Lim</v>
      </c>
      <c r="AX33" s="307" t="s">
        <v>57</v>
      </c>
      <c r="AY33" s="447" t="s">
        <v>100</v>
      </c>
      <c r="AZ33" s="472">
        <v>24278</v>
      </c>
      <c r="BA33" s="101">
        <f t="shared" ca="1" si="46"/>
        <v>59</v>
      </c>
      <c r="BB33" s="492" t="str">
        <f t="shared" ca="1" si="47"/>
        <v>D</v>
      </c>
      <c r="BC33" s="492" t="str">
        <f t="shared" ca="1" si="48"/>
        <v>RD</v>
      </c>
      <c r="BD33" s="492" t="str">
        <f t="shared" ca="1" si="49"/>
        <v>RDF</v>
      </c>
      <c r="BE33" s="492" t="str">
        <f t="shared" ca="1" si="50"/>
        <v>LGOO5RDF</v>
      </c>
      <c r="BF33" s="447" t="s">
        <v>101</v>
      </c>
      <c r="BG33" s="493">
        <v>36374</v>
      </c>
      <c r="BH33" s="493">
        <v>36374</v>
      </c>
      <c r="BI33" s="447">
        <f t="shared" ca="1" si="51"/>
        <v>26</v>
      </c>
      <c r="BJ33" s="447">
        <f t="shared" ca="1" si="41"/>
        <v>26</v>
      </c>
      <c r="BK33" s="493">
        <v>41526</v>
      </c>
      <c r="BL33" s="447">
        <f t="shared" ca="1" si="52"/>
        <v>12</v>
      </c>
      <c r="BM33" s="447" t="s">
        <v>64</v>
      </c>
      <c r="BN33" s="512" t="s">
        <v>102</v>
      </c>
      <c r="BO33" s="423" t="s">
        <v>2299</v>
      </c>
      <c r="BP33" s="513" t="s">
        <v>1207</v>
      </c>
      <c r="BQ33" s="514" t="str">
        <f t="shared" si="42"/>
        <v>2FP</v>
      </c>
    </row>
    <row r="34" spans="1:69" ht="19.95" customHeight="1">
      <c r="A34" s="422" t="s">
        <v>234</v>
      </c>
      <c r="B34" s="423" t="s">
        <v>165</v>
      </c>
      <c r="C34" s="424">
        <v>20</v>
      </c>
      <c r="D34" s="424"/>
      <c r="E34" s="424"/>
      <c r="F34" s="424"/>
      <c r="G34" s="424"/>
      <c r="H34" s="424"/>
      <c r="I34" s="422" t="s">
        <v>2302</v>
      </c>
      <c r="J34" s="421" t="str">
        <f t="shared" si="36"/>
        <v>LGOO5R</v>
      </c>
      <c r="K34" s="421" t="str">
        <f t="shared" si="37"/>
        <v>LGOO5RF</v>
      </c>
      <c r="L34" s="447" t="str">
        <f t="shared" si="38"/>
        <v>RF</v>
      </c>
      <c r="M34" s="932">
        <v>3</v>
      </c>
      <c r="N34" s="932">
        <v>3</v>
      </c>
      <c r="O34" s="932">
        <v>3</v>
      </c>
      <c r="P34" s="932">
        <v>3</v>
      </c>
      <c r="Q34" s="940"/>
      <c r="R34" s="940"/>
      <c r="S34" s="940"/>
      <c r="T34" s="940"/>
      <c r="U34" s="940"/>
      <c r="V34" s="940"/>
      <c r="W34" s="940"/>
      <c r="X34" s="948"/>
      <c r="Y34" s="948"/>
      <c r="Z34" s="948"/>
      <c r="AA34" s="948"/>
      <c r="AB34" s="948"/>
      <c r="AC34" s="948"/>
      <c r="AD34" s="616"/>
      <c r="AE34" s="616"/>
      <c r="AF34" s="616"/>
      <c r="AG34" s="616"/>
      <c r="AH34" s="448">
        <f t="shared" si="39"/>
        <v>613860</v>
      </c>
      <c r="AI34" s="449">
        <f t="shared" si="40"/>
        <v>634056</v>
      </c>
      <c r="AJ34" s="450">
        <v>3</v>
      </c>
      <c r="AK34" s="452" t="s">
        <v>53</v>
      </c>
      <c r="AL34" s="447" t="s">
        <v>54</v>
      </c>
      <c r="AM34" s="447" t="s">
        <v>158</v>
      </c>
      <c r="AN34" s="447">
        <v>310100100001000</v>
      </c>
      <c r="AO34" s="306" t="s">
        <v>57</v>
      </c>
      <c r="AP34" s="306" t="s">
        <v>2307</v>
      </c>
      <c r="AQ34" s="306" t="s">
        <v>57</v>
      </c>
      <c r="AR34" s="305" t="s">
        <v>205</v>
      </c>
      <c r="AS34" s="305" t="s">
        <v>206</v>
      </c>
      <c r="AT34" s="305" t="s">
        <v>1965</v>
      </c>
      <c r="AU34" s="306" t="str">
        <f t="shared" si="43"/>
        <v>M</v>
      </c>
      <c r="AV34" s="306" t="str">
        <f t="shared" si="44"/>
        <v>Florinda M. Garcia</v>
      </c>
      <c r="AW34" s="306" t="str">
        <f t="shared" si="45"/>
        <v>GARCIA, Florinda Manuyag</v>
      </c>
      <c r="AX34" s="307" t="s">
        <v>57</v>
      </c>
      <c r="AY34" s="447" t="s">
        <v>100</v>
      </c>
      <c r="AZ34" s="472">
        <v>22504</v>
      </c>
      <c r="BA34" s="101">
        <f t="shared" ca="1" si="46"/>
        <v>64</v>
      </c>
      <c r="BB34" s="492" t="str">
        <f t="shared" ca="1" si="47"/>
        <v>E</v>
      </c>
      <c r="BC34" s="492" t="str">
        <f t="shared" ca="1" si="48"/>
        <v>RE</v>
      </c>
      <c r="BD34" s="492" t="str">
        <f t="shared" ca="1" si="49"/>
        <v>REF</v>
      </c>
      <c r="BE34" s="492" t="str">
        <f t="shared" ca="1" si="50"/>
        <v>LGOO5REF</v>
      </c>
      <c r="BF34" s="447" t="s">
        <v>208</v>
      </c>
      <c r="BG34" s="493">
        <v>36100</v>
      </c>
      <c r="BH34" s="493">
        <v>36100</v>
      </c>
      <c r="BI34" s="447">
        <f t="shared" ca="1" si="51"/>
        <v>27</v>
      </c>
      <c r="BJ34" s="447">
        <f t="shared" ca="1" si="41"/>
        <v>27</v>
      </c>
      <c r="BK34" s="493">
        <v>41149</v>
      </c>
      <c r="BL34" s="447">
        <f t="shared" ca="1" si="52"/>
        <v>13</v>
      </c>
      <c r="BM34" s="447" t="s">
        <v>64</v>
      </c>
      <c r="BN34" s="512" t="s">
        <v>102</v>
      </c>
      <c r="BO34" s="423" t="s">
        <v>2254</v>
      </c>
      <c r="BP34" s="513" t="s">
        <v>1207</v>
      </c>
      <c r="BQ34" s="514" t="str">
        <f t="shared" si="42"/>
        <v>2FP</v>
      </c>
    </row>
    <row r="35" spans="1:69" ht="19.95" customHeight="1">
      <c r="A35" s="422" t="s">
        <v>239</v>
      </c>
      <c r="B35" s="423" t="s">
        <v>165</v>
      </c>
      <c r="C35" s="424">
        <v>20</v>
      </c>
      <c r="D35" s="424"/>
      <c r="E35" s="424"/>
      <c r="F35" s="424"/>
      <c r="G35" s="424"/>
      <c r="H35" s="424"/>
      <c r="I35" s="422" t="s">
        <v>2302</v>
      </c>
      <c r="J35" s="421" t="str">
        <f t="shared" si="36"/>
        <v>LGOO5R</v>
      </c>
      <c r="K35" s="421" t="str">
        <f t="shared" si="37"/>
        <v>LGOO5RM</v>
      </c>
      <c r="L35" s="447" t="str">
        <f t="shared" si="38"/>
        <v>RM</v>
      </c>
      <c r="M35" s="932">
        <v>3</v>
      </c>
      <c r="N35" s="932">
        <v>3</v>
      </c>
      <c r="O35" s="932">
        <v>3</v>
      </c>
      <c r="P35" s="932">
        <v>3</v>
      </c>
      <c r="Q35" s="940"/>
      <c r="R35" s="940"/>
      <c r="S35" s="940"/>
      <c r="T35" s="940"/>
      <c r="U35" s="940"/>
      <c r="V35" s="940"/>
      <c r="W35" s="940"/>
      <c r="X35" s="948"/>
      <c r="Y35" s="948"/>
      <c r="Z35" s="948"/>
      <c r="AA35" s="948"/>
      <c r="AB35" s="948"/>
      <c r="AC35" s="948"/>
      <c r="AD35" s="616"/>
      <c r="AE35" s="616"/>
      <c r="AF35" s="616"/>
      <c r="AG35" s="616"/>
      <c r="AH35" s="448">
        <f t="shared" si="39"/>
        <v>613860</v>
      </c>
      <c r="AI35" s="449">
        <f t="shared" si="40"/>
        <v>613860</v>
      </c>
      <c r="AJ35" s="450">
        <v>1</v>
      </c>
      <c r="AK35" s="452" t="s">
        <v>53</v>
      </c>
      <c r="AL35" s="447" t="s">
        <v>54</v>
      </c>
      <c r="AM35" s="447" t="s">
        <v>158</v>
      </c>
      <c r="AN35" s="447">
        <v>310100100001000</v>
      </c>
      <c r="AO35" s="306" t="s">
        <v>57</v>
      </c>
      <c r="AP35" s="305" t="s">
        <v>2297</v>
      </c>
      <c r="AQ35" s="306" t="s">
        <v>57</v>
      </c>
      <c r="AR35" s="306" t="s">
        <v>2085</v>
      </c>
      <c r="AS35" s="306" t="s">
        <v>2086</v>
      </c>
      <c r="AT35" s="306" t="s">
        <v>2087</v>
      </c>
      <c r="AU35" s="306" t="str">
        <f t="shared" si="43"/>
        <v>C</v>
      </c>
      <c r="AV35" s="306" t="str">
        <f t="shared" si="44"/>
        <v>Kenneth C. Tindungan</v>
      </c>
      <c r="AW35" s="306" t="str">
        <f t="shared" si="45"/>
        <v>TINDUNGAN, Kenneth Cuyapi</v>
      </c>
      <c r="AX35" s="307" t="s">
        <v>57</v>
      </c>
      <c r="AY35" s="447" t="s">
        <v>62</v>
      </c>
      <c r="AZ35" s="472">
        <v>29806</v>
      </c>
      <c r="BA35" s="101">
        <f t="shared" ca="1" si="46"/>
        <v>44</v>
      </c>
      <c r="BB35" s="492" t="str">
        <f t="shared" ca="1" si="47"/>
        <v>C</v>
      </c>
      <c r="BC35" s="492" t="str">
        <f t="shared" ca="1" si="48"/>
        <v>RC</v>
      </c>
      <c r="BD35" s="492" t="str">
        <f t="shared" ca="1" si="49"/>
        <v>RCM</v>
      </c>
      <c r="BE35" s="492" t="str">
        <f t="shared" ca="1" si="50"/>
        <v>LGOO5RCM</v>
      </c>
      <c r="BF35" s="447" t="s">
        <v>2314</v>
      </c>
      <c r="BG35" s="493">
        <v>41372</v>
      </c>
      <c r="BH35" s="494">
        <v>41372</v>
      </c>
      <c r="BI35" s="447">
        <f t="shared" ca="1" si="51"/>
        <v>12</v>
      </c>
      <c r="BJ35" s="447">
        <f t="shared" ca="1" si="41"/>
        <v>12</v>
      </c>
      <c r="BK35" s="493">
        <v>43168</v>
      </c>
      <c r="BL35" s="447">
        <f t="shared" ca="1" si="52"/>
        <v>8</v>
      </c>
      <c r="BM35" s="447" t="s">
        <v>64</v>
      </c>
      <c r="BN35" s="512" t="s">
        <v>102</v>
      </c>
      <c r="BO35" s="423" t="s">
        <v>2322</v>
      </c>
      <c r="BP35" s="513"/>
      <c r="BQ35" s="514" t="str">
        <f t="shared" si="42"/>
        <v>2MP</v>
      </c>
    </row>
    <row r="36" spans="1:69" ht="19.95" customHeight="1">
      <c r="A36" s="422" t="s">
        <v>248</v>
      </c>
      <c r="B36" s="423" t="s">
        <v>187</v>
      </c>
      <c r="C36" s="424">
        <v>18</v>
      </c>
      <c r="D36" s="424"/>
      <c r="E36" s="424"/>
      <c r="F36" s="424"/>
      <c r="G36" s="424"/>
      <c r="H36" s="424"/>
      <c r="I36" s="422" t="s">
        <v>2306</v>
      </c>
      <c r="J36" s="421" t="str">
        <f t="shared" si="36"/>
        <v>LGOO4R</v>
      </c>
      <c r="K36" s="421" t="str">
        <f t="shared" si="37"/>
        <v>LGOO4RF</v>
      </c>
      <c r="L36" s="447" t="str">
        <f t="shared" si="38"/>
        <v>RF</v>
      </c>
      <c r="M36" s="932">
        <v>3</v>
      </c>
      <c r="N36" s="932">
        <v>3</v>
      </c>
      <c r="O36" s="932">
        <v>3</v>
      </c>
      <c r="P36" s="932">
        <v>3</v>
      </c>
      <c r="Q36" s="940"/>
      <c r="R36" s="940"/>
      <c r="S36" s="940"/>
      <c r="T36" s="940"/>
      <c r="U36" s="940"/>
      <c r="V36" s="940"/>
      <c r="W36" s="940"/>
      <c r="X36" s="948"/>
      <c r="Y36" s="948"/>
      <c r="Z36" s="948"/>
      <c r="AA36" s="948"/>
      <c r="AB36" s="948"/>
      <c r="AC36" s="948"/>
      <c r="AD36" s="616"/>
      <c r="AE36" s="616"/>
      <c r="AF36" s="616"/>
      <c r="AG36" s="616"/>
      <c r="AH36" s="448">
        <f t="shared" si="39"/>
        <v>487644</v>
      </c>
      <c r="AI36" s="449">
        <f t="shared" si="40"/>
        <v>487644</v>
      </c>
      <c r="AJ36" s="450">
        <v>1</v>
      </c>
      <c r="AK36" s="452" t="s">
        <v>53</v>
      </c>
      <c r="AL36" s="447" t="s">
        <v>54</v>
      </c>
      <c r="AM36" s="447" t="s">
        <v>158</v>
      </c>
      <c r="AN36" s="447">
        <v>310100100001000</v>
      </c>
      <c r="AO36" s="306" t="s">
        <v>57</v>
      </c>
      <c r="AP36" s="305" t="s">
        <v>2297</v>
      </c>
      <c r="AQ36" s="305" t="s">
        <v>1531</v>
      </c>
      <c r="AR36" s="305" t="s">
        <v>2119</v>
      </c>
      <c r="AS36" s="305" t="s">
        <v>2323</v>
      </c>
      <c r="AT36" s="305" t="s">
        <v>2120</v>
      </c>
      <c r="AU36" s="306" t="str">
        <f t="shared" si="43"/>
        <v>E</v>
      </c>
      <c r="AV36" s="306" t="str">
        <f t="shared" si="44"/>
        <v>Mary Jheama Rachine  E. Canullas</v>
      </c>
      <c r="AW36" s="306" t="str">
        <f t="shared" si="45"/>
        <v>CANULLAS, Mary Jheama Rachine  Esperanzate</v>
      </c>
      <c r="AX36" s="307" t="s">
        <v>57</v>
      </c>
      <c r="AY36" s="447" t="s">
        <v>100</v>
      </c>
      <c r="AZ36" s="472">
        <v>30849</v>
      </c>
      <c r="BA36" s="101">
        <f t="shared" ca="1" si="46"/>
        <v>41</v>
      </c>
      <c r="BB36" s="492" t="str">
        <f t="shared" ca="1" si="47"/>
        <v>C</v>
      </c>
      <c r="BC36" s="492" t="str">
        <f t="shared" ca="1" si="48"/>
        <v>RC</v>
      </c>
      <c r="BD36" s="492" t="str">
        <f t="shared" ca="1" si="49"/>
        <v>RCF</v>
      </c>
      <c r="BE36" s="492" t="str">
        <f t="shared" ca="1" si="50"/>
        <v>LGOO4RCF</v>
      </c>
      <c r="BF36" s="447" t="s">
        <v>2324</v>
      </c>
      <c r="BG36" s="493">
        <v>39475</v>
      </c>
      <c r="BH36" s="493">
        <v>39475</v>
      </c>
      <c r="BI36" s="447">
        <f t="shared" ca="1" si="51"/>
        <v>18</v>
      </c>
      <c r="BJ36" s="447">
        <f t="shared" ca="1" si="41"/>
        <v>18</v>
      </c>
      <c r="BK36" s="493">
        <v>43129</v>
      </c>
      <c r="BL36" s="447">
        <f t="shared" ca="1" si="52"/>
        <v>8</v>
      </c>
      <c r="BM36" s="447" t="s">
        <v>64</v>
      </c>
      <c r="BN36" s="512" t="s">
        <v>102</v>
      </c>
      <c r="BO36" s="423" t="s">
        <v>2325</v>
      </c>
      <c r="BP36" s="513" t="s">
        <v>1531</v>
      </c>
      <c r="BQ36" s="514" t="str">
        <f t="shared" si="42"/>
        <v>2FP</v>
      </c>
    </row>
    <row r="37" spans="1:69" ht="19.95" customHeight="1">
      <c r="A37" s="422" t="s">
        <v>254</v>
      </c>
      <c r="B37" s="423" t="s">
        <v>187</v>
      </c>
      <c r="C37" s="424">
        <v>18</v>
      </c>
      <c r="D37" s="424"/>
      <c r="E37" s="424"/>
      <c r="F37" s="424"/>
      <c r="G37" s="424"/>
      <c r="H37" s="424"/>
      <c r="I37" s="422" t="s">
        <v>2306</v>
      </c>
      <c r="J37" s="421" t="str">
        <f t="shared" si="36"/>
        <v>LGOO4R</v>
      </c>
      <c r="K37" s="421" t="str">
        <f t="shared" si="37"/>
        <v>LGOO4RF</v>
      </c>
      <c r="L37" s="447" t="str">
        <f t="shared" si="38"/>
        <v>RF</v>
      </c>
      <c r="M37" s="932">
        <v>3</v>
      </c>
      <c r="N37" s="932">
        <v>3</v>
      </c>
      <c r="O37" s="932">
        <v>3</v>
      </c>
      <c r="P37" s="932">
        <v>3</v>
      </c>
      <c r="Q37" s="940"/>
      <c r="R37" s="940"/>
      <c r="S37" s="940"/>
      <c r="T37" s="940"/>
      <c r="U37" s="940"/>
      <c r="V37" s="940"/>
      <c r="W37" s="940"/>
      <c r="X37" s="948"/>
      <c r="Y37" s="948"/>
      <c r="Z37" s="948"/>
      <c r="AA37" s="948"/>
      <c r="AB37" s="948"/>
      <c r="AC37" s="948"/>
      <c r="AD37" s="616"/>
      <c r="AE37" s="616"/>
      <c r="AF37" s="616"/>
      <c r="AG37" s="616"/>
      <c r="AH37" s="448">
        <f t="shared" si="39"/>
        <v>487644</v>
      </c>
      <c r="AI37" s="449">
        <f t="shared" si="40"/>
        <v>499800</v>
      </c>
      <c r="AJ37" s="450">
        <v>3</v>
      </c>
      <c r="AK37" s="452" t="s">
        <v>53</v>
      </c>
      <c r="AL37" s="447" t="s">
        <v>54</v>
      </c>
      <c r="AM37" s="447" t="s">
        <v>158</v>
      </c>
      <c r="AN37" s="447">
        <v>310100100001000</v>
      </c>
      <c r="AO37" s="306" t="s">
        <v>57</v>
      </c>
      <c r="AP37" s="306" t="s">
        <v>2307</v>
      </c>
      <c r="AQ37" s="306" t="s">
        <v>57</v>
      </c>
      <c r="AR37" s="305" t="s">
        <v>1994</v>
      </c>
      <c r="AS37" s="305" t="s">
        <v>1995</v>
      </c>
      <c r="AT37" s="305" t="s">
        <v>1996</v>
      </c>
      <c r="AU37" s="306" t="str">
        <f t="shared" si="43"/>
        <v>S</v>
      </c>
      <c r="AV37" s="306" t="str">
        <f t="shared" si="44"/>
        <v>Maria Consolacion S. Buena</v>
      </c>
      <c r="AW37" s="306" t="str">
        <f t="shared" si="45"/>
        <v>BUENA, Maria Consolacion Salibad</v>
      </c>
      <c r="AX37" s="307" t="s">
        <v>57</v>
      </c>
      <c r="AY37" s="447" t="s">
        <v>100</v>
      </c>
      <c r="AZ37" s="472">
        <v>29798</v>
      </c>
      <c r="BA37" s="101">
        <f t="shared" ca="1" si="46"/>
        <v>44</v>
      </c>
      <c r="BB37" s="492" t="str">
        <f t="shared" ca="1" si="47"/>
        <v>C</v>
      </c>
      <c r="BC37" s="492" t="str">
        <f t="shared" ca="1" si="48"/>
        <v>RC</v>
      </c>
      <c r="BD37" s="492" t="str">
        <f t="shared" ca="1" si="49"/>
        <v>RCF</v>
      </c>
      <c r="BE37" s="492" t="str">
        <f t="shared" ca="1" si="50"/>
        <v>LGOO4RCF</v>
      </c>
      <c r="BF37" s="447" t="s">
        <v>2275</v>
      </c>
      <c r="BG37" s="493">
        <v>37586</v>
      </c>
      <c r="BH37" s="493">
        <v>37586</v>
      </c>
      <c r="BI37" s="447">
        <f t="shared" ca="1" si="51"/>
        <v>23</v>
      </c>
      <c r="BJ37" s="447">
        <f t="shared" ca="1" si="41"/>
        <v>23</v>
      </c>
      <c r="BK37" s="493">
        <v>41254</v>
      </c>
      <c r="BL37" s="447">
        <f t="shared" ca="1" si="52"/>
        <v>13</v>
      </c>
      <c r="BM37" s="447" t="s">
        <v>64</v>
      </c>
      <c r="BN37" s="512" t="s">
        <v>102</v>
      </c>
      <c r="BO37" s="423" t="s">
        <v>2326</v>
      </c>
      <c r="BP37" s="526" t="s">
        <v>2327</v>
      </c>
      <c r="BQ37" s="514" t="str">
        <f t="shared" si="42"/>
        <v>2FP</v>
      </c>
    </row>
    <row r="38" spans="1:69" ht="19.95" customHeight="1">
      <c r="A38" s="422" t="s">
        <v>2328</v>
      </c>
      <c r="B38" s="423" t="s">
        <v>262</v>
      </c>
      <c r="C38" s="424">
        <v>15</v>
      </c>
      <c r="D38" s="424"/>
      <c r="E38" s="424"/>
      <c r="F38" s="424"/>
      <c r="G38" s="424"/>
      <c r="H38" s="424"/>
      <c r="I38" s="422" t="s">
        <v>2329</v>
      </c>
      <c r="J38" s="421" t="str">
        <f t="shared" si="36"/>
        <v>STAT2R</v>
      </c>
      <c r="K38" s="421" t="str">
        <f t="shared" si="37"/>
        <v>STAT2RM</v>
      </c>
      <c r="L38" s="447" t="str">
        <f t="shared" si="38"/>
        <v>RM</v>
      </c>
      <c r="M38" s="932">
        <v>2</v>
      </c>
      <c r="N38" s="932">
        <v>2</v>
      </c>
      <c r="O38" s="932">
        <v>2</v>
      </c>
      <c r="P38" s="932">
        <v>2</v>
      </c>
      <c r="Q38" s="940"/>
      <c r="R38" s="940"/>
      <c r="S38" s="940"/>
      <c r="T38" s="940"/>
      <c r="U38" s="940"/>
      <c r="V38" s="940"/>
      <c r="W38" s="940"/>
      <c r="X38" s="948"/>
      <c r="Y38" s="948"/>
      <c r="Z38" s="948"/>
      <c r="AA38" s="948"/>
      <c r="AB38" s="948"/>
      <c r="AC38" s="948"/>
      <c r="AD38" s="616"/>
      <c r="AE38" s="616"/>
      <c r="AF38" s="616"/>
      <c r="AG38" s="616"/>
      <c r="AH38" s="448">
        <f t="shared" si="39"/>
        <v>366372</v>
      </c>
      <c r="AI38" s="449">
        <f t="shared" si="40"/>
        <v>366372</v>
      </c>
      <c r="AJ38" s="450">
        <v>1</v>
      </c>
      <c r="AK38" s="452" t="s">
        <v>53</v>
      </c>
      <c r="AL38" s="447" t="s">
        <v>54</v>
      </c>
      <c r="AM38" s="447" t="s">
        <v>77</v>
      </c>
      <c r="AN38" s="447">
        <v>310100100001000</v>
      </c>
      <c r="AO38" s="306" t="s">
        <v>57</v>
      </c>
      <c r="AP38" s="306" t="s">
        <v>2307</v>
      </c>
      <c r="AQ38" s="306" t="s">
        <v>57</v>
      </c>
      <c r="AR38" s="306" t="s">
        <v>2156</v>
      </c>
      <c r="AS38" s="306" t="s">
        <v>2157</v>
      </c>
      <c r="AT38" s="306" t="s">
        <v>1014</v>
      </c>
      <c r="AU38" s="306" t="str">
        <f t="shared" si="43"/>
        <v>E</v>
      </c>
      <c r="AV38" s="306" t="str">
        <f t="shared" si="44"/>
        <v>Danilo Jr E. Azarcon</v>
      </c>
      <c r="AW38" s="306" t="str">
        <f t="shared" si="45"/>
        <v>AZARCON, Danilo Jr Estrella</v>
      </c>
      <c r="AX38" s="307" t="s">
        <v>57</v>
      </c>
      <c r="AY38" s="447" t="s">
        <v>62</v>
      </c>
      <c r="AZ38" s="472">
        <v>30193</v>
      </c>
      <c r="BA38" s="101">
        <f t="shared" ca="1" si="46"/>
        <v>43</v>
      </c>
      <c r="BB38" s="492" t="str">
        <f t="shared" ca="1" si="47"/>
        <v>C</v>
      </c>
      <c r="BC38" s="492" t="str">
        <f t="shared" ca="1" si="48"/>
        <v>RC</v>
      </c>
      <c r="BD38" s="492" t="str">
        <f t="shared" ca="1" si="49"/>
        <v>RCM</v>
      </c>
      <c r="BE38" s="492" t="str">
        <f t="shared" ca="1" si="50"/>
        <v>STAT2RCM</v>
      </c>
      <c r="BF38" s="447" t="s">
        <v>2330</v>
      </c>
      <c r="BG38" s="493">
        <v>42835</v>
      </c>
      <c r="BH38" s="494">
        <v>42835</v>
      </c>
      <c r="BI38" s="447">
        <f t="shared" ca="1" si="51"/>
        <v>8</v>
      </c>
      <c r="BJ38" s="447">
        <f t="shared" ca="1" si="41"/>
        <v>8</v>
      </c>
      <c r="BK38" s="493">
        <v>42835</v>
      </c>
      <c r="BL38" s="447">
        <f t="shared" ca="1" si="52"/>
        <v>8</v>
      </c>
      <c r="BM38" s="447" t="s">
        <v>64</v>
      </c>
      <c r="BN38" s="512" t="s">
        <v>102</v>
      </c>
      <c r="BO38" s="423" t="s">
        <v>2331</v>
      </c>
      <c r="BP38" s="513"/>
      <c r="BQ38" s="514" t="str">
        <f t="shared" si="42"/>
        <v>2MP</v>
      </c>
    </row>
    <row r="39" spans="1:69" ht="19.95" customHeight="1">
      <c r="A39" s="422" t="s">
        <v>263</v>
      </c>
      <c r="B39" s="423" t="s">
        <v>264</v>
      </c>
      <c r="C39" s="424">
        <v>11</v>
      </c>
      <c r="D39" s="424"/>
      <c r="E39" s="424"/>
      <c r="F39" s="424"/>
      <c r="G39" s="424"/>
      <c r="H39" s="424"/>
      <c r="I39" s="422" t="s">
        <v>2334</v>
      </c>
      <c r="J39" s="421" t="str">
        <f t="shared" si="36"/>
        <v>STAT1R</v>
      </c>
      <c r="K39" s="421" t="str">
        <f t="shared" si="37"/>
        <v>STAT1RF</v>
      </c>
      <c r="L39" s="447" t="str">
        <f t="shared" si="38"/>
        <v>RF</v>
      </c>
      <c r="M39" s="932">
        <v>2</v>
      </c>
      <c r="N39" s="932">
        <v>2</v>
      </c>
      <c r="O39" s="932">
        <v>2</v>
      </c>
      <c r="P39" s="932">
        <v>2</v>
      </c>
      <c r="Q39" s="940"/>
      <c r="R39" s="940"/>
      <c r="S39" s="940"/>
      <c r="T39" s="940"/>
      <c r="U39" s="940"/>
      <c r="V39" s="940"/>
      <c r="W39" s="940"/>
      <c r="X39" s="948"/>
      <c r="Y39" s="948"/>
      <c r="Z39" s="948"/>
      <c r="AA39" s="948"/>
      <c r="AB39" s="948"/>
      <c r="AC39" s="948"/>
      <c r="AD39" s="616"/>
      <c r="AE39" s="616"/>
      <c r="AF39" s="616"/>
      <c r="AG39" s="616"/>
      <c r="AH39" s="448">
        <f t="shared" si="39"/>
        <v>249048</v>
      </c>
      <c r="AI39" s="449">
        <f t="shared" si="40"/>
        <v>252456</v>
      </c>
      <c r="AJ39" s="450">
        <v>2</v>
      </c>
      <c r="AK39" s="452" t="s">
        <v>53</v>
      </c>
      <c r="AL39" s="447" t="s">
        <v>54</v>
      </c>
      <c r="AM39" s="447" t="s">
        <v>77</v>
      </c>
      <c r="AN39" s="447">
        <v>310100100001000</v>
      </c>
      <c r="AO39" s="306" t="s">
        <v>57</v>
      </c>
      <c r="AP39" s="306" t="s">
        <v>2307</v>
      </c>
      <c r="AQ39" s="306" t="s">
        <v>57</v>
      </c>
      <c r="AR39" s="306" t="s">
        <v>373</v>
      </c>
      <c r="AS39" s="306" t="s">
        <v>2115</v>
      </c>
      <c r="AT39" s="306" t="s">
        <v>2116</v>
      </c>
      <c r="AU39" s="306" t="str">
        <f t="shared" si="43"/>
        <v>C</v>
      </c>
      <c r="AV39" s="306" t="str">
        <f t="shared" si="44"/>
        <v>Sesvir C. Lopez</v>
      </c>
      <c r="AW39" s="306" t="str">
        <f t="shared" si="45"/>
        <v>LOPEZ, Sesvir Castañeda</v>
      </c>
      <c r="AX39" s="307" t="s">
        <v>57</v>
      </c>
      <c r="AY39" s="447" t="s">
        <v>100</v>
      </c>
      <c r="AZ39" s="472">
        <v>29545</v>
      </c>
      <c r="BA39" s="101">
        <f t="shared" ca="1" si="46"/>
        <v>45</v>
      </c>
      <c r="BB39" s="492" t="str">
        <f t="shared" ca="1" si="47"/>
        <v>C</v>
      </c>
      <c r="BC39" s="492" t="str">
        <f t="shared" ca="1" si="48"/>
        <v>RC</v>
      </c>
      <c r="BD39" s="492" t="str">
        <f t="shared" ca="1" si="49"/>
        <v>RCF</v>
      </c>
      <c r="BE39" s="492" t="str">
        <f t="shared" ca="1" si="50"/>
        <v>STAT1RCF</v>
      </c>
      <c r="BF39" s="447" t="s">
        <v>2335</v>
      </c>
      <c r="BG39" s="493">
        <v>41946</v>
      </c>
      <c r="BH39" s="493">
        <v>41946</v>
      </c>
      <c r="BI39" s="447">
        <f t="shared" ca="1" si="51"/>
        <v>11</v>
      </c>
      <c r="BJ39" s="447">
        <f t="shared" ca="1" si="41"/>
        <v>11</v>
      </c>
      <c r="BK39" s="493">
        <v>41967</v>
      </c>
      <c r="BL39" s="447">
        <f t="shared" ca="1" si="52"/>
        <v>11</v>
      </c>
      <c r="BM39" s="447" t="s">
        <v>64</v>
      </c>
      <c r="BN39" s="512" t="s">
        <v>102</v>
      </c>
      <c r="BO39" s="423" t="s">
        <v>2336</v>
      </c>
      <c r="BP39" s="513"/>
      <c r="BQ39" s="514" t="str">
        <f t="shared" si="42"/>
        <v>2FP</v>
      </c>
    </row>
    <row r="40" spans="1:69" ht="19.95" customHeight="1">
      <c r="A40" s="422" t="s">
        <v>2339</v>
      </c>
      <c r="B40" s="423" t="s">
        <v>273</v>
      </c>
      <c r="C40" s="424">
        <v>6</v>
      </c>
      <c r="D40" s="424" t="s">
        <v>2276</v>
      </c>
      <c r="E40" s="424" t="s">
        <v>265</v>
      </c>
      <c r="F40" s="424" t="s">
        <v>265</v>
      </c>
      <c r="G40" s="424" t="s">
        <v>2279</v>
      </c>
      <c r="H40" s="431" t="s">
        <v>2315</v>
      </c>
      <c r="I40" s="422" t="s">
        <v>2316</v>
      </c>
      <c r="J40" s="421" t="str">
        <f t="shared" si="36"/>
        <v>ADA6I</v>
      </c>
      <c r="K40" s="421" t="str">
        <f t="shared" si="37"/>
        <v>ADA6IF</v>
      </c>
      <c r="L40" s="447" t="str">
        <f t="shared" si="38"/>
        <v>IF</v>
      </c>
      <c r="M40" s="932">
        <v>1</v>
      </c>
      <c r="N40" s="932">
        <v>1</v>
      </c>
      <c r="O40" s="932">
        <v>1</v>
      </c>
      <c r="P40" s="932">
        <v>1</v>
      </c>
      <c r="Q40" s="940"/>
      <c r="R40" s="940"/>
      <c r="S40" s="940"/>
      <c r="T40" s="940"/>
      <c r="U40" s="940"/>
      <c r="V40" s="940"/>
      <c r="W40" s="940"/>
      <c r="X40" s="948"/>
      <c r="Y40" s="948"/>
      <c r="Z40" s="948"/>
      <c r="AA40" s="948"/>
      <c r="AB40" s="948"/>
      <c r="AC40" s="948"/>
      <c r="AD40" s="616"/>
      <c r="AE40" s="616"/>
      <c r="AF40" s="616"/>
      <c r="AG40" s="616"/>
      <c r="AH40" s="448">
        <f t="shared" si="39"/>
        <v>178164</v>
      </c>
      <c r="AI40" s="449">
        <f t="shared" si="40"/>
        <v>179532</v>
      </c>
      <c r="AJ40" s="450">
        <v>2</v>
      </c>
      <c r="AK40" s="452" t="s">
        <v>53</v>
      </c>
      <c r="AL40" s="447" t="s">
        <v>54</v>
      </c>
      <c r="AM40" s="447" t="s">
        <v>81</v>
      </c>
      <c r="AN40" s="447">
        <v>310100100001000</v>
      </c>
      <c r="AO40" s="306" t="s">
        <v>57</v>
      </c>
      <c r="AP40" s="305" t="s">
        <v>2307</v>
      </c>
      <c r="AQ40" s="306" t="s">
        <v>57</v>
      </c>
      <c r="AR40" s="306" t="s">
        <v>2127</v>
      </c>
      <c r="AS40" s="306" t="s">
        <v>2128</v>
      </c>
      <c r="AT40" s="306" t="s">
        <v>2129</v>
      </c>
      <c r="AU40" s="306" t="str">
        <f t="shared" si="43"/>
        <v>U</v>
      </c>
      <c r="AV40" s="306" t="str">
        <f t="shared" si="44"/>
        <v>Juden Beth U. Magciano</v>
      </c>
      <c r="AW40" s="306" t="str">
        <f t="shared" si="45"/>
        <v>MAGCIANO, Juden Beth Uybaan</v>
      </c>
      <c r="AX40" s="305" t="s">
        <v>174</v>
      </c>
      <c r="AY40" s="447" t="s">
        <v>100</v>
      </c>
      <c r="AZ40" s="472">
        <v>33795</v>
      </c>
      <c r="BA40" s="101">
        <f t="shared" ca="1" si="46"/>
        <v>33</v>
      </c>
      <c r="BB40" s="492" t="str">
        <f t="shared" ca="1" si="47"/>
        <v>B</v>
      </c>
      <c r="BC40" s="492" t="str">
        <f t="shared" ca="1" si="48"/>
        <v>IB</v>
      </c>
      <c r="BD40" s="492" t="str">
        <f t="shared" ca="1" si="49"/>
        <v>IBF</v>
      </c>
      <c r="BE40" s="492" t="str">
        <f t="shared" ca="1" si="50"/>
        <v>ADA6IBF</v>
      </c>
      <c r="BF40" s="447" t="s">
        <v>2340</v>
      </c>
      <c r="BG40" s="493">
        <v>42186</v>
      </c>
      <c r="BH40" s="493">
        <v>42186</v>
      </c>
      <c r="BI40" s="447">
        <f t="shared" ca="1" si="51"/>
        <v>10</v>
      </c>
      <c r="BJ40" s="447">
        <f t="shared" ca="1" si="41"/>
        <v>10</v>
      </c>
      <c r="BK40" s="493">
        <v>42186</v>
      </c>
      <c r="BL40" s="447">
        <f t="shared" ca="1" si="52"/>
        <v>10</v>
      </c>
      <c r="BM40" s="447" t="s">
        <v>64</v>
      </c>
      <c r="BN40" s="512" t="s">
        <v>102</v>
      </c>
      <c r="BO40" s="423" t="s">
        <v>2341</v>
      </c>
      <c r="BP40" s="513"/>
      <c r="BQ40" s="514" t="str">
        <f>CONCATENATE(1,AY40,BM40)</f>
        <v>1FP</v>
      </c>
    </row>
    <row r="41" spans="1:69" ht="19.95" customHeight="1" thickBot="1">
      <c r="A41" s="425" t="s">
        <v>147</v>
      </c>
      <c r="B41" s="433"/>
      <c r="C41" s="427"/>
      <c r="D41" s="427"/>
      <c r="E41" s="427"/>
      <c r="F41" s="427"/>
      <c r="G41" s="427"/>
      <c r="H41" s="427"/>
      <c r="I41" s="425"/>
      <c r="J41" s="427"/>
      <c r="K41" s="427"/>
      <c r="L41" s="447"/>
      <c r="M41" s="937"/>
      <c r="N41" s="937"/>
      <c r="O41" s="937"/>
      <c r="P41" s="937"/>
      <c r="Q41" s="945"/>
      <c r="R41" s="945"/>
      <c r="S41" s="945"/>
      <c r="T41" s="945"/>
      <c r="U41" s="945"/>
      <c r="V41" s="945"/>
      <c r="W41" s="945"/>
      <c r="X41" s="953"/>
      <c r="Y41" s="953"/>
      <c r="Z41" s="953"/>
      <c r="AA41" s="953"/>
      <c r="AB41" s="953"/>
      <c r="AC41" s="953"/>
      <c r="AD41" s="960"/>
      <c r="AE41" s="960"/>
      <c r="AF41" s="960"/>
      <c r="AG41" s="960"/>
      <c r="AH41" s="462"/>
      <c r="AI41" s="459"/>
      <c r="AJ41" s="454">
        <f>COUNTIF(AJ31:AJ40,"&lt;&gt;")</f>
        <v>10</v>
      </c>
      <c r="AK41" s="460"/>
      <c r="AL41" s="453"/>
      <c r="AM41" s="453"/>
      <c r="AN41" s="453"/>
      <c r="AO41" s="308"/>
      <c r="AP41" s="308"/>
      <c r="AQ41" s="308"/>
      <c r="AR41" s="308"/>
      <c r="AS41" s="308"/>
      <c r="AT41" s="308"/>
      <c r="AU41" s="308"/>
      <c r="AV41" s="308"/>
      <c r="AW41" s="308"/>
      <c r="AX41" s="308"/>
      <c r="AY41" s="453"/>
      <c r="AZ41" s="475"/>
      <c r="BA41" s="476"/>
      <c r="BB41" s="453"/>
      <c r="BC41" s="453"/>
      <c r="BD41" s="492" t="str">
        <f t="shared" si="49"/>
        <v/>
      </c>
      <c r="BE41" s="501"/>
      <c r="BF41" s="453"/>
      <c r="BG41" s="499"/>
      <c r="BH41" s="502"/>
      <c r="BI41" s="500"/>
      <c r="BJ41" s="500"/>
      <c r="BK41" s="499"/>
      <c r="BL41" s="500"/>
      <c r="BM41" s="453"/>
      <c r="BN41" s="524"/>
      <c r="BO41" s="524"/>
      <c r="BP41" s="525"/>
      <c r="BQ41" s="514"/>
    </row>
    <row r="42" spans="1:69" ht="19.95" customHeight="1">
      <c r="A42" s="435" t="s">
        <v>2345</v>
      </c>
      <c r="B42" s="429"/>
      <c r="C42" s="430"/>
      <c r="D42" s="430"/>
      <c r="E42" s="430"/>
      <c r="F42" s="430"/>
      <c r="G42" s="430"/>
      <c r="H42" s="430"/>
      <c r="I42" s="435"/>
      <c r="J42" s="430"/>
      <c r="K42" s="430"/>
      <c r="L42" s="447"/>
      <c r="M42" s="938"/>
      <c r="N42" s="938"/>
      <c r="O42" s="938"/>
      <c r="P42" s="938"/>
      <c r="Q42" s="946"/>
      <c r="R42" s="946"/>
      <c r="S42" s="946"/>
      <c r="T42" s="946"/>
      <c r="U42" s="946"/>
      <c r="V42" s="946"/>
      <c r="W42" s="946"/>
      <c r="X42" s="954"/>
      <c r="Y42" s="954"/>
      <c r="Z42" s="954"/>
      <c r="AA42" s="954"/>
      <c r="AB42" s="954"/>
      <c r="AC42" s="954"/>
      <c r="AD42" s="961"/>
      <c r="AE42" s="961"/>
      <c r="AF42" s="961"/>
      <c r="AG42" s="961"/>
      <c r="AH42" s="463"/>
      <c r="AI42" s="456"/>
      <c r="AJ42" s="456"/>
      <c r="AK42" s="457"/>
      <c r="AL42" s="456"/>
      <c r="AM42" s="456"/>
      <c r="AN42" s="456"/>
      <c r="AO42" s="456"/>
      <c r="AP42" s="456"/>
      <c r="AQ42" s="456"/>
      <c r="AR42" s="456"/>
      <c r="AS42" s="456"/>
      <c r="AT42" s="456"/>
      <c r="AU42" s="456"/>
      <c r="AV42" s="456"/>
      <c r="AW42" s="456"/>
      <c r="AX42" s="456"/>
      <c r="AY42" s="456"/>
      <c r="AZ42" s="456"/>
      <c r="BA42" s="474"/>
      <c r="BB42" s="456"/>
      <c r="BC42" s="456"/>
      <c r="BD42" s="492" t="str">
        <f t="shared" si="49"/>
        <v/>
      </c>
      <c r="BE42" s="503"/>
      <c r="BF42" s="456"/>
      <c r="BG42" s="456"/>
      <c r="BH42" s="497"/>
      <c r="BI42" s="456"/>
      <c r="BJ42" s="456"/>
      <c r="BK42" s="456"/>
      <c r="BL42" s="456"/>
      <c r="BM42" s="456"/>
      <c r="BN42" s="456"/>
      <c r="BO42" s="456"/>
      <c r="BP42" s="520"/>
      <c r="BQ42" s="521"/>
    </row>
    <row r="43" spans="1:69" ht="19.95" customHeight="1">
      <c r="A43" s="422" t="s">
        <v>276</v>
      </c>
      <c r="B43" s="423" t="s">
        <v>2189</v>
      </c>
      <c r="C43" s="424">
        <v>24</v>
      </c>
      <c r="D43" s="424" t="s">
        <v>2292</v>
      </c>
      <c r="E43" s="424" t="s">
        <v>2293</v>
      </c>
      <c r="F43" s="424" t="s">
        <v>2294</v>
      </c>
      <c r="G43" s="424" t="s">
        <v>2295</v>
      </c>
      <c r="H43" s="305" t="s">
        <v>2346</v>
      </c>
      <c r="I43" s="422" t="s">
        <v>2347</v>
      </c>
      <c r="J43" s="421" t="str">
        <f t="shared" ref="J43:J65" si="53">IF(AX43="Regional Office",CONCATENATE(I43,"R"),IF(AX43="Abra",CONCATENATE(I43,"Ab"),IF(AX43="Apayao",CONCATENATE(I43,"Ap"),IF(AX43="Baguio City",CONCATENATE(I43,"BC"),IF(AX43="Ifugao",CONCATENATE(I43,"I"),IF(AX43="Mt. Province",CONCATENATE(I43,"MP"),IF(AX43="Kalinga",CONCATENATE(I43,"K"),IF(AX43="Benguet",CONCATENATE(I43,"B"),"Vacant"))))))))</f>
        <v>CADOFR</v>
      </c>
      <c r="K43" s="421" t="str">
        <f t="shared" ref="K43:K65" si="54">CONCATENATE(J43,AY43)</f>
        <v>CADOFRF</v>
      </c>
      <c r="L43" s="447" t="str">
        <f t="shared" ref="L43:L65" si="55">IF(AX43="Regional Office",(IF(AY43="M","RM","RF")),IF(AX43="Abra",(IF(AY43="M","AbM","AbF")),IF(AX43="Baguio City",(IF(AY43="M","BCM","BCF")),IF(AX43="Apayao",(IF(AY43="M","ApM","ApF")),IF(AX43="Benguet",(IF(AY43="M","BM","BF")),IF(AX43="Ifugao",(IF(AY43="M","IM","IF")),IF(AX43="Kalinga",(IF(AY43="M","KM","KF")),IF(AX43="Mt. Province",(IF(AY43="M","MPM","MPF")),"XXX"))))))))</f>
        <v>RF</v>
      </c>
      <c r="M43" s="932">
        <v>3</v>
      </c>
      <c r="N43" s="932">
        <v>3</v>
      </c>
      <c r="O43" s="932">
        <v>3</v>
      </c>
      <c r="P43" s="932">
        <v>3</v>
      </c>
      <c r="Q43" s="940"/>
      <c r="R43" s="940"/>
      <c r="S43" s="940"/>
      <c r="T43" s="940"/>
      <c r="U43" s="940"/>
      <c r="V43" s="940"/>
      <c r="W43" s="940"/>
      <c r="X43" s="948"/>
      <c r="Y43" s="948"/>
      <c r="Z43" s="948"/>
      <c r="AA43" s="948"/>
      <c r="AB43" s="948"/>
      <c r="AC43" s="948"/>
      <c r="AD43" s="616"/>
      <c r="AE43" s="616"/>
      <c r="AF43" s="616"/>
      <c r="AG43" s="616"/>
      <c r="AH43" s="448">
        <f t="shared" ref="AH43:AH65" si="56">VLOOKUP(C43,idica,2,FALSE)*12</f>
        <v>1000872</v>
      </c>
      <c r="AI43" s="449">
        <f t="shared" ref="AI43:AI65" si="57">(SUMPRODUCT((norman=C43)*(grace=AJ43)*(barnachea)))*12</f>
        <v>1033812</v>
      </c>
      <c r="AJ43" s="450">
        <v>3</v>
      </c>
      <c r="AK43" s="452" t="s">
        <v>53</v>
      </c>
      <c r="AL43" s="447" t="s">
        <v>54</v>
      </c>
      <c r="AM43" s="447" t="s">
        <v>55</v>
      </c>
      <c r="AN43" s="447">
        <v>310100100001000</v>
      </c>
      <c r="AO43" s="306" t="s">
        <v>57</v>
      </c>
      <c r="AP43" s="305" t="s">
        <v>2348</v>
      </c>
      <c r="AQ43" s="306" t="s">
        <v>57</v>
      </c>
      <c r="AR43" s="306" t="s">
        <v>286</v>
      </c>
      <c r="AS43" s="306" t="s">
        <v>1909</v>
      </c>
      <c r="AT43" s="306" t="s">
        <v>1910</v>
      </c>
      <c r="AU43" s="306" t="str">
        <f t="shared" ref="AU43:AU65" si="58">LEFT(AT43)&amp;IF(ISNUMBER(FIND(" ",AT43)),MID(AT43,FIND(" ",AT43)+1,1),"")&amp;IF(ISNUMBER(FIND(" ",AT43,FIND(" ",AT43)+1)),MID(AT43,FIND(" ",AT43,FIND(" ",AT43)+1)+1,1),"")</f>
        <v>V</v>
      </c>
      <c r="AV43" s="306" t="str">
        <f t="shared" ref="AV43:AV65" si="59">PROPER(CONCATENATE(AS43," ",AU43,". ",AR43))</f>
        <v>Shirley Evangeline V. Mon</v>
      </c>
      <c r="AW43" s="306" t="str">
        <f t="shared" ref="AW43:AW65" si="60">CONCATENATE(AR43,", ",AS43," ",AT43)</f>
        <v>MON, Shirley Evangeline Vergara</v>
      </c>
      <c r="AX43" s="477" t="s">
        <v>57</v>
      </c>
      <c r="AY43" s="447" t="s">
        <v>100</v>
      </c>
      <c r="AZ43" s="472">
        <v>23201</v>
      </c>
      <c r="BA43" s="101">
        <f t="shared" ref="BA43:BA65" ca="1" si="61">DATEDIF(AZ43,TODAY(),"Y")</f>
        <v>62</v>
      </c>
      <c r="BB43" s="492" t="str">
        <f t="shared" ref="BB43:BB65" ca="1" si="62">IF(BA43&lt;30,"A",IF(BA43&lt;40,"B",IF(BA43&lt;50,"C",IF(BA43&lt;60,"D",IF(BA43&lt;65,"E","VACANT")))))</f>
        <v>E</v>
      </c>
      <c r="BC43" s="492" t="str">
        <f t="shared" ref="BC43:BC65" ca="1" si="63">+IF(AX43="Regional Office",(IF(BB43="A","RA",(IF(BB43="B","RB",IF(BB43="C","RC",IF(BB43="D","RD",IF(BB43="E","RE","VACANT"))))))),IF(AX43="Abra",(IF(BB43="A","AbA",(IF(BB43="B","AbB",IF(BB43="C","AbC",IF(BB43="D","AbD",IF(BB43="E","AbE","VACANT"))))))),IF(AX43="Baguio City",(IF(BB43="A","BCA",(IF(BB43="B","BCB",IF(BB43="C","BCC",IF(BB43="D","BCD",IF(BB43="E","BCE","VACANT"))))))),IF(AX43="Apayao",(IF(BB43="A","ApA",(IF(BB43="B","ApB",IF(BB43="C","ApC",IF(BB43="D","ApD",IF(BB43="E","ApE","VACANT"))))))),IF(AX43="Benguet",(IF(BB43="A","BA",(IF(BB43="B","BB",IF(BB43="C","BC",IF(BB43="D","BD",IF(BB43="E","BE","VACANT"))))))),IF(AX43="Ifugao",(IF(BB43="A","IA",(IF(BB43="B","IB",IF(BB43="C","IC",IF(BB43="D","ID",IF(BB43="E","IE","VACANT"))))))),IF(AX43="Kalinga",(IF(BB43="A","KA",(IF(BB43="B","KB",IF(BB43="C","KC",IF(BB43="D","KD",IF(BB43="E","KE","VACANT"))))))),IF(AX43="Mt. Province",(IF(BB43="A","MPA",(IF(BB43="B","MPB",IF(BB43="C","MPC",IF(BB43="D","MPD",IF(BB43="E","MPE","VACANT"))))))),"XXX"))))))))</f>
        <v>RE</v>
      </c>
      <c r="BD43" s="492" t="str">
        <f t="shared" ca="1" si="49"/>
        <v>REF</v>
      </c>
      <c r="BE43" s="492" t="str">
        <f t="shared" ref="BE43:BE65" ca="1" si="64">CONCATENATE(I43,BD43)</f>
        <v>CADOFREF</v>
      </c>
      <c r="BF43" s="447" t="s">
        <v>290</v>
      </c>
      <c r="BG43" s="493">
        <v>31719</v>
      </c>
      <c r="BH43" s="494">
        <v>32629</v>
      </c>
      <c r="BI43" s="447">
        <f t="shared" ref="BI43:BI65" ca="1" si="65">DATEDIF(BG43,TODAY(),"Y")</f>
        <v>39</v>
      </c>
      <c r="BJ43" s="447">
        <f t="shared" ref="BJ43:BJ55" ca="1" si="66">DATEDIF(BH43,TODAY(),"Y")</f>
        <v>36</v>
      </c>
      <c r="BK43" s="493">
        <v>40924</v>
      </c>
      <c r="BL43" s="447">
        <f t="shared" ref="BL43:BL72" ca="1" si="67">DATEDIF(BK43,TODAY(),"Y")</f>
        <v>14</v>
      </c>
      <c r="BM43" s="447" t="s">
        <v>64</v>
      </c>
      <c r="BN43" s="512" t="s">
        <v>102</v>
      </c>
      <c r="BO43" s="423" t="s">
        <v>2254</v>
      </c>
      <c r="BP43" s="513"/>
      <c r="BQ43" s="514" t="str">
        <f t="shared" ref="BQ43:BQ53" si="68">CONCATENATE(2,AY43,BM43)</f>
        <v>2FP</v>
      </c>
    </row>
    <row r="44" spans="1:69" ht="19.95" customHeight="1">
      <c r="A44" s="422" t="s">
        <v>283</v>
      </c>
      <c r="B44" s="423" t="s">
        <v>2190</v>
      </c>
      <c r="C44" s="424">
        <v>22</v>
      </c>
      <c r="D44" s="424"/>
      <c r="E44" s="424"/>
      <c r="F44" s="424"/>
      <c r="G44" s="424"/>
      <c r="H44" s="424"/>
      <c r="I44" s="422" t="s">
        <v>2349</v>
      </c>
      <c r="J44" s="421" t="str">
        <f t="shared" si="53"/>
        <v>SADOFR</v>
      </c>
      <c r="K44" s="421" t="str">
        <f t="shared" si="54"/>
        <v>SADOFRM</v>
      </c>
      <c r="L44" s="447" t="str">
        <f t="shared" si="55"/>
        <v>RM</v>
      </c>
      <c r="M44" s="932">
        <v>3</v>
      </c>
      <c r="N44" s="932">
        <v>3</v>
      </c>
      <c r="O44" s="932">
        <v>3</v>
      </c>
      <c r="P44" s="932">
        <v>3</v>
      </c>
      <c r="Q44" s="940"/>
      <c r="R44" s="940"/>
      <c r="S44" s="940"/>
      <c r="T44" s="940"/>
      <c r="U44" s="940"/>
      <c r="V44" s="940"/>
      <c r="W44" s="940"/>
      <c r="X44" s="948"/>
      <c r="Y44" s="948"/>
      <c r="Z44" s="948"/>
      <c r="AA44" s="948"/>
      <c r="AB44" s="948"/>
      <c r="AC44" s="948"/>
      <c r="AD44" s="616"/>
      <c r="AE44" s="616"/>
      <c r="AF44" s="616"/>
      <c r="AG44" s="616"/>
      <c r="AH44" s="448">
        <f t="shared" si="56"/>
        <v>783828</v>
      </c>
      <c r="AI44" s="449">
        <f t="shared" si="57"/>
        <v>809628</v>
      </c>
      <c r="AJ44" s="450">
        <v>3</v>
      </c>
      <c r="AK44" s="452" t="s">
        <v>53</v>
      </c>
      <c r="AL44" s="447" t="s">
        <v>54</v>
      </c>
      <c r="AM44" s="447" t="s">
        <v>81</v>
      </c>
      <c r="AN44" s="447">
        <v>310100100001000</v>
      </c>
      <c r="AO44" s="306" t="s">
        <v>57</v>
      </c>
      <c r="AP44" s="305" t="s">
        <v>2348</v>
      </c>
      <c r="AQ44" s="306" t="s">
        <v>57</v>
      </c>
      <c r="AR44" s="305" t="s">
        <v>301</v>
      </c>
      <c r="AS44" s="305" t="s">
        <v>302</v>
      </c>
      <c r="AT44" s="305" t="s">
        <v>1986</v>
      </c>
      <c r="AU44" s="306" t="str">
        <f t="shared" si="58"/>
        <v>C</v>
      </c>
      <c r="AV44" s="306" t="str">
        <f t="shared" si="59"/>
        <v>Gerry C. Balang</v>
      </c>
      <c r="AW44" s="306" t="str">
        <f t="shared" si="60"/>
        <v>BALANG, Gerry Cobcobo</v>
      </c>
      <c r="AX44" s="477" t="s">
        <v>57</v>
      </c>
      <c r="AY44" s="447" t="s">
        <v>62</v>
      </c>
      <c r="AZ44" s="472">
        <v>25301</v>
      </c>
      <c r="BA44" s="101">
        <f t="shared" ca="1" si="61"/>
        <v>56</v>
      </c>
      <c r="BB44" s="492" t="str">
        <f t="shared" ca="1" si="62"/>
        <v>D</v>
      </c>
      <c r="BC44" s="492" t="str">
        <f t="shared" ca="1" si="63"/>
        <v>RD</v>
      </c>
      <c r="BD44" s="492" t="str">
        <f t="shared" ca="1" si="49"/>
        <v>RDM</v>
      </c>
      <c r="BE44" s="492" t="str">
        <f t="shared" ca="1" si="64"/>
        <v>SADOFRDM</v>
      </c>
      <c r="BF44" s="447" t="s">
        <v>304</v>
      </c>
      <c r="BG44" s="493">
        <v>35515</v>
      </c>
      <c r="BH44" s="494">
        <v>36632</v>
      </c>
      <c r="BI44" s="447">
        <f t="shared" ca="1" si="65"/>
        <v>28</v>
      </c>
      <c r="BJ44" s="447">
        <f t="shared" ca="1" si="66"/>
        <v>25</v>
      </c>
      <c r="BK44" s="493">
        <v>41138</v>
      </c>
      <c r="BL44" s="447">
        <f t="shared" ca="1" si="67"/>
        <v>13</v>
      </c>
      <c r="BM44" s="447" t="s">
        <v>64</v>
      </c>
      <c r="BN44" s="512" t="s">
        <v>102</v>
      </c>
      <c r="BO44" s="423" t="s">
        <v>2254</v>
      </c>
      <c r="BP44" s="513"/>
      <c r="BQ44" s="514" t="str">
        <f t="shared" si="68"/>
        <v>2MP</v>
      </c>
    </row>
    <row r="45" spans="1:69" ht="19.95" customHeight="1">
      <c r="A45" s="422" t="s">
        <v>291</v>
      </c>
      <c r="B45" s="423" t="s">
        <v>292</v>
      </c>
      <c r="C45" s="424">
        <v>19</v>
      </c>
      <c r="D45" s="424" t="s">
        <v>2350</v>
      </c>
      <c r="E45" s="424" t="s">
        <v>2351</v>
      </c>
      <c r="F45" s="424" t="s">
        <v>2258</v>
      </c>
      <c r="G45" s="424" t="s">
        <v>84</v>
      </c>
      <c r="H45" s="424"/>
      <c r="I45" s="422" t="s">
        <v>2352</v>
      </c>
      <c r="J45" s="421" t="str">
        <f t="shared" si="53"/>
        <v>A3R</v>
      </c>
      <c r="K45" s="421" t="str">
        <f t="shared" si="54"/>
        <v>A3RF</v>
      </c>
      <c r="L45" s="447" t="str">
        <f t="shared" si="55"/>
        <v>RF</v>
      </c>
      <c r="M45" s="932">
        <v>3</v>
      </c>
      <c r="N45" s="932">
        <v>3</v>
      </c>
      <c r="O45" s="932">
        <v>3</v>
      </c>
      <c r="P45" s="932">
        <v>3</v>
      </c>
      <c r="Q45" s="940"/>
      <c r="R45" s="940"/>
      <c r="S45" s="940"/>
      <c r="T45" s="940"/>
      <c r="U45" s="940"/>
      <c r="V45" s="940"/>
      <c r="W45" s="940"/>
      <c r="X45" s="948"/>
      <c r="Y45" s="948"/>
      <c r="Z45" s="948"/>
      <c r="AA45" s="948"/>
      <c r="AB45" s="948"/>
      <c r="AC45" s="948"/>
      <c r="AD45" s="616"/>
      <c r="AE45" s="616"/>
      <c r="AF45" s="616"/>
      <c r="AG45" s="616"/>
      <c r="AH45" s="448">
        <f t="shared" si="56"/>
        <v>543228</v>
      </c>
      <c r="AI45" s="449">
        <f t="shared" si="57"/>
        <v>561108</v>
      </c>
      <c r="AJ45" s="450">
        <v>3</v>
      </c>
      <c r="AK45" s="452" t="s">
        <v>53</v>
      </c>
      <c r="AL45" s="447" t="s">
        <v>54</v>
      </c>
      <c r="AM45" s="447" t="s">
        <v>81</v>
      </c>
      <c r="AN45" s="447">
        <v>310100100001000</v>
      </c>
      <c r="AO45" s="306" t="s">
        <v>57</v>
      </c>
      <c r="AP45" s="305" t="s">
        <v>2348</v>
      </c>
      <c r="AQ45" s="306" t="s">
        <v>57</v>
      </c>
      <c r="AR45" s="305" t="s">
        <v>294</v>
      </c>
      <c r="AS45" s="305" t="s">
        <v>295</v>
      </c>
      <c r="AT45" s="305" t="s">
        <v>2011</v>
      </c>
      <c r="AU45" s="306" t="str">
        <f t="shared" si="58"/>
        <v>S</v>
      </c>
      <c r="AV45" s="306" t="str">
        <f t="shared" si="59"/>
        <v>Jennifer S. Chaokas</v>
      </c>
      <c r="AW45" s="306" t="str">
        <f t="shared" si="60"/>
        <v>CHAOKAS, Jennifer Sokoken</v>
      </c>
      <c r="AX45" s="477" t="s">
        <v>57</v>
      </c>
      <c r="AY45" s="447" t="s">
        <v>100</v>
      </c>
      <c r="AZ45" s="472">
        <v>28334</v>
      </c>
      <c r="BA45" s="101">
        <f t="shared" ca="1" si="61"/>
        <v>48</v>
      </c>
      <c r="BB45" s="492" t="str">
        <f t="shared" ca="1" si="62"/>
        <v>C</v>
      </c>
      <c r="BC45" s="492" t="str">
        <f t="shared" ca="1" si="63"/>
        <v>RC</v>
      </c>
      <c r="BD45" s="492" t="str">
        <f t="shared" ca="1" si="49"/>
        <v>RCF</v>
      </c>
      <c r="BE45" s="492" t="str">
        <f t="shared" ca="1" si="64"/>
        <v>A3RCF</v>
      </c>
      <c r="BF45" s="447" t="s">
        <v>297</v>
      </c>
      <c r="BG45" s="493">
        <v>36955</v>
      </c>
      <c r="BH45" s="494">
        <v>40256</v>
      </c>
      <c r="BI45" s="447">
        <f t="shared" ca="1" si="65"/>
        <v>25</v>
      </c>
      <c r="BJ45" s="447">
        <f t="shared" ca="1" si="66"/>
        <v>16</v>
      </c>
      <c r="BK45" s="472">
        <v>40256</v>
      </c>
      <c r="BL45" s="447">
        <f t="shared" ca="1" si="67"/>
        <v>16</v>
      </c>
      <c r="BM45" s="447" t="s">
        <v>64</v>
      </c>
      <c r="BN45" s="512" t="s">
        <v>84</v>
      </c>
      <c r="BO45" s="423" t="s">
        <v>2273</v>
      </c>
      <c r="BP45" s="513"/>
      <c r="BQ45" s="514" t="str">
        <f t="shared" si="68"/>
        <v>2FP</v>
      </c>
    </row>
    <row r="46" spans="1:69" ht="19.95" customHeight="1">
      <c r="A46" s="422" t="s">
        <v>298</v>
      </c>
      <c r="B46" s="423" t="s">
        <v>2191</v>
      </c>
      <c r="C46" s="424">
        <v>18</v>
      </c>
      <c r="D46" s="424" t="s">
        <v>280</v>
      </c>
      <c r="E46" s="424" t="s">
        <v>281</v>
      </c>
      <c r="F46" s="424" t="s">
        <v>282</v>
      </c>
      <c r="G46" s="424" t="s">
        <v>2266</v>
      </c>
      <c r="H46" s="305" t="s">
        <v>2353</v>
      </c>
      <c r="I46" s="422" t="s">
        <v>2354</v>
      </c>
      <c r="J46" s="421" t="str">
        <f t="shared" si="53"/>
        <v>ADOF5R</v>
      </c>
      <c r="K46" s="421" t="str">
        <f t="shared" si="54"/>
        <v>ADOF5RF</v>
      </c>
      <c r="L46" s="447" t="str">
        <f t="shared" si="55"/>
        <v>RF</v>
      </c>
      <c r="M46" s="932">
        <v>3</v>
      </c>
      <c r="N46" s="932">
        <v>3</v>
      </c>
      <c r="O46" s="932">
        <v>3</v>
      </c>
      <c r="P46" s="932">
        <v>3</v>
      </c>
      <c r="Q46" s="940"/>
      <c r="R46" s="940"/>
      <c r="S46" s="940"/>
      <c r="T46" s="940"/>
      <c r="U46" s="940"/>
      <c r="V46" s="940"/>
      <c r="W46" s="940"/>
      <c r="X46" s="948"/>
      <c r="Y46" s="948"/>
      <c r="Z46" s="948"/>
      <c r="AA46" s="948"/>
      <c r="AB46" s="948"/>
      <c r="AC46" s="948"/>
      <c r="AD46" s="616"/>
      <c r="AE46" s="616"/>
      <c r="AF46" s="616"/>
      <c r="AG46" s="616"/>
      <c r="AH46" s="448">
        <f t="shared" si="56"/>
        <v>487644</v>
      </c>
      <c r="AI46" s="449">
        <f t="shared" si="57"/>
        <v>499800</v>
      </c>
      <c r="AJ46" s="450">
        <v>3</v>
      </c>
      <c r="AK46" s="452" t="s">
        <v>53</v>
      </c>
      <c r="AL46" s="447" t="s">
        <v>54</v>
      </c>
      <c r="AM46" s="447" t="s">
        <v>81</v>
      </c>
      <c r="AN46" s="447">
        <v>310100100001000</v>
      </c>
      <c r="AO46" s="306" t="s">
        <v>57</v>
      </c>
      <c r="AP46" s="305" t="s">
        <v>2348</v>
      </c>
      <c r="AQ46" s="306" t="s">
        <v>57</v>
      </c>
      <c r="AR46" s="305" t="s">
        <v>2012</v>
      </c>
      <c r="AS46" s="305" t="s">
        <v>321</v>
      </c>
      <c r="AT46" s="305" t="s">
        <v>2013</v>
      </c>
      <c r="AU46" s="306" t="str">
        <f t="shared" si="58"/>
        <v>B</v>
      </c>
      <c r="AV46" s="306" t="str">
        <f t="shared" si="59"/>
        <v>Iris B. Esden</v>
      </c>
      <c r="AW46" s="306" t="str">
        <f t="shared" si="60"/>
        <v>ESDEN, Iris Balabag</v>
      </c>
      <c r="AX46" s="477" t="s">
        <v>57</v>
      </c>
      <c r="AY46" s="447" t="s">
        <v>100</v>
      </c>
      <c r="AZ46" s="472">
        <v>29897</v>
      </c>
      <c r="BA46" s="101">
        <f t="shared" ca="1" si="61"/>
        <v>44</v>
      </c>
      <c r="BB46" s="492" t="str">
        <f t="shared" ca="1" si="62"/>
        <v>C</v>
      </c>
      <c r="BC46" s="492" t="str">
        <f t="shared" ca="1" si="63"/>
        <v>RC</v>
      </c>
      <c r="BD46" s="492" t="str">
        <f t="shared" ca="1" si="49"/>
        <v>RCF</v>
      </c>
      <c r="BE46" s="492" t="str">
        <f t="shared" ca="1" si="64"/>
        <v>ADOF5RCF</v>
      </c>
      <c r="BF46" s="447" t="s">
        <v>323</v>
      </c>
      <c r="BG46" s="493">
        <v>40252</v>
      </c>
      <c r="BH46" s="493">
        <v>40252</v>
      </c>
      <c r="BI46" s="447">
        <f t="shared" ca="1" si="65"/>
        <v>16</v>
      </c>
      <c r="BJ46" s="447">
        <f t="shared" ca="1" si="66"/>
        <v>16</v>
      </c>
      <c r="BK46" s="493">
        <v>41260</v>
      </c>
      <c r="BL46" s="447">
        <f t="shared" ca="1" si="67"/>
        <v>13</v>
      </c>
      <c r="BM46" s="447" t="s">
        <v>64</v>
      </c>
      <c r="BN46" s="512" t="s">
        <v>84</v>
      </c>
      <c r="BO46" s="423" t="s">
        <v>2254</v>
      </c>
      <c r="BP46" s="513"/>
      <c r="BQ46" s="514" t="str">
        <f t="shared" si="68"/>
        <v>2FP</v>
      </c>
    </row>
    <row r="47" spans="1:69" ht="19.95" customHeight="1">
      <c r="A47" s="422" t="s">
        <v>305</v>
      </c>
      <c r="B47" s="423" t="s">
        <v>2191</v>
      </c>
      <c r="C47" s="424">
        <v>18</v>
      </c>
      <c r="D47" s="424" t="s">
        <v>280</v>
      </c>
      <c r="E47" s="424" t="s">
        <v>281</v>
      </c>
      <c r="F47" s="424" t="s">
        <v>282</v>
      </c>
      <c r="G47" s="424" t="s">
        <v>2266</v>
      </c>
      <c r="H47" s="305" t="s">
        <v>2355</v>
      </c>
      <c r="I47" s="422" t="s">
        <v>2354</v>
      </c>
      <c r="J47" s="421" t="str">
        <f t="shared" si="53"/>
        <v>ADOF5R</v>
      </c>
      <c r="K47" s="421" t="str">
        <f t="shared" si="54"/>
        <v>ADOF5RM</v>
      </c>
      <c r="L47" s="447" t="str">
        <f t="shared" si="55"/>
        <v>RM</v>
      </c>
      <c r="M47" s="932">
        <v>3</v>
      </c>
      <c r="N47" s="932">
        <v>3</v>
      </c>
      <c r="O47" s="932">
        <v>3</v>
      </c>
      <c r="P47" s="932">
        <v>3</v>
      </c>
      <c r="Q47" s="940"/>
      <c r="R47" s="940"/>
      <c r="S47" s="940"/>
      <c r="T47" s="940"/>
      <c r="U47" s="940"/>
      <c r="V47" s="940"/>
      <c r="W47" s="940"/>
      <c r="X47" s="948"/>
      <c r="Y47" s="948"/>
      <c r="Z47" s="948"/>
      <c r="AA47" s="948"/>
      <c r="AB47" s="948"/>
      <c r="AC47" s="948"/>
      <c r="AD47" s="616"/>
      <c r="AE47" s="616"/>
      <c r="AF47" s="616"/>
      <c r="AG47" s="616"/>
      <c r="AH47" s="448">
        <f t="shared" si="56"/>
        <v>487644</v>
      </c>
      <c r="AI47" s="449">
        <f t="shared" si="57"/>
        <v>493680</v>
      </c>
      <c r="AJ47" s="450">
        <v>2</v>
      </c>
      <c r="AK47" s="452" t="s">
        <v>53</v>
      </c>
      <c r="AL47" s="447" t="s">
        <v>54</v>
      </c>
      <c r="AM47" s="447" t="s">
        <v>81</v>
      </c>
      <c r="AN47" s="447">
        <v>310100100001000</v>
      </c>
      <c r="AO47" s="306" t="s">
        <v>57</v>
      </c>
      <c r="AP47" s="305" t="s">
        <v>2348</v>
      </c>
      <c r="AQ47" s="306" t="s">
        <v>57</v>
      </c>
      <c r="AR47" s="306" t="s">
        <v>2064</v>
      </c>
      <c r="AS47" s="306" t="s">
        <v>2065</v>
      </c>
      <c r="AT47" s="306" t="s">
        <v>2066</v>
      </c>
      <c r="AU47" s="306" t="str">
        <f t="shared" si="58"/>
        <v>L</v>
      </c>
      <c r="AV47" s="306" t="str">
        <f t="shared" si="59"/>
        <v>Louven L. Matib</v>
      </c>
      <c r="AW47" s="306" t="str">
        <f t="shared" si="60"/>
        <v>MATIB, Louven Longbuan</v>
      </c>
      <c r="AX47" s="477" t="s">
        <v>57</v>
      </c>
      <c r="AY47" s="447" t="s">
        <v>62</v>
      </c>
      <c r="AZ47" s="472">
        <v>31255</v>
      </c>
      <c r="BA47" s="101">
        <f t="shared" ca="1" si="61"/>
        <v>40</v>
      </c>
      <c r="BB47" s="492" t="str">
        <f t="shared" ca="1" si="62"/>
        <v>C</v>
      </c>
      <c r="BC47" s="492" t="str">
        <f t="shared" ca="1" si="63"/>
        <v>RC</v>
      </c>
      <c r="BD47" s="492" t="str">
        <f t="shared" ca="1" si="49"/>
        <v>RCM</v>
      </c>
      <c r="BE47" s="492" t="str">
        <f t="shared" ca="1" si="64"/>
        <v>ADOF5RCM</v>
      </c>
      <c r="BF47" s="447" t="s">
        <v>2333</v>
      </c>
      <c r="BG47" s="493">
        <v>39768</v>
      </c>
      <c r="BH47" s="493">
        <v>41163</v>
      </c>
      <c r="BI47" s="447">
        <f t="shared" ca="1" si="65"/>
        <v>17</v>
      </c>
      <c r="BJ47" s="447">
        <f t="shared" ca="1" si="66"/>
        <v>13</v>
      </c>
      <c r="BK47" s="493">
        <v>42184</v>
      </c>
      <c r="BL47" s="447">
        <f t="shared" ca="1" si="67"/>
        <v>10</v>
      </c>
      <c r="BM47" s="447" t="s">
        <v>64</v>
      </c>
      <c r="BN47" s="512" t="s">
        <v>102</v>
      </c>
      <c r="BO47" s="423" t="s">
        <v>3391</v>
      </c>
      <c r="BP47" s="513"/>
      <c r="BQ47" s="514" t="str">
        <f t="shared" si="68"/>
        <v>2MP</v>
      </c>
    </row>
    <row r="48" spans="1:69" ht="19.95" customHeight="1">
      <c r="A48" s="422" t="s">
        <v>311</v>
      </c>
      <c r="B48" s="423" t="s">
        <v>2191</v>
      </c>
      <c r="C48" s="424">
        <v>18</v>
      </c>
      <c r="D48" s="424" t="s">
        <v>280</v>
      </c>
      <c r="E48" s="424" t="s">
        <v>281</v>
      </c>
      <c r="F48" s="424" t="s">
        <v>282</v>
      </c>
      <c r="G48" s="424" t="s">
        <v>2266</v>
      </c>
      <c r="H48" s="305" t="s">
        <v>2356</v>
      </c>
      <c r="I48" s="422" t="s">
        <v>2354</v>
      </c>
      <c r="J48" s="421" t="str">
        <f t="shared" si="53"/>
        <v>ADOF5R</v>
      </c>
      <c r="K48" s="421" t="str">
        <f t="shared" si="54"/>
        <v>ADOF5RM</v>
      </c>
      <c r="L48" s="447" t="str">
        <f t="shared" si="55"/>
        <v>RM</v>
      </c>
      <c r="M48" s="932">
        <v>3</v>
      </c>
      <c r="N48" s="932">
        <v>3</v>
      </c>
      <c r="O48" s="932">
        <v>3</v>
      </c>
      <c r="P48" s="932">
        <v>3</v>
      </c>
      <c r="Q48" s="940"/>
      <c r="R48" s="940"/>
      <c r="S48" s="940"/>
      <c r="T48" s="940"/>
      <c r="U48" s="940"/>
      <c r="V48" s="940"/>
      <c r="W48" s="940"/>
      <c r="X48" s="948"/>
      <c r="Y48" s="948"/>
      <c r="Z48" s="948"/>
      <c r="AA48" s="948"/>
      <c r="AB48" s="948"/>
      <c r="AC48" s="948"/>
      <c r="AD48" s="616"/>
      <c r="AE48" s="616"/>
      <c r="AF48" s="616"/>
      <c r="AG48" s="616"/>
      <c r="AH48" s="448">
        <f t="shared" si="56"/>
        <v>487644</v>
      </c>
      <c r="AI48" s="449">
        <f t="shared" si="57"/>
        <v>512256</v>
      </c>
      <c r="AJ48" s="450">
        <v>5</v>
      </c>
      <c r="AK48" s="452" t="s">
        <v>53</v>
      </c>
      <c r="AL48" s="447" t="s">
        <v>54</v>
      </c>
      <c r="AM48" s="447" t="s">
        <v>81</v>
      </c>
      <c r="AN48" s="447">
        <v>310100100001000</v>
      </c>
      <c r="AO48" s="306" t="s">
        <v>57</v>
      </c>
      <c r="AP48" s="305" t="s">
        <v>2348</v>
      </c>
      <c r="AQ48" s="306" t="s">
        <v>57</v>
      </c>
      <c r="AR48" s="305" t="s">
        <v>313</v>
      </c>
      <c r="AS48" s="305" t="s">
        <v>314</v>
      </c>
      <c r="AT48" s="305" t="s">
        <v>2002</v>
      </c>
      <c r="AU48" s="306" t="str">
        <f t="shared" si="58"/>
        <v>I</v>
      </c>
      <c r="AV48" s="306" t="str">
        <f t="shared" si="59"/>
        <v>Norman I. Barnachea</v>
      </c>
      <c r="AW48" s="306" t="str">
        <f t="shared" si="60"/>
        <v>BARNACHEA, Norman Idica</v>
      </c>
      <c r="AX48" s="477" t="s">
        <v>57</v>
      </c>
      <c r="AY48" s="447" t="s">
        <v>62</v>
      </c>
      <c r="AZ48" s="472">
        <v>27936</v>
      </c>
      <c r="BA48" s="101">
        <f t="shared" ca="1" si="61"/>
        <v>49</v>
      </c>
      <c r="BB48" s="492" t="str">
        <f t="shared" ca="1" si="62"/>
        <v>C</v>
      </c>
      <c r="BC48" s="492" t="str">
        <f t="shared" ca="1" si="63"/>
        <v>RC</v>
      </c>
      <c r="BD48" s="492" t="str">
        <f t="shared" ca="1" si="49"/>
        <v>RCM</v>
      </c>
      <c r="BE48" s="492" t="str">
        <f t="shared" ca="1" si="64"/>
        <v>ADOF5RCM</v>
      </c>
      <c r="BF48" s="447" t="s">
        <v>316</v>
      </c>
      <c r="BG48" s="493">
        <v>37375</v>
      </c>
      <c r="BH48" s="494">
        <v>37956</v>
      </c>
      <c r="BI48" s="447">
        <f t="shared" ca="1" si="65"/>
        <v>23</v>
      </c>
      <c r="BJ48" s="447">
        <f t="shared" ca="1" si="66"/>
        <v>22</v>
      </c>
      <c r="BK48" s="493">
        <v>38926</v>
      </c>
      <c r="BL48" s="447">
        <f t="shared" ca="1" si="67"/>
        <v>19</v>
      </c>
      <c r="BM48" s="447" t="s">
        <v>64</v>
      </c>
      <c r="BN48" s="512" t="s">
        <v>102</v>
      </c>
      <c r="BO48" s="423" t="s">
        <v>3392</v>
      </c>
      <c r="BP48" s="513"/>
      <c r="BQ48" s="514" t="str">
        <f t="shared" si="68"/>
        <v>2MP</v>
      </c>
    </row>
    <row r="49" spans="1:69" ht="19.95" customHeight="1">
      <c r="A49" s="422" t="s">
        <v>317</v>
      </c>
      <c r="B49" s="423" t="s">
        <v>318</v>
      </c>
      <c r="C49" s="424">
        <v>16</v>
      </c>
      <c r="D49" s="424" t="s">
        <v>2350</v>
      </c>
      <c r="E49" s="424" t="s">
        <v>2277</v>
      </c>
      <c r="F49" s="424" t="s">
        <v>2278</v>
      </c>
      <c r="G49" s="424" t="s">
        <v>84</v>
      </c>
      <c r="H49" s="424"/>
      <c r="I49" s="422" t="s">
        <v>2357</v>
      </c>
      <c r="J49" s="421" t="str">
        <f t="shared" si="53"/>
        <v>A2R</v>
      </c>
      <c r="K49" s="421" t="str">
        <f t="shared" si="54"/>
        <v>A2RF</v>
      </c>
      <c r="L49" s="447" t="str">
        <f t="shared" si="55"/>
        <v>RF</v>
      </c>
      <c r="M49" s="932">
        <v>2</v>
      </c>
      <c r="N49" s="932">
        <v>2</v>
      </c>
      <c r="O49" s="932">
        <v>2</v>
      </c>
      <c r="P49" s="932">
        <v>2</v>
      </c>
      <c r="Q49" s="940"/>
      <c r="R49" s="940"/>
      <c r="S49" s="940"/>
      <c r="T49" s="940"/>
      <c r="U49" s="940"/>
      <c r="V49" s="940"/>
      <c r="W49" s="940"/>
      <c r="X49" s="948"/>
      <c r="Y49" s="948"/>
      <c r="Z49" s="948"/>
      <c r="AA49" s="948"/>
      <c r="AB49" s="948"/>
      <c r="AC49" s="948"/>
      <c r="AD49" s="616"/>
      <c r="AE49" s="616"/>
      <c r="AF49" s="616"/>
      <c r="AG49" s="616"/>
      <c r="AH49" s="448">
        <f t="shared" si="56"/>
        <v>403008</v>
      </c>
      <c r="AI49" s="449">
        <f t="shared" si="57"/>
        <v>403008</v>
      </c>
      <c r="AJ49" s="450">
        <v>1</v>
      </c>
      <c r="AK49" s="452" t="s">
        <v>53</v>
      </c>
      <c r="AL49" s="447" t="s">
        <v>54</v>
      </c>
      <c r="AM49" s="447" t="s">
        <v>81</v>
      </c>
      <c r="AN49" s="447">
        <v>310100100001000</v>
      </c>
      <c r="AO49" s="306" t="s">
        <v>57</v>
      </c>
      <c r="AP49" s="305" t="s">
        <v>2348</v>
      </c>
      <c r="AQ49" s="306" t="s">
        <v>57</v>
      </c>
      <c r="AR49" s="306" t="s">
        <v>2153</v>
      </c>
      <c r="AS49" s="306" t="s">
        <v>2154</v>
      </c>
      <c r="AT49" s="306" t="s">
        <v>2155</v>
      </c>
      <c r="AU49" s="306" t="str">
        <f t="shared" si="58"/>
        <v>P</v>
      </c>
      <c r="AV49" s="306" t="str">
        <f t="shared" si="59"/>
        <v>Marlyn P. Macasieb</v>
      </c>
      <c r="AW49" s="306" t="str">
        <f t="shared" si="60"/>
        <v>MACASIEB, Marlyn Pilot</v>
      </c>
      <c r="AX49" s="477" t="s">
        <v>57</v>
      </c>
      <c r="AY49" s="447" t="s">
        <v>100</v>
      </c>
      <c r="AZ49" s="472">
        <v>33155</v>
      </c>
      <c r="BA49" s="101">
        <f t="shared" ca="1" si="61"/>
        <v>35</v>
      </c>
      <c r="BB49" s="492" t="str">
        <f t="shared" ca="1" si="62"/>
        <v>B</v>
      </c>
      <c r="BC49" s="492" t="str">
        <f t="shared" ca="1" si="63"/>
        <v>RB</v>
      </c>
      <c r="BD49" s="492" t="str">
        <f t="shared" ca="1" si="49"/>
        <v>RBF</v>
      </c>
      <c r="BE49" s="492" t="str">
        <f t="shared" ca="1" si="64"/>
        <v>A2RBF</v>
      </c>
      <c r="BF49" s="447" t="s">
        <v>2358</v>
      </c>
      <c r="BG49" s="493">
        <v>42821</v>
      </c>
      <c r="BH49" s="493">
        <v>42821</v>
      </c>
      <c r="BI49" s="447">
        <f t="shared" ca="1" si="65"/>
        <v>8</v>
      </c>
      <c r="BJ49" s="447">
        <f t="shared" ca="1" si="66"/>
        <v>8</v>
      </c>
      <c r="BK49" s="493">
        <v>42821</v>
      </c>
      <c r="BL49" s="447">
        <f t="shared" ca="1" si="67"/>
        <v>8</v>
      </c>
      <c r="BM49" s="447" t="s">
        <v>64</v>
      </c>
      <c r="BN49" s="512" t="s">
        <v>84</v>
      </c>
      <c r="BO49" s="423" t="s">
        <v>3391</v>
      </c>
      <c r="BP49" s="513"/>
      <c r="BQ49" s="514" t="str">
        <f t="shared" si="68"/>
        <v>2FP</v>
      </c>
    </row>
    <row r="50" spans="1:69" ht="19.95" customHeight="1">
      <c r="A50" s="422" t="s">
        <v>324</v>
      </c>
      <c r="B50" s="423" t="s">
        <v>2192</v>
      </c>
      <c r="C50" s="424">
        <v>15</v>
      </c>
      <c r="D50" s="424" t="s">
        <v>2242</v>
      </c>
      <c r="E50" s="424" t="s">
        <v>2360</v>
      </c>
      <c r="F50" s="424" t="s">
        <v>2361</v>
      </c>
      <c r="G50" s="424" t="s">
        <v>2266</v>
      </c>
      <c r="H50" s="305" t="s">
        <v>2362</v>
      </c>
      <c r="I50" s="422" t="s">
        <v>2363</v>
      </c>
      <c r="J50" s="421" t="str">
        <f t="shared" si="53"/>
        <v>ADOF4R</v>
      </c>
      <c r="K50" s="421" t="str">
        <f t="shared" si="54"/>
        <v>ADOF4RF</v>
      </c>
      <c r="L50" s="447" t="str">
        <f t="shared" si="55"/>
        <v>RF</v>
      </c>
      <c r="M50" s="932">
        <v>2</v>
      </c>
      <c r="N50" s="932">
        <v>2</v>
      </c>
      <c r="O50" s="932">
        <v>2</v>
      </c>
      <c r="P50" s="932">
        <v>2</v>
      </c>
      <c r="Q50" s="940"/>
      <c r="R50" s="940"/>
      <c r="S50" s="940"/>
      <c r="T50" s="940"/>
      <c r="U50" s="940"/>
      <c r="V50" s="940"/>
      <c r="W50" s="940"/>
      <c r="X50" s="948"/>
      <c r="Y50" s="948"/>
      <c r="Z50" s="948"/>
      <c r="AA50" s="948"/>
      <c r="AB50" s="948"/>
      <c r="AC50" s="948"/>
      <c r="AD50" s="616"/>
      <c r="AE50" s="616"/>
      <c r="AF50" s="616"/>
      <c r="AG50" s="616"/>
      <c r="AH50" s="448">
        <f t="shared" si="56"/>
        <v>366372</v>
      </c>
      <c r="AI50" s="449">
        <f t="shared" si="57"/>
        <v>375504</v>
      </c>
      <c r="AJ50" s="450">
        <v>3</v>
      </c>
      <c r="AK50" s="452" t="s">
        <v>53</v>
      </c>
      <c r="AL50" s="447" t="s">
        <v>54</v>
      </c>
      <c r="AM50" s="447" t="s">
        <v>81</v>
      </c>
      <c r="AN50" s="447">
        <v>310100100001000</v>
      </c>
      <c r="AO50" s="306" t="s">
        <v>57</v>
      </c>
      <c r="AP50" s="305" t="s">
        <v>2348</v>
      </c>
      <c r="AQ50" s="306" t="s">
        <v>57</v>
      </c>
      <c r="AR50" s="306" t="s">
        <v>2003</v>
      </c>
      <c r="AS50" s="306" t="s">
        <v>368</v>
      </c>
      <c r="AT50" s="306" t="s">
        <v>2004</v>
      </c>
      <c r="AU50" s="306" t="str">
        <f t="shared" si="58"/>
        <v>E</v>
      </c>
      <c r="AV50" s="306" t="str">
        <f t="shared" si="59"/>
        <v>Arlene E. Wong</v>
      </c>
      <c r="AW50" s="306" t="str">
        <f t="shared" si="60"/>
        <v>WONG, Arlene Eustaquio</v>
      </c>
      <c r="AX50" s="477" t="s">
        <v>57</v>
      </c>
      <c r="AY50" s="447" t="s">
        <v>100</v>
      </c>
      <c r="AZ50" s="472">
        <v>30026</v>
      </c>
      <c r="BA50" s="101">
        <f t="shared" ca="1" si="61"/>
        <v>44</v>
      </c>
      <c r="BB50" s="492" t="str">
        <f t="shared" ca="1" si="62"/>
        <v>C</v>
      </c>
      <c r="BC50" s="492" t="str">
        <f t="shared" ca="1" si="63"/>
        <v>RC</v>
      </c>
      <c r="BD50" s="492" t="str">
        <f t="shared" ca="1" si="49"/>
        <v>RCF</v>
      </c>
      <c r="BE50" s="492" t="str">
        <f t="shared" ca="1" si="64"/>
        <v>ADOF4RCF</v>
      </c>
      <c r="BF50" s="447" t="s">
        <v>2364</v>
      </c>
      <c r="BG50" s="493">
        <v>38047</v>
      </c>
      <c r="BH50" s="493">
        <v>38047</v>
      </c>
      <c r="BI50" s="447">
        <f t="shared" ca="1" si="65"/>
        <v>22</v>
      </c>
      <c r="BJ50" s="447">
        <f t="shared" ca="1" si="66"/>
        <v>22</v>
      </c>
      <c r="BK50" s="493">
        <v>41260</v>
      </c>
      <c r="BL50" s="447">
        <f t="shared" ca="1" si="67"/>
        <v>13</v>
      </c>
      <c r="BM50" s="447" t="s">
        <v>64</v>
      </c>
      <c r="BN50" s="512" t="s">
        <v>102</v>
      </c>
      <c r="BO50" s="423" t="s">
        <v>2326</v>
      </c>
      <c r="BP50" s="513"/>
      <c r="BQ50" s="514" t="str">
        <f t="shared" si="68"/>
        <v>2FP</v>
      </c>
    </row>
    <row r="51" spans="1:69" ht="19.95" customHeight="1">
      <c r="A51" s="422" t="s">
        <v>2365</v>
      </c>
      <c r="B51" s="423" t="s">
        <v>2366</v>
      </c>
      <c r="C51" s="424">
        <v>15</v>
      </c>
      <c r="D51" s="424" t="s">
        <v>2242</v>
      </c>
      <c r="E51" s="424" t="s">
        <v>2360</v>
      </c>
      <c r="F51" s="424" t="s">
        <v>2361</v>
      </c>
      <c r="G51" s="424" t="s">
        <v>2266</v>
      </c>
      <c r="H51" s="305" t="s">
        <v>2367</v>
      </c>
      <c r="I51" s="422" t="s">
        <v>2363</v>
      </c>
      <c r="J51" s="421" t="str">
        <f t="shared" si="53"/>
        <v>ADOF4R</v>
      </c>
      <c r="K51" s="421" t="str">
        <f t="shared" si="54"/>
        <v>ADOF4RF</v>
      </c>
      <c r="L51" s="447" t="str">
        <f t="shared" si="55"/>
        <v>RF</v>
      </c>
      <c r="M51" s="932">
        <v>2</v>
      </c>
      <c r="N51" s="932">
        <v>2</v>
      </c>
      <c r="O51" s="932">
        <v>2</v>
      </c>
      <c r="P51" s="932">
        <v>2</v>
      </c>
      <c r="Q51" s="940"/>
      <c r="R51" s="940"/>
      <c r="S51" s="940"/>
      <c r="T51" s="940"/>
      <c r="U51" s="940"/>
      <c r="V51" s="940"/>
      <c r="W51" s="940"/>
      <c r="X51" s="948"/>
      <c r="Y51" s="948"/>
      <c r="Z51" s="948"/>
      <c r="AA51" s="948"/>
      <c r="AB51" s="948"/>
      <c r="AC51" s="948"/>
      <c r="AD51" s="616"/>
      <c r="AE51" s="616"/>
      <c r="AF51" s="616"/>
      <c r="AG51" s="616"/>
      <c r="AH51" s="448">
        <f t="shared" si="56"/>
        <v>366372</v>
      </c>
      <c r="AI51" s="449">
        <f t="shared" si="57"/>
        <v>375504</v>
      </c>
      <c r="AJ51" s="450">
        <v>3</v>
      </c>
      <c r="AK51" s="452" t="s">
        <v>53</v>
      </c>
      <c r="AL51" s="447" t="s">
        <v>54</v>
      </c>
      <c r="AM51" s="447" t="s">
        <v>81</v>
      </c>
      <c r="AN51" s="447">
        <v>310100100001000</v>
      </c>
      <c r="AO51" s="306" t="s">
        <v>57</v>
      </c>
      <c r="AP51" s="305" t="s">
        <v>2348</v>
      </c>
      <c r="AQ51" s="306" t="s">
        <v>57</v>
      </c>
      <c r="AR51" s="305" t="s">
        <v>346</v>
      </c>
      <c r="AS51" s="305" t="s">
        <v>347</v>
      </c>
      <c r="AT51" s="305" t="s">
        <v>1998</v>
      </c>
      <c r="AU51" s="306" t="str">
        <f t="shared" si="58"/>
        <v>C</v>
      </c>
      <c r="AV51" s="306" t="str">
        <f t="shared" si="59"/>
        <v>Chrysantine C. Ged-Ang</v>
      </c>
      <c r="AW51" s="306" t="str">
        <f t="shared" si="60"/>
        <v>GED-ANG, Chrysantine Chan</v>
      </c>
      <c r="AX51" s="477" t="s">
        <v>57</v>
      </c>
      <c r="AY51" s="447" t="s">
        <v>100</v>
      </c>
      <c r="AZ51" s="472">
        <v>28900</v>
      </c>
      <c r="BA51" s="101">
        <f t="shared" ca="1" si="61"/>
        <v>47</v>
      </c>
      <c r="BB51" s="492" t="str">
        <f t="shared" ca="1" si="62"/>
        <v>C</v>
      </c>
      <c r="BC51" s="492" t="str">
        <f t="shared" ca="1" si="63"/>
        <v>RC</v>
      </c>
      <c r="BD51" s="492" t="str">
        <f t="shared" ca="1" si="49"/>
        <v>RCF</v>
      </c>
      <c r="BE51" s="492" t="str">
        <f t="shared" ca="1" si="64"/>
        <v>ADOF4RCF</v>
      </c>
      <c r="BF51" s="447" t="s">
        <v>349</v>
      </c>
      <c r="BG51" s="493">
        <v>37564</v>
      </c>
      <c r="BH51" s="493">
        <v>37564</v>
      </c>
      <c r="BI51" s="447">
        <f t="shared" ca="1" si="65"/>
        <v>23</v>
      </c>
      <c r="BJ51" s="447">
        <f t="shared" ca="1" si="66"/>
        <v>23</v>
      </c>
      <c r="BK51" s="493">
        <v>40893</v>
      </c>
      <c r="BL51" s="447">
        <f t="shared" ca="1" si="67"/>
        <v>14</v>
      </c>
      <c r="BM51" s="447" t="s">
        <v>64</v>
      </c>
      <c r="BN51" s="512" t="s">
        <v>102</v>
      </c>
      <c r="BO51" s="423" t="s">
        <v>3392</v>
      </c>
      <c r="BP51" s="513"/>
      <c r="BQ51" s="514" t="str">
        <f t="shared" si="68"/>
        <v>2FP</v>
      </c>
    </row>
    <row r="52" spans="1:69" ht="19.95" customHeight="1">
      <c r="A52" s="422" t="s">
        <v>337</v>
      </c>
      <c r="B52" s="423" t="s">
        <v>2193</v>
      </c>
      <c r="C52" s="424">
        <v>14</v>
      </c>
      <c r="D52" s="424" t="s">
        <v>2242</v>
      </c>
      <c r="E52" s="424" t="s">
        <v>2368</v>
      </c>
      <c r="F52" s="424" t="s">
        <v>2369</v>
      </c>
      <c r="G52" s="424" t="s">
        <v>2266</v>
      </c>
      <c r="H52" s="305" t="s">
        <v>2370</v>
      </c>
      <c r="I52" s="422" t="s">
        <v>2371</v>
      </c>
      <c r="J52" s="421" t="str">
        <f t="shared" si="53"/>
        <v>ADOF3R</v>
      </c>
      <c r="K52" s="421" t="str">
        <f t="shared" si="54"/>
        <v>ADOF3RF</v>
      </c>
      <c r="L52" s="447" t="str">
        <f t="shared" si="55"/>
        <v>RF</v>
      </c>
      <c r="M52" s="932">
        <v>2</v>
      </c>
      <c r="N52" s="932">
        <v>2</v>
      </c>
      <c r="O52" s="932">
        <v>2</v>
      </c>
      <c r="P52" s="932">
        <v>2</v>
      </c>
      <c r="Q52" s="940"/>
      <c r="R52" s="940"/>
      <c r="S52" s="940"/>
      <c r="T52" s="940"/>
      <c r="U52" s="940"/>
      <c r="V52" s="940"/>
      <c r="W52" s="940"/>
      <c r="X52" s="948"/>
      <c r="Y52" s="948"/>
      <c r="Z52" s="948"/>
      <c r="AA52" s="948"/>
      <c r="AB52" s="948"/>
      <c r="AC52" s="948"/>
      <c r="AD52" s="616"/>
      <c r="AE52" s="616"/>
      <c r="AF52" s="616"/>
      <c r="AG52" s="616"/>
      <c r="AH52" s="448">
        <f t="shared" si="56"/>
        <v>333060</v>
      </c>
      <c r="AI52" s="449">
        <f t="shared" si="57"/>
        <v>333060</v>
      </c>
      <c r="AJ52" s="450">
        <v>1</v>
      </c>
      <c r="AK52" s="452" t="s">
        <v>53</v>
      </c>
      <c r="AL52" s="447" t="s">
        <v>54</v>
      </c>
      <c r="AM52" s="447" t="s">
        <v>81</v>
      </c>
      <c r="AN52" s="447">
        <v>310100100001000</v>
      </c>
      <c r="AO52" s="306" t="s">
        <v>57</v>
      </c>
      <c r="AP52" s="305" t="s">
        <v>2348</v>
      </c>
      <c r="AQ52" s="306" t="s">
        <v>57</v>
      </c>
      <c r="AR52" s="305" t="s">
        <v>2082</v>
      </c>
      <c r="AS52" s="305" t="s">
        <v>2083</v>
      </c>
      <c r="AT52" s="305" t="s">
        <v>2084</v>
      </c>
      <c r="AU52" s="306" t="str">
        <f t="shared" ref="AU52" si="69">LEFT(AT52)&amp;IF(ISNUMBER(FIND(" ",AT52)),MID(AT52,FIND(" ",AT52)+1,1),"")&amp;IF(ISNUMBER(FIND(" ",AT52,FIND(" ",AT52)+1)),MID(AT52,FIND(" ",AT52,FIND(" ",AT52)+1)+1,1),"")</f>
        <v>G</v>
      </c>
      <c r="AV52" s="306" t="str">
        <f t="shared" ref="AV52" si="70">PROPER(CONCATENATE(AS52," ",AU52,". ",AR52))</f>
        <v>Myra G. Esnara</v>
      </c>
      <c r="AW52" s="306" t="str">
        <f t="shared" ref="AW52" si="71">CONCATENATE(AR52,", ",AS52," ",AT52)</f>
        <v>ESNARA, Myra Golingab</v>
      </c>
      <c r="AX52" s="477" t="s">
        <v>57</v>
      </c>
      <c r="AY52" s="447" t="s">
        <v>100</v>
      </c>
      <c r="AZ52" s="472">
        <v>30363</v>
      </c>
      <c r="BA52" s="101">
        <f t="shared" ref="BA52" ca="1" si="72">DATEDIF(AZ52,TODAY(),"Y")</f>
        <v>43</v>
      </c>
      <c r="BB52" s="492" t="str">
        <f t="shared" ref="BB52" ca="1" si="73">IF(BA52&lt;30,"A",IF(BA52&lt;40,"B",IF(BA52&lt;50,"C",IF(BA52&lt;60,"D",IF(BA52&lt;65,"E","VACANT")))))</f>
        <v>C</v>
      </c>
      <c r="BC52" s="492" t="str">
        <f t="shared" ref="BC52" ca="1" si="74">+IF(AX52="Regional Office",(IF(BB52="A","RA",(IF(BB52="B","RB",IF(BB52="C","RC",IF(BB52="D","RD",IF(BB52="E","RE","VACANT"))))))),IF(AX52="Abra",(IF(BB52="A","AbA",(IF(BB52="B","AbB",IF(BB52="C","AbC",IF(BB52="D","AbD",IF(BB52="E","AbE","VACANT"))))))),IF(AX52="Baguio City",(IF(BB52="A","BCA",(IF(BB52="B","BCB",IF(BB52="C","BCC",IF(BB52="D","BCD",IF(BB52="E","BCE","VACANT"))))))),IF(AX52="Apayao",(IF(BB52="A","ApA",(IF(BB52="B","ApB",IF(BB52="C","ApC",IF(BB52="D","ApD",IF(BB52="E","ApE","VACANT"))))))),IF(AX52="Benguet",(IF(BB52="A","BA",(IF(BB52="B","BB",IF(BB52="C","BC",IF(BB52="D","BD",IF(BB52="E","BE","VACANT"))))))),IF(AX52="Ifugao",(IF(BB52="A","IA",(IF(BB52="B","IB",IF(BB52="C","IC",IF(BB52="D","ID",IF(BB52="E","IE","VACANT"))))))),IF(AX52="Kalinga",(IF(BB52="A","KA",(IF(BB52="B","KB",IF(BB52="C","KC",IF(BB52="D","KD",IF(BB52="E","KE","VACANT"))))))),IF(AX52="Mt. Province",(IF(BB52="A","MPA",(IF(BB52="B","MPB",IF(BB52="C","MPC",IF(BB52="D","MPD",IF(BB52="E","MPE","VACANT"))))))),"XXX"))))))))</f>
        <v>RC</v>
      </c>
      <c r="BD52" s="492" t="str">
        <f t="shared" ref="BD52" ca="1" si="75">CONCATENATE(BC52,AY52)</f>
        <v>RCF</v>
      </c>
      <c r="BE52" s="492" t="str">
        <f t="shared" ref="BE52" ca="1" si="76">CONCATENATE(I52,BD52)</f>
        <v>ADOF3RCF</v>
      </c>
      <c r="BF52" s="447" t="s">
        <v>2372</v>
      </c>
      <c r="BG52" s="493">
        <v>41260</v>
      </c>
      <c r="BH52" s="493">
        <v>41260</v>
      </c>
      <c r="BI52" s="447">
        <f t="shared" ref="BI52" ca="1" si="77">DATEDIF(BG52,TODAY(),"Y")</f>
        <v>13</v>
      </c>
      <c r="BJ52" s="447">
        <f t="shared" ca="1" si="66"/>
        <v>13</v>
      </c>
      <c r="BK52" s="493">
        <v>43531</v>
      </c>
      <c r="BL52" s="447">
        <f t="shared" ref="BL52" ca="1" si="78">DATEDIF(BK52,TODAY(),"Y")</f>
        <v>7</v>
      </c>
      <c r="BM52" s="447" t="s">
        <v>64</v>
      </c>
      <c r="BN52" s="512" t="s">
        <v>102</v>
      </c>
      <c r="BO52" s="423" t="s">
        <v>2254</v>
      </c>
      <c r="BP52" s="513"/>
      <c r="BQ52" s="514" t="str">
        <f t="shared" si="68"/>
        <v>2FP</v>
      </c>
    </row>
    <row r="53" spans="1:69" ht="19.95" customHeight="1">
      <c r="A53" s="422" t="s">
        <v>344</v>
      </c>
      <c r="B53" s="423" t="s">
        <v>2193</v>
      </c>
      <c r="C53" s="424">
        <v>14</v>
      </c>
      <c r="D53" s="424" t="s">
        <v>2242</v>
      </c>
      <c r="E53" s="424" t="s">
        <v>2368</v>
      </c>
      <c r="F53" s="424" t="s">
        <v>2369</v>
      </c>
      <c r="G53" s="424" t="s">
        <v>2266</v>
      </c>
      <c r="H53" s="305" t="s">
        <v>2373</v>
      </c>
      <c r="I53" s="422" t="s">
        <v>2371</v>
      </c>
      <c r="J53" s="421" t="str">
        <f t="shared" si="53"/>
        <v>ADOF3R</v>
      </c>
      <c r="K53" s="421" t="str">
        <f t="shared" si="54"/>
        <v>ADOF3RM</v>
      </c>
      <c r="L53" s="447" t="str">
        <f t="shared" si="55"/>
        <v>RM</v>
      </c>
      <c r="M53" s="932">
        <v>2</v>
      </c>
      <c r="N53" s="932">
        <v>2</v>
      </c>
      <c r="O53" s="932">
        <v>2</v>
      </c>
      <c r="P53" s="932">
        <v>2</v>
      </c>
      <c r="Q53" s="940"/>
      <c r="R53" s="940"/>
      <c r="S53" s="940"/>
      <c r="T53" s="940"/>
      <c r="U53" s="940"/>
      <c r="V53" s="940"/>
      <c r="W53" s="940"/>
      <c r="X53" s="948"/>
      <c r="Y53" s="948"/>
      <c r="Z53" s="948"/>
      <c r="AA53" s="948"/>
      <c r="AB53" s="948"/>
      <c r="AC53" s="948"/>
      <c r="AD53" s="616"/>
      <c r="AE53" s="616"/>
      <c r="AF53" s="616"/>
      <c r="AG53" s="616"/>
      <c r="AH53" s="448">
        <f t="shared" si="56"/>
        <v>333060</v>
      </c>
      <c r="AI53" s="449">
        <f t="shared" si="57"/>
        <v>337188</v>
      </c>
      <c r="AJ53" s="450">
        <v>2</v>
      </c>
      <c r="AK53" s="452" t="s">
        <v>53</v>
      </c>
      <c r="AL53" s="447" t="s">
        <v>54</v>
      </c>
      <c r="AM53" s="447" t="s">
        <v>81</v>
      </c>
      <c r="AN53" s="447">
        <v>310100100001000</v>
      </c>
      <c r="AO53" s="306" t="s">
        <v>57</v>
      </c>
      <c r="AP53" s="305" t="s">
        <v>2348</v>
      </c>
      <c r="AQ53" s="306" t="s">
        <v>57</v>
      </c>
      <c r="AR53" s="306" t="s">
        <v>2023</v>
      </c>
      <c r="AS53" s="306" t="s">
        <v>2024</v>
      </c>
      <c r="AT53" s="306" t="s">
        <v>2025</v>
      </c>
      <c r="AU53" s="306" t="str">
        <f t="shared" si="58"/>
        <v>F</v>
      </c>
      <c r="AV53" s="306" t="str">
        <f t="shared" si="59"/>
        <v>Ronnel F. Ramirez</v>
      </c>
      <c r="AW53" s="306" t="str">
        <f t="shared" si="60"/>
        <v>RAMIREZ, Ronnel Fronda</v>
      </c>
      <c r="AX53" s="477" t="s">
        <v>57</v>
      </c>
      <c r="AY53" s="447" t="s">
        <v>62</v>
      </c>
      <c r="AZ53" s="472">
        <v>32102</v>
      </c>
      <c r="BA53" s="101">
        <f t="shared" ca="1" si="61"/>
        <v>38</v>
      </c>
      <c r="BB53" s="492" t="str">
        <f t="shared" ca="1" si="62"/>
        <v>B</v>
      </c>
      <c r="BC53" s="492" t="str">
        <f t="shared" ca="1" si="63"/>
        <v>RB</v>
      </c>
      <c r="BD53" s="492" t="str">
        <f t="shared" ca="1" si="49"/>
        <v>RBM</v>
      </c>
      <c r="BE53" s="492" t="str">
        <f t="shared" ca="1" si="64"/>
        <v>ADOF3RBM</v>
      </c>
      <c r="BF53" s="424" t="s">
        <v>2374</v>
      </c>
      <c r="BG53" s="495">
        <v>40911</v>
      </c>
      <c r="BH53" s="495">
        <v>40911</v>
      </c>
      <c r="BI53" s="447">
        <f t="shared" ca="1" si="65"/>
        <v>14</v>
      </c>
      <c r="BJ53" s="447">
        <f t="shared" ca="1" si="66"/>
        <v>14</v>
      </c>
      <c r="BK53" s="493">
        <v>41946</v>
      </c>
      <c r="BL53" s="447">
        <f t="shared" ca="1" si="67"/>
        <v>11</v>
      </c>
      <c r="BM53" s="447" t="s">
        <v>64</v>
      </c>
      <c r="BN53" s="512" t="s">
        <v>102</v>
      </c>
      <c r="BO53" s="423" t="s">
        <v>2254</v>
      </c>
      <c r="BP53" s="513"/>
      <c r="BQ53" s="514" t="str">
        <f t="shared" si="68"/>
        <v>2MP</v>
      </c>
    </row>
    <row r="54" spans="1:69" ht="19.95" customHeight="1">
      <c r="A54" s="422" t="s">
        <v>350</v>
      </c>
      <c r="B54" s="423" t="s">
        <v>2377</v>
      </c>
      <c r="C54" s="424">
        <v>9</v>
      </c>
      <c r="D54" s="424" t="s">
        <v>2276</v>
      </c>
      <c r="E54" s="424" t="s">
        <v>2277</v>
      </c>
      <c r="F54" s="424" t="s">
        <v>2278</v>
      </c>
      <c r="G54" s="424" t="s">
        <v>2279</v>
      </c>
      <c r="H54" s="305" t="s">
        <v>2378</v>
      </c>
      <c r="I54" s="422" t="s">
        <v>2281</v>
      </c>
      <c r="J54" s="421" t="str">
        <f t="shared" si="53"/>
        <v>ADAS3R</v>
      </c>
      <c r="K54" s="421" t="str">
        <f t="shared" si="54"/>
        <v>ADAS3RM</v>
      </c>
      <c r="L54" s="447" t="str">
        <f t="shared" si="55"/>
        <v>RM</v>
      </c>
      <c r="M54" s="932">
        <v>1</v>
      </c>
      <c r="N54" s="932">
        <v>1</v>
      </c>
      <c r="O54" s="932">
        <v>1</v>
      </c>
      <c r="P54" s="932">
        <v>1</v>
      </c>
      <c r="Q54" s="940"/>
      <c r="R54" s="940"/>
      <c r="S54" s="940"/>
      <c r="T54" s="940"/>
      <c r="U54" s="940"/>
      <c r="V54" s="940"/>
      <c r="W54" s="940"/>
      <c r="X54" s="948"/>
      <c r="Y54" s="948"/>
      <c r="Z54" s="948"/>
      <c r="AA54" s="948"/>
      <c r="AB54" s="948"/>
      <c r="AC54" s="948"/>
      <c r="AD54" s="616"/>
      <c r="AE54" s="616"/>
      <c r="AF54" s="616"/>
      <c r="AG54" s="616"/>
      <c r="AH54" s="448">
        <f t="shared" si="56"/>
        <v>215700</v>
      </c>
      <c r="AI54" s="449">
        <f t="shared" si="57"/>
        <v>224868</v>
      </c>
      <c r="AJ54" s="450">
        <v>6</v>
      </c>
      <c r="AK54" s="452" t="s">
        <v>53</v>
      </c>
      <c r="AL54" s="447" t="s">
        <v>54</v>
      </c>
      <c r="AM54" s="447" t="s">
        <v>81</v>
      </c>
      <c r="AN54" s="447">
        <v>310100100001000</v>
      </c>
      <c r="AO54" s="306" t="s">
        <v>57</v>
      </c>
      <c r="AP54" s="305" t="s">
        <v>2348</v>
      </c>
      <c r="AQ54" s="306" t="s">
        <v>57</v>
      </c>
      <c r="AR54" s="305" t="s">
        <v>353</v>
      </c>
      <c r="AS54" s="305" t="s">
        <v>354</v>
      </c>
      <c r="AT54" s="305" t="s">
        <v>1961</v>
      </c>
      <c r="AU54" s="306" t="str">
        <f t="shared" si="58"/>
        <v>G</v>
      </c>
      <c r="AV54" s="306" t="str">
        <f t="shared" si="59"/>
        <v>Angelito G. Castro</v>
      </c>
      <c r="AW54" s="306" t="str">
        <f t="shared" si="60"/>
        <v>CASTRO, Angelito Gaddi</v>
      </c>
      <c r="AX54" s="477" t="s">
        <v>57</v>
      </c>
      <c r="AY54" s="447" t="s">
        <v>62</v>
      </c>
      <c r="AZ54" s="472">
        <v>26800</v>
      </c>
      <c r="BA54" s="101">
        <f t="shared" ca="1" si="61"/>
        <v>52</v>
      </c>
      <c r="BB54" s="492" t="str">
        <f t="shared" ca="1" si="62"/>
        <v>D</v>
      </c>
      <c r="BC54" s="492" t="str">
        <f t="shared" ca="1" si="63"/>
        <v>RD</v>
      </c>
      <c r="BD54" s="492" t="str">
        <f t="shared" ca="1" si="49"/>
        <v>RDM</v>
      </c>
      <c r="BE54" s="492" t="str">
        <f t="shared" ca="1" si="64"/>
        <v>ADAS3RDM</v>
      </c>
      <c r="BF54" s="447" t="s">
        <v>2379</v>
      </c>
      <c r="BG54" s="493">
        <v>35827</v>
      </c>
      <c r="BH54" s="493">
        <v>35827</v>
      </c>
      <c r="BI54" s="447">
        <f t="shared" ca="1" si="65"/>
        <v>28</v>
      </c>
      <c r="BJ54" s="447">
        <f t="shared" ca="1" si="66"/>
        <v>28</v>
      </c>
      <c r="BK54" s="493">
        <v>37658</v>
      </c>
      <c r="BL54" s="447">
        <f t="shared" ca="1" si="67"/>
        <v>23</v>
      </c>
      <c r="BM54" s="447" t="s">
        <v>64</v>
      </c>
      <c r="BN54" s="512" t="s">
        <v>215</v>
      </c>
      <c r="BO54" s="423" t="s">
        <v>3393</v>
      </c>
      <c r="BP54" s="513"/>
      <c r="BQ54" s="514" t="str">
        <f t="shared" ref="BQ54:BQ65" si="79">CONCATENATE(1,AY54,BM54)</f>
        <v>1MP</v>
      </c>
    </row>
    <row r="55" spans="1:69" ht="19.95" customHeight="1">
      <c r="A55" s="422" t="s">
        <v>2380</v>
      </c>
      <c r="B55" s="423" t="s">
        <v>370</v>
      </c>
      <c r="C55" s="424">
        <v>9</v>
      </c>
      <c r="D55" s="424" t="s">
        <v>2276</v>
      </c>
      <c r="E55" s="424" t="s">
        <v>2277</v>
      </c>
      <c r="F55" s="424" t="s">
        <v>2278</v>
      </c>
      <c r="G55" s="424" t="s">
        <v>2279</v>
      </c>
      <c r="H55" s="305" t="s">
        <v>2381</v>
      </c>
      <c r="I55" s="422" t="s">
        <v>2281</v>
      </c>
      <c r="J55" s="421" t="str">
        <f t="shared" si="53"/>
        <v>ADAS3R</v>
      </c>
      <c r="K55" s="421" t="str">
        <f t="shared" si="54"/>
        <v>ADAS3RF</v>
      </c>
      <c r="L55" s="447" t="str">
        <f t="shared" si="55"/>
        <v>RF</v>
      </c>
      <c r="M55" s="932">
        <v>1</v>
      </c>
      <c r="N55" s="932">
        <v>1</v>
      </c>
      <c r="O55" s="932">
        <v>1</v>
      </c>
      <c r="P55" s="932">
        <v>1</v>
      </c>
      <c r="Q55" s="940"/>
      <c r="R55" s="940"/>
      <c r="S55" s="940"/>
      <c r="T55" s="940"/>
      <c r="U55" s="940"/>
      <c r="V55" s="940"/>
      <c r="W55" s="940"/>
      <c r="X55" s="948"/>
      <c r="Y55" s="948"/>
      <c r="Z55" s="948"/>
      <c r="AA55" s="948"/>
      <c r="AB55" s="948"/>
      <c r="AC55" s="948"/>
      <c r="AD55" s="616"/>
      <c r="AE55" s="616"/>
      <c r="AF55" s="616"/>
      <c r="AG55" s="616"/>
      <c r="AH55" s="448">
        <f t="shared" si="56"/>
        <v>215700</v>
      </c>
      <c r="AI55" s="449">
        <f t="shared" si="57"/>
        <v>219324</v>
      </c>
      <c r="AJ55" s="450">
        <v>3</v>
      </c>
      <c r="AK55" s="452" t="s">
        <v>53</v>
      </c>
      <c r="AL55" s="447" t="s">
        <v>54</v>
      </c>
      <c r="AM55" s="447" t="s">
        <v>81</v>
      </c>
      <c r="AN55" s="447">
        <v>310100100001000</v>
      </c>
      <c r="AO55" s="306" t="s">
        <v>57</v>
      </c>
      <c r="AP55" s="305" t="s">
        <v>2348</v>
      </c>
      <c r="AQ55" s="306" t="s">
        <v>57</v>
      </c>
      <c r="AR55" s="306" t="s">
        <v>373</v>
      </c>
      <c r="AS55" s="306" t="s">
        <v>374</v>
      </c>
      <c r="AT55" s="306" t="s">
        <v>1968</v>
      </c>
      <c r="AU55" s="306" t="str">
        <f t="shared" si="58"/>
        <v>A</v>
      </c>
      <c r="AV55" s="306" t="str">
        <f t="shared" si="59"/>
        <v>Jessica Kim A. Lopez</v>
      </c>
      <c r="AW55" s="306" t="str">
        <f t="shared" si="60"/>
        <v>LOPEZ, Jessica Kim Angeles</v>
      </c>
      <c r="AX55" s="477" t="s">
        <v>57</v>
      </c>
      <c r="AY55" s="447" t="s">
        <v>100</v>
      </c>
      <c r="AZ55" s="472">
        <v>25360</v>
      </c>
      <c r="BA55" s="101">
        <f t="shared" ca="1" si="61"/>
        <v>56</v>
      </c>
      <c r="BB55" s="492" t="str">
        <f t="shared" ca="1" si="62"/>
        <v>D</v>
      </c>
      <c r="BC55" s="492" t="str">
        <f t="shared" ca="1" si="63"/>
        <v>RD</v>
      </c>
      <c r="BD55" s="492" t="str">
        <f t="shared" ca="1" si="49"/>
        <v>RDF</v>
      </c>
      <c r="BE55" s="492" t="str">
        <f t="shared" ca="1" si="64"/>
        <v>ADAS3RDF</v>
      </c>
      <c r="BF55" s="447" t="s">
        <v>376</v>
      </c>
      <c r="BG55" s="493">
        <v>36007</v>
      </c>
      <c r="BH55" s="493">
        <v>36007</v>
      </c>
      <c r="BI55" s="447">
        <f t="shared" ca="1" si="65"/>
        <v>27</v>
      </c>
      <c r="BJ55" s="447">
        <f t="shared" ca="1" si="66"/>
        <v>27</v>
      </c>
      <c r="BK55" s="493">
        <v>41127</v>
      </c>
      <c r="BL55" s="447">
        <f t="shared" ca="1" si="67"/>
        <v>13</v>
      </c>
      <c r="BM55" s="447" t="s">
        <v>64</v>
      </c>
      <c r="BN55" s="512" t="s">
        <v>215</v>
      </c>
      <c r="BO55" s="423" t="s">
        <v>2749</v>
      </c>
      <c r="BP55" s="513"/>
      <c r="BQ55" s="514" t="str">
        <f t="shared" si="79"/>
        <v>1FP</v>
      </c>
    </row>
    <row r="56" spans="1:69" ht="19.95" customHeight="1">
      <c r="A56" s="422" t="s">
        <v>357</v>
      </c>
      <c r="B56" s="423" t="s">
        <v>1170</v>
      </c>
      <c r="C56" s="424">
        <v>8</v>
      </c>
      <c r="D56" s="424" t="s">
        <v>2276</v>
      </c>
      <c r="E56" s="424" t="s">
        <v>2277</v>
      </c>
      <c r="F56" s="424" t="s">
        <v>2278</v>
      </c>
      <c r="G56" s="424" t="s">
        <v>2279</v>
      </c>
      <c r="H56" s="305" t="s">
        <v>2382</v>
      </c>
      <c r="I56" s="422" t="s">
        <v>2383</v>
      </c>
      <c r="J56" s="421" t="str">
        <f t="shared" si="53"/>
        <v>ADAS2R</v>
      </c>
      <c r="K56" s="421" t="str">
        <f t="shared" si="54"/>
        <v>ADAS2RM</v>
      </c>
      <c r="L56" s="447" t="str">
        <f t="shared" si="55"/>
        <v>RM</v>
      </c>
      <c r="M56" s="932">
        <v>1</v>
      </c>
      <c r="N56" s="932">
        <v>1</v>
      </c>
      <c r="O56" s="932">
        <v>1</v>
      </c>
      <c r="P56" s="932">
        <v>1</v>
      </c>
      <c r="Q56" s="940"/>
      <c r="R56" s="940"/>
      <c r="S56" s="940"/>
      <c r="T56" s="940"/>
      <c r="U56" s="940"/>
      <c r="V56" s="940"/>
      <c r="W56" s="940"/>
      <c r="X56" s="948"/>
      <c r="Y56" s="948"/>
      <c r="Z56" s="948"/>
      <c r="AA56" s="948"/>
      <c r="AB56" s="948"/>
      <c r="AC56" s="948"/>
      <c r="AD56" s="616"/>
      <c r="AE56" s="616"/>
      <c r="AF56" s="616"/>
      <c r="AG56" s="616"/>
      <c r="AH56" s="448">
        <f t="shared" si="56"/>
        <v>201096</v>
      </c>
      <c r="AI56" s="449">
        <f t="shared" si="57"/>
        <v>201096</v>
      </c>
      <c r="AJ56" s="450">
        <v>1</v>
      </c>
      <c r="AK56" s="452" t="s">
        <v>53</v>
      </c>
      <c r="AL56" s="447" t="s">
        <v>54</v>
      </c>
      <c r="AM56" s="447" t="s">
        <v>81</v>
      </c>
      <c r="AN56" s="447">
        <v>310100100001000</v>
      </c>
      <c r="AO56" s="306" t="s">
        <v>57</v>
      </c>
      <c r="AP56" s="305" t="s">
        <v>2348</v>
      </c>
      <c r="AQ56" s="306" t="s">
        <v>57</v>
      </c>
      <c r="AR56" s="306" t="s">
        <v>1715</v>
      </c>
      <c r="AS56" s="306" t="s">
        <v>1716</v>
      </c>
      <c r="AT56" s="306" t="s">
        <v>2165</v>
      </c>
      <c r="AU56" s="306" t="str">
        <f t="shared" ref="AU56:AU57" si="80">LEFT(AT56)&amp;IF(ISNUMBER(FIND(" ",AT56)),MID(AT56,FIND(" ",AT56)+1,1),"")&amp;IF(ISNUMBER(FIND(" ",AT56,FIND(" ",AT56)+1)),MID(AT56,FIND(" ",AT56,FIND(" ",AT56)+1)+1,1),"")</f>
        <v>R</v>
      </c>
      <c r="AV56" s="306" t="str">
        <f t="shared" ref="AV56:AV57" si="81">PROPER(CONCATENATE(AS56," ",AU56,". ",AR56))</f>
        <v>Kylee Russel R. Bognadon</v>
      </c>
      <c r="AW56" s="306" t="str">
        <f t="shared" ref="AW56:AW57" si="82">CONCATENATE(AR56,", ",AS56," ",AT56)</f>
        <v>BOGNADON, Kylee Russel Rebollido</v>
      </c>
      <c r="AX56" s="477" t="s">
        <v>57</v>
      </c>
      <c r="AY56" s="447" t="s">
        <v>62</v>
      </c>
      <c r="AZ56" s="472">
        <v>35154</v>
      </c>
      <c r="BA56" s="101">
        <f t="shared" ref="BA56" ca="1" si="83">DATEDIF(AZ56,TODAY(),"Y")</f>
        <v>29</v>
      </c>
      <c r="BB56" s="492" t="str">
        <f t="shared" ref="BB56" ca="1" si="84">IF(BA56&lt;30,"A",IF(BA56&lt;40,"B",IF(BA56&lt;50,"C",IF(BA56&lt;60,"D",IF(BA56&lt;65,"E","VACANT")))))</f>
        <v>A</v>
      </c>
      <c r="BC56" s="492" t="str">
        <f t="shared" ref="BC56" ca="1" si="85">+IF(AX56="Regional Office",(IF(BB56="A","RA",(IF(BB56="B","RB",IF(BB56="C","RC",IF(BB56="D","RD",IF(BB56="E","RE","VACANT"))))))),IF(AX56="Abra",(IF(BB56="A","AbA",(IF(BB56="B","AbB",IF(BB56="C","AbC",IF(BB56="D","AbD",IF(BB56="E","AbE","VACANT"))))))),IF(AX56="Baguio City",(IF(BB56="A","BCA",(IF(BB56="B","BCB",IF(BB56="C","BCC",IF(BB56="D","BCD",IF(BB56="E","BCE","VACANT"))))))),IF(AX56="Apayao",(IF(BB56="A","ApA",(IF(BB56="B","ApB",IF(BB56="C","ApC",IF(BB56="D","ApD",IF(BB56="E","ApE","VACANT"))))))),IF(AX56="Benguet",(IF(BB56="A","BA",(IF(BB56="B","BB",IF(BB56="C","BC",IF(BB56="D","BD",IF(BB56="E","BE","VACANT"))))))),IF(AX56="Ifugao",(IF(BB56="A","IA",(IF(BB56="B","IB",IF(BB56="C","IC",IF(BB56="D","ID",IF(BB56="E","IE","VACANT"))))))),IF(AX56="Kalinga",(IF(BB56="A","KA",(IF(BB56="B","KB",IF(BB56="C","KC",IF(BB56="D","KD",IF(BB56="E","KE","VACANT"))))))),IF(AX56="Mt. Province",(IF(BB56="A","MPA",(IF(BB56="B","MPB",IF(BB56="C","MPC",IF(BB56="D","MPD",IF(BB56="E","MPE","VACANT"))))))),"XXX"))))))))</f>
        <v>RA</v>
      </c>
      <c r="BD56" s="492" t="str">
        <f t="shared" ref="BD56" ca="1" si="86">CONCATENATE(BC56,AY56)</f>
        <v>RAM</v>
      </c>
      <c r="BE56" s="492" t="str">
        <f t="shared" ref="BE56" ca="1" si="87">CONCATENATE(I56,BD56)</f>
        <v>ADAS2RAM</v>
      </c>
      <c r="BF56" s="447" t="s">
        <v>2384</v>
      </c>
      <c r="BG56" s="493">
        <v>43193</v>
      </c>
      <c r="BH56" s="493">
        <v>43193</v>
      </c>
      <c r="BI56" s="493">
        <v>43195</v>
      </c>
      <c r="BJ56" s="493">
        <v>43195</v>
      </c>
      <c r="BK56" s="493">
        <v>43193</v>
      </c>
      <c r="BL56" s="447">
        <f t="shared" ref="BL56" ca="1" si="88">DATEDIF(BK56,TODAY(),"Y")</f>
        <v>7</v>
      </c>
      <c r="BM56" s="447" t="s">
        <v>64</v>
      </c>
      <c r="BN56" s="512" t="s">
        <v>102</v>
      </c>
      <c r="BO56" s="423" t="s">
        <v>3394</v>
      </c>
      <c r="BP56" s="513" t="s">
        <v>2385</v>
      </c>
      <c r="BQ56" s="514" t="str">
        <f t="shared" si="79"/>
        <v>1MP</v>
      </c>
    </row>
    <row r="57" spans="1:69" ht="19.95" customHeight="1">
      <c r="A57" s="422" t="s">
        <v>371</v>
      </c>
      <c r="B57" s="423" t="s">
        <v>1170</v>
      </c>
      <c r="C57" s="424">
        <v>8</v>
      </c>
      <c r="D57" s="424" t="s">
        <v>2276</v>
      </c>
      <c r="E57" s="424" t="s">
        <v>2277</v>
      </c>
      <c r="F57" s="424" t="s">
        <v>2278</v>
      </c>
      <c r="G57" s="424" t="s">
        <v>2279</v>
      </c>
      <c r="H57" s="305" t="s">
        <v>2386</v>
      </c>
      <c r="I57" s="422" t="s">
        <v>2383</v>
      </c>
      <c r="J57" s="421" t="str">
        <f t="shared" si="53"/>
        <v>Vacant</v>
      </c>
      <c r="K57" s="421" t="str">
        <f t="shared" si="54"/>
        <v>Vacant</v>
      </c>
      <c r="L57" s="447" t="str">
        <f t="shared" si="55"/>
        <v>XXX</v>
      </c>
      <c r="M57" s="932">
        <v>1</v>
      </c>
      <c r="N57" s="932">
        <v>1</v>
      </c>
      <c r="O57" s="932">
        <v>1</v>
      </c>
      <c r="P57" s="932">
        <v>1</v>
      </c>
      <c r="Q57" s="940"/>
      <c r="R57" s="940"/>
      <c r="S57" s="940"/>
      <c r="T57" s="940"/>
      <c r="U57" s="940"/>
      <c r="V57" s="940"/>
      <c r="W57" s="940"/>
      <c r="X57" s="948"/>
      <c r="Y57" s="948"/>
      <c r="Z57" s="948"/>
      <c r="AA57" s="948"/>
      <c r="AB57" s="948"/>
      <c r="AC57" s="948"/>
      <c r="AD57" s="616"/>
      <c r="AE57" s="616"/>
      <c r="AF57" s="616"/>
      <c r="AG57" s="616"/>
      <c r="AH57" s="448">
        <f t="shared" si="56"/>
        <v>201096</v>
      </c>
      <c r="AI57" s="449">
        <f t="shared" si="57"/>
        <v>0</v>
      </c>
      <c r="AJ57" s="450">
        <v>0</v>
      </c>
      <c r="AK57" s="452" t="s">
        <v>53</v>
      </c>
      <c r="AL57" s="447" t="s">
        <v>54</v>
      </c>
      <c r="AM57" s="447" t="s">
        <v>81</v>
      </c>
      <c r="AN57" s="447">
        <v>310100100001000</v>
      </c>
      <c r="AO57" s="306" t="s">
        <v>57</v>
      </c>
      <c r="AP57" s="305" t="s">
        <v>2348</v>
      </c>
      <c r="AQ57" s="306" t="s">
        <v>57</v>
      </c>
      <c r="AR57" s="305" t="s">
        <v>2082</v>
      </c>
      <c r="AS57" s="305" t="s">
        <v>2387</v>
      </c>
      <c r="AT57" s="305"/>
      <c r="AU57" s="306" t="str">
        <f t="shared" si="80"/>
        <v/>
      </c>
      <c r="AV57" s="306" t="str">
        <f t="shared" si="81"/>
        <v>Vacantmyra . Esnara</v>
      </c>
      <c r="AW57" s="306" t="str">
        <f t="shared" si="82"/>
        <v xml:space="preserve">ESNARA, VacantMyra </v>
      </c>
      <c r="AX57" s="477"/>
      <c r="AY57" s="447"/>
      <c r="AZ57" s="472"/>
      <c r="BA57" s="101">
        <f t="shared" ca="1" si="61"/>
        <v>126</v>
      </c>
      <c r="BB57" s="492" t="str">
        <f t="shared" ca="1" si="62"/>
        <v>VACANT</v>
      </c>
      <c r="BC57" s="492" t="str">
        <f t="shared" si="63"/>
        <v>XXX</v>
      </c>
      <c r="BD57" s="492" t="str">
        <f t="shared" si="49"/>
        <v>XXX</v>
      </c>
      <c r="BE57" s="492" t="str">
        <f t="shared" si="64"/>
        <v>ADAS2XXX</v>
      </c>
      <c r="BF57" s="447"/>
      <c r="BG57" s="493"/>
      <c r="BH57" s="493">
        <v>41260</v>
      </c>
      <c r="BI57" s="447">
        <f t="shared" ca="1" si="65"/>
        <v>126</v>
      </c>
      <c r="BJ57" s="447">
        <f t="shared" ref="BJ57:BJ65" ca="1" si="89">DATEDIF(BH57,TODAY(),"Y")</f>
        <v>13</v>
      </c>
      <c r="BK57" s="493"/>
      <c r="BL57" s="447">
        <f t="shared" ca="1" si="67"/>
        <v>126</v>
      </c>
      <c r="BM57" s="447"/>
      <c r="BN57" s="512"/>
      <c r="BO57" s="423"/>
      <c r="BP57" s="513"/>
      <c r="BQ57" s="514" t="str">
        <f t="shared" si="79"/>
        <v>1</v>
      </c>
    </row>
    <row r="58" spans="1:69" ht="19.95" customHeight="1">
      <c r="A58" s="422" t="s">
        <v>406</v>
      </c>
      <c r="B58" s="423" t="s">
        <v>455</v>
      </c>
      <c r="C58" s="424">
        <v>4</v>
      </c>
      <c r="D58" s="424" t="s">
        <v>2276</v>
      </c>
      <c r="E58" s="424" t="s">
        <v>265</v>
      </c>
      <c r="F58" s="424" t="s">
        <v>265</v>
      </c>
      <c r="G58" s="424" t="s">
        <v>2279</v>
      </c>
      <c r="H58" s="436" t="s">
        <v>2388</v>
      </c>
      <c r="I58" s="422" t="s">
        <v>2286</v>
      </c>
      <c r="J58" s="421" t="str">
        <f t="shared" si="53"/>
        <v>ADA4R</v>
      </c>
      <c r="K58" s="421" t="str">
        <f t="shared" si="54"/>
        <v>ADA4RM</v>
      </c>
      <c r="L58" s="447" t="str">
        <f t="shared" si="55"/>
        <v>RM</v>
      </c>
      <c r="M58" s="932">
        <v>1</v>
      </c>
      <c r="N58" s="932">
        <v>1</v>
      </c>
      <c r="O58" s="932">
        <v>1</v>
      </c>
      <c r="P58" s="932">
        <v>1</v>
      </c>
      <c r="Q58" s="940"/>
      <c r="R58" s="940"/>
      <c r="S58" s="940"/>
      <c r="T58" s="940"/>
      <c r="U58" s="940"/>
      <c r="V58" s="940"/>
      <c r="W58" s="940"/>
      <c r="X58" s="948"/>
      <c r="Y58" s="948"/>
      <c r="Z58" s="948"/>
      <c r="AA58" s="948"/>
      <c r="AB58" s="948"/>
      <c r="AC58" s="948"/>
      <c r="AD58" s="616"/>
      <c r="AE58" s="616"/>
      <c r="AF58" s="616"/>
      <c r="AG58" s="616"/>
      <c r="AH58" s="448">
        <f t="shared" si="56"/>
        <v>158568</v>
      </c>
      <c r="AI58" s="449">
        <f t="shared" si="57"/>
        <v>158568</v>
      </c>
      <c r="AJ58" s="450">
        <v>1</v>
      </c>
      <c r="AK58" s="452" t="s">
        <v>53</v>
      </c>
      <c r="AL58" s="447" t="s">
        <v>54</v>
      </c>
      <c r="AM58" s="447" t="s">
        <v>81</v>
      </c>
      <c r="AN58" s="447">
        <v>310100100001000</v>
      </c>
      <c r="AO58" s="306" t="s">
        <v>57</v>
      </c>
      <c r="AP58" s="305" t="s">
        <v>2348</v>
      </c>
      <c r="AQ58" s="306" t="s">
        <v>57</v>
      </c>
      <c r="AR58" s="306" t="s">
        <v>2163</v>
      </c>
      <c r="AS58" s="306" t="s">
        <v>1598</v>
      </c>
      <c r="AT58" s="306" t="s">
        <v>2164</v>
      </c>
      <c r="AU58" s="306" t="str">
        <f t="shared" si="58"/>
        <v>M</v>
      </c>
      <c r="AV58" s="306" t="str">
        <f t="shared" si="59"/>
        <v>Joe Pablo M. Gernale</v>
      </c>
      <c r="AW58" s="306" t="str">
        <f t="shared" si="60"/>
        <v>GERNALE, Joe Pablo Maculada</v>
      </c>
      <c r="AX58" s="477" t="s">
        <v>57</v>
      </c>
      <c r="AY58" s="447" t="s">
        <v>62</v>
      </c>
      <c r="AZ58" s="472">
        <v>34289</v>
      </c>
      <c r="BA58" s="101">
        <f t="shared" ca="1" si="61"/>
        <v>32</v>
      </c>
      <c r="BB58" s="492" t="str">
        <f t="shared" ca="1" si="62"/>
        <v>B</v>
      </c>
      <c r="BC58" s="492" t="str">
        <f t="shared" ca="1" si="63"/>
        <v>RB</v>
      </c>
      <c r="BD58" s="492" t="str">
        <f t="shared" ca="1" si="49"/>
        <v>RBM</v>
      </c>
      <c r="BE58" s="492" t="str">
        <f t="shared" ca="1" si="64"/>
        <v>ADA4RBM</v>
      </c>
      <c r="BF58" s="447" t="s">
        <v>2389</v>
      </c>
      <c r="BG58" s="493">
        <v>43193</v>
      </c>
      <c r="BH58" s="493">
        <v>43193</v>
      </c>
      <c r="BI58" s="447">
        <f t="shared" ca="1" si="65"/>
        <v>7</v>
      </c>
      <c r="BJ58" s="447">
        <f t="shared" ca="1" si="89"/>
        <v>7</v>
      </c>
      <c r="BK58" s="493">
        <v>43193</v>
      </c>
      <c r="BL58" s="447">
        <f t="shared" ca="1" si="67"/>
        <v>7</v>
      </c>
      <c r="BM58" s="447" t="s">
        <v>64</v>
      </c>
      <c r="BN58" s="512" t="s">
        <v>102</v>
      </c>
      <c r="BO58" s="423" t="s">
        <v>2309</v>
      </c>
      <c r="BP58" s="513"/>
      <c r="BQ58" s="514" t="str">
        <f t="shared" si="79"/>
        <v>1MP</v>
      </c>
    </row>
    <row r="59" spans="1:69" ht="19.95" customHeight="1">
      <c r="A59" s="422" t="s">
        <v>413</v>
      </c>
      <c r="B59" s="423" t="s">
        <v>455</v>
      </c>
      <c r="C59" s="424">
        <v>4</v>
      </c>
      <c r="D59" s="424" t="s">
        <v>2276</v>
      </c>
      <c r="E59" s="424" t="s">
        <v>265</v>
      </c>
      <c r="F59" s="424" t="s">
        <v>265</v>
      </c>
      <c r="G59" s="424" t="s">
        <v>2279</v>
      </c>
      <c r="H59" s="436" t="s">
        <v>2388</v>
      </c>
      <c r="I59" s="422" t="s">
        <v>2286</v>
      </c>
      <c r="J59" s="421" t="str">
        <f t="shared" si="53"/>
        <v>Vacant</v>
      </c>
      <c r="K59" s="421" t="str">
        <f t="shared" si="54"/>
        <v>Vacant</v>
      </c>
      <c r="L59" s="447" t="str">
        <f t="shared" si="55"/>
        <v>XXX</v>
      </c>
      <c r="M59" s="932">
        <v>1</v>
      </c>
      <c r="N59" s="932">
        <v>1</v>
      </c>
      <c r="O59" s="932">
        <v>1</v>
      </c>
      <c r="P59" s="932">
        <v>1</v>
      </c>
      <c r="Q59" s="940"/>
      <c r="R59" s="940"/>
      <c r="S59" s="940"/>
      <c r="T59" s="940"/>
      <c r="U59" s="940"/>
      <c r="V59" s="940"/>
      <c r="W59" s="940"/>
      <c r="X59" s="948"/>
      <c r="Y59" s="948"/>
      <c r="Z59" s="948"/>
      <c r="AA59" s="948"/>
      <c r="AB59" s="948"/>
      <c r="AC59" s="948"/>
      <c r="AD59" s="616"/>
      <c r="AE59" s="616"/>
      <c r="AF59" s="616"/>
      <c r="AG59" s="616"/>
      <c r="AH59" s="448">
        <f t="shared" si="56"/>
        <v>158568</v>
      </c>
      <c r="AI59" s="449">
        <f t="shared" si="57"/>
        <v>0</v>
      </c>
      <c r="AJ59" s="450">
        <v>0</v>
      </c>
      <c r="AK59" s="452" t="s">
        <v>53</v>
      </c>
      <c r="AL59" s="447" t="s">
        <v>54</v>
      </c>
      <c r="AM59" s="447" t="s">
        <v>81</v>
      </c>
      <c r="AN59" s="447">
        <v>310100100001000</v>
      </c>
      <c r="AO59" s="306" t="s">
        <v>57</v>
      </c>
      <c r="AP59" s="305" t="s">
        <v>2348</v>
      </c>
      <c r="AQ59" s="306" t="s">
        <v>57</v>
      </c>
      <c r="AR59" s="306" t="s">
        <v>2390</v>
      </c>
      <c r="AS59" s="306"/>
      <c r="AT59" s="306"/>
      <c r="AU59" s="306" t="str">
        <f t="shared" ref="AU59" si="90">LEFT(AT59)&amp;IF(ISNUMBER(FIND(" ",AT59)),MID(AT59,FIND(" ",AT59)+1,1),"")&amp;IF(ISNUMBER(FIND(" ",AT59,FIND(" ",AT59)+1)),MID(AT59,FIND(" ",AT59,FIND(" ",AT59)+1)+1,1),"")</f>
        <v/>
      </c>
      <c r="AV59" s="306" t="str">
        <f t="shared" ref="AV59" si="91">PROPER(CONCATENATE(AS59," ",AU59,". ",AR59))</f>
        <v xml:space="preserve"> . Vacant Escad</v>
      </c>
      <c r="AW59" s="306" t="str">
        <f t="shared" ref="AW59" si="92">CONCATENATE(AR59,", ",AS59," ",AT59)</f>
        <v xml:space="preserve">Vacant ESCAD,  </v>
      </c>
      <c r="AX59" s="477"/>
      <c r="AY59" s="447"/>
      <c r="AZ59" s="472"/>
      <c r="BA59" s="101">
        <f t="shared" ref="BA59" ca="1" si="93">DATEDIF(AZ59,TODAY(),"Y")</f>
        <v>126</v>
      </c>
      <c r="BB59" s="492" t="str">
        <f t="shared" ref="BB59" ca="1" si="94">IF(BA59&lt;30,"A",IF(BA59&lt;40,"B",IF(BA59&lt;50,"C",IF(BA59&lt;60,"D",IF(BA59&lt;65,"E","VACANT")))))</f>
        <v>VACANT</v>
      </c>
      <c r="BC59" s="492" t="str">
        <f t="shared" ref="BC59" si="95">+IF(AX59="Regional Office",(IF(BB59="A","RA",(IF(BB59="B","RB",IF(BB59="C","RC",IF(BB59="D","RD",IF(BB59="E","RE","VACANT"))))))),IF(AX59="Abra",(IF(BB59="A","AbA",(IF(BB59="B","AbB",IF(BB59="C","AbC",IF(BB59="D","AbD",IF(BB59="E","AbE","VACANT"))))))),IF(AX59="Baguio City",(IF(BB59="A","BCA",(IF(BB59="B","BCB",IF(BB59="C","BCC",IF(BB59="D","BCD",IF(BB59="E","BCE","VACANT"))))))),IF(AX59="Apayao",(IF(BB59="A","ApA",(IF(BB59="B","ApB",IF(BB59="C","ApC",IF(BB59="D","ApD",IF(BB59="E","ApE","VACANT"))))))),IF(AX59="Benguet",(IF(BB59="A","BA",(IF(BB59="B","BB",IF(BB59="C","BC",IF(BB59="D","BD",IF(BB59="E","BE","VACANT"))))))),IF(AX59="Ifugao",(IF(BB59="A","IA",(IF(BB59="B","IB",IF(BB59="C","IC",IF(BB59="D","ID",IF(BB59="E","IE","VACANT"))))))),IF(AX59="Kalinga",(IF(BB59="A","KA",(IF(BB59="B","KB",IF(BB59="C","KC",IF(BB59="D","KD",IF(BB59="E","KE","VACANT"))))))),IF(AX59="Mt. Province",(IF(BB59="A","MPA",(IF(BB59="B","MPB",IF(BB59="C","MPC",IF(BB59="D","MPD",IF(BB59="E","MPE","VACANT"))))))),"XXX"))))))))</f>
        <v>XXX</v>
      </c>
      <c r="BD59" s="492" t="str">
        <f t="shared" ref="BD59" si="96">CONCATENATE(BC59,AY59)</f>
        <v>XXX</v>
      </c>
      <c r="BE59" s="492" t="str">
        <f t="shared" ref="BE59" si="97">CONCATENATE(I59,BD59)</f>
        <v>ADA4XXX</v>
      </c>
      <c r="BF59" s="447"/>
      <c r="BG59" s="493"/>
      <c r="BH59" s="493"/>
      <c r="BI59" s="447">
        <f t="shared" ref="BI59:BJ59" ca="1" si="98">DATEDIF(BG59,TODAY(),"Y")</f>
        <v>126</v>
      </c>
      <c r="BJ59" s="447">
        <f t="shared" ca="1" si="98"/>
        <v>126</v>
      </c>
      <c r="BK59" s="493"/>
      <c r="BL59" s="447">
        <f t="shared" ref="BL59" ca="1" si="99">DATEDIF(BK59,TODAY(),"Y")</f>
        <v>126</v>
      </c>
      <c r="BM59" s="447"/>
      <c r="BN59" s="512"/>
      <c r="BO59" s="423"/>
      <c r="BP59" s="513"/>
      <c r="BQ59" s="514" t="str">
        <f t="shared" si="79"/>
        <v>1</v>
      </c>
    </row>
    <row r="60" spans="1:69" ht="19.95" customHeight="1">
      <c r="A60" s="422" t="s">
        <v>416</v>
      </c>
      <c r="B60" s="423" t="s">
        <v>455</v>
      </c>
      <c r="C60" s="424">
        <v>4</v>
      </c>
      <c r="D60" s="424" t="s">
        <v>2276</v>
      </c>
      <c r="E60" s="424" t="s">
        <v>265</v>
      </c>
      <c r="F60" s="424" t="s">
        <v>265</v>
      </c>
      <c r="G60" s="424" t="s">
        <v>2279</v>
      </c>
      <c r="H60" s="436" t="s">
        <v>2388</v>
      </c>
      <c r="I60" s="422" t="s">
        <v>2286</v>
      </c>
      <c r="J60" s="421" t="str">
        <f t="shared" si="53"/>
        <v>ADA4R</v>
      </c>
      <c r="K60" s="421" t="str">
        <f t="shared" si="54"/>
        <v>ADA4RF</v>
      </c>
      <c r="L60" s="447" t="str">
        <f t="shared" si="55"/>
        <v>RF</v>
      </c>
      <c r="M60" s="932">
        <v>1</v>
      </c>
      <c r="N60" s="932">
        <v>1</v>
      </c>
      <c r="O60" s="932">
        <v>1</v>
      </c>
      <c r="P60" s="932">
        <v>1</v>
      </c>
      <c r="Q60" s="940"/>
      <c r="R60" s="940"/>
      <c r="S60" s="940"/>
      <c r="T60" s="940"/>
      <c r="U60" s="940"/>
      <c r="V60" s="940"/>
      <c r="W60" s="940"/>
      <c r="X60" s="948"/>
      <c r="Y60" s="948"/>
      <c r="Z60" s="948"/>
      <c r="AA60" s="948"/>
      <c r="AB60" s="948"/>
      <c r="AC60" s="948"/>
      <c r="AD60" s="616"/>
      <c r="AE60" s="616"/>
      <c r="AF60" s="616"/>
      <c r="AG60" s="616"/>
      <c r="AH60" s="448">
        <f t="shared" si="56"/>
        <v>158568</v>
      </c>
      <c r="AI60" s="449">
        <f t="shared" si="57"/>
        <v>159792</v>
      </c>
      <c r="AJ60" s="450">
        <v>2</v>
      </c>
      <c r="AK60" s="452" t="s">
        <v>53</v>
      </c>
      <c r="AL60" s="447" t="s">
        <v>54</v>
      </c>
      <c r="AM60" s="447" t="s">
        <v>81</v>
      </c>
      <c r="AN60" s="447">
        <v>310100100001000</v>
      </c>
      <c r="AO60" s="306" t="s">
        <v>57</v>
      </c>
      <c r="AP60" s="305" t="s">
        <v>2348</v>
      </c>
      <c r="AQ60" s="306" t="s">
        <v>57</v>
      </c>
      <c r="AR60" s="306" t="s">
        <v>716</v>
      </c>
      <c r="AS60" s="306" t="s">
        <v>2117</v>
      </c>
      <c r="AT60" s="306" t="s">
        <v>2118</v>
      </c>
      <c r="AU60" s="306" t="str">
        <f t="shared" si="58"/>
        <v>G</v>
      </c>
      <c r="AV60" s="306" t="str">
        <f t="shared" si="59"/>
        <v>Veronica G. Monang</v>
      </c>
      <c r="AW60" s="306" t="str">
        <f t="shared" si="60"/>
        <v>MONANG, Veronica Gadgad</v>
      </c>
      <c r="AX60" s="477" t="s">
        <v>57</v>
      </c>
      <c r="AY60" s="424" t="s">
        <v>100</v>
      </c>
      <c r="AZ60" s="472">
        <v>32233</v>
      </c>
      <c r="BA60" s="101">
        <f t="shared" ca="1" si="61"/>
        <v>37</v>
      </c>
      <c r="BB60" s="492" t="str">
        <f t="shared" ca="1" si="62"/>
        <v>B</v>
      </c>
      <c r="BC60" s="492" t="str">
        <f t="shared" ca="1" si="63"/>
        <v>RB</v>
      </c>
      <c r="BD60" s="492" t="str">
        <f t="shared" ca="1" si="49"/>
        <v>RBF</v>
      </c>
      <c r="BE60" s="492" t="str">
        <f t="shared" ca="1" si="64"/>
        <v>ADA4RBF</v>
      </c>
      <c r="BF60" s="926" t="s">
        <v>2392</v>
      </c>
      <c r="BG60" s="495">
        <v>41988</v>
      </c>
      <c r="BH60" s="495">
        <v>41988</v>
      </c>
      <c r="BI60" s="447">
        <f t="shared" ca="1" si="65"/>
        <v>11</v>
      </c>
      <c r="BJ60" s="447">
        <f t="shared" ca="1" si="89"/>
        <v>11</v>
      </c>
      <c r="BK60" s="495">
        <v>41988</v>
      </c>
      <c r="BL60" s="447">
        <f t="shared" ca="1" si="67"/>
        <v>11</v>
      </c>
      <c r="BM60" s="447" t="s">
        <v>64</v>
      </c>
      <c r="BN60" s="512" t="s">
        <v>102</v>
      </c>
      <c r="BO60" s="423" t="s">
        <v>3395</v>
      </c>
      <c r="BP60" s="513"/>
      <c r="BQ60" s="514" t="str">
        <f t="shared" si="79"/>
        <v>1FP</v>
      </c>
    </row>
    <row r="61" spans="1:69" ht="19.95" customHeight="1">
      <c r="A61" s="422" t="s">
        <v>2394</v>
      </c>
      <c r="B61" s="423" t="s">
        <v>455</v>
      </c>
      <c r="C61" s="424">
        <v>4</v>
      </c>
      <c r="D61" s="424" t="s">
        <v>2276</v>
      </c>
      <c r="E61" s="424" t="s">
        <v>265</v>
      </c>
      <c r="F61" s="424" t="s">
        <v>265</v>
      </c>
      <c r="G61" s="424" t="s">
        <v>2279</v>
      </c>
      <c r="H61" s="436" t="s">
        <v>2388</v>
      </c>
      <c r="I61" s="422" t="s">
        <v>2286</v>
      </c>
      <c r="J61" s="421" t="str">
        <f t="shared" si="53"/>
        <v>ADA4R</v>
      </c>
      <c r="K61" s="421" t="str">
        <f t="shared" si="54"/>
        <v>ADA4RM</v>
      </c>
      <c r="L61" s="447" t="str">
        <f t="shared" si="55"/>
        <v>RM</v>
      </c>
      <c r="M61" s="932">
        <v>1</v>
      </c>
      <c r="N61" s="932">
        <v>1</v>
      </c>
      <c r="O61" s="932">
        <v>1</v>
      </c>
      <c r="P61" s="932">
        <v>1</v>
      </c>
      <c r="Q61" s="940"/>
      <c r="R61" s="940"/>
      <c r="S61" s="940"/>
      <c r="T61" s="940"/>
      <c r="U61" s="940"/>
      <c r="V61" s="940"/>
      <c r="W61" s="940"/>
      <c r="X61" s="948"/>
      <c r="Y61" s="948"/>
      <c r="Z61" s="948"/>
      <c r="AA61" s="948"/>
      <c r="AB61" s="948"/>
      <c r="AC61" s="948"/>
      <c r="AD61" s="616"/>
      <c r="AE61" s="616"/>
      <c r="AF61" s="616"/>
      <c r="AG61" s="616"/>
      <c r="AH61" s="448">
        <f>VLOOKUP(C61,idica,2,FALSE)*12</f>
        <v>158568</v>
      </c>
      <c r="AI61" s="449">
        <f>(SUMPRODUCT((norman=C61)*(grace=AJ61)*(barnachea)))*12</f>
        <v>161016</v>
      </c>
      <c r="AJ61" s="450">
        <v>3</v>
      </c>
      <c r="AK61" s="452" t="s">
        <v>53</v>
      </c>
      <c r="AL61" s="447" t="s">
        <v>54</v>
      </c>
      <c r="AM61" s="447" t="s">
        <v>81</v>
      </c>
      <c r="AN61" s="447">
        <v>310100100001000</v>
      </c>
      <c r="AO61" s="306" t="s">
        <v>57</v>
      </c>
      <c r="AP61" s="305" t="s">
        <v>2348</v>
      </c>
      <c r="AQ61" s="306" t="s">
        <v>57</v>
      </c>
      <c r="AR61" s="306" t="s">
        <v>450</v>
      </c>
      <c r="AS61" s="306" t="s">
        <v>451</v>
      </c>
      <c r="AT61" s="306" t="s">
        <v>1916</v>
      </c>
      <c r="AU61" s="306" t="str">
        <f t="shared" si="58"/>
        <v>A</v>
      </c>
      <c r="AV61" s="306" t="str">
        <f t="shared" si="59"/>
        <v>Diosdado A. Pascua</v>
      </c>
      <c r="AW61" s="306" t="str">
        <f t="shared" si="60"/>
        <v>PASCUA, Diosdado Aquino</v>
      </c>
      <c r="AX61" s="477" t="s">
        <v>57</v>
      </c>
      <c r="AY61" s="447" t="s">
        <v>62</v>
      </c>
      <c r="AZ61" s="472">
        <v>20513</v>
      </c>
      <c r="BA61" s="101">
        <f t="shared" ca="1" si="61"/>
        <v>70</v>
      </c>
      <c r="BB61" s="492" t="str">
        <f t="shared" ca="1" si="62"/>
        <v>VACANT</v>
      </c>
      <c r="BC61" s="492" t="str">
        <f t="shared" ca="1" si="63"/>
        <v>VACANT</v>
      </c>
      <c r="BD61" s="492" t="str">
        <f t="shared" ca="1" si="49"/>
        <v>VACANTM</v>
      </c>
      <c r="BE61" s="492" t="str">
        <f t="shared" ca="1" si="64"/>
        <v>ADA4VACANTM</v>
      </c>
      <c r="BF61" s="447" t="s">
        <v>454</v>
      </c>
      <c r="BG61" s="493">
        <v>32371</v>
      </c>
      <c r="BH61" s="493">
        <v>32371</v>
      </c>
      <c r="BI61" s="447">
        <f t="shared" ca="1" si="65"/>
        <v>37</v>
      </c>
      <c r="BJ61" s="447">
        <f t="shared" ca="1" si="89"/>
        <v>37</v>
      </c>
      <c r="BK61" s="493">
        <v>40634</v>
      </c>
      <c r="BL61" s="447">
        <f t="shared" ca="1" si="67"/>
        <v>14</v>
      </c>
      <c r="BM61" s="447" t="s">
        <v>64</v>
      </c>
      <c r="BN61" s="512" t="s">
        <v>125</v>
      </c>
      <c r="BO61" s="423" t="s">
        <v>3396</v>
      </c>
      <c r="BP61" s="513"/>
      <c r="BQ61" s="514" t="str">
        <f t="shared" si="79"/>
        <v>1MP</v>
      </c>
    </row>
    <row r="62" spans="1:69" ht="19.95" customHeight="1">
      <c r="A62" s="422" t="s">
        <v>139</v>
      </c>
      <c r="B62" s="423" t="s">
        <v>2194</v>
      </c>
      <c r="C62" s="424">
        <v>3</v>
      </c>
      <c r="D62" s="424" t="s">
        <v>2284</v>
      </c>
      <c r="E62" s="424" t="s">
        <v>265</v>
      </c>
      <c r="F62" s="424" t="s">
        <v>265</v>
      </c>
      <c r="G62" s="424" t="s">
        <v>2395</v>
      </c>
      <c r="H62" s="424"/>
      <c r="I62" s="422" t="s">
        <v>2396</v>
      </c>
      <c r="J62" s="421" t="str">
        <f t="shared" si="53"/>
        <v>ADA3R</v>
      </c>
      <c r="K62" s="421" t="str">
        <f t="shared" si="54"/>
        <v>ADA3RM</v>
      </c>
      <c r="L62" s="447" t="str">
        <f t="shared" si="55"/>
        <v>RM</v>
      </c>
      <c r="M62" s="932">
        <v>1</v>
      </c>
      <c r="N62" s="932">
        <v>1</v>
      </c>
      <c r="O62" s="932">
        <v>1</v>
      </c>
      <c r="P62" s="932">
        <v>1</v>
      </c>
      <c r="Q62" s="940"/>
      <c r="R62" s="940"/>
      <c r="S62" s="940"/>
      <c r="T62" s="940"/>
      <c r="U62" s="940"/>
      <c r="V62" s="940"/>
      <c r="W62" s="940"/>
      <c r="X62" s="948"/>
      <c r="Y62" s="948"/>
      <c r="Z62" s="948"/>
      <c r="AA62" s="948"/>
      <c r="AB62" s="948"/>
      <c r="AC62" s="948"/>
      <c r="AD62" s="616"/>
      <c r="AE62" s="616"/>
      <c r="AF62" s="616"/>
      <c r="AG62" s="616"/>
      <c r="AH62" s="448">
        <f t="shared" si="56"/>
        <v>149592</v>
      </c>
      <c r="AI62" s="449">
        <f t="shared" si="57"/>
        <v>156624</v>
      </c>
      <c r="AJ62" s="450">
        <v>7</v>
      </c>
      <c r="AK62" s="452" t="s">
        <v>53</v>
      </c>
      <c r="AL62" s="447" t="s">
        <v>54</v>
      </c>
      <c r="AM62" s="447" t="s">
        <v>81</v>
      </c>
      <c r="AN62" s="447">
        <v>310100100001000</v>
      </c>
      <c r="AO62" s="306" t="s">
        <v>57</v>
      </c>
      <c r="AP62" s="305" t="s">
        <v>2348</v>
      </c>
      <c r="AQ62" s="306" t="s">
        <v>57</v>
      </c>
      <c r="AR62" s="306" t="s">
        <v>141</v>
      </c>
      <c r="AS62" s="306" t="s">
        <v>142</v>
      </c>
      <c r="AT62" s="306" t="s">
        <v>1940</v>
      </c>
      <c r="AU62" s="306" t="str">
        <f t="shared" si="58"/>
        <v>A</v>
      </c>
      <c r="AV62" s="306" t="str">
        <f t="shared" si="59"/>
        <v>Jonathan A. Tamondong</v>
      </c>
      <c r="AW62" s="306" t="str">
        <f t="shared" si="60"/>
        <v>TAMONDONG, Jonathan Ambat</v>
      </c>
      <c r="AX62" s="477" t="s">
        <v>57</v>
      </c>
      <c r="AY62" s="447" t="s">
        <v>62</v>
      </c>
      <c r="AZ62" s="472">
        <v>24419</v>
      </c>
      <c r="BA62" s="101">
        <f t="shared" ca="1" si="61"/>
        <v>59</v>
      </c>
      <c r="BB62" s="492" t="str">
        <f t="shared" ca="1" si="62"/>
        <v>D</v>
      </c>
      <c r="BC62" s="492" t="str">
        <f t="shared" ca="1" si="63"/>
        <v>RD</v>
      </c>
      <c r="BD62" s="492" t="str">
        <f t="shared" ca="1" si="49"/>
        <v>RDM</v>
      </c>
      <c r="BE62" s="492" t="str">
        <f t="shared" ca="1" si="64"/>
        <v>ADA3RDM</v>
      </c>
      <c r="BF62" s="447" t="s">
        <v>144</v>
      </c>
      <c r="BG62" s="493">
        <v>34808</v>
      </c>
      <c r="BH62" s="493">
        <v>34808</v>
      </c>
      <c r="BI62" s="447">
        <f t="shared" ca="1" si="65"/>
        <v>30</v>
      </c>
      <c r="BJ62" s="447">
        <f t="shared" ca="1" si="89"/>
        <v>30</v>
      </c>
      <c r="BK62" s="493">
        <v>36054</v>
      </c>
      <c r="BL62" s="447">
        <f t="shared" ca="1" si="67"/>
        <v>27</v>
      </c>
      <c r="BM62" s="447" t="s">
        <v>2397</v>
      </c>
      <c r="BN62" s="512" t="s">
        <v>145</v>
      </c>
      <c r="BO62" s="423" t="s">
        <v>3396</v>
      </c>
      <c r="BP62" s="513"/>
      <c r="BQ62" s="514" t="str">
        <f t="shared" si="79"/>
        <v>1MCTI</v>
      </c>
    </row>
    <row r="63" spans="1:69" ht="19.95" customHeight="1">
      <c r="A63" s="422" t="s">
        <v>421</v>
      </c>
      <c r="B63" s="423" t="s">
        <v>422</v>
      </c>
      <c r="C63" s="424">
        <v>3</v>
      </c>
      <c r="D63" s="424"/>
      <c r="E63" s="424"/>
      <c r="F63" s="424"/>
      <c r="G63" s="424"/>
      <c r="H63" s="424"/>
      <c r="I63" s="422" t="s">
        <v>2398</v>
      </c>
      <c r="J63" s="421" t="str">
        <f t="shared" si="53"/>
        <v>SECG1R</v>
      </c>
      <c r="K63" s="421" t="str">
        <f t="shared" si="54"/>
        <v>SECG1RM</v>
      </c>
      <c r="L63" s="447" t="str">
        <f t="shared" si="55"/>
        <v>RM</v>
      </c>
      <c r="M63" s="932">
        <v>1</v>
      </c>
      <c r="N63" s="932">
        <v>1</v>
      </c>
      <c r="O63" s="932">
        <v>1</v>
      </c>
      <c r="P63" s="932">
        <v>1</v>
      </c>
      <c r="Q63" s="940"/>
      <c r="R63" s="940"/>
      <c r="S63" s="940"/>
      <c r="T63" s="940"/>
      <c r="U63" s="940"/>
      <c r="V63" s="940"/>
      <c r="W63" s="940"/>
      <c r="X63" s="948"/>
      <c r="Y63" s="948"/>
      <c r="Z63" s="948"/>
      <c r="AA63" s="948"/>
      <c r="AB63" s="948"/>
      <c r="AC63" s="948"/>
      <c r="AD63" s="616"/>
      <c r="AE63" s="616"/>
      <c r="AF63" s="616"/>
      <c r="AG63" s="616"/>
      <c r="AH63" s="448">
        <f t="shared" si="56"/>
        <v>149592</v>
      </c>
      <c r="AI63" s="449">
        <f t="shared" si="57"/>
        <v>157824</v>
      </c>
      <c r="AJ63" s="450">
        <v>8</v>
      </c>
      <c r="AK63" s="452" t="s">
        <v>53</v>
      </c>
      <c r="AL63" s="447" t="s">
        <v>54</v>
      </c>
      <c r="AM63" s="447" t="s">
        <v>81</v>
      </c>
      <c r="AN63" s="447">
        <v>310100100001000</v>
      </c>
      <c r="AO63" s="306" t="s">
        <v>57</v>
      </c>
      <c r="AP63" s="305" t="s">
        <v>2348</v>
      </c>
      <c r="AQ63" s="306" t="s">
        <v>57</v>
      </c>
      <c r="AR63" s="306" t="s">
        <v>423</v>
      </c>
      <c r="AS63" s="306" t="s">
        <v>424</v>
      </c>
      <c r="AT63" s="306" t="s">
        <v>1915</v>
      </c>
      <c r="AU63" s="306" t="str">
        <f t="shared" si="58"/>
        <v>R</v>
      </c>
      <c r="AV63" s="306" t="str">
        <f t="shared" si="59"/>
        <v>Gerardo R. Rojo</v>
      </c>
      <c r="AW63" s="306" t="str">
        <f t="shared" si="60"/>
        <v>ROJO, Gerardo Rontos</v>
      </c>
      <c r="AX63" s="477" t="s">
        <v>57</v>
      </c>
      <c r="AY63" s="447" t="s">
        <v>62</v>
      </c>
      <c r="AZ63" s="472">
        <v>22132</v>
      </c>
      <c r="BA63" s="101">
        <f t="shared" ca="1" si="61"/>
        <v>65</v>
      </c>
      <c r="BB63" s="492" t="str">
        <f t="shared" ca="1" si="62"/>
        <v>VACANT</v>
      </c>
      <c r="BC63" s="492" t="str">
        <f t="shared" ca="1" si="63"/>
        <v>VACANT</v>
      </c>
      <c r="BD63" s="492" t="str">
        <f t="shared" ca="1" si="49"/>
        <v>VACANTM</v>
      </c>
      <c r="BE63" s="492" t="str">
        <f t="shared" ca="1" si="64"/>
        <v>SECG1VACANTM</v>
      </c>
      <c r="BF63" s="447" t="s">
        <v>426</v>
      </c>
      <c r="BG63" s="493">
        <v>32371</v>
      </c>
      <c r="BH63" s="493">
        <v>32371</v>
      </c>
      <c r="BI63" s="447">
        <f t="shared" ca="1" si="65"/>
        <v>37</v>
      </c>
      <c r="BJ63" s="447">
        <f t="shared" ca="1" si="89"/>
        <v>37</v>
      </c>
      <c r="BK63" s="493">
        <v>32371</v>
      </c>
      <c r="BL63" s="447">
        <f t="shared" ca="1" si="67"/>
        <v>37</v>
      </c>
      <c r="BM63" s="447" t="s">
        <v>2397</v>
      </c>
      <c r="BN63" s="512" t="s">
        <v>125</v>
      </c>
      <c r="BO63" s="423" t="s">
        <v>3397</v>
      </c>
      <c r="BP63" s="513"/>
      <c r="BQ63" s="514" t="str">
        <f t="shared" si="79"/>
        <v>1MCTI</v>
      </c>
    </row>
    <row r="64" spans="1:69" ht="19.95" customHeight="1">
      <c r="A64" s="422" t="s">
        <v>428</v>
      </c>
      <c r="B64" s="423" t="s">
        <v>422</v>
      </c>
      <c r="C64" s="424">
        <v>3</v>
      </c>
      <c r="D64" s="424"/>
      <c r="E64" s="424"/>
      <c r="F64" s="424"/>
      <c r="G64" s="424"/>
      <c r="H64" s="424"/>
      <c r="I64" s="422" t="s">
        <v>2398</v>
      </c>
      <c r="J64" s="421" t="str">
        <f t="shared" si="53"/>
        <v>SECG1R</v>
      </c>
      <c r="K64" s="421" t="str">
        <f t="shared" si="54"/>
        <v>SECG1RM</v>
      </c>
      <c r="L64" s="447" t="str">
        <f t="shared" si="55"/>
        <v>RM</v>
      </c>
      <c r="M64" s="932">
        <v>1</v>
      </c>
      <c r="N64" s="932">
        <v>1</v>
      </c>
      <c r="O64" s="932">
        <v>1</v>
      </c>
      <c r="P64" s="932">
        <v>1</v>
      </c>
      <c r="Q64" s="940"/>
      <c r="R64" s="940"/>
      <c r="S64" s="940"/>
      <c r="T64" s="940"/>
      <c r="U64" s="940"/>
      <c r="V64" s="940"/>
      <c r="W64" s="940"/>
      <c r="X64" s="948"/>
      <c r="Y64" s="948"/>
      <c r="Z64" s="948"/>
      <c r="AA64" s="948"/>
      <c r="AB64" s="948"/>
      <c r="AC64" s="948"/>
      <c r="AD64" s="616"/>
      <c r="AE64" s="616"/>
      <c r="AF64" s="616"/>
      <c r="AG64" s="616"/>
      <c r="AH64" s="448">
        <f t="shared" si="56"/>
        <v>149592</v>
      </c>
      <c r="AI64" s="449">
        <f t="shared" si="57"/>
        <v>154248</v>
      </c>
      <c r="AJ64" s="450">
        <v>5</v>
      </c>
      <c r="AK64" s="452" t="s">
        <v>53</v>
      </c>
      <c r="AL64" s="447" t="s">
        <v>54</v>
      </c>
      <c r="AM64" s="447" t="s">
        <v>81</v>
      </c>
      <c r="AN64" s="447">
        <v>310100100001000</v>
      </c>
      <c r="AO64" s="306" t="s">
        <v>57</v>
      </c>
      <c r="AP64" s="305" t="s">
        <v>2348</v>
      </c>
      <c r="AQ64" s="306" t="s">
        <v>57</v>
      </c>
      <c r="AR64" s="306" t="s">
        <v>429</v>
      </c>
      <c r="AS64" s="306" t="s">
        <v>430</v>
      </c>
      <c r="AT64" s="306" t="s">
        <v>1916</v>
      </c>
      <c r="AU64" s="306" t="str">
        <f t="shared" si="58"/>
        <v>A</v>
      </c>
      <c r="AV64" s="306" t="str">
        <f t="shared" si="59"/>
        <v>Roberto A. Perez</v>
      </c>
      <c r="AW64" s="306" t="str">
        <f t="shared" si="60"/>
        <v>PEREZ, Roberto Aquino</v>
      </c>
      <c r="AX64" s="477" t="s">
        <v>57</v>
      </c>
      <c r="AY64" s="447" t="s">
        <v>62</v>
      </c>
      <c r="AZ64" s="472">
        <v>26124</v>
      </c>
      <c r="BA64" s="101">
        <f t="shared" ca="1" si="61"/>
        <v>54</v>
      </c>
      <c r="BB64" s="492" t="str">
        <f t="shared" ca="1" si="62"/>
        <v>D</v>
      </c>
      <c r="BC64" s="492" t="str">
        <f t="shared" ca="1" si="63"/>
        <v>RD</v>
      </c>
      <c r="BD64" s="492" t="str">
        <f t="shared" ca="1" si="49"/>
        <v>RDM</v>
      </c>
      <c r="BE64" s="492" t="str">
        <f t="shared" ca="1" si="64"/>
        <v>SECG1RDM</v>
      </c>
      <c r="BF64" s="447" t="s">
        <v>432</v>
      </c>
      <c r="BG64" s="493">
        <v>35878</v>
      </c>
      <c r="BH64" s="493">
        <v>35878</v>
      </c>
      <c r="BI64" s="447">
        <f t="shared" ca="1" si="65"/>
        <v>28</v>
      </c>
      <c r="BJ64" s="447">
        <f t="shared" ca="1" si="89"/>
        <v>28</v>
      </c>
      <c r="BK64" s="493">
        <v>38018</v>
      </c>
      <c r="BL64" s="447">
        <f t="shared" ca="1" si="67"/>
        <v>22</v>
      </c>
      <c r="BM64" s="447" t="s">
        <v>2397</v>
      </c>
      <c r="BN64" s="512" t="s">
        <v>138</v>
      </c>
      <c r="BO64" s="423" t="s">
        <v>3396</v>
      </c>
      <c r="BP64" s="513"/>
      <c r="BQ64" s="514" t="str">
        <f t="shared" si="79"/>
        <v>1MCTI</v>
      </c>
    </row>
    <row r="65" spans="1:69" ht="19.95" customHeight="1">
      <c r="A65" s="422" t="s">
        <v>433</v>
      </c>
      <c r="B65" s="423" t="s">
        <v>422</v>
      </c>
      <c r="C65" s="424">
        <v>3</v>
      </c>
      <c r="D65" s="424"/>
      <c r="E65" s="424"/>
      <c r="F65" s="424"/>
      <c r="G65" s="424"/>
      <c r="H65" s="424"/>
      <c r="I65" s="422" t="s">
        <v>2398</v>
      </c>
      <c r="J65" s="421" t="str">
        <f t="shared" si="53"/>
        <v>SECG1R</v>
      </c>
      <c r="K65" s="421" t="str">
        <f t="shared" si="54"/>
        <v>SECG1RM</v>
      </c>
      <c r="L65" s="447" t="str">
        <f t="shared" si="55"/>
        <v>RM</v>
      </c>
      <c r="M65" s="932">
        <v>1</v>
      </c>
      <c r="N65" s="932">
        <v>1</v>
      </c>
      <c r="O65" s="932">
        <v>1</v>
      </c>
      <c r="P65" s="932">
        <v>1</v>
      </c>
      <c r="Q65" s="940"/>
      <c r="R65" s="940"/>
      <c r="S65" s="940"/>
      <c r="T65" s="940"/>
      <c r="U65" s="940"/>
      <c r="V65" s="940"/>
      <c r="W65" s="940"/>
      <c r="X65" s="948"/>
      <c r="Y65" s="948"/>
      <c r="Z65" s="948"/>
      <c r="AA65" s="948"/>
      <c r="AB65" s="948"/>
      <c r="AC65" s="948"/>
      <c r="AD65" s="616"/>
      <c r="AE65" s="616"/>
      <c r="AF65" s="616"/>
      <c r="AG65" s="616"/>
      <c r="AH65" s="448">
        <f t="shared" si="56"/>
        <v>149592</v>
      </c>
      <c r="AI65" s="449">
        <f t="shared" si="57"/>
        <v>155424</v>
      </c>
      <c r="AJ65" s="450">
        <v>6</v>
      </c>
      <c r="AK65" s="452" t="s">
        <v>53</v>
      </c>
      <c r="AL65" s="447" t="s">
        <v>54</v>
      </c>
      <c r="AM65" s="447" t="s">
        <v>81</v>
      </c>
      <c r="AN65" s="447">
        <v>310100100001000</v>
      </c>
      <c r="AO65" s="306" t="s">
        <v>57</v>
      </c>
      <c r="AP65" s="305" t="s">
        <v>2348</v>
      </c>
      <c r="AQ65" s="306" t="s">
        <v>57</v>
      </c>
      <c r="AR65" s="306" t="s">
        <v>434</v>
      </c>
      <c r="AS65" s="306" t="s">
        <v>435</v>
      </c>
      <c r="AT65" s="306" t="s">
        <v>1988</v>
      </c>
      <c r="AU65" s="306" t="str">
        <f t="shared" si="58"/>
        <v>B</v>
      </c>
      <c r="AV65" s="306" t="str">
        <f t="shared" si="59"/>
        <v>Edward B. Nonog</v>
      </c>
      <c r="AW65" s="306" t="str">
        <f t="shared" si="60"/>
        <v>NONOG, Edward Bolda</v>
      </c>
      <c r="AX65" s="477" t="s">
        <v>57</v>
      </c>
      <c r="AY65" s="447" t="s">
        <v>62</v>
      </c>
      <c r="AZ65" s="472">
        <v>28191</v>
      </c>
      <c r="BA65" s="101">
        <f t="shared" ca="1" si="61"/>
        <v>49</v>
      </c>
      <c r="BB65" s="492" t="str">
        <f t="shared" ca="1" si="62"/>
        <v>C</v>
      </c>
      <c r="BC65" s="492" t="str">
        <f t="shared" ca="1" si="63"/>
        <v>RC</v>
      </c>
      <c r="BD65" s="492" t="str">
        <f t="shared" ca="1" si="49"/>
        <v>RCM</v>
      </c>
      <c r="BE65" s="492" t="str">
        <f t="shared" ca="1" si="64"/>
        <v>SECG1RCM</v>
      </c>
      <c r="BF65" s="447" t="s">
        <v>2399</v>
      </c>
      <c r="BG65" s="493">
        <v>37173</v>
      </c>
      <c r="BH65" s="493">
        <v>37173</v>
      </c>
      <c r="BI65" s="447">
        <f t="shared" ca="1" si="65"/>
        <v>24</v>
      </c>
      <c r="BJ65" s="447">
        <f t="shared" ca="1" si="89"/>
        <v>24</v>
      </c>
      <c r="BK65" s="493">
        <v>37173</v>
      </c>
      <c r="BL65" s="447">
        <f t="shared" ca="1" si="67"/>
        <v>24</v>
      </c>
      <c r="BM65" s="447" t="s">
        <v>2397</v>
      </c>
      <c r="BN65" s="512" t="s">
        <v>138</v>
      </c>
      <c r="BO65" s="423" t="s">
        <v>3398</v>
      </c>
      <c r="BP65" s="513"/>
      <c r="BQ65" s="514" t="str">
        <f t="shared" si="79"/>
        <v>1MCTI</v>
      </c>
    </row>
    <row r="66" spans="1:69" ht="19.95" customHeight="1" thickBot="1">
      <c r="A66" s="425" t="s">
        <v>147</v>
      </c>
      <c r="B66" s="433"/>
      <c r="C66" s="427"/>
      <c r="D66" s="427"/>
      <c r="E66" s="427"/>
      <c r="F66" s="427"/>
      <c r="G66" s="427"/>
      <c r="H66" s="427"/>
      <c r="I66" s="425"/>
      <c r="J66" s="453"/>
      <c r="K66" s="453"/>
      <c r="L66" s="447"/>
      <c r="M66" s="933"/>
      <c r="N66" s="933"/>
      <c r="O66" s="933"/>
      <c r="P66" s="933"/>
      <c r="Q66" s="941"/>
      <c r="R66" s="941"/>
      <c r="S66" s="941"/>
      <c r="T66" s="941"/>
      <c r="U66" s="941"/>
      <c r="V66" s="941"/>
      <c r="W66" s="941"/>
      <c r="X66" s="949"/>
      <c r="Y66" s="949"/>
      <c r="Z66" s="949"/>
      <c r="AA66" s="949"/>
      <c r="AB66" s="949"/>
      <c r="AC66" s="949"/>
      <c r="AD66" s="956"/>
      <c r="AE66" s="956"/>
      <c r="AF66" s="956"/>
      <c r="AG66" s="956"/>
      <c r="AH66" s="459"/>
      <c r="AI66" s="459"/>
      <c r="AJ66" s="454">
        <f>COUNTIF(AJ43:AJ65,"&lt;&gt;")</f>
        <v>23</v>
      </c>
      <c r="AK66" s="460"/>
      <c r="AL66" s="453"/>
      <c r="AM66" s="453"/>
      <c r="AN66" s="453"/>
      <c r="AO66" s="308"/>
      <c r="AP66" s="308"/>
      <c r="AQ66" s="308"/>
      <c r="AR66" s="308"/>
      <c r="AS66" s="308"/>
      <c r="AT66" s="308"/>
      <c r="AU66" s="308"/>
      <c r="AV66" s="308"/>
      <c r="AW66" s="308"/>
      <c r="AX66" s="308"/>
      <c r="AY66" s="453"/>
      <c r="AZ66" s="475"/>
      <c r="BA66" s="476"/>
      <c r="BB66" s="453"/>
      <c r="BC66" s="453"/>
      <c r="BD66" s="492"/>
      <c r="BE66" s="501"/>
      <c r="BF66" s="453"/>
      <c r="BG66" s="499"/>
      <c r="BH66" s="499"/>
      <c r="BI66" s="500"/>
      <c r="BJ66" s="500"/>
      <c r="BK66" s="499"/>
      <c r="BL66" s="447">
        <f t="shared" ca="1" si="67"/>
        <v>126</v>
      </c>
      <c r="BM66" s="453"/>
      <c r="BN66" s="524"/>
      <c r="BO66" s="524"/>
      <c r="BP66" s="525"/>
      <c r="BQ66" s="514"/>
    </row>
    <row r="67" spans="1:69" ht="19.95" customHeight="1">
      <c r="A67" s="435" t="s">
        <v>2400</v>
      </c>
      <c r="B67" s="536"/>
      <c r="C67" s="537"/>
      <c r="D67" s="537"/>
      <c r="E67" s="537"/>
      <c r="F67" s="537"/>
      <c r="G67" s="537"/>
      <c r="H67" s="537"/>
      <c r="I67" s="435"/>
      <c r="J67" s="537"/>
      <c r="K67" s="537"/>
      <c r="L67" s="447"/>
      <c r="M67" s="932"/>
      <c r="N67" s="932"/>
      <c r="O67" s="932"/>
      <c r="P67" s="932"/>
      <c r="Q67" s="940"/>
      <c r="R67" s="940"/>
      <c r="S67" s="940"/>
      <c r="T67" s="940"/>
      <c r="U67" s="940"/>
      <c r="V67" s="940"/>
      <c r="W67" s="940"/>
      <c r="X67" s="948"/>
      <c r="Y67" s="948"/>
      <c r="Z67" s="948"/>
      <c r="AA67" s="948"/>
      <c r="AB67" s="948"/>
      <c r="AC67" s="948"/>
      <c r="AD67" s="616"/>
      <c r="AE67" s="616"/>
      <c r="AF67" s="616"/>
      <c r="AG67" s="616"/>
      <c r="AH67" s="448"/>
      <c r="AI67" s="449"/>
      <c r="AJ67" s="538"/>
      <c r="AK67" s="539"/>
      <c r="AL67" s="538"/>
      <c r="AM67" s="538"/>
      <c r="AN67" s="538"/>
      <c r="AO67" s="538"/>
      <c r="AP67" s="538"/>
      <c r="AQ67" s="538"/>
      <c r="AR67" s="538"/>
      <c r="AS67" s="538"/>
      <c r="AT67" s="538"/>
      <c r="AU67" s="538"/>
      <c r="AV67" s="538"/>
      <c r="AW67" s="538"/>
      <c r="AX67" s="538"/>
      <c r="AY67" s="538"/>
      <c r="AZ67" s="538"/>
      <c r="BA67" s="540"/>
      <c r="BB67" s="538"/>
      <c r="BC67" s="538"/>
      <c r="BD67" s="492"/>
      <c r="BE67" s="503"/>
      <c r="BF67" s="538"/>
      <c r="BG67" s="538"/>
      <c r="BH67" s="538"/>
      <c r="BI67" s="538"/>
      <c r="BJ67" s="538"/>
      <c r="BK67" s="538"/>
      <c r="BL67" s="447">
        <f t="shared" ca="1" si="67"/>
        <v>126</v>
      </c>
      <c r="BM67" s="538"/>
      <c r="BN67" s="538"/>
      <c r="BO67" s="538"/>
      <c r="BP67" s="541"/>
      <c r="BQ67" s="542"/>
    </row>
    <row r="68" spans="1:69" ht="19.95" customHeight="1">
      <c r="A68" s="422" t="s">
        <v>462</v>
      </c>
      <c r="B68" s="423" t="s">
        <v>463</v>
      </c>
      <c r="C68" s="424">
        <v>26</v>
      </c>
      <c r="D68" s="424"/>
      <c r="E68" s="424"/>
      <c r="F68" s="424"/>
      <c r="G68" s="424"/>
      <c r="H68" s="424"/>
      <c r="I68" s="422" t="s">
        <v>2401</v>
      </c>
      <c r="J68" s="421" t="str">
        <f>IF(AX68="Regional Office",CONCATENATE(I68,"R"),IF(AX68="Abra",CONCATENATE(I68,"Ab"),IF(AX68="Apayao",CONCATENATE(I68,"Ap"),IF(AX68="Baguio City",CONCATENATE(I68,"BC"),IF(AX68="Ifugao",CONCATENATE(I68,"I"),IF(AX68="Mt. Province",CONCATENATE(I68,"MP"),IF(AX68="Kalinga",CONCATENATE(I68,"K"),IF(AX68="Benguet",CONCATENATE(I68,"B"),"Vacant"))))))))</f>
        <v>LGOO8Ab</v>
      </c>
      <c r="K68" s="421" t="str">
        <f>CONCATENATE(J68,AY68)</f>
        <v>LGOO8AbF</v>
      </c>
      <c r="L68" s="447" t="str">
        <f>IF(AX68="Regional Office",(IF(AY68="M","RM","RF")),IF(AX68="Abra",(IF(AY68="M","AbM","AbF")),IF(AX68="Baguio City",(IF(AY68="M","BCM","BCF")),IF(AX68="Apayao",(IF(AY68="M","ApM","ApF")),IF(AX68="Benguet",(IF(AY68="M","BM","BF")),IF(AX68="Ifugao",(IF(AY68="M","IM","IF")),IF(AX68="Kalinga",(IF(AY68="M","KM","KF")),IF(AX68="Mt. Province",(IF(AY68="M","MPM","MPF")),"XXX"))))))))</f>
        <v>AbF</v>
      </c>
      <c r="M68" s="932">
        <v>4</v>
      </c>
      <c r="N68" s="932">
        <v>4</v>
      </c>
      <c r="O68" s="932">
        <v>4</v>
      </c>
      <c r="P68" s="932">
        <v>4</v>
      </c>
      <c r="Q68" s="940"/>
      <c r="R68" s="940"/>
      <c r="S68" s="940"/>
      <c r="T68" s="940"/>
      <c r="U68" s="940"/>
      <c r="V68" s="940"/>
      <c r="W68" s="940"/>
      <c r="X68" s="948"/>
      <c r="Y68" s="948"/>
      <c r="Z68" s="948"/>
      <c r="AA68" s="948"/>
      <c r="AB68" s="948"/>
      <c r="AC68" s="948"/>
      <c r="AD68" s="616"/>
      <c r="AE68" s="616"/>
      <c r="AF68" s="616"/>
      <c r="AG68" s="616"/>
      <c r="AH68" s="448">
        <f t="shared" ref="AH68:AH75" si="100">VLOOKUP(C68,idica,2,FALSE)*12</f>
        <v>1289328</v>
      </c>
      <c r="AI68" s="449">
        <f t="shared" ref="AI68:AI75" si="101">(SUMPRODUCT((norman=C68)*(grace=AJ68)*(barnachea)))*12</f>
        <v>1289328</v>
      </c>
      <c r="AJ68" s="450">
        <v>1</v>
      </c>
      <c r="AK68" s="452" t="s">
        <v>465</v>
      </c>
      <c r="AL68" s="447" t="s">
        <v>64</v>
      </c>
      <c r="AM68" s="447" t="s">
        <v>55</v>
      </c>
      <c r="AN68" s="447">
        <v>310100100001000</v>
      </c>
      <c r="AO68" s="305" t="s">
        <v>1542</v>
      </c>
      <c r="AP68" s="305" t="s">
        <v>2402</v>
      </c>
      <c r="AQ68" s="305" t="s">
        <v>2403</v>
      </c>
      <c r="AR68" s="305" t="s">
        <v>595</v>
      </c>
      <c r="AS68" s="305" t="s">
        <v>596</v>
      </c>
      <c r="AT68" s="305" t="s">
        <v>1933</v>
      </c>
      <c r="AU68" s="306" t="str">
        <f>LEFT(AT68)&amp;IF(ISNUMBER(FIND(" ",AT68)),MID(AT68,FIND(" ",AT68)+1,1),"")&amp;IF(ISNUMBER(FIND(" ",AT68,FIND(" ",AT68)+1)),MID(AT68,FIND(" ",AT68,FIND(" ",AT68)+1)+1,1),"")</f>
        <v>B</v>
      </c>
      <c r="AV68" s="306" t="str">
        <f>PROPER(CONCATENATE(AS68," ",AU68,". ",AR68))</f>
        <v>Millicent B. Cariño</v>
      </c>
      <c r="AW68" s="306" t="str">
        <f t="shared" ref="AW68:AW72" si="102">CONCATENATE(AR68,", ",AS68," ",AT68)</f>
        <v>CARIÑO, Millicent Bamba</v>
      </c>
      <c r="AX68" s="305" t="s">
        <v>408</v>
      </c>
      <c r="AY68" s="447" t="s">
        <v>100</v>
      </c>
      <c r="AZ68" s="472">
        <v>26375</v>
      </c>
      <c r="BA68" s="101">
        <f ca="1">DATEDIF(AZ68,TODAY(),"Y")</f>
        <v>54</v>
      </c>
      <c r="BB68" s="492" t="str">
        <f ca="1">IF(BA68&lt;30,"A",IF(BA68&lt;40,"B",IF(BA68&lt;50,"C",IF(BA68&lt;60,"D",IF(BA68&lt;65,"E","VACANT")))))</f>
        <v>D</v>
      </c>
      <c r="BC68" s="492" t="str">
        <f ca="1">+IF(AX68="Regional Office",(IF(BB68="A","RA",(IF(BB68="B","RB",IF(BB68="C","RC",IF(BB68="D","RD",IF(BB68="E","RE","VACANT"))))))),IF(AX68="Abra",(IF(BB68="A","AbA",(IF(BB68="B","AbB",IF(BB68="C","AbC",IF(BB68="D","AbD",IF(BB68="E","AbE","VACANT"))))))),IF(AX68="Baguio City",(IF(BB68="A","BCA",(IF(BB68="B","BCB",IF(BB68="C","BCC",IF(BB68="D","BCD",IF(BB68="E","BCE","VACANT"))))))),IF(AX68="Apayao",(IF(BB68="A","ApA",(IF(BB68="B","ApB",IF(BB68="C","ApC",IF(BB68="D","ApD",IF(BB68="E","ApE","VACANT"))))))),IF(AX68="Benguet",(IF(BB68="A","BA",(IF(BB68="B","BB",IF(BB68="C","BC",IF(BB68="D","BD",IF(BB68="E","BE","VACANT"))))))),IF(AX68="Ifugao",(IF(BB68="A","IA",(IF(BB68="B","IB",IF(BB68="C","IC",IF(BB68="D","ID",IF(BB68="E","IE","VACANT"))))))),IF(AX68="Kalinga",(IF(BB68="A","KA",(IF(BB68="B","KB",IF(BB68="C","KC",IF(BB68="D","KD",IF(BB68="E","KE","VACANT"))))))),IF(AX68="Mt. Province",(IF(BB68="A","MPA",(IF(BB68="B","MPB",IF(BB68="C","MPC",IF(BB68="D","MPD",IF(BB68="E","MPE","VACANT"))))))),"XXX"))))))))</f>
        <v>AbD</v>
      </c>
      <c r="BD68" s="492" t="str">
        <f ca="1">CONCATENATE(BC68,AY68)</f>
        <v>AbDF</v>
      </c>
      <c r="BE68" s="492" t="str">
        <f ca="1">CONCATENATE(I68,BD68)</f>
        <v>LGOO8AbDF</v>
      </c>
      <c r="BF68" s="447" t="s">
        <v>598</v>
      </c>
      <c r="BG68" s="493">
        <v>34808</v>
      </c>
      <c r="BH68" s="493">
        <v>34808</v>
      </c>
      <c r="BI68" s="447">
        <f ca="1">DATEDIF(BG68,TODAY(),"Y")</f>
        <v>30</v>
      </c>
      <c r="BJ68" s="447">
        <f t="shared" ref="BJ68:BJ131" ca="1" si="103">DATEDIF(BH68,TODAY(),"Y")</f>
        <v>30</v>
      </c>
      <c r="BK68" s="493">
        <v>42391</v>
      </c>
      <c r="BL68" s="447">
        <f t="shared" ca="1" si="67"/>
        <v>10</v>
      </c>
      <c r="BM68" s="447" t="s">
        <v>64</v>
      </c>
      <c r="BN68" s="512" t="s">
        <v>102</v>
      </c>
      <c r="BO68" s="423" t="s">
        <v>3399</v>
      </c>
      <c r="BP68" s="513"/>
      <c r="BQ68" s="514" t="str">
        <f t="shared" ref="BQ68:BQ74" si="104">CONCATENATE(3,AY68,BM68)</f>
        <v>3FP</v>
      </c>
    </row>
    <row r="69" spans="1:69" ht="19.95" customHeight="1">
      <c r="A69" s="422" t="s">
        <v>472</v>
      </c>
      <c r="B69" s="423" t="s">
        <v>463</v>
      </c>
      <c r="C69" s="424">
        <v>26</v>
      </c>
      <c r="D69" s="424"/>
      <c r="E69" s="424"/>
      <c r="F69" s="424"/>
      <c r="G69" s="424"/>
      <c r="H69" s="424"/>
      <c r="I69" s="422" t="s">
        <v>2401</v>
      </c>
      <c r="J69" s="421" t="str">
        <f>IF(AX69="Regional Office",CONCATENATE(I69,"R"),IF(AX69="Abra",CONCATENATE(I69,"Ab"),IF(AX69="Apayao",CONCATENATE(I69,"Ap"),IF(AX69="Baguio City",CONCATENATE(I69,"BC"),IF(AX69="Ifugao",CONCATENATE(I69,"I"),IF(AX69="Mt. Province",CONCATENATE(I69,"MP"),IF(AX69="Kalinga",CONCATENATE(I69,"K"),IF(AX69="Benguet",CONCATENATE(I69,"B"),"Vacant"))))))))</f>
        <v>LGOO8MP</v>
      </c>
      <c r="K69" s="421" t="str">
        <f>CONCATENATE(J69,AY69)</f>
        <v>LGOO8MPM</v>
      </c>
      <c r="L69" s="447" t="str">
        <f>IF(AX69="Regional Office",(IF(AY69="M","RM","RF")),IF(AX69="Abra",(IF(AY69="M","AbM","AbF")),IF(AX69="Baguio City",(IF(AY69="M","BCM","BCF")),IF(AX69="Apayao",(IF(AY69="M","ApM","ApF")),IF(AX69="Benguet",(IF(AY69="M","BM","BF")),IF(AX69="Ifugao",(IF(AY69="M","IM","IF")),IF(AX69="Kalinga",(IF(AY69="M","KM","KF")),IF(AX69="Mt. Province",(IF(AY69="M","MPM","MPF")),"XXX"))))))))</f>
        <v>MPM</v>
      </c>
      <c r="M69" s="932">
        <v>4</v>
      </c>
      <c r="N69" s="932">
        <v>4</v>
      </c>
      <c r="O69" s="932">
        <v>4</v>
      </c>
      <c r="P69" s="932">
        <v>4</v>
      </c>
      <c r="Q69" s="940"/>
      <c r="R69" s="940"/>
      <c r="S69" s="940"/>
      <c r="T69" s="940"/>
      <c r="U69" s="940"/>
      <c r="V69" s="940"/>
      <c r="W69" s="940"/>
      <c r="X69" s="948"/>
      <c r="Y69" s="948"/>
      <c r="Z69" s="948"/>
      <c r="AA69" s="948"/>
      <c r="AB69" s="948"/>
      <c r="AC69" s="948"/>
      <c r="AD69" s="616"/>
      <c r="AE69" s="616"/>
      <c r="AF69" s="616"/>
      <c r="AG69" s="616"/>
      <c r="AH69" s="448">
        <f t="shared" si="100"/>
        <v>1289328</v>
      </c>
      <c r="AI69" s="449">
        <f t="shared" si="101"/>
        <v>1375584</v>
      </c>
      <c r="AJ69" s="450">
        <v>5</v>
      </c>
      <c r="AK69" s="452" t="s">
        <v>465</v>
      </c>
      <c r="AL69" s="447" t="s">
        <v>64</v>
      </c>
      <c r="AM69" s="447" t="s">
        <v>55</v>
      </c>
      <c r="AN69" s="447">
        <v>310100100001000</v>
      </c>
      <c r="AO69" s="305" t="s">
        <v>408</v>
      </c>
      <c r="AP69" s="305" t="s">
        <v>2404</v>
      </c>
      <c r="AQ69" s="305" t="s">
        <v>408</v>
      </c>
      <c r="AR69" s="305" t="s">
        <v>168</v>
      </c>
      <c r="AS69" s="305" t="s">
        <v>1936</v>
      </c>
      <c r="AT69" s="305" t="s">
        <v>1937</v>
      </c>
      <c r="AU69" s="306" t="str">
        <f>LEFT(AT69)&amp;IF(ISNUMBER(FIND(" ",AT69)),MID(AT69,FIND(" ",AT69)+1,1),"")&amp;IF(ISNUMBER(FIND(" ",AT69,FIND(" ",AT69)+1)),MID(AT69,FIND(" ",AT69,FIND(" ",AT69)+1)+1,1),"")</f>
        <v>I</v>
      </c>
      <c r="AV69" s="306" t="str">
        <f>PROPER(CONCATENATE(AS69," ",AU69,". ",AR69))</f>
        <v>Anthony Manolo I. Ballug</v>
      </c>
      <c r="AW69" s="306" t="str">
        <f t="shared" si="102"/>
        <v>BALLUG, Anthony Manolo Ilacad</v>
      </c>
      <c r="AX69" s="305" t="s">
        <v>268</v>
      </c>
      <c r="AY69" s="447" t="s">
        <v>62</v>
      </c>
      <c r="AZ69" s="472">
        <v>24640</v>
      </c>
      <c r="BA69" s="101">
        <f ca="1">DATEDIF(AZ69,TODAY(),"Y")</f>
        <v>58</v>
      </c>
      <c r="BB69" s="492" t="str">
        <f ca="1">IF(BA69&lt;30,"A",IF(BA69&lt;40,"B",IF(BA69&lt;50,"C",IF(BA69&lt;60,"D",IF(BA69&lt;65,"E","VACANT")))))</f>
        <v>D</v>
      </c>
      <c r="BC69" s="492" t="str">
        <f ca="1">+IF(AX69="Regional Office",(IF(BB69="A","RA",(IF(BB69="B","RB",IF(BB69="C","RC",IF(BB69="D","RD",IF(BB69="E","RE","VACANT"))))))),IF(AX69="Abra",(IF(BB69="A","AbA",(IF(BB69="B","AbB",IF(BB69="C","AbC",IF(BB69="D","AbD",IF(BB69="E","AbE","VACANT"))))))),IF(AX69="Baguio City",(IF(BB69="A","BCA",(IF(BB69="B","BCB",IF(BB69="C","BCC",IF(BB69="D","BCD",IF(BB69="E","BCE","VACANT"))))))),IF(AX69="Apayao",(IF(BB69="A","ApA",(IF(BB69="B","ApB",IF(BB69="C","ApC",IF(BB69="D","ApD",IF(BB69="E","ApE","VACANT"))))))),IF(AX69="Benguet",(IF(BB69="A","BA",(IF(BB69="B","BB",IF(BB69="C","BC",IF(BB69="D","BD",IF(BB69="E","BE","VACANT"))))))),IF(AX69="Ifugao",(IF(BB69="A","IA",(IF(BB69="B","IB",IF(BB69="C","IC",IF(BB69="D","ID",IF(BB69="E","IE","VACANT"))))))),IF(AX69="Kalinga",(IF(BB69="A","KA",(IF(BB69="B","KB",IF(BB69="C","KC",IF(BB69="D","KD",IF(BB69="E","KE","VACANT"))))))),IF(AX69="Mt. Province",(IF(BB69="A","MPA",(IF(BB69="B","MPB",IF(BB69="C","MPC",IF(BB69="D","MPD",IF(BB69="E","MPE","VACANT"))))))),"XXX"))))))))</f>
        <v>MPD</v>
      </c>
      <c r="BD69" s="492" t="str">
        <f ca="1">CONCATENATE(BC69,AY69)</f>
        <v>MPDM</v>
      </c>
      <c r="BE69" s="492" t="str">
        <f ca="1">CONCATENATE(I69,BD69)</f>
        <v>LGOO8MPDM</v>
      </c>
      <c r="BF69" s="447" t="s">
        <v>2405</v>
      </c>
      <c r="BG69" s="493">
        <v>34808</v>
      </c>
      <c r="BH69" s="493">
        <v>34808</v>
      </c>
      <c r="BI69" s="447">
        <f ca="1">DATEDIF(BG69,TODAY(),"Y")</f>
        <v>30</v>
      </c>
      <c r="BJ69" s="447">
        <f t="shared" ca="1" si="103"/>
        <v>30</v>
      </c>
      <c r="BK69" s="493">
        <v>41165</v>
      </c>
      <c r="BL69" s="447">
        <f t="shared" ca="1" si="67"/>
        <v>13</v>
      </c>
      <c r="BM69" s="447" t="s">
        <v>64</v>
      </c>
      <c r="BN69" s="512" t="s">
        <v>2406</v>
      </c>
      <c r="BO69" s="423" t="s">
        <v>2254</v>
      </c>
      <c r="BP69" s="513"/>
      <c r="BQ69" s="514" t="str">
        <f t="shared" si="104"/>
        <v>3MP</v>
      </c>
    </row>
    <row r="70" spans="1:69" ht="19.95" customHeight="1">
      <c r="A70" s="422" t="s">
        <v>477</v>
      </c>
      <c r="B70" s="423" t="s">
        <v>463</v>
      </c>
      <c r="C70" s="424">
        <v>26</v>
      </c>
      <c r="D70" s="424"/>
      <c r="E70" s="424"/>
      <c r="F70" s="424"/>
      <c r="G70" s="424"/>
      <c r="H70" s="424"/>
      <c r="I70" s="422" t="s">
        <v>2401</v>
      </c>
      <c r="J70" s="421" t="str">
        <f t="shared" ref="J70:J75" si="105">IF(AX70="Regional Office",CONCATENATE(I70,"R"),IF(AX70="Abra",CONCATENATE(I70,"Ab"),IF(AX70="Apayao",CONCATENATE(I70,"Ap"),IF(AX70="Baguio City",CONCATENATE(I70,"BC"),IF(AX70="Ifugao",CONCATENATE(I70,"I"),IF(AX70="Mt. Province",CONCATENATE(I70,"MP"),IF(AX70="Kalinga",CONCATENATE(I70,"K"),IF(AX70="Benguet",CONCATENATE(I70,"B"),"Vacant"))))))))</f>
        <v>LGOO8B</v>
      </c>
      <c r="K70" s="421" t="str">
        <f t="shared" ref="K70:K75" si="106">CONCATENATE(J70,AY70)</f>
        <v>LGOO8BF</v>
      </c>
      <c r="L70" s="447" t="str">
        <f t="shared" ref="L70:L75" si="107">IF(AX70="Regional Office",(IF(AY70="M","RM","RF")),IF(AX70="Abra",(IF(AY70="M","AbM","AbF")),IF(AX70="Baguio City",(IF(AY70="M","BCM","BCF")),IF(AX70="Apayao",(IF(AY70="M","ApM","ApF")),IF(AX70="Benguet",(IF(AY70="M","BM","BF")),IF(AX70="Ifugao",(IF(AY70="M","IM","IF")),IF(AX70="Kalinga",(IF(AY70="M","KM","KF")),IF(AX70="Mt. Province",(IF(AY70="M","MPM","MPF")),"XXX"))))))))</f>
        <v>BF</v>
      </c>
      <c r="M70" s="932">
        <v>4</v>
      </c>
      <c r="N70" s="932">
        <v>4</v>
      </c>
      <c r="O70" s="932">
        <v>4</v>
      </c>
      <c r="P70" s="932">
        <v>4</v>
      </c>
      <c r="Q70" s="940"/>
      <c r="R70" s="940"/>
      <c r="S70" s="940"/>
      <c r="T70" s="940"/>
      <c r="U70" s="940"/>
      <c r="V70" s="940"/>
      <c r="W70" s="940"/>
      <c r="X70" s="948"/>
      <c r="Y70" s="948"/>
      <c r="Z70" s="948"/>
      <c r="AA70" s="948"/>
      <c r="AB70" s="948"/>
      <c r="AC70" s="948"/>
      <c r="AD70" s="616"/>
      <c r="AE70" s="616"/>
      <c r="AF70" s="616"/>
      <c r="AG70" s="616"/>
      <c r="AH70" s="448">
        <f t="shared" si="100"/>
        <v>1289328</v>
      </c>
      <c r="AI70" s="449">
        <f t="shared" si="101"/>
        <v>1375584</v>
      </c>
      <c r="AJ70" s="450">
        <v>5</v>
      </c>
      <c r="AK70" s="452" t="s">
        <v>197</v>
      </c>
      <c r="AL70" s="447" t="s">
        <v>64</v>
      </c>
      <c r="AM70" s="447" t="s">
        <v>55</v>
      </c>
      <c r="AN70" s="447">
        <v>310100100001000</v>
      </c>
      <c r="AO70" s="305" t="s">
        <v>167</v>
      </c>
      <c r="AP70" s="305" t="s">
        <v>2404</v>
      </c>
      <c r="AQ70" s="305" t="s">
        <v>167</v>
      </c>
      <c r="AR70" s="305" t="s">
        <v>478</v>
      </c>
      <c r="AS70" s="305" t="s">
        <v>479</v>
      </c>
      <c r="AT70" s="305" t="s">
        <v>1650</v>
      </c>
      <c r="AU70" s="306" t="str">
        <f t="shared" ref="AU70:AU75" si="108">LEFT(AT70)&amp;IF(ISNUMBER(FIND(" ",AT70)),MID(AT70,FIND(" ",AT70)+1,1),"")&amp;IF(ISNUMBER(FIND(" ",AT70,FIND(" ",AT70)+1)),MID(AT70,FIND(" ",AT70,FIND(" ",AT70)+1)+1,1),"")</f>
        <v>T</v>
      </c>
      <c r="AV70" s="306" t="str">
        <f t="shared" ref="AV70:AV75" si="109">PROPER(CONCATENATE(AS70," ",AU70,". ",AR70))</f>
        <v>Rufina T. Fegcan</v>
      </c>
      <c r="AW70" s="306" t="str">
        <f t="shared" si="102"/>
        <v>FEGCAN, Rufina Talusig</v>
      </c>
      <c r="AX70" s="305" t="s">
        <v>167</v>
      </c>
      <c r="AY70" s="447" t="s">
        <v>100</v>
      </c>
      <c r="AZ70" s="472">
        <v>23658</v>
      </c>
      <c r="BA70" s="101">
        <f t="shared" ref="BA70:BA75" ca="1" si="110">DATEDIF(AZ70,TODAY(),"Y")</f>
        <v>61</v>
      </c>
      <c r="BB70" s="492" t="str">
        <f t="shared" ref="BB70:BB75" ca="1" si="111">IF(BA70&lt;30,"A",IF(BA70&lt;40,"B",IF(BA70&lt;50,"C",IF(BA70&lt;60,"D",IF(BA70&lt;65,"E","VACANT")))))</f>
        <v>E</v>
      </c>
      <c r="BC70" s="492" t="str">
        <f t="shared" ref="BC70:BC75" ca="1" si="112">+IF(AX70="Regional Office",(IF(BB70="A","RA",(IF(BB70="B","RB",IF(BB70="C","RC",IF(BB70="D","RD",IF(BB70="E","RE","VACANT"))))))),IF(AX70="Abra",(IF(BB70="A","AbA",(IF(BB70="B","AbB",IF(BB70="C","AbC",IF(BB70="D","AbD",IF(BB70="E","AbE","VACANT"))))))),IF(AX70="Baguio City",(IF(BB70="A","BCA",(IF(BB70="B","BCB",IF(BB70="C","BCC",IF(BB70="D","BCD",IF(BB70="E","BCE","VACANT"))))))),IF(AX70="Apayao",(IF(BB70="A","ApA",(IF(BB70="B","ApB",IF(BB70="C","ApC",IF(BB70="D","ApD",IF(BB70="E","ApE","VACANT"))))))),IF(AX70="Benguet",(IF(BB70="A","BA",(IF(BB70="B","BB",IF(BB70="C","BC",IF(BB70="D","BD",IF(BB70="E","BE","VACANT"))))))),IF(AX70="Ifugao",(IF(BB70="A","IA",(IF(BB70="B","IB",IF(BB70="C","IC",IF(BB70="D","ID",IF(BB70="E","IE","VACANT"))))))),IF(AX70="Kalinga",(IF(BB70="A","KA",(IF(BB70="B","KB",IF(BB70="C","KC",IF(BB70="D","KD",IF(BB70="E","KE","VACANT"))))))),IF(AX70="Mt. Province",(IF(BB70="A","MPA",(IF(BB70="B","MPB",IF(BB70="C","MPC",IF(BB70="D","MPD",IF(BB70="E","MPE","VACANT"))))))),"XXX"))))))))</f>
        <v>BE</v>
      </c>
      <c r="BD70" s="492" t="str">
        <f t="shared" ref="BD70:BD75" ca="1" si="113">CONCATENATE(BC70,AY70)</f>
        <v>BEF</v>
      </c>
      <c r="BE70" s="492" t="str">
        <f t="shared" ref="BE70:BE75" ca="1" si="114">CONCATENATE(I70,BD70)</f>
        <v>LGOO8BEF</v>
      </c>
      <c r="BF70" s="447" t="s">
        <v>481</v>
      </c>
      <c r="BG70" s="493">
        <v>32687</v>
      </c>
      <c r="BH70" s="493">
        <v>32687</v>
      </c>
      <c r="BI70" s="447">
        <f t="shared" ref="BI70:BI75" ca="1" si="115">DATEDIF(BG70,TODAY(),"Y")</f>
        <v>36</v>
      </c>
      <c r="BJ70" s="447">
        <f t="shared" ca="1" si="103"/>
        <v>36</v>
      </c>
      <c r="BK70" s="493">
        <v>39230</v>
      </c>
      <c r="BL70" s="447">
        <f t="shared" ca="1" si="67"/>
        <v>18</v>
      </c>
      <c r="BM70" s="447" t="s">
        <v>64</v>
      </c>
      <c r="BN70" s="512" t="s">
        <v>65</v>
      </c>
      <c r="BO70" s="423" t="s">
        <v>2299</v>
      </c>
      <c r="BP70" s="513"/>
      <c r="BQ70" s="514" t="str">
        <f t="shared" si="104"/>
        <v>3FP</v>
      </c>
    </row>
    <row r="71" spans="1:69" ht="19.95" customHeight="1">
      <c r="A71" s="422" t="s">
        <v>482</v>
      </c>
      <c r="B71" s="423" t="s">
        <v>463</v>
      </c>
      <c r="C71" s="424">
        <v>26</v>
      </c>
      <c r="D71" s="424"/>
      <c r="E71" s="424"/>
      <c r="F71" s="424"/>
      <c r="G71" s="424"/>
      <c r="H71" s="424"/>
      <c r="I71" s="422" t="s">
        <v>2401</v>
      </c>
      <c r="J71" s="421" t="str">
        <f t="shared" si="105"/>
        <v>LGOO8BC</v>
      </c>
      <c r="K71" s="421" t="str">
        <f t="shared" si="106"/>
        <v>LGOO8BCF</v>
      </c>
      <c r="L71" s="447" t="str">
        <f t="shared" si="107"/>
        <v>BCF</v>
      </c>
      <c r="M71" s="932">
        <v>4</v>
      </c>
      <c r="N71" s="932">
        <v>4</v>
      </c>
      <c r="O71" s="932">
        <v>4</v>
      </c>
      <c r="P71" s="932">
        <v>4</v>
      </c>
      <c r="Q71" s="940"/>
      <c r="R71" s="940"/>
      <c r="S71" s="940"/>
      <c r="T71" s="940"/>
      <c r="U71" s="940"/>
      <c r="V71" s="940"/>
      <c r="W71" s="940"/>
      <c r="X71" s="948"/>
      <c r="Y71" s="948"/>
      <c r="Z71" s="948"/>
      <c r="AA71" s="948"/>
      <c r="AB71" s="948"/>
      <c r="AC71" s="948"/>
      <c r="AD71" s="616"/>
      <c r="AE71" s="616"/>
      <c r="AF71" s="616"/>
      <c r="AG71" s="616"/>
      <c r="AH71" s="448">
        <f t="shared" si="100"/>
        <v>1289328</v>
      </c>
      <c r="AI71" s="449">
        <f t="shared" si="101"/>
        <v>1353492</v>
      </c>
      <c r="AJ71" s="450">
        <v>4</v>
      </c>
      <c r="AK71" s="452" t="s">
        <v>352</v>
      </c>
      <c r="AL71" s="447" t="s">
        <v>64</v>
      </c>
      <c r="AM71" s="447" t="s">
        <v>55</v>
      </c>
      <c r="AN71" s="447">
        <v>310100100001000</v>
      </c>
      <c r="AO71" s="305" t="s">
        <v>268</v>
      </c>
      <c r="AP71" s="305" t="s">
        <v>2404</v>
      </c>
      <c r="AQ71" s="305" t="s">
        <v>268</v>
      </c>
      <c r="AR71" s="305" t="s">
        <v>483</v>
      </c>
      <c r="AS71" s="305" t="s">
        <v>308</v>
      </c>
      <c r="AT71" s="305" t="s">
        <v>1539</v>
      </c>
      <c r="AU71" s="306" t="str">
        <f t="shared" si="108"/>
        <v>B</v>
      </c>
      <c r="AV71" s="306" t="str">
        <f t="shared" si="109"/>
        <v>Evelyn B. Trinidad</v>
      </c>
      <c r="AW71" s="306" t="str">
        <f t="shared" si="102"/>
        <v>TRINIDAD, Evelyn Ballug</v>
      </c>
      <c r="AX71" s="305" t="s">
        <v>189</v>
      </c>
      <c r="AY71" s="447" t="s">
        <v>100</v>
      </c>
      <c r="AZ71" s="472">
        <v>22001</v>
      </c>
      <c r="BA71" s="101">
        <f t="shared" ca="1" si="110"/>
        <v>65</v>
      </c>
      <c r="BB71" s="492" t="str">
        <f t="shared" ca="1" si="111"/>
        <v>VACANT</v>
      </c>
      <c r="BC71" s="492" t="str">
        <f t="shared" ca="1" si="112"/>
        <v>VACANT</v>
      </c>
      <c r="BD71" s="492" t="str">
        <f t="shared" ca="1" si="113"/>
        <v>VACANTF</v>
      </c>
      <c r="BE71" s="492" t="str">
        <f t="shared" ca="1" si="114"/>
        <v>LGOO8VACANTF</v>
      </c>
      <c r="BF71" s="447" t="s">
        <v>485</v>
      </c>
      <c r="BG71" s="493">
        <v>32615</v>
      </c>
      <c r="BH71" s="493">
        <v>32615</v>
      </c>
      <c r="BI71" s="447">
        <f t="shared" ca="1" si="115"/>
        <v>36</v>
      </c>
      <c r="BJ71" s="447">
        <f t="shared" ca="1" si="103"/>
        <v>36</v>
      </c>
      <c r="BK71" s="493">
        <v>40603</v>
      </c>
      <c r="BL71" s="447">
        <f t="shared" ca="1" si="67"/>
        <v>15</v>
      </c>
      <c r="BM71" s="447" t="s">
        <v>64</v>
      </c>
      <c r="BN71" s="512" t="s">
        <v>2406</v>
      </c>
      <c r="BO71" s="423" t="s">
        <v>2254</v>
      </c>
      <c r="BP71" s="513" t="s">
        <v>2407</v>
      </c>
      <c r="BQ71" s="514" t="str">
        <f t="shared" si="104"/>
        <v>3FP</v>
      </c>
    </row>
    <row r="72" spans="1:69" ht="19.95" customHeight="1">
      <c r="A72" s="422" t="s">
        <v>486</v>
      </c>
      <c r="B72" s="423" t="s">
        <v>463</v>
      </c>
      <c r="C72" s="424">
        <v>26</v>
      </c>
      <c r="D72" s="424"/>
      <c r="E72" s="424"/>
      <c r="F72" s="424"/>
      <c r="G72" s="424"/>
      <c r="H72" s="424"/>
      <c r="I72" s="422" t="s">
        <v>2401</v>
      </c>
      <c r="J72" s="421" t="str">
        <f t="shared" si="105"/>
        <v>LGOO8I</v>
      </c>
      <c r="K72" s="421" t="str">
        <f t="shared" si="106"/>
        <v>LGOO8IF</v>
      </c>
      <c r="L72" s="447" t="str">
        <f t="shared" si="107"/>
        <v>IF</v>
      </c>
      <c r="M72" s="932">
        <v>4</v>
      </c>
      <c r="N72" s="932">
        <v>4</v>
      </c>
      <c r="O72" s="932">
        <v>4</v>
      </c>
      <c r="P72" s="932">
        <v>4</v>
      </c>
      <c r="Q72" s="940"/>
      <c r="R72" s="940"/>
      <c r="S72" s="940"/>
      <c r="T72" s="940"/>
      <c r="U72" s="940"/>
      <c r="V72" s="940"/>
      <c r="W72" s="940"/>
      <c r="X72" s="948"/>
      <c r="Y72" s="948"/>
      <c r="Z72" s="948"/>
      <c r="AA72" s="948"/>
      <c r="AB72" s="948"/>
      <c r="AC72" s="948"/>
      <c r="AD72" s="616"/>
      <c r="AE72" s="616"/>
      <c r="AF72" s="616"/>
      <c r="AG72" s="616"/>
      <c r="AH72" s="448">
        <f t="shared" si="100"/>
        <v>1289328</v>
      </c>
      <c r="AI72" s="449">
        <f t="shared" si="101"/>
        <v>1289328</v>
      </c>
      <c r="AJ72" s="450">
        <v>1</v>
      </c>
      <c r="AK72" s="452" t="s">
        <v>487</v>
      </c>
      <c r="AL72" s="447" t="s">
        <v>64</v>
      </c>
      <c r="AM72" s="447" t="s">
        <v>55</v>
      </c>
      <c r="AN72" s="447">
        <v>310100100001000</v>
      </c>
      <c r="AO72" s="305" t="s">
        <v>174</v>
      </c>
      <c r="AP72" s="305" t="s">
        <v>2404</v>
      </c>
      <c r="AQ72" s="305" t="s">
        <v>174</v>
      </c>
      <c r="AR72" s="306" t="s">
        <v>834</v>
      </c>
      <c r="AS72" s="306" t="s">
        <v>835</v>
      </c>
      <c r="AT72" s="306" t="s">
        <v>1963</v>
      </c>
      <c r="AU72" s="306" t="str">
        <f t="shared" si="108"/>
        <v>L</v>
      </c>
      <c r="AV72" s="306" t="str">
        <f t="shared" si="109"/>
        <v>Regina Elizabeth L. Mammag</v>
      </c>
      <c r="AW72" s="306" t="str">
        <f t="shared" si="102"/>
        <v>MAMMAG, Regina Elizabeth Lingayo</v>
      </c>
      <c r="AX72" s="305" t="s">
        <v>174</v>
      </c>
      <c r="AY72" s="447" t="s">
        <v>100</v>
      </c>
      <c r="AZ72" s="472">
        <v>24875</v>
      </c>
      <c r="BA72" s="101">
        <f t="shared" ref="BA72" ca="1" si="116">DATEDIF(AZ72,TODAY(),"Y")</f>
        <v>58</v>
      </c>
      <c r="BB72" s="492" t="str">
        <f t="shared" ref="BB72" ca="1" si="117">IF(BA72&lt;30,"A",IF(BA72&lt;40,"B",IF(BA72&lt;50,"C",IF(BA72&lt;60,"D",IF(BA72&lt;65,"E","VACANT")))))</f>
        <v>D</v>
      </c>
      <c r="BC72" s="492" t="str">
        <f t="shared" ref="BC72" ca="1" si="118">+IF(AX72="Regional Office",(IF(BB72="A","RA",(IF(BB72="B","RB",IF(BB72="C","RC",IF(BB72="D","RD",IF(BB72="E","RE","VACANT"))))))),IF(AX72="Abra",(IF(BB72="A","AbA",(IF(BB72="B","AbB",IF(BB72="C","AbC",IF(BB72="D","AbD",IF(BB72="E","AbE","VACANT"))))))),IF(AX72="Baguio City",(IF(BB72="A","BCA",(IF(BB72="B","BCB",IF(BB72="C","BCC",IF(BB72="D","BCD",IF(BB72="E","BCE","VACANT"))))))),IF(AX72="Apayao",(IF(BB72="A","ApA",(IF(BB72="B","ApB",IF(BB72="C","ApC",IF(BB72="D","ApD",IF(BB72="E","ApE","VACANT"))))))),IF(AX72="Benguet",(IF(BB72="A","BA",(IF(BB72="B","BB",IF(BB72="C","BC",IF(BB72="D","BD",IF(BB72="E","BE","VACANT"))))))),IF(AX72="Ifugao",(IF(BB72="A","IA",(IF(BB72="B","IB",IF(BB72="C","IC",IF(BB72="D","ID",IF(BB72="E","IE","VACANT"))))))),IF(AX72="Kalinga",(IF(BB72="A","KA",(IF(BB72="B","KB",IF(BB72="C","KC",IF(BB72="D","KD",IF(BB72="E","KE","VACANT"))))))),IF(AX72="Mt. Province",(IF(BB72="A","MPA",(IF(BB72="B","MPB",IF(BB72="C","MPC",IF(BB72="D","MPD",IF(BB72="E","MPE","VACANT"))))))),"XXX"))))))))</f>
        <v>ID</v>
      </c>
      <c r="BD72" s="492" t="str">
        <f t="shared" ref="BD72" ca="1" si="119">CONCATENATE(BC72,AY72)</f>
        <v>IDF</v>
      </c>
      <c r="BE72" s="492" t="str">
        <f t="shared" ref="BE72" ca="1" si="120">CONCATENATE(I72,BD72)</f>
        <v>LGOO8IDF</v>
      </c>
      <c r="BF72" s="447" t="s">
        <v>2408</v>
      </c>
      <c r="BG72" s="493">
        <v>35731</v>
      </c>
      <c r="BH72" s="493">
        <v>35731</v>
      </c>
      <c r="BI72" s="447">
        <f t="shared" ref="BI72" ca="1" si="121">DATEDIF(BG72,TODAY(),"Y")</f>
        <v>28</v>
      </c>
      <c r="BJ72" s="447">
        <f t="shared" ca="1" si="103"/>
        <v>28</v>
      </c>
      <c r="BK72" s="493">
        <v>43132</v>
      </c>
      <c r="BL72" s="447">
        <f t="shared" ca="1" si="67"/>
        <v>8</v>
      </c>
      <c r="BM72" s="447" t="s">
        <v>64</v>
      </c>
      <c r="BN72" s="512" t="s">
        <v>102</v>
      </c>
      <c r="BO72" s="423" t="s">
        <v>2254</v>
      </c>
      <c r="BP72" s="513"/>
      <c r="BQ72" s="514" t="str">
        <f t="shared" si="104"/>
        <v>3FP</v>
      </c>
    </row>
    <row r="73" spans="1:69" ht="19.95" customHeight="1">
      <c r="A73" s="422" t="s">
        <v>493</v>
      </c>
      <c r="B73" s="423" t="s">
        <v>463</v>
      </c>
      <c r="C73" s="424">
        <v>26</v>
      </c>
      <c r="D73" s="424"/>
      <c r="E73" s="424"/>
      <c r="F73" s="424"/>
      <c r="G73" s="424"/>
      <c r="H73" s="424"/>
      <c r="I73" s="422" t="s">
        <v>2401</v>
      </c>
      <c r="J73" s="421" t="str">
        <f t="shared" si="105"/>
        <v>LGOO8Ap</v>
      </c>
      <c r="K73" s="421" t="str">
        <f t="shared" si="106"/>
        <v>LGOO8ApM</v>
      </c>
      <c r="L73" s="447" t="str">
        <f t="shared" si="107"/>
        <v>ApM</v>
      </c>
      <c r="M73" s="932">
        <v>4</v>
      </c>
      <c r="N73" s="932">
        <v>4</v>
      </c>
      <c r="O73" s="932">
        <v>4</v>
      </c>
      <c r="P73" s="932">
        <v>4</v>
      </c>
      <c r="Q73" s="940"/>
      <c r="R73" s="940"/>
      <c r="S73" s="940"/>
      <c r="T73" s="940"/>
      <c r="U73" s="940"/>
      <c r="V73" s="940"/>
      <c r="W73" s="940"/>
      <c r="X73" s="948"/>
      <c r="Y73" s="948"/>
      <c r="Z73" s="948"/>
      <c r="AA73" s="948"/>
      <c r="AB73" s="948"/>
      <c r="AC73" s="948"/>
      <c r="AD73" s="616"/>
      <c r="AE73" s="616"/>
      <c r="AF73" s="616"/>
      <c r="AG73" s="616"/>
      <c r="AH73" s="448">
        <f t="shared" si="100"/>
        <v>1289328</v>
      </c>
      <c r="AI73" s="449">
        <f t="shared" si="101"/>
        <v>1310364</v>
      </c>
      <c r="AJ73" s="450">
        <v>2</v>
      </c>
      <c r="AK73" s="452" t="s">
        <v>494</v>
      </c>
      <c r="AL73" s="447" t="s">
        <v>64</v>
      </c>
      <c r="AM73" s="447" t="s">
        <v>55</v>
      </c>
      <c r="AN73" s="447">
        <v>310100100001000</v>
      </c>
      <c r="AO73" s="305" t="s">
        <v>211</v>
      </c>
      <c r="AP73" s="305" t="s">
        <v>2404</v>
      </c>
      <c r="AQ73" s="305" t="s">
        <v>211</v>
      </c>
      <c r="AR73" s="305" t="s">
        <v>520</v>
      </c>
      <c r="AS73" s="305" t="s">
        <v>521</v>
      </c>
      <c r="AT73" s="305" t="s">
        <v>1892</v>
      </c>
      <c r="AU73" s="306" t="str">
        <f t="shared" si="108"/>
        <v>A</v>
      </c>
      <c r="AV73" s="306" t="str">
        <f t="shared" si="109"/>
        <v>Marvin A. Basquez</v>
      </c>
      <c r="AW73" s="306" t="str">
        <f t="shared" ref="AW73:AW80" si="122">CONCATENATE(AR73,", ",AS73," ",AT73)</f>
        <v>BASQUEZ, Marvin Amanonce</v>
      </c>
      <c r="AX73" s="305" t="s">
        <v>181</v>
      </c>
      <c r="AY73" s="447" t="s">
        <v>62</v>
      </c>
      <c r="AZ73" s="472">
        <v>21687</v>
      </c>
      <c r="BA73" s="101">
        <f t="shared" ca="1" si="110"/>
        <v>66</v>
      </c>
      <c r="BB73" s="492" t="str">
        <f t="shared" ca="1" si="111"/>
        <v>VACANT</v>
      </c>
      <c r="BC73" s="492" t="str">
        <f t="shared" ca="1" si="112"/>
        <v>VACANT</v>
      </c>
      <c r="BD73" s="492" t="str">
        <f t="shared" ca="1" si="113"/>
        <v>VACANTM</v>
      </c>
      <c r="BE73" s="492" t="str">
        <f t="shared" ca="1" si="114"/>
        <v>LGOO8VACANTM</v>
      </c>
      <c r="BF73" s="447" t="s">
        <v>523</v>
      </c>
      <c r="BG73" s="493">
        <v>31131</v>
      </c>
      <c r="BH73" s="493">
        <v>31131</v>
      </c>
      <c r="BI73" s="447">
        <f t="shared" ca="1" si="115"/>
        <v>40</v>
      </c>
      <c r="BJ73" s="447">
        <f t="shared" ca="1" si="103"/>
        <v>40</v>
      </c>
      <c r="BK73" s="493">
        <v>42436</v>
      </c>
      <c r="BL73" s="447">
        <f t="shared" ref="BL73:BL75" ca="1" si="123">DATEDIF(BK73,TODAY(),"Y")</f>
        <v>10</v>
      </c>
      <c r="BM73" s="447" t="s">
        <v>64</v>
      </c>
      <c r="BN73" s="512" t="s">
        <v>2409</v>
      </c>
      <c r="BO73" s="423" t="s">
        <v>2254</v>
      </c>
      <c r="BP73" s="513" t="s">
        <v>2410</v>
      </c>
      <c r="BQ73" s="514" t="str">
        <f t="shared" si="104"/>
        <v>3MP</v>
      </c>
    </row>
    <row r="74" spans="1:69" ht="19.95" customHeight="1">
      <c r="A74" s="422" t="s">
        <v>499</v>
      </c>
      <c r="B74" s="423" t="s">
        <v>463</v>
      </c>
      <c r="C74" s="424">
        <v>26</v>
      </c>
      <c r="D74" s="424"/>
      <c r="E74" s="424"/>
      <c r="F74" s="424"/>
      <c r="G74" s="424"/>
      <c r="H74" s="424"/>
      <c r="I74" s="422" t="s">
        <v>2401</v>
      </c>
      <c r="J74" s="421" t="str">
        <f t="shared" si="105"/>
        <v>LGOO8K</v>
      </c>
      <c r="K74" s="421" t="str">
        <f t="shared" si="106"/>
        <v>LGOO8KM</v>
      </c>
      <c r="L74" s="447" t="str">
        <f t="shared" si="107"/>
        <v>KM</v>
      </c>
      <c r="M74" s="932">
        <v>4</v>
      </c>
      <c r="N74" s="932">
        <v>4</v>
      </c>
      <c r="O74" s="932">
        <v>4</v>
      </c>
      <c r="P74" s="932">
        <v>4</v>
      </c>
      <c r="Q74" s="940"/>
      <c r="R74" s="940"/>
      <c r="S74" s="940"/>
      <c r="T74" s="940"/>
      <c r="U74" s="940"/>
      <c r="V74" s="940"/>
      <c r="W74" s="940"/>
      <c r="X74" s="948"/>
      <c r="Y74" s="948"/>
      <c r="Z74" s="948"/>
      <c r="AA74" s="948"/>
      <c r="AB74" s="948"/>
      <c r="AC74" s="948"/>
      <c r="AD74" s="616"/>
      <c r="AE74" s="616"/>
      <c r="AF74" s="616"/>
      <c r="AG74" s="616"/>
      <c r="AH74" s="448">
        <f t="shared" si="100"/>
        <v>1289328</v>
      </c>
      <c r="AI74" s="449">
        <f t="shared" si="101"/>
        <v>1289328</v>
      </c>
      <c r="AJ74" s="450">
        <v>1</v>
      </c>
      <c r="AK74" s="452" t="s">
        <v>223</v>
      </c>
      <c r="AL74" s="447" t="s">
        <v>64</v>
      </c>
      <c r="AM74" s="447" t="s">
        <v>55</v>
      </c>
      <c r="AN74" s="447">
        <v>310100100001000</v>
      </c>
      <c r="AO74" s="305" t="s">
        <v>181</v>
      </c>
      <c r="AP74" s="305" t="s">
        <v>2404</v>
      </c>
      <c r="AQ74" s="305" t="s">
        <v>181</v>
      </c>
      <c r="AR74" s="305" t="s">
        <v>952</v>
      </c>
      <c r="AS74" s="305" t="s">
        <v>953</v>
      </c>
      <c r="AT74" s="305" t="s">
        <v>2411</v>
      </c>
      <c r="AU74" s="306" t="str">
        <f t="shared" si="108"/>
        <v>dG</v>
      </c>
      <c r="AV74" s="306" t="str">
        <f t="shared" si="109"/>
        <v>Mayer Max Dg. Adong</v>
      </c>
      <c r="AW74" s="306" t="str">
        <f t="shared" si="122"/>
        <v>ADONG, Mayer Max de Guzman</v>
      </c>
      <c r="AX74" s="305" t="s">
        <v>211</v>
      </c>
      <c r="AY74" s="447" t="s">
        <v>62</v>
      </c>
      <c r="AZ74" s="472">
        <v>24618</v>
      </c>
      <c r="BA74" s="101">
        <f t="shared" ca="1" si="110"/>
        <v>58</v>
      </c>
      <c r="BB74" s="492" t="str">
        <f t="shared" ca="1" si="111"/>
        <v>D</v>
      </c>
      <c r="BC74" s="492" t="str">
        <f t="shared" ca="1" si="112"/>
        <v>KD</v>
      </c>
      <c r="BD74" s="492" t="str">
        <f t="shared" ca="1" si="113"/>
        <v>KDM</v>
      </c>
      <c r="BE74" s="492" t="str">
        <f t="shared" ca="1" si="114"/>
        <v>LGOO8KDM</v>
      </c>
      <c r="BF74" s="447" t="s">
        <v>2412</v>
      </c>
      <c r="BG74" s="493">
        <v>34331</v>
      </c>
      <c r="BH74" s="494">
        <v>35264</v>
      </c>
      <c r="BI74" s="447">
        <f t="shared" ca="1" si="115"/>
        <v>32</v>
      </c>
      <c r="BJ74" s="447">
        <f t="shared" ca="1" si="103"/>
        <v>29</v>
      </c>
      <c r="BK74" s="493">
        <v>43146</v>
      </c>
      <c r="BL74" s="447">
        <f t="shared" ca="1" si="123"/>
        <v>8</v>
      </c>
      <c r="BM74" s="447" t="s">
        <v>64</v>
      </c>
      <c r="BN74" s="512" t="s">
        <v>84</v>
      </c>
      <c r="BO74" s="423" t="s">
        <v>2254</v>
      </c>
      <c r="BP74" s="513"/>
      <c r="BQ74" s="514" t="str">
        <f t="shared" si="104"/>
        <v>3MP</v>
      </c>
    </row>
    <row r="75" spans="1:69" ht="19.95" customHeight="1">
      <c r="A75" s="422" t="s">
        <v>2413</v>
      </c>
      <c r="B75" s="423" t="s">
        <v>151</v>
      </c>
      <c r="C75" s="424">
        <v>24</v>
      </c>
      <c r="D75" s="424" t="s">
        <v>2292</v>
      </c>
      <c r="E75" s="424" t="s">
        <v>2293</v>
      </c>
      <c r="F75" s="424" t="s">
        <v>2294</v>
      </c>
      <c r="G75" s="424" t="s">
        <v>2295</v>
      </c>
      <c r="H75" s="305" t="s">
        <v>2414</v>
      </c>
      <c r="I75" s="422" t="s">
        <v>2296</v>
      </c>
      <c r="J75" s="421" t="str">
        <f t="shared" si="105"/>
        <v>LGOO7Ab</v>
      </c>
      <c r="K75" s="421" t="str">
        <f t="shared" si="106"/>
        <v>LGOO7AbF</v>
      </c>
      <c r="L75" s="447" t="str">
        <f t="shared" si="107"/>
        <v>AbF</v>
      </c>
      <c r="M75" s="932">
        <v>3</v>
      </c>
      <c r="N75" s="932">
        <v>3</v>
      </c>
      <c r="O75" s="932">
        <v>3</v>
      </c>
      <c r="P75" s="932">
        <v>3</v>
      </c>
      <c r="Q75" s="940"/>
      <c r="R75" s="940"/>
      <c r="S75" s="940"/>
      <c r="T75" s="940"/>
      <c r="U75" s="940"/>
      <c r="V75" s="940"/>
      <c r="W75" s="940"/>
      <c r="X75" s="948"/>
      <c r="Y75" s="948"/>
      <c r="Z75" s="948"/>
      <c r="AA75" s="948"/>
      <c r="AB75" s="948"/>
      <c r="AC75" s="948"/>
      <c r="AD75" s="616"/>
      <c r="AE75" s="616"/>
      <c r="AF75" s="616"/>
      <c r="AG75" s="616"/>
      <c r="AH75" s="448">
        <f t="shared" si="100"/>
        <v>1000872</v>
      </c>
      <c r="AI75" s="449">
        <f t="shared" si="101"/>
        <v>1000872</v>
      </c>
      <c r="AJ75" s="450">
        <v>1</v>
      </c>
      <c r="AK75" s="452" t="s">
        <v>465</v>
      </c>
      <c r="AL75" s="447" t="s">
        <v>62</v>
      </c>
      <c r="AM75" s="447" t="s">
        <v>55</v>
      </c>
      <c r="AN75" s="447">
        <v>310100100001000</v>
      </c>
      <c r="AO75" s="305" t="s">
        <v>408</v>
      </c>
      <c r="AP75" s="305" t="s">
        <v>2404</v>
      </c>
      <c r="AQ75" s="305" t="s">
        <v>408</v>
      </c>
      <c r="AR75" s="305" t="s">
        <v>623</v>
      </c>
      <c r="AS75" s="305" t="s">
        <v>624</v>
      </c>
      <c r="AT75" s="305" t="s">
        <v>1958</v>
      </c>
      <c r="AU75" s="306" t="str">
        <f t="shared" si="108"/>
        <v>D</v>
      </c>
      <c r="AV75" s="306" t="str">
        <f t="shared" si="109"/>
        <v>Mory D. Paleng</v>
      </c>
      <c r="AW75" s="306" t="str">
        <f t="shared" si="122"/>
        <v>PALENG, Mory Delias</v>
      </c>
      <c r="AX75" s="305" t="s">
        <v>408</v>
      </c>
      <c r="AY75" s="447" t="s">
        <v>100</v>
      </c>
      <c r="AZ75" s="472">
        <v>24251</v>
      </c>
      <c r="BA75" s="101">
        <f t="shared" ca="1" si="110"/>
        <v>59</v>
      </c>
      <c r="BB75" s="492" t="str">
        <f t="shared" ca="1" si="111"/>
        <v>D</v>
      </c>
      <c r="BC75" s="492" t="str">
        <f t="shared" ca="1" si="112"/>
        <v>AbD</v>
      </c>
      <c r="BD75" s="492" t="str">
        <f t="shared" ca="1" si="113"/>
        <v>AbDF</v>
      </c>
      <c r="BE75" s="492" t="str">
        <f t="shared" ca="1" si="114"/>
        <v>LGOO7AbDF</v>
      </c>
      <c r="BF75" s="447" t="s">
        <v>626</v>
      </c>
      <c r="BG75" s="493">
        <v>35466</v>
      </c>
      <c r="BH75" s="493">
        <v>35466</v>
      </c>
      <c r="BI75" s="447">
        <f t="shared" ca="1" si="115"/>
        <v>29</v>
      </c>
      <c r="BJ75" s="447">
        <f t="shared" ca="1" si="103"/>
        <v>29</v>
      </c>
      <c r="BK75" s="493">
        <v>43132</v>
      </c>
      <c r="BL75" s="447">
        <f t="shared" ca="1" si="123"/>
        <v>8</v>
      </c>
      <c r="BM75" s="447" t="s">
        <v>64</v>
      </c>
      <c r="BN75" s="512" t="s">
        <v>102</v>
      </c>
      <c r="BO75" s="423" t="s">
        <v>3400</v>
      </c>
      <c r="BP75" s="513"/>
      <c r="BQ75" s="514" t="str">
        <f>CONCATENATE(2,AY75,BM75)</f>
        <v>2FP</v>
      </c>
    </row>
    <row r="76" spans="1:69" ht="19.95" customHeight="1">
      <c r="A76" s="422" t="s">
        <v>2415</v>
      </c>
      <c r="B76" s="423" t="s">
        <v>151</v>
      </c>
      <c r="C76" s="424">
        <v>24</v>
      </c>
      <c r="D76" s="424" t="s">
        <v>2292</v>
      </c>
      <c r="E76" s="424" t="s">
        <v>2293</v>
      </c>
      <c r="F76" s="424" t="s">
        <v>2294</v>
      </c>
      <c r="G76" s="424" t="s">
        <v>2295</v>
      </c>
      <c r="H76" s="305" t="s">
        <v>2414</v>
      </c>
      <c r="I76" s="422" t="s">
        <v>2296</v>
      </c>
      <c r="J76" s="421" t="str">
        <f t="shared" ref="J76:J99" si="124">IF(AX76="Regional Office",CONCATENATE(I76,"R"),IF(AX76="Abra",CONCATENATE(I76,"Ab"),IF(AX76="Apayao",CONCATENATE(I76,"Ap"),IF(AX76="Baguio City",CONCATENATE(I76,"BC"),IF(AX76="Ifugao",CONCATENATE(I76,"I"),IF(AX76="Mt. Province",CONCATENATE(I76,"MP"),IF(AX76="Kalinga",CONCATENATE(I76,"K"),IF(AX76="Benguet",CONCATENATE(I76,"B"),"Vacant"))))))))</f>
        <v>LGOO7I</v>
      </c>
      <c r="K76" s="421" t="str">
        <f t="shared" ref="K76:K99" si="125">CONCATENATE(J76,AY76)</f>
        <v>LGOO7IM</v>
      </c>
      <c r="L76" s="447" t="str">
        <f t="shared" ref="L76:L99" si="126">IF(AX76="Regional Office",(IF(AY76="M","RM","RF")),IF(AX76="Abra",(IF(AY76="M","AbM","AbF")),IF(AX76="Baguio City",(IF(AY76="M","BCM","BCF")),IF(AX76="Apayao",(IF(AY76="M","ApM","ApF")),IF(AX76="Benguet",(IF(AY76="M","BM","BF")),IF(AX76="Ifugao",(IF(AY76="M","IM","IF")),IF(AX76="Kalinga",(IF(AY76="M","KM","KF")),IF(AX76="Mt. Province",(IF(AY76="M","MPM","MPF")),"XXX"))))))))</f>
        <v>IM</v>
      </c>
      <c r="M76" s="932">
        <v>3</v>
      </c>
      <c r="N76" s="932">
        <v>3</v>
      </c>
      <c r="O76" s="932">
        <v>3</v>
      </c>
      <c r="P76" s="932">
        <v>3</v>
      </c>
      <c r="Q76" s="940"/>
      <c r="R76" s="940"/>
      <c r="S76" s="940"/>
      <c r="T76" s="940"/>
      <c r="U76" s="940"/>
      <c r="V76" s="940"/>
      <c r="W76" s="940"/>
      <c r="X76" s="948"/>
      <c r="Y76" s="948"/>
      <c r="Z76" s="948"/>
      <c r="AA76" s="948"/>
      <c r="AB76" s="948"/>
      <c r="AC76" s="948"/>
      <c r="AD76" s="616"/>
      <c r="AE76" s="616"/>
      <c r="AF76" s="616"/>
      <c r="AG76" s="616"/>
      <c r="AH76" s="448">
        <f t="shared" ref="AH76:AH99" si="127">VLOOKUP(C76,idica,2,FALSE)*12</f>
        <v>1000872</v>
      </c>
      <c r="AI76" s="449">
        <f t="shared" ref="AI76:AI99" si="128">(SUMPRODUCT((norman=C76)*(grace=AJ76)*(barnachea)))*12</f>
        <v>1000872</v>
      </c>
      <c r="AJ76" s="450">
        <v>1</v>
      </c>
      <c r="AK76" s="452" t="s">
        <v>487</v>
      </c>
      <c r="AL76" s="447" t="s">
        <v>62</v>
      </c>
      <c r="AM76" s="447" t="s">
        <v>55</v>
      </c>
      <c r="AN76" s="447">
        <v>310100100001000</v>
      </c>
      <c r="AO76" s="306" t="s">
        <v>174</v>
      </c>
      <c r="AP76" s="306" t="s">
        <v>2404</v>
      </c>
      <c r="AQ76" s="306" t="s">
        <v>174</v>
      </c>
      <c r="AR76" s="305" t="s">
        <v>974</v>
      </c>
      <c r="AS76" s="305" t="s">
        <v>975</v>
      </c>
      <c r="AT76" s="305" t="s">
        <v>1924</v>
      </c>
      <c r="AU76" s="306" t="str">
        <f t="shared" ref="AU76:AU131" si="129">LEFT(AT76)&amp;IF(ISNUMBER(FIND(" ",AT76)),MID(AT76,FIND(" ",AT76)+1,1),"")&amp;IF(ISNUMBER(FIND(" ",AT76,FIND(" ",AT76)+1)),MID(AT76,FIND(" ",AT76,FIND(" ",AT76)+1)+1,1),"")</f>
        <v>B</v>
      </c>
      <c r="AV76" s="306" t="str">
        <f t="shared" ref="AV76:AV131" si="130">PROPER(CONCATENATE(AS76," ",AU76,". ",AR76))</f>
        <v>Samson B. Appoy</v>
      </c>
      <c r="AW76" s="306" t="str">
        <f t="shared" si="122"/>
        <v>APPOY, Samson Benlangan</v>
      </c>
      <c r="AX76" s="305" t="s">
        <v>174</v>
      </c>
      <c r="AY76" s="447" t="s">
        <v>62</v>
      </c>
      <c r="AZ76" s="472">
        <v>24191</v>
      </c>
      <c r="BA76" s="101">
        <f t="shared" ref="BA76:BA99" ca="1" si="131">DATEDIF(AZ76,TODAY(),"Y")</f>
        <v>59</v>
      </c>
      <c r="BB76" s="492" t="str">
        <f t="shared" ref="BB76:BB99" ca="1" si="132">IF(BA76&lt;30,"A",IF(BA76&lt;40,"B",IF(BA76&lt;50,"C",IF(BA76&lt;60,"D",IF(BA76&lt;65,"E","VACANT")))))</f>
        <v>D</v>
      </c>
      <c r="BC76" s="492" t="str">
        <f t="shared" ref="BC76:BC99" ca="1" si="133">+IF(AX76="Regional Office",(IF(BB76="A","RA",(IF(BB76="B","RB",IF(BB76="C","RC",IF(BB76="D","RD",IF(BB76="E","RE","VACANT"))))))),IF(AX76="Abra",(IF(BB76="A","AbA",(IF(BB76="B","AbB",IF(BB76="C","AbC",IF(BB76="D","AbD",IF(BB76="E","AbE","VACANT"))))))),IF(AX76="Baguio City",(IF(BB76="A","BCA",(IF(BB76="B","BCB",IF(BB76="C","BCC",IF(BB76="D","BCD",IF(BB76="E","BCE","VACANT"))))))),IF(AX76="Apayao",(IF(BB76="A","ApA",(IF(BB76="B","ApB",IF(BB76="C","ApC",IF(BB76="D","ApD",IF(BB76="E","ApE","VACANT"))))))),IF(AX76="Benguet",(IF(BB76="A","BA",(IF(BB76="B","BB",IF(BB76="C","BC",IF(BB76="D","BD",IF(BB76="E","BE","VACANT"))))))),IF(AX76="Ifugao",(IF(BB76="A","IA",(IF(BB76="B","IB",IF(BB76="C","IC",IF(BB76="D","ID",IF(BB76="E","IE","VACANT"))))))),IF(AX76="Kalinga",(IF(BB76="A","KA",(IF(BB76="B","KB",IF(BB76="C","KC",IF(BB76="D","KD",IF(BB76="E","KE","VACANT"))))))),IF(AX76="Mt. Province",(IF(BB76="A","MPA",(IF(BB76="B","MPB",IF(BB76="C","MPC",IF(BB76="D","MPD",IF(BB76="E","MPE","VACANT"))))))),"XXX"))))))))</f>
        <v>ID</v>
      </c>
      <c r="BD76" s="492" t="str">
        <f t="shared" ref="BD76:BD99" ca="1" si="134">CONCATENATE(BC76,AY76)</f>
        <v>IDM</v>
      </c>
      <c r="BE76" s="492" t="str">
        <f t="shared" ref="BE76:BE99" ca="1" si="135">CONCATENATE(I76,BD76)</f>
        <v>LGOO7IDM</v>
      </c>
      <c r="BF76" s="447" t="s">
        <v>978</v>
      </c>
      <c r="BG76" s="493">
        <v>33451</v>
      </c>
      <c r="BH76" s="493">
        <v>33451</v>
      </c>
      <c r="BI76" s="447">
        <f t="shared" ref="BI76:BI99" ca="1" si="136">DATEDIF(BG76,TODAY(),"Y")</f>
        <v>34</v>
      </c>
      <c r="BJ76" s="447">
        <f t="shared" ca="1" si="103"/>
        <v>34</v>
      </c>
      <c r="BK76" s="493">
        <v>43531</v>
      </c>
      <c r="BL76" s="447">
        <f t="shared" ref="BL76:BL104" ca="1" si="137">DATEDIF(BK76,TODAY(),"Y")</f>
        <v>7</v>
      </c>
      <c r="BM76" s="447" t="s">
        <v>64</v>
      </c>
      <c r="BN76" s="512" t="s">
        <v>102</v>
      </c>
      <c r="BO76" s="423" t="s">
        <v>3401</v>
      </c>
      <c r="BP76" s="543"/>
      <c r="BQ76" s="514" t="str">
        <f t="shared" ref="BQ76:BQ106" si="138">CONCATENATE(2,AY76,BM76)</f>
        <v>2MP</v>
      </c>
    </row>
    <row r="77" spans="1:69" ht="19.95" customHeight="1">
      <c r="A77" s="422" t="s">
        <v>2416</v>
      </c>
      <c r="B77" s="423" t="s">
        <v>151</v>
      </c>
      <c r="C77" s="424">
        <v>24</v>
      </c>
      <c r="D77" s="424" t="s">
        <v>2292</v>
      </c>
      <c r="E77" s="424" t="s">
        <v>2293</v>
      </c>
      <c r="F77" s="424" t="s">
        <v>2294</v>
      </c>
      <c r="G77" s="424" t="s">
        <v>2295</v>
      </c>
      <c r="H77" s="305" t="s">
        <v>2414</v>
      </c>
      <c r="I77" s="422" t="s">
        <v>2296</v>
      </c>
      <c r="J77" s="421" t="str">
        <f t="shared" si="124"/>
        <v>LGOO7MP</v>
      </c>
      <c r="K77" s="421" t="str">
        <f t="shared" si="125"/>
        <v>LGOO7MPF</v>
      </c>
      <c r="L77" s="447" t="str">
        <f t="shared" si="126"/>
        <v>MPF</v>
      </c>
      <c r="M77" s="932">
        <v>3</v>
      </c>
      <c r="N77" s="932">
        <v>3</v>
      </c>
      <c r="O77" s="932">
        <v>3</v>
      </c>
      <c r="P77" s="932">
        <v>3</v>
      </c>
      <c r="Q77" s="940"/>
      <c r="R77" s="940"/>
      <c r="S77" s="940"/>
      <c r="T77" s="940"/>
      <c r="U77" s="940"/>
      <c r="V77" s="940"/>
      <c r="W77" s="940"/>
      <c r="X77" s="948"/>
      <c r="Y77" s="948"/>
      <c r="Z77" s="948"/>
      <c r="AA77" s="948"/>
      <c r="AB77" s="948"/>
      <c r="AC77" s="948"/>
      <c r="AD77" s="616"/>
      <c r="AE77" s="616"/>
      <c r="AF77" s="616"/>
      <c r="AG77" s="616"/>
      <c r="AH77" s="448">
        <f t="shared" si="127"/>
        <v>1000872</v>
      </c>
      <c r="AI77" s="449">
        <f t="shared" si="128"/>
        <v>1000872</v>
      </c>
      <c r="AJ77" s="450">
        <v>1</v>
      </c>
      <c r="AK77" s="452" t="s">
        <v>352</v>
      </c>
      <c r="AL77" s="447" t="s">
        <v>54</v>
      </c>
      <c r="AM77" s="447" t="s">
        <v>55</v>
      </c>
      <c r="AN77" s="447">
        <v>310100100001000</v>
      </c>
      <c r="AO77" s="305" t="s">
        <v>268</v>
      </c>
      <c r="AP77" s="305" t="s">
        <v>2404</v>
      </c>
      <c r="AQ77" s="306" t="s">
        <v>268</v>
      </c>
      <c r="AR77" s="305" t="s">
        <v>595</v>
      </c>
      <c r="AS77" s="305" t="s">
        <v>2417</v>
      </c>
      <c r="AT77" s="305" t="s">
        <v>1935</v>
      </c>
      <c r="AU77" s="306" t="str">
        <f t="shared" si="129"/>
        <v>M</v>
      </c>
      <c r="AV77" s="306" t="str">
        <f t="shared" si="130"/>
        <v>Maritess  M. Cariño</v>
      </c>
      <c r="AW77" s="306" t="str">
        <f t="shared" si="122"/>
        <v>CARIÑO, Maritess  Malinay</v>
      </c>
      <c r="AX77" s="305" t="s">
        <v>268</v>
      </c>
      <c r="AY77" s="447" t="s">
        <v>100</v>
      </c>
      <c r="AZ77" s="472">
        <v>27004</v>
      </c>
      <c r="BA77" s="101">
        <f t="shared" ca="1" si="131"/>
        <v>52</v>
      </c>
      <c r="BB77" s="492" t="str">
        <f t="shared" ca="1" si="132"/>
        <v>D</v>
      </c>
      <c r="BC77" s="492" t="str">
        <f t="shared" ca="1" si="133"/>
        <v>MPD</v>
      </c>
      <c r="BD77" s="492" t="str">
        <f t="shared" ca="1" si="134"/>
        <v>MPDF</v>
      </c>
      <c r="BE77" s="492" t="str">
        <f t="shared" ca="1" si="135"/>
        <v>LGOO7MPDF</v>
      </c>
      <c r="BF77" s="447" t="s">
        <v>1049</v>
      </c>
      <c r="BG77" s="493">
        <v>34808</v>
      </c>
      <c r="BH77" s="493">
        <v>34808</v>
      </c>
      <c r="BI77" s="447">
        <f t="shared" ca="1" si="136"/>
        <v>30</v>
      </c>
      <c r="BJ77" s="447">
        <f t="shared" ca="1" si="103"/>
        <v>30</v>
      </c>
      <c r="BK77" s="493">
        <v>43132</v>
      </c>
      <c r="BL77" s="447">
        <f t="shared" ca="1" si="137"/>
        <v>8</v>
      </c>
      <c r="BM77" s="447" t="s">
        <v>64</v>
      </c>
      <c r="BN77" s="512" t="s">
        <v>709</v>
      </c>
      <c r="BO77" s="423" t="s">
        <v>2254</v>
      </c>
      <c r="BP77" s="513"/>
      <c r="BQ77" s="514" t="str">
        <f t="shared" si="138"/>
        <v>2FP</v>
      </c>
    </row>
    <row r="78" spans="1:69" ht="19.95" customHeight="1">
      <c r="A78" s="422" t="s">
        <v>2418</v>
      </c>
      <c r="B78" s="423" t="s">
        <v>151</v>
      </c>
      <c r="C78" s="424">
        <v>24</v>
      </c>
      <c r="D78" s="424" t="s">
        <v>2292</v>
      </c>
      <c r="E78" s="424" t="s">
        <v>2293</v>
      </c>
      <c r="F78" s="424" t="s">
        <v>2294</v>
      </c>
      <c r="G78" s="424" t="s">
        <v>2295</v>
      </c>
      <c r="H78" s="305" t="s">
        <v>2414</v>
      </c>
      <c r="I78" s="422" t="s">
        <v>2296</v>
      </c>
      <c r="J78" s="421" t="str">
        <f t="shared" si="124"/>
        <v>LGOO7K</v>
      </c>
      <c r="K78" s="421" t="str">
        <f t="shared" si="125"/>
        <v>LGOO7KF</v>
      </c>
      <c r="L78" s="447" t="str">
        <f t="shared" si="126"/>
        <v>KF</v>
      </c>
      <c r="M78" s="932">
        <v>3</v>
      </c>
      <c r="N78" s="932">
        <v>3</v>
      </c>
      <c r="O78" s="932">
        <v>3</v>
      </c>
      <c r="P78" s="932">
        <v>3</v>
      </c>
      <c r="Q78" s="940"/>
      <c r="R78" s="940"/>
      <c r="S78" s="940"/>
      <c r="T78" s="940"/>
      <c r="U78" s="940"/>
      <c r="V78" s="940"/>
      <c r="W78" s="940"/>
      <c r="X78" s="948"/>
      <c r="Y78" s="948"/>
      <c r="Z78" s="948"/>
      <c r="AA78" s="948"/>
      <c r="AB78" s="948"/>
      <c r="AC78" s="948"/>
      <c r="AD78" s="616"/>
      <c r="AE78" s="616"/>
      <c r="AF78" s="616"/>
      <c r="AG78" s="616"/>
      <c r="AH78" s="448">
        <f t="shared" si="127"/>
        <v>1000872</v>
      </c>
      <c r="AI78" s="449">
        <f t="shared" si="128"/>
        <v>1000872</v>
      </c>
      <c r="AJ78" s="450">
        <v>1</v>
      </c>
      <c r="AK78" s="452" t="s">
        <v>494</v>
      </c>
      <c r="AL78" s="447" t="s">
        <v>54</v>
      </c>
      <c r="AM78" s="447" t="s">
        <v>55</v>
      </c>
      <c r="AN78" s="447">
        <v>310100100001000</v>
      </c>
      <c r="AO78" s="305" t="s">
        <v>211</v>
      </c>
      <c r="AP78" s="305" t="s">
        <v>2404</v>
      </c>
      <c r="AQ78" s="306" t="s">
        <v>211</v>
      </c>
      <c r="AR78" s="306" t="s">
        <v>1925</v>
      </c>
      <c r="AS78" s="306" t="s">
        <v>746</v>
      </c>
      <c r="AT78" s="306" t="s">
        <v>1926</v>
      </c>
      <c r="AU78" s="306" t="str">
        <f t="shared" si="129"/>
        <v>R</v>
      </c>
      <c r="AV78" s="306" t="str">
        <f t="shared" si="130"/>
        <v>Mediatrix R. Aliño</v>
      </c>
      <c r="AW78" s="306" t="str">
        <f t="shared" si="122"/>
        <v>ALIÑO, Mediatrix Rubio</v>
      </c>
      <c r="AX78" s="305" t="s">
        <v>211</v>
      </c>
      <c r="AY78" s="447" t="s">
        <v>100</v>
      </c>
      <c r="AZ78" s="472">
        <v>25373</v>
      </c>
      <c r="BA78" s="101">
        <f t="shared" ca="1" si="131"/>
        <v>56</v>
      </c>
      <c r="BB78" s="492" t="str">
        <f t="shared" ca="1" si="132"/>
        <v>D</v>
      </c>
      <c r="BC78" s="492" t="str">
        <f t="shared" ca="1" si="133"/>
        <v>KD</v>
      </c>
      <c r="BD78" s="492" t="str">
        <f t="shared" ca="1" si="134"/>
        <v>KDF</v>
      </c>
      <c r="BE78" s="492" t="str">
        <f t="shared" ca="1" si="135"/>
        <v>LGOO7KDF</v>
      </c>
      <c r="BF78" s="447" t="s">
        <v>2419</v>
      </c>
      <c r="BG78" s="493">
        <v>33644</v>
      </c>
      <c r="BH78" s="493">
        <v>33644</v>
      </c>
      <c r="BI78" s="447">
        <f t="shared" ca="1" si="136"/>
        <v>34</v>
      </c>
      <c r="BJ78" s="447">
        <f t="shared" ca="1" si="103"/>
        <v>34</v>
      </c>
      <c r="BK78" s="493">
        <v>43531</v>
      </c>
      <c r="BL78" s="447">
        <f t="shared" ca="1" si="137"/>
        <v>7</v>
      </c>
      <c r="BM78" s="447" t="s">
        <v>64</v>
      </c>
      <c r="BN78" s="512" t="s">
        <v>102</v>
      </c>
      <c r="BO78" s="423" t="s">
        <v>2254</v>
      </c>
      <c r="BP78" s="513"/>
      <c r="BQ78" s="514" t="str">
        <f t="shared" si="138"/>
        <v>2FP</v>
      </c>
    </row>
    <row r="79" spans="1:69" ht="19.95" customHeight="1">
      <c r="A79" s="422" t="s">
        <v>2420</v>
      </c>
      <c r="B79" s="423" t="s">
        <v>151</v>
      </c>
      <c r="C79" s="424">
        <v>24</v>
      </c>
      <c r="D79" s="424" t="s">
        <v>2292</v>
      </c>
      <c r="E79" s="424" t="s">
        <v>2293</v>
      </c>
      <c r="F79" s="424" t="s">
        <v>2294</v>
      </c>
      <c r="G79" s="424" t="s">
        <v>2295</v>
      </c>
      <c r="H79" s="305" t="s">
        <v>2414</v>
      </c>
      <c r="I79" s="422" t="s">
        <v>2296</v>
      </c>
      <c r="J79" s="421" t="str">
        <f t="shared" si="124"/>
        <v>Vacant</v>
      </c>
      <c r="K79" s="421" t="str">
        <f t="shared" si="125"/>
        <v>Vacant</v>
      </c>
      <c r="L79" s="447" t="str">
        <f t="shared" si="126"/>
        <v>XXX</v>
      </c>
      <c r="M79" s="932">
        <v>3</v>
      </c>
      <c r="N79" s="932">
        <v>3</v>
      </c>
      <c r="O79" s="932">
        <v>3</v>
      </c>
      <c r="P79" s="932">
        <v>3</v>
      </c>
      <c r="Q79" s="940"/>
      <c r="R79" s="940"/>
      <c r="S79" s="940"/>
      <c r="T79" s="940"/>
      <c r="U79" s="940"/>
      <c r="V79" s="940"/>
      <c r="W79" s="940"/>
      <c r="X79" s="948"/>
      <c r="Y79" s="948"/>
      <c r="Z79" s="948"/>
      <c r="AA79" s="948"/>
      <c r="AB79" s="948"/>
      <c r="AC79" s="948"/>
      <c r="AD79" s="616"/>
      <c r="AE79" s="616"/>
      <c r="AF79" s="616"/>
      <c r="AG79" s="616"/>
      <c r="AH79" s="448">
        <f t="shared" si="127"/>
        <v>1000872</v>
      </c>
      <c r="AI79" s="449">
        <f t="shared" si="128"/>
        <v>0</v>
      </c>
      <c r="AJ79" s="450">
        <v>0</v>
      </c>
      <c r="AK79" s="452" t="s">
        <v>197</v>
      </c>
      <c r="AL79" s="447" t="s">
        <v>54</v>
      </c>
      <c r="AM79" s="447" t="s">
        <v>55</v>
      </c>
      <c r="AN79" s="447">
        <v>310100100001000</v>
      </c>
      <c r="AO79" s="305" t="s">
        <v>167</v>
      </c>
      <c r="AP79" s="305" t="s">
        <v>2404</v>
      </c>
      <c r="AQ79" s="306" t="s">
        <v>167</v>
      </c>
      <c r="AR79" s="306" t="s">
        <v>2421</v>
      </c>
      <c r="AS79" s="306"/>
      <c r="AT79" s="306"/>
      <c r="AU79" s="306" t="str">
        <f t="shared" si="129"/>
        <v/>
      </c>
      <c r="AV79" s="306" t="str">
        <f t="shared" si="130"/>
        <v xml:space="preserve"> . Vacant Guerzon</v>
      </c>
      <c r="AW79" s="306" t="str">
        <f t="shared" si="122"/>
        <v xml:space="preserve">Vacant Guerzon,  </v>
      </c>
      <c r="AX79" s="305"/>
      <c r="AY79" s="447"/>
      <c r="AZ79" s="472"/>
      <c r="BA79" s="101">
        <f t="shared" ca="1" si="131"/>
        <v>126</v>
      </c>
      <c r="BB79" s="492" t="str">
        <f t="shared" ca="1" si="132"/>
        <v>VACANT</v>
      </c>
      <c r="BC79" s="492" t="str">
        <f t="shared" si="133"/>
        <v>XXX</v>
      </c>
      <c r="BD79" s="492" t="str">
        <f t="shared" si="134"/>
        <v>XXX</v>
      </c>
      <c r="BE79" s="492" t="str">
        <f t="shared" si="135"/>
        <v>LGOO7XXX</v>
      </c>
      <c r="BF79" s="447"/>
      <c r="BG79" s="493"/>
      <c r="BH79" s="493"/>
      <c r="BI79" s="447">
        <f t="shared" ca="1" si="136"/>
        <v>126</v>
      </c>
      <c r="BJ79" s="447">
        <f t="shared" ca="1" si="103"/>
        <v>126</v>
      </c>
      <c r="BK79" s="493"/>
      <c r="BL79" s="447">
        <f t="shared" ca="1" si="137"/>
        <v>126</v>
      </c>
      <c r="BM79" s="447"/>
      <c r="BN79" s="512"/>
      <c r="BO79" s="423"/>
      <c r="BP79" s="513"/>
      <c r="BQ79" s="514" t="str">
        <f t="shared" si="138"/>
        <v>2</v>
      </c>
    </row>
    <row r="80" spans="1:69" ht="19.95" customHeight="1">
      <c r="A80" s="422" t="s">
        <v>2422</v>
      </c>
      <c r="B80" s="423" t="s">
        <v>151</v>
      </c>
      <c r="C80" s="424">
        <v>24</v>
      </c>
      <c r="D80" s="424" t="s">
        <v>2292</v>
      </c>
      <c r="E80" s="424" t="s">
        <v>2293</v>
      </c>
      <c r="F80" s="424" t="s">
        <v>2294</v>
      </c>
      <c r="G80" s="424" t="s">
        <v>2295</v>
      </c>
      <c r="H80" s="305" t="s">
        <v>2414</v>
      </c>
      <c r="I80" s="422" t="s">
        <v>2296</v>
      </c>
      <c r="J80" s="421" t="str">
        <f t="shared" si="124"/>
        <v>LGOO7Ap</v>
      </c>
      <c r="K80" s="421" t="str">
        <f t="shared" si="125"/>
        <v>LGOO7ApM</v>
      </c>
      <c r="L80" s="447" t="str">
        <f t="shared" si="126"/>
        <v>ApM</v>
      </c>
      <c r="M80" s="932">
        <v>3</v>
      </c>
      <c r="N80" s="932">
        <v>3</v>
      </c>
      <c r="O80" s="932">
        <v>3</v>
      </c>
      <c r="P80" s="932">
        <v>3</v>
      </c>
      <c r="Q80" s="940"/>
      <c r="R80" s="940"/>
      <c r="S80" s="940"/>
      <c r="T80" s="940"/>
      <c r="U80" s="940"/>
      <c r="V80" s="940"/>
      <c r="W80" s="940"/>
      <c r="X80" s="948"/>
      <c r="Y80" s="948"/>
      <c r="Z80" s="948"/>
      <c r="AA80" s="948"/>
      <c r="AB80" s="948"/>
      <c r="AC80" s="948"/>
      <c r="AD80" s="616"/>
      <c r="AE80" s="616"/>
      <c r="AF80" s="616"/>
      <c r="AG80" s="616"/>
      <c r="AH80" s="448">
        <f t="shared" si="127"/>
        <v>1000872</v>
      </c>
      <c r="AI80" s="449">
        <f t="shared" si="128"/>
        <v>1000872</v>
      </c>
      <c r="AJ80" s="450">
        <v>1</v>
      </c>
      <c r="AK80" s="452" t="s">
        <v>465</v>
      </c>
      <c r="AL80" s="447" t="s">
        <v>54</v>
      </c>
      <c r="AM80" s="447" t="s">
        <v>55</v>
      </c>
      <c r="AN80" s="447">
        <v>310100100001000</v>
      </c>
      <c r="AO80" s="305" t="s">
        <v>408</v>
      </c>
      <c r="AP80" s="305" t="s">
        <v>2404</v>
      </c>
      <c r="AQ80" s="306" t="s">
        <v>408</v>
      </c>
      <c r="AR80" s="306" t="s">
        <v>567</v>
      </c>
      <c r="AS80" s="306" t="s">
        <v>563</v>
      </c>
      <c r="AT80" s="306" t="s">
        <v>1895</v>
      </c>
      <c r="AU80" s="306" t="str">
        <f t="shared" si="129"/>
        <v>P</v>
      </c>
      <c r="AV80" s="306" t="str">
        <f t="shared" si="130"/>
        <v>Emmanuel P. Abulencia</v>
      </c>
      <c r="AW80" s="306" t="str">
        <f t="shared" si="122"/>
        <v>ABULENCIA, Emmanuel Pinlac</v>
      </c>
      <c r="AX80" s="305" t="s">
        <v>181</v>
      </c>
      <c r="AY80" s="447" t="s">
        <v>62</v>
      </c>
      <c r="AZ80" s="472">
        <v>22366</v>
      </c>
      <c r="BA80" s="101">
        <f t="shared" ca="1" si="131"/>
        <v>64</v>
      </c>
      <c r="BB80" s="492" t="str">
        <f t="shared" ca="1" si="132"/>
        <v>E</v>
      </c>
      <c r="BC80" s="492" t="str">
        <f t="shared" ca="1" si="133"/>
        <v>ApE</v>
      </c>
      <c r="BD80" s="492" t="str">
        <f t="shared" ca="1" si="134"/>
        <v>ApEM</v>
      </c>
      <c r="BE80" s="492" t="str">
        <f t="shared" ca="1" si="135"/>
        <v>LGOO7ApEM</v>
      </c>
      <c r="BF80" s="447" t="s">
        <v>569</v>
      </c>
      <c r="BG80" s="493">
        <v>32687</v>
      </c>
      <c r="BH80" s="493">
        <v>32687</v>
      </c>
      <c r="BI80" s="447">
        <f t="shared" ca="1" si="136"/>
        <v>36</v>
      </c>
      <c r="BJ80" s="447">
        <f t="shared" ca="1" si="103"/>
        <v>36</v>
      </c>
      <c r="BK80" s="493">
        <v>43531</v>
      </c>
      <c r="BL80" s="447">
        <f t="shared" ca="1" si="137"/>
        <v>7</v>
      </c>
      <c r="BM80" s="447" t="s">
        <v>64</v>
      </c>
      <c r="BN80" s="512" t="s">
        <v>102</v>
      </c>
      <c r="BO80" s="423" t="s">
        <v>2254</v>
      </c>
      <c r="BP80" s="513"/>
      <c r="BQ80" s="514" t="str">
        <f t="shared" si="138"/>
        <v>2MP</v>
      </c>
    </row>
    <row r="81" spans="1:69" ht="19.95" customHeight="1">
      <c r="A81" s="422" t="s">
        <v>1401</v>
      </c>
      <c r="B81" s="423" t="s">
        <v>157</v>
      </c>
      <c r="C81" s="424">
        <v>22</v>
      </c>
      <c r="D81" s="424"/>
      <c r="E81" s="424"/>
      <c r="F81" s="424"/>
      <c r="G81" s="424"/>
      <c r="H81" s="424"/>
      <c r="I81" s="422" t="s">
        <v>2300</v>
      </c>
      <c r="J81" s="421" t="str">
        <f t="shared" si="124"/>
        <v>LGOO6Ab</v>
      </c>
      <c r="K81" s="421" t="str">
        <f t="shared" si="125"/>
        <v>LGOO6AbM</v>
      </c>
      <c r="L81" s="447" t="str">
        <f t="shared" si="126"/>
        <v>AbM</v>
      </c>
      <c r="M81" s="932">
        <v>3</v>
      </c>
      <c r="N81" s="932">
        <v>3</v>
      </c>
      <c r="O81" s="932">
        <v>3</v>
      </c>
      <c r="P81" s="932">
        <v>3</v>
      </c>
      <c r="Q81" s="940"/>
      <c r="R81" s="940"/>
      <c r="S81" s="940"/>
      <c r="T81" s="940"/>
      <c r="U81" s="940"/>
      <c r="V81" s="940"/>
      <c r="W81" s="940"/>
      <c r="X81" s="948"/>
      <c r="Y81" s="948"/>
      <c r="Z81" s="948"/>
      <c r="AA81" s="948"/>
      <c r="AB81" s="948"/>
      <c r="AC81" s="948"/>
      <c r="AD81" s="616"/>
      <c r="AE81" s="616"/>
      <c r="AF81" s="616"/>
      <c r="AG81" s="616"/>
      <c r="AH81" s="448">
        <f t="shared" si="127"/>
        <v>783828</v>
      </c>
      <c r="AI81" s="449">
        <f t="shared" si="128"/>
        <v>783828</v>
      </c>
      <c r="AJ81" s="450">
        <v>1</v>
      </c>
      <c r="AK81" s="452" t="s">
        <v>553</v>
      </c>
      <c r="AL81" s="447" t="s">
        <v>62</v>
      </c>
      <c r="AM81" s="447" t="s">
        <v>158</v>
      </c>
      <c r="AN81" s="447">
        <v>310100100001000</v>
      </c>
      <c r="AO81" s="305" t="s">
        <v>408</v>
      </c>
      <c r="AP81" s="305" t="s">
        <v>2423</v>
      </c>
      <c r="AQ81" s="305" t="s">
        <v>2424</v>
      </c>
      <c r="AR81" s="305" t="s">
        <v>2039</v>
      </c>
      <c r="AS81" s="305" t="s">
        <v>2040</v>
      </c>
      <c r="AT81" s="305" t="s">
        <v>2041</v>
      </c>
      <c r="AU81" s="306" t="str">
        <f t="shared" si="129"/>
        <v>H</v>
      </c>
      <c r="AV81" s="306" t="str">
        <f t="shared" si="130"/>
        <v>Juvenal H. Villamor</v>
      </c>
      <c r="AW81" s="306" t="str">
        <f t="shared" ref="AW81:AW96" si="139">CONCATENATE(AR81,", ",AS81," ",AT81)</f>
        <v>VILLAMOR, Juvenal Hufano</v>
      </c>
      <c r="AX81" s="305" t="s">
        <v>408</v>
      </c>
      <c r="AY81" s="447" t="s">
        <v>62</v>
      </c>
      <c r="AZ81" s="472">
        <v>27887</v>
      </c>
      <c r="BA81" s="101">
        <f t="shared" ca="1" si="131"/>
        <v>49</v>
      </c>
      <c r="BB81" s="492" t="str">
        <f t="shared" ca="1" si="132"/>
        <v>C</v>
      </c>
      <c r="BC81" s="492" t="str">
        <f t="shared" ca="1" si="133"/>
        <v>AbC</v>
      </c>
      <c r="BD81" s="492" t="str">
        <f t="shared" ca="1" si="134"/>
        <v>AbCM</v>
      </c>
      <c r="BE81" s="492" t="str">
        <f t="shared" ca="1" si="135"/>
        <v>LGOO6AbCM</v>
      </c>
      <c r="BF81" s="447" t="s">
        <v>2425</v>
      </c>
      <c r="BG81" s="493">
        <v>40927</v>
      </c>
      <c r="BH81" s="494">
        <v>40927</v>
      </c>
      <c r="BI81" s="447">
        <f t="shared" ca="1" si="136"/>
        <v>14</v>
      </c>
      <c r="BJ81" s="447">
        <f t="shared" ca="1" si="103"/>
        <v>14</v>
      </c>
      <c r="BK81" s="493">
        <v>43070</v>
      </c>
      <c r="BL81" s="447">
        <f t="shared" ca="1" si="137"/>
        <v>8</v>
      </c>
      <c r="BM81" s="447" t="s">
        <v>64</v>
      </c>
      <c r="BN81" s="512" t="s">
        <v>102</v>
      </c>
      <c r="BO81" s="423" t="s">
        <v>2669</v>
      </c>
      <c r="BP81" s="513"/>
      <c r="BQ81" s="514" t="str">
        <f t="shared" si="138"/>
        <v>2MP</v>
      </c>
    </row>
    <row r="82" spans="1:69" ht="19.95" customHeight="1">
      <c r="A82" s="422" t="s">
        <v>1402</v>
      </c>
      <c r="B82" s="423" t="s">
        <v>157</v>
      </c>
      <c r="C82" s="424">
        <v>22</v>
      </c>
      <c r="D82" s="424"/>
      <c r="E82" s="424"/>
      <c r="F82" s="424"/>
      <c r="G82" s="424"/>
      <c r="H82" s="424"/>
      <c r="I82" s="422" t="s">
        <v>2300</v>
      </c>
      <c r="J82" s="421" t="str">
        <f t="shared" si="124"/>
        <v>LGOO6Ab</v>
      </c>
      <c r="K82" s="421" t="str">
        <f t="shared" si="125"/>
        <v>LGOO6AbM</v>
      </c>
      <c r="L82" s="447" t="str">
        <f t="shared" si="126"/>
        <v>AbM</v>
      </c>
      <c r="M82" s="932">
        <v>3</v>
      </c>
      <c r="N82" s="932">
        <v>3</v>
      </c>
      <c r="O82" s="932">
        <v>3</v>
      </c>
      <c r="P82" s="932">
        <v>3</v>
      </c>
      <c r="Q82" s="940"/>
      <c r="R82" s="940"/>
      <c r="S82" s="940"/>
      <c r="T82" s="940"/>
      <c r="U82" s="940"/>
      <c r="V82" s="940"/>
      <c r="W82" s="940"/>
      <c r="X82" s="948"/>
      <c r="Y82" s="948"/>
      <c r="Z82" s="948"/>
      <c r="AA82" s="948"/>
      <c r="AB82" s="948"/>
      <c r="AC82" s="948"/>
      <c r="AD82" s="616"/>
      <c r="AE82" s="616"/>
      <c r="AF82" s="616"/>
      <c r="AG82" s="616"/>
      <c r="AH82" s="448">
        <f t="shared" si="127"/>
        <v>783828</v>
      </c>
      <c r="AI82" s="449">
        <f t="shared" si="128"/>
        <v>783828</v>
      </c>
      <c r="AJ82" s="450">
        <v>1</v>
      </c>
      <c r="AK82" s="452" t="s">
        <v>561</v>
      </c>
      <c r="AL82" s="447" t="s">
        <v>62</v>
      </c>
      <c r="AM82" s="447" t="s">
        <v>158</v>
      </c>
      <c r="AN82" s="447">
        <v>310100100001000</v>
      </c>
      <c r="AO82" s="305" t="s">
        <v>408</v>
      </c>
      <c r="AP82" s="305" t="s">
        <v>2423</v>
      </c>
      <c r="AQ82" s="305" t="s">
        <v>2426</v>
      </c>
      <c r="AR82" s="305" t="s">
        <v>562</v>
      </c>
      <c r="AS82" s="305" t="s">
        <v>563</v>
      </c>
      <c r="AT82" s="305" t="s">
        <v>1947</v>
      </c>
      <c r="AU82" s="306" t="str">
        <f t="shared" si="129"/>
        <v>A</v>
      </c>
      <c r="AV82" s="306" t="str">
        <f t="shared" si="130"/>
        <v>Emmanuel A. Turqueza</v>
      </c>
      <c r="AW82" s="306" t="str">
        <f t="shared" si="139"/>
        <v>TURQUEZA, Emmanuel Astudillo</v>
      </c>
      <c r="AX82" s="305" t="s">
        <v>408</v>
      </c>
      <c r="AY82" s="447" t="s">
        <v>62</v>
      </c>
      <c r="AZ82" s="472">
        <v>23990</v>
      </c>
      <c r="BA82" s="101">
        <f t="shared" ca="1" si="131"/>
        <v>60</v>
      </c>
      <c r="BB82" s="492" t="str">
        <f t="shared" ca="1" si="132"/>
        <v>E</v>
      </c>
      <c r="BC82" s="492" t="str">
        <f t="shared" ca="1" si="133"/>
        <v>AbE</v>
      </c>
      <c r="BD82" s="492" t="str">
        <f t="shared" ca="1" si="134"/>
        <v>AbEM</v>
      </c>
      <c r="BE82" s="492" t="str">
        <f t="shared" ca="1" si="135"/>
        <v>LGOO6AbEM</v>
      </c>
      <c r="BF82" s="447" t="s">
        <v>565</v>
      </c>
      <c r="BG82" s="493">
        <v>35100</v>
      </c>
      <c r="BH82" s="493">
        <v>35100</v>
      </c>
      <c r="BI82" s="447">
        <f t="shared" ca="1" si="136"/>
        <v>30</v>
      </c>
      <c r="BJ82" s="447">
        <f t="shared" ca="1" si="103"/>
        <v>30</v>
      </c>
      <c r="BK82" s="493">
        <v>43070</v>
      </c>
      <c r="BL82" s="447">
        <f t="shared" ca="1" si="137"/>
        <v>8</v>
      </c>
      <c r="BM82" s="447" t="s">
        <v>64</v>
      </c>
      <c r="BN82" s="512" t="s">
        <v>102</v>
      </c>
      <c r="BO82" s="423" t="s">
        <v>3402</v>
      </c>
      <c r="BP82" s="513"/>
      <c r="BQ82" s="514" t="str">
        <f t="shared" si="138"/>
        <v>2MP</v>
      </c>
    </row>
    <row r="83" spans="1:69" ht="19.95" customHeight="1">
      <c r="A83" s="422" t="s">
        <v>1403</v>
      </c>
      <c r="B83" s="423" t="s">
        <v>157</v>
      </c>
      <c r="C83" s="424">
        <v>22</v>
      </c>
      <c r="D83" s="424"/>
      <c r="E83" s="424"/>
      <c r="F83" s="424"/>
      <c r="G83" s="424"/>
      <c r="H83" s="424"/>
      <c r="I83" s="422" t="s">
        <v>2300</v>
      </c>
      <c r="J83" s="421" t="str">
        <f t="shared" si="124"/>
        <v>LGOO6Ab</v>
      </c>
      <c r="K83" s="421" t="str">
        <f t="shared" si="125"/>
        <v>LGOO6AbM</v>
      </c>
      <c r="L83" s="447" t="str">
        <f t="shared" si="126"/>
        <v>AbM</v>
      </c>
      <c r="M83" s="932">
        <v>3</v>
      </c>
      <c r="N83" s="932">
        <v>3</v>
      </c>
      <c r="O83" s="932">
        <v>3</v>
      </c>
      <c r="P83" s="932">
        <v>3</v>
      </c>
      <c r="Q83" s="940"/>
      <c r="R83" s="940"/>
      <c r="S83" s="940"/>
      <c r="T83" s="940"/>
      <c r="U83" s="940"/>
      <c r="V83" s="940"/>
      <c r="W83" s="940"/>
      <c r="X83" s="948"/>
      <c r="Y83" s="948"/>
      <c r="Z83" s="948"/>
      <c r="AA83" s="948"/>
      <c r="AB83" s="948"/>
      <c r="AC83" s="948"/>
      <c r="AD83" s="616"/>
      <c r="AE83" s="616"/>
      <c r="AF83" s="616"/>
      <c r="AG83" s="616"/>
      <c r="AH83" s="448">
        <f t="shared" si="127"/>
        <v>783828</v>
      </c>
      <c r="AI83" s="449">
        <f t="shared" si="128"/>
        <v>783828</v>
      </c>
      <c r="AJ83" s="450">
        <v>1</v>
      </c>
      <c r="AK83" s="452" t="s">
        <v>582</v>
      </c>
      <c r="AL83" s="447" t="s">
        <v>62</v>
      </c>
      <c r="AM83" s="447" t="s">
        <v>158</v>
      </c>
      <c r="AN83" s="447">
        <v>310100100001000</v>
      </c>
      <c r="AO83" s="305" t="s">
        <v>408</v>
      </c>
      <c r="AP83" s="305" t="s">
        <v>2423</v>
      </c>
      <c r="AQ83" s="305" t="s">
        <v>2427</v>
      </c>
      <c r="AR83" s="305" t="s">
        <v>583</v>
      </c>
      <c r="AS83" s="305" t="s">
        <v>584</v>
      </c>
      <c r="AT83" s="305" t="s">
        <v>1905</v>
      </c>
      <c r="AU83" s="306" t="str">
        <f t="shared" si="129"/>
        <v>B</v>
      </c>
      <c r="AV83" s="306" t="str">
        <f t="shared" si="130"/>
        <v>Valentino B. Teneza</v>
      </c>
      <c r="AW83" s="306" t="str">
        <f t="shared" si="139"/>
        <v>TENEZA, Valentino Barbieto</v>
      </c>
      <c r="AX83" s="305" t="s">
        <v>408</v>
      </c>
      <c r="AY83" s="447" t="s">
        <v>62</v>
      </c>
      <c r="AZ83" s="472">
        <v>21960</v>
      </c>
      <c r="BA83" s="101">
        <f t="shared" ca="1" si="131"/>
        <v>66</v>
      </c>
      <c r="BB83" s="492" t="str">
        <f t="shared" ca="1" si="132"/>
        <v>VACANT</v>
      </c>
      <c r="BC83" s="492" t="str">
        <f t="shared" ca="1" si="133"/>
        <v>VACANT</v>
      </c>
      <c r="BD83" s="492" t="str">
        <f t="shared" ca="1" si="134"/>
        <v>VACANTM</v>
      </c>
      <c r="BE83" s="492" t="str">
        <f t="shared" ca="1" si="135"/>
        <v>LGOO6VACANTM</v>
      </c>
      <c r="BF83" s="447" t="s">
        <v>586</v>
      </c>
      <c r="BG83" s="493">
        <v>32687</v>
      </c>
      <c r="BH83" s="493">
        <v>32687</v>
      </c>
      <c r="BI83" s="447">
        <f t="shared" ca="1" si="136"/>
        <v>36</v>
      </c>
      <c r="BJ83" s="447">
        <f t="shared" ca="1" si="103"/>
        <v>36</v>
      </c>
      <c r="BK83" s="493">
        <v>43070</v>
      </c>
      <c r="BL83" s="447">
        <f t="shared" ca="1" si="137"/>
        <v>8</v>
      </c>
      <c r="BM83" s="447" t="s">
        <v>64</v>
      </c>
      <c r="BN83" s="512" t="s">
        <v>102</v>
      </c>
      <c r="BO83" s="423" t="s">
        <v>2725</v>
      </c>
      <c r="BP83" s="513"/>
      <c r="BQ83" s="514" t="str">
        <f t="shared" si="138"/>
        <v>2MP</v>
      </c>
    </row>
    <row r="84" spans="1:69" ht="19.95" customHeight="1">
      <c r="A84" s="422" t="s">
        <v>1405</v>
      </c>
      <c r="B84" s="423" t="s">
        <v>157</v>
      </c>
      <c r="C84" s="424">
        <v>22</v>
      </c>
      <c r="D84" s="424"/>
      <c r="E84" s="424"/>
      <c r="F84" s="424"/>
      <c r="G84" s="424"/>
      <c r="H84" s="424"/>
      <c r="I84" s="422" t="s">
        <v>2300</v>
      </c>
      <c r="J84" s="421" t="str">
        <f t="shared" si="124"/>
        <v>LGOO6Ab</v>
      </c>
      <c r="K84" s="421" t="str">
        <f t="shared" si="125"/>
        <v>LGOO6AbF</v>
      </c>
      <c r="L84" s="447" t="str">
        <f t="shared" si="126"/>
        <v>AbF</v>
      </c>
      <c r="M84" s="932">
        <v>3</v>
      </c>
      <c r="N84" s="932">
        <v>3</v>
      </c>
      <c r="O84" s="932">
        <v>3</v>
      </c>
      <c r="P84" s="932">
        <v>3</v>
      </c>
      <c r="Q84" s="940"/>
      <c r="R84" s="940"/>
      <c r="S84" s="940"/>
      <c r="T84" s="940"/>
      <c r="U84" s="940"/>
      <c r="V84" s="940"/>
      <c r="W84" s="940"/>
      <c r="X84" s="948"/>
      <c r="Y84" s="948"/>
      <c r="Z84" s="948"/>
      <c r="AA84" s="948"/>
      <c r="AB84" s="948"/>
      <c r="AC84" s="948"/>
      <c r="AD84" s="616"/>
      <c r="AE84" s="616"/>
      <c r="AF84" s="616"/>
      <c r="AG84" s="616"/>
      <c r="AH84" s="448">
        <f t="shared" si="127"/>
        <v>783828</v>
      </c>
      <c r="AI84" s="449">
        <f t="shared" si="128"/>
        <v>783828</v>
      </c>
      <c r="AJ84" s="450">
        <v>1</v>
      </c>
      <c r="AK84" s="452" t="s">
        <v>588</v>
      </c>
      <c r="AL84" s="447" t="s">
        <v>62</v>
      </c>
      <c r="AM84" s="447" t="s">
        <v>158</v>
      </c>
      <c r="AN84" s="447">
        <v>310100100001000</v>
      </c>
      <c r="AO84" s="305" t="s">
        <v>408</v>
      </c>
      <c r="AP84" s="305" t="s">
        <v>2423</v>
      </c>
      <c r="AQ84" s="305" t="s">
        <v>2428</v>
      </c>
      <c r="AR84" s="305" t="s">
        <v>2029</v>
      </c>
      <c r="AS84" s="305" t="s">
        <v>2030</v>
      </c>
      <c r="AT84" s="305" t="s">
        <v>1987</v>
      </c>
      <c r="AU84" s="306" t="str">
        <f t="shared" si="129"/>
        <v>S</v>
      </c>
      <c r="AV84" s="306" t="str">
        <f t="shared" si="130"/>
        <v>Charisma S. Abadeza</v>
      </c>
      <c r="AW84" s="306" t="str">
        <f t="shared" si="139"/>
        <v>ABADEZA, Charisma Salimbay</v>
      </c>
      <c r="AX84" s="305" t="s">
        <v>408</v>
      </c>
      <c r="AY84" s="447" t="s">
        <v>100</v>
      </c>
      <c r="AZ84" s="472">
        <v>30229</v>
      </c>
      <c r="BA84" s="101">
        <f t="shared" ca="1" si="131"/>
        <v>43</v>
      </c>
      <c r="BB84" s="492" t="str">
        <f t="shared" ca="1" si="132"/>
        <v>C</v>
      </c>
      <c r="BC84" s="492" t="str">
        <f t="shared" ca="1" si="133"/>
        <v>AbC</v>
      </c>
      <c r="BD84" s="492" t="str">
        <f t="shared" ca="1" si="134"/>
        <v>AbCF</v>
      </c>
      <c r="BE84" s="492" t="str">
        <f t="shared" ca="1" si="135"/>
        <v>LGOO6AbCF</v>
      </c>
      <c r="BF84" s="447" t="s">
        <v>2429</v>
      </c>
      <c r="BG84" s="493">
        <v>40927</v>
      </c>
      <c r="BH84" s="494">
        <v>40927</v>
      </c>
      <c r="BI84" s="447">
        <f t="shared" ca="1" si="136"/>
        <v>14</v>
      </c>
      <c r="BJ84" s="447">
        <f t="shared" ca="1" si="103"/>
        <v>14</v>
      </c>
      <c r="BK84" s="493">
        <v>43070</v>
      </c>
      <c r="BL84" s="447">
        <f t="shared" ca="1" si="137"/>
        <v>8</v>
      </c>
      <c r="BM84" s="447" t="s">
        <v>64</v>
      </c>
      <c r="BN84" s="512" t="s">
        <v>102</v>
      </c>
      <c r="BO84" s="423" t="s">
        <v>3403</v>
      </c>
      <c r="BP84" s="513"/>
      <c r="BQ84" s="514" t="str">
        <f t="shared" si="138"/>
        <v>2FP</v>
      </c>
    </row>
    <row r="85" spans="1:69" ht="19.95" customHeight="1">
      <c r="A85" s="422" t="s">
        <v>1406</v>
      </c>
      <c r="B85" s="423" t="s">
        <v>157</v>
      </c>
      <c r="C85" s="424">
        <v>22</v>
      </c>
      <c r="D85" s="424"/>
      <c r="E85" s="424"/>
      <c r="F85" s="424"/>
      <c r="G85" s="424"/>
      <c r="H85" s="424"/>
      <c r="I85" s="422" t="s">
        <v>2300</v>
      </c>
      <c r="J85" s="421" t="str">
        <f t="shared" si="124"/>
        <v>LGOO6Ab</v>
      </c>
      <c r="K85" s="421" t="str">
        <f t="shared" si="125"/>
        <v>LGOO6AbF</v>
      </c>
      <c r="L85" s="447" t="str">
        <f t="shared" si="126"/>
        <v>AbF</v>
      </c>
      <c r="M85" s="932">
        <v>3</v>
      </c>
      <c r="N85" s="932">
        <v>3</v>
      </c>
      <c r="O85" s="932">
        <v>3</v>
      </c>
      <c r="P85" s="932">
        <v>3</v>
      </c>
      <c r="Q85" s="940"/>
      <c r="R85" s="940"/>
      <c r="S85" s="940"/>
      <c r="T85" s="940"/>
      <c r="U85" s="940"/>
      <c r="V85" s="940"/>
      <c r="W85" s="940"/>
      <c r="X85" s="948"/>
      <c r="Y85" s="948"/>
      <c r="Z85" s="948"/>
      <c r="AA85" s="948"/>
      <c r="AB85" s="948"/>
      <c r="AC85" s="948"/>
      <c r="AD85" s="616"/>
      <c r="AE85" s="616"/>
      <c r="AF85" s="616"/>
      <c r="AG85" s="616"/>
      <c r="AH85" s="448">
        <f t="shared" si="127"/>
        <v>783828</v>
      </c>
      <c r="AI85" s="449">
        <f t="shared" si="128"/>
        <v>783828</v>
      </c>
      <c r="AJ85" s="450">
        <v>1</v>
      </c>
      <c r="AK85" s="452" t="s">
        <v>600</v>
      </c>
      <c r="AL85" s="447" t="s">
        <v>62</v>
      </c>
      <c r="AM85" s="447" t="s">
        <v>158</v>
      </c>
      <c r="AN85" s="447">
        <v>310100100001000</v>
      </c>
      <c r="AO85" s="305" t="s">
        <v>408</v>
      </c>
      <c r="AP85" s="305" t="s">
        <v>2423</v>
      </c>
      <c r="AQ85" s="305" t="s">
        <v>2430</v>
      </c>
      <c r="AR85" s="305" t="s">
        <v>1118</v>
      </c>
      <c r="AS85" s="305" t="s">
        <v>1119</v>
      </c>
      <c r="AT85" s="305" t="s">
        <v>1974</v>
      </c>
      <c r="AU85" s="306" t="str">
        <f t="shared" si="129"/>
        <v>C</v>
      </c>
      <c r="AV85" s="306" t="str">
        <f t="shared" si="130"/>
        <v>Ameurfina C. Lapastora</v>
      </c>
      <c r="AW85" s="306" t="str">
        <f t="shared" si="139"/>
        <v>LAPASTORA, Ameurfina Castillo</v>
      </c>
      <c r="AX85" s="305" t="s">
        <v>408</v>
      </c>
      <c r="AY85" s="447" t="s">
        <v>100</v>
      </c>
      <c r="AZ85" s="472">
        <v>27469</v>
      </c>
      <c r="BA85" s="101">
        <f t="shared" ca="1" si="131"/>
        <v>51</v>
      </c>
      <c r="BB85" s="492" t="str">
        <f t="shared" ca="1" si="132"/>
        <v>D</v>
      </c>
      <c r="BC85" s="492" t="str">
        <f t="shared" ca="1" si="133"/>
        <v>AbD</v>
      </c>
      <c r="BD85" s="492" t="str">
        <f t="shared" ca="1" si="134"/>
        <v>AbDF</v>
      </c>
      <c r="BE85" s="492" t="str">
        <f t="shared" ca="1" si="135"/>
        <v>LGOO6AbDF</v>
      </c>
      <c r="BF85" s="447" t="s">
        <v>1121</v>
      </c>
      <c r="BG85" s="493">
        <v>36220</v>
      </c>
      <c r="BH85" s="493">
        <v>36220</v>
      </c>
      <c r="BI85" s="447">
        <f t="shared" ca="1" si="136"/>
        <v>27</v>
      </c>
      <c r="BJ85" s="447">
        <f t="shared" ca="1" si="103"/>
        <v>27</v>
      </c>
      <c r="BK85" s="493">
        <v>43070</v>
      </c>
      <c r="BL85" s="447">
        <f t="shared" ca="1" si="137"/>
        <v>8</v>
      </c>
      <c r="BM85" s="447" t="s">
        <v>64</v>
      </c>
      <c r="BN85" s="512" t="s">
        <v>102</v>
      </c>
      <c r="BO85" s="423" t="s">
        <v>2254</v>
      </c>
      <c r="BP85" s="513"/>
      <c r="BQ85" s="514" t="str">
        <f t="shared" si="138"/>
        <v>2FP</v>
      </c>
    </row>
    <row r="86" spans="1:69" ht="19.95" customHeight="1">
      <c r="A86" s="422" t="s">
        <v>1408</v>
      </c>
      <c r="B86" s="423" t="s">
        <v>157</v>
      </c>
      <c r="C86" s="424">
        <v>22</v>
      </c>
      <c r="D86" s="424"/>
      <c r="E86" s="424"/>
      <c r="F86" s="424"/>
      <c r="G86" s="424"/>
      <c r="H86" s="424"/>
      <c r="I86" s="422" t="s">
        <v>2300</v>
      </c>
      <c r="J86" s="421" t="str">
        <f t="shared" si="124"/>
        <v>LGOO6Ab</v>
      </c>
      <c r="K86" s="421" t="str">
        <f t="shared" si="125"/>
        <v>LGOO6AbF</v>
      </c>
      <c r="L86" s="447" t="str">
        <f t="shared" si="126"/>
        <v>AbF</v>
      </c>
      <c r="M86" s="932">
        <v>3</v>
      </c>
      <c r="N86" s="932">
        <v>3</v>
      </c>
      <c r="O86" s="932">
        <v>3</v>
      </c>
      <c r="P86" s="932">
        <v>3</v>
      </c>
      <c r="Q86" s="940"/>
      <c r="R86" s="940"/>
      <c r="S86" s="940"/>
      <c r="T86" s="940"/>
      <c r="U86" s="940"/>
      <c r="V86" s="940"/>
      <c r="W86" s="940"/>
      <c r="X86" s="948"/>
      <c r="Y86" s="948"/>
      <c r="Z86" s="948"/>
      <c r="AA86" s="948"/>
      <c r="AB86" s="948"/>
      <c r="AC86" s="948"/>
      <c r="AD86" s="616"/>
      <c r="AE86" s="616"/>
      <c r="AF86" s="616"/>
      <c r="AG86" s="616"/>
      <c r="AH86" s="448">
        <f t="shared" si="127"/>
        <v>783828</v>
      </c>
      <c r="AI86" s="449">
        <f t="shared" si="128"/>
        <v>783828</v>
      </c>
      <c r="AJ86" s="450">
        <v>1</v>
      </c>
      <c r="AK86" s="452" t="s">
        <v>465</v>
      </c>
      <c r="AL86" s="447" t="s">
        <v>64</v>
      </c>
      <c r="AM86" s="447" t="s">
        <v>158</v>
      </c>
      <c r="AN86" s="447">
        <v>310100100001000</v>
      </c>
      <c r="AO86" s="305" t="s">
        <v>408</v>
      </c>
      <c r="AP86" s="305" t="s">
        <v>2404</v>
      </c>
      <c r="AQ86" s="306" t="s">
        <v>408</v>
      </c>
      <c r="AR86" s="305" t="s">
        <v>611</v>
      </c>
      <c r="AS86" s="305" t="s">
        <v>2431</v>
      </c>
      <c r="AT86" s="305" t="s">
        <v>1888</v>
      </c>
      <c r="AU86" s="306" t="str">
        <f t="shared" si="129"/>
        <v>Z</v>
      </c>
      <c r="AV86" s="306" t="str">
        <f t="shared" si="130"/>
        <v>Viva Ascension Z. Bernardez</v>
      </c>
      <c r="AW86" s="306" t="str">
        <f t="shared" si="139"/>
        <v>BERNARDEZ, Viva Ascension Zapata</v>
      </c>
      <c r="AX86" s="305" t="s">
        <v>408</v>
      </c>
      <c r="AY86" s="447" t="s">
        <v>100</v>
      </c>
      <c r="AZ86" s="472">
        <v>22412</v>
      </c>
      <c r="BA86" s="101">
        <f t="shared" ca="1" si="131"/>
        <v>64</v>
      </c>
      <c r="BB86" s="492" t="str">
        <f t="shared" ca="1" si="132"/>
        <v>E</v>
      </c>
      <c r="BC86" s="492" t="str">
        <f t="shared" ca="1" si="133"/>
        <v>AbE</v>
      </c>
      <c r="BD86" s="492" t="str">
        <f t="shared" ca="1" si="134"/>
        <v>AbEF</v>
      </c>
      <c r="BE86" s="492" t="str">
        <f t="shared" ca="1" si="135"/>
        <v>LGOO6AbEF</v>
      </c>
      <c r="BF86" s="447" t="s">
        <v>615</v>
      </c>
      <c r="BG86" s="493">
        <v>32767</v>
      </c>
      <c r="BH86" s="493">
        <v>32767</v>
      </c>
      <c r="BI86" s="447">
        <f t="shared" ca="1" si="136"/>
        <v>36</v>
      </c>
      <c r="BJ86" s="447">
        <f t="shared" ca="1" si="103"/>
        <v>36</v>
      </c>
      <c r="BK86" s="493">
        <v>43070</v>
      </c>
      <c r="BL86" s="447">
        <f t="shared" ca="1" si="137"/>
        <v>8</v>
      </c>
      <c r="BM86" s="447" t="s">
        <v>64</v>
      </c>
      <c r="BN86" s="512" t="s">
        <v>102</v>
      </c>
      <c r="BO86" s="423" t="s">
        <v>3404</v>
      </c>
      <c r="BP86" s="513"/>
      <c r="BQ86" s="514" t="str">
        <f t="shared" si="138"/>
        <v>2FP</v>
      </c>
    </row>
    <row r="87" spans="1:69" ht="19.95" customHeight="1">
      <c r="A87" s="422" t="s">
        <v>1409</v>
      </c>
      <c r="B87" s="423" t="s">
        <v>157</v>
      </c>
      <c r="C87" s="424">
        <v>22</v>
      </c>
      <c r="D87" s="424"/>
      <c r="E87" s="424"/>
      <c r="F87" s="424"/>
      <c r="G87" s="424"/>
      <c r="H87" s="424"/>
      <c r="I87" s="422" t="s">
        <v>2300</v>
      </c>
      <c r="J87" s="421" t="str">
        <f t="shared" si="124"/>
        <v>LGOO6Ab</v>
      </c>
      <c r="K87" s="421" t="str">
        <f t="shared" si="125"/>
        <v>LGOO6AbM</v>
      </c>
      <c r="L87" s="447" t="str">
        <f t="shared" si="126"/>
        <v>AbM</v>
      </c>
      <c r="M87" s="932">
        <v>3</v>
      </c>
      <c r="N87" s="932">
        <v>3</v>
      </c>
      <c r="O87" s="932">
        <v>3</v>
      </c>
      <c r="P87" s="932">
        <v>3</v>
      </c>
      <c r="Q87" s="940"/>
      <c r="R87" s="940"/>
      <c r="S87" s="940"/>
      <c r="T87" s="940"/>
      <c r="U87" s="940"/>
      <c r="V87" s="940"/>
      <c r="W87" s="940"/>
      <c r="X87" s="948"/>
      <c r="Y87" s="948"/>
      <c r="Z87" s="948"/>
      <c r="AA87" s="948"/>
      <c r="AB87" s="948"/>
      <c r="AC87" s="948"/>
      <c r="AD87" s="616"/>
      <c r="AE87" s="616"/>
      <c r="AF87" s="616"/>
      <c r="AG87" s="616"/>
      <c r="AH87" s="448">
        <f t="shared" si="127"/>
        <v>783828</v>
      </c>
      <c r="AI87" s="449">
        <f t="shared" si="128"/>
        <v>783828</v>
      </c>
      <c r="AJ87" s="450">
        <v>1</v>
      </c>
      <c r="AK87" s="452" t="s">
        <v>617</v>
      </c>
      <c r="AL87" s="447" t="s">
        <v>62</v>
      </c>
      <c r="AM87" s="447" t="s">
        <v>158</v>
      </c>
      <c r="AN87" s="447">
        <v>310100100001000</v>
      </c>
      <c r="AO87" s="305" t="s">
        <v>408</v>
      </c>
      <c r="AP87" s="305" t="s">
        <v>2423</v>
      </c>
      <c r="AQ87" s="306" t="s">
        <v>2432</v>
      </c>
      <c r="AR87" s="306" t="s">
        <v>562</v>
      </c>
      <c r="AS87" s="306" t="s">
        <v>618</v>
      </c>
      <c r="AT87" s="306" t="s">
        <v>1906</v>
      </c>
      <c r="AU87" s="306" t="str">
        <f t="shared" si="129"/>
        <v>P</v>
      </c>
      <c r="AV87" s="306" t="str">
        <f t="shared" si="130"/>
        <v>Ephraim P. Turqueza</v>
      </c>
      <c r="AW87" s="306" t="str">
        <f t="shared" si="139"/>
        <v>TURQUEZA, Ephraim Pascua</v>
      </c>
      <c r="AX87" s="305" t="s">
        <v>408</v>
      </c>
      <c r="AY87" s="424" t="s">
        <v>62</v>
      </c>
      <c r="AZ87" s="472">
        <v>20085</v>
      </c>
      <c r="BA87" s="101">
        <f t="shared" ca="1" si="131"/>
        <v>71</v>
      </c>
      <c r="BB87" s="492" t="str">
        <f t="shared" ca="1" si="132"/>
        <v>VACANT</v>
      </c>
      <c r="BC87" s="492" t="str">
        <f t="shared" ca="1" si="133"/>
        <v>VACANT</v>
      </c>
      <c r="BD87" s="492" t="str">
        <f t="shared" ca="1" si="134"/>
        <v>VACANTM</v>
      </c>
      <c r="BE87" s="492" t="str">
        <f t="shared" ca="1" si="135"/>
        <v>LGOO6VACANTM</v>
      </c>
      <c r="BF87" s="424" t="s">
        <v>2433</v>
      </c>
      <c r="BG87" s="495">
        <v>32687</v>
      </c>
      <c r="BH87" s="495">
        <v>32687</v>
      </c>
      <c r="BI87" s="447">
        <f t="shared" ca="1" si="136"/>
        <v>36</v>
      </c>
      <c r="BJ87" s="447">
        <f t="shared" ca="1" si="103"/>
        <v>36</v>
      </c>
      <c r="BK87" s="493">
        <v>43070</v>
      </c>
      <c r="BL87" s="447">
        <f t="shared" ca="1" si="137"/>
        <v>8</v>
      </c>
      <c r="BM87" s="424" t="s">
        <v>64</v>
      </c>
      <c r="BN87" s="516" t="s">
        <v>102</v>
      </c>
      <c r="BO87" s="517" t="s">
        <v>2740</v>
      </c>
      <c r="BP87" s="513"/>
      <c r="BQ87" s="514" t="str">
        <f t="shared" si="138"/>
        <v>2MP</v>
      </c>
    </row>
    <row r="88" spans="1:69" ht="19.95" customHeight="1">
      <c r="A88" s="422" t="s">
        <v>1410</v>
      </c>
      <c r="B88" s="423" t="s">
        <v>157</v>
      </c>
      <c r="C88" s="424">
        <v>22</v>
      </c>
      <c r="D88" s="424"/>
      <c r="E88" s="424"/>
      <c r="F88" s="424"/>
      <c r="G88" s="424"/>
      <c r="H88" s="424"/>
      <c r="I88" s="422" t="s">
        <v>2300</v>
      </c>
      <c r="J88" s="421" t="str">
        <f t="shared" si="124"/>
        <v>LGOO6Ab</v>
      </c>
      <c r="K88" s="421" t="str">
        <f t="shared" si="125"/>
        <v>LGOO6AbM</v>
      </c>
      <c r="L88" s="447" t="str">
        <f t="shared" si="126"/>
        <v>AbM</v>
      </c>
      <c r="M88" s="932">
        <v>3</v>
      </c>
      <c r="N88" s="932">
        <v>3</v>
      </c>
      <c r="O88" s="932">
        <v>3</v>
      </c>
      <c r="P88" s="932">
        <v>3</v>
      </c>
      <c r="Q88" s="940"/>
      <c r="R88" s="940"/>
      <c r="S88" s="940"/>
      <c r="T88" s="940"/>
      <c r="U88" s="940"/>
      <c r="V88" s="940"/>
      <c r="W88" s="940"/>
      <c r="X88" s="948"/>
      <c r="Y88" s="948"/>
      <c r="Z88" s="948"/>
      <c r="AA88" s="948"/>
      <c r="AB88" s="948"/>
      <c r="AC88" s="948"/>
      <c r="AD88" s="616"/>
      <c r="AE88" s="616"/>
      <c r="AF88" s="616"/>
      <c r="AG88" s="616"/>
      <c r="AH88" s="448">
        <f t="shared" si="127"/>
        <v>783828</v>
      </c>
      <c r="AI88" s="449">
        <f t="shared" si="128"/>
        <v>783828</v>
      </c>
      <c r="AJ88" s="450">
        <v>1</v>
      </c>
      <c r="AK88" s="452" t="s">
        <v>628</v>
      </c>
      <c r="AL88" s="447" t="s">
        <v>62</v>
      </c>
      <c r="AM88" s="447" t="s">
        <v>158</v>
      </c>
      <c r="AN88" s="447">
        <v>310100100001000</v>
      </c>
      <c r="AO88" s="305" t="s">
        <v>408</v>
      </c>
      <c r="AP88" s="305" t="s">
        <v>2423</v>
      </c>
      <c r="AQ88" s="306" t="s">
        <v>2434</v>
      </c>
      <c r="AR88" s="306" t="s">
        <v>629</v>
      </c>
      <c r="AS88" s="306" t="s">
        <v>630</v>
      </c>
      <c r="AT88" s="306" t="s">
        <v>1945</v>
      </c>
      <c r="AU88" s="306" t="str">
        <f t="shared" si="129"/>
        <v>B</v>
      </c>
      <c r="AV88" s="306" t="str">
        <f t="shared" si="130"/>
        <v>Joel B. Lingbaoan</v>
      </c>
      <c r="AW88" s="306" t="str">
        <f t="shared" si="139"/>
        <v>LINGBAOAN, Joel Barbasa</v>
      </c>
      <c r="AX88" s="305" t="s">
        <v>408</v>
      </c>
      <c r="AY88" s="447" t="s">
        <v>62</v>
      </c>
      <c r="AZ88" s="472">
        <v>25014</v>
      </c>
      <c r="BA88" s="101">
        <f t="shared" ca="1" si="131"/>
        <v>57</v>
      </c>
      <c r="BB88" s="492" t="str">
        <f t="shared" ca="1" si="132"/>
        <v>D</v>
      </c>
      <c r="BC88" s="492" t="str">
        <f t="shared" ca="1" si="133"/>
        <v>AbD</v>
      </c>
      <c r="BD88" s="492" t="str">
        <f t="shared" ca="1" si="134"/>
        <v>AbDM</v>
      </c>
      <c r="BE88" s="492" t="str">
        <f t="shared" ca="1" si="135"/>
        <v>LGOO6AbDM</v>
      </c>
      <c r="BF88" s="447" t="s">
        <v>632</v>
      </c>
      <c r="BG88" s="493">
        <v>34608</v>
      </c>
      <c r="BH88" s="494">
        <v>35080</v>
      </c>
      <c r="BI88" s="447">
        <f t="shared" ca="1" si="136"/>
        <v>31</v>
      </c>
      <c r="BJ88" s="447">
        <f t="shared" ca="1" si="103"/>
        <v>30</v>
      </c>
      <c r="BK88" s="493">
        <v>43070</v>
      </c>
      <c r="BL88" s="447">
        <f t="shared" ca="1" si="137"/>
        <v>8</v>
      </c>
      <c r="BM88" s="447" t="s">
        <v>64</v>
      </c>
      <c r="BN88" s="512" t="s">
        <v>102</v>
      </c>
      <c r="BO88" s="423" t="s">
        <v>3405</v>
      </c>
      <c r="BP88" s="513"/>
      <c r="BQ88" s="514" t="str">
        <f t="shared" si="138"/>
        <v>2MP</v>
      </c>
    </row>
    <row r="89" spans="1:69" ht="19.95" customHeight="1">
      <c r="A89" s="422" t="s">
        <v>1411</v>
      </c>
      <c r="B89" s="423" t="s">
        <v>157</v>
      </c>
      <c r="C89" s="424">
        <v>22</v>
      </c>
      <c r="D89" s="424"/>
      <c r="E89" s="424"/>
      <c r="F89" s="424"/>
      <c r="G89" s="424"/>
      <c r="H89" s="424"/>
      <c r="I89" s="422" t="s">
        <v>2300</v>
      </c>
      <c r="J89" s="421" t="str">
        <f t="shared" si="124"/>
        <v>LGOO6Ab</v>
      </c>
      <c r="K89" s="421" t="str">
        <f t="shared" si="125"/>
        <v>LGOO6AbF</v>
      </c>
      <c r="L89" s="447" t="str">
        <f t="shared" si="126"/>
        <v>AbF</v>
      </c>
      <c r="M89" s="932">
        <v>3</v>
      </c>
      <c r="N89" s="932">
        <v>3</v>
      </c>
      <c r="O89" s="932">
        <v>3</v>
      </c>
      <c r="P89" s="932">
        <v>3</v>
      </c>
      <c r="Q89" s="940"/>
      <c r="R89" s="940"/>
      <c r="S89" s="940"/>
      <c r="T89" s="940"/>
      <c r="U89" s="940"/>
      <c r="V89" s="940"/>
      <c r="W89" s="940"/>
      <c r="X89" s="948"/>
      <c r="Y89" s="948"/>
      <c r="Z89" s="948"/>
      <c r="AA89" s="948"/>
      <c r="AB89" s="948"/>
      <c r="AC89" s="948"/>
      <c r="AD89" s="616"/>
      <c r="AE89" s="616"/>
      <c r="AF89" s="616"/>
      <c r="AG89" s="616"/>
      <c r="AH89" s="448">
        <f t="shared" si="127"/>
        <v>783828</v>
      </c>
      <c r="AI89" s="449">
        <f t="shared" si="128"/>
        <v>783828</v>
      </c>
      <c r="AJ89" s="450">
        <v>1</v>
      </c>
      <c r="AK89" s="452" t="s">
        <v>634</v>
      </c>
      <c r="AL89" s="447" t="s">
        <v>62</v>
      </c>
      <c r="AM89" s="447" t="s">
        <v>158</v>
      </c>
      <c r="AN89" s="447">
        <v>310100100001000</v>
      </c>
      <c r="AO89" s="305" t="s">
        <v>408</v>
      </c>
      <c r="AP89" s="305" t="s">
        <v>2423</v>
      </c>
      <c r="AQ89" s="306" t="s">
        <v>2435</v>
      </c>
      <c r="AR89" s="305" t="s">
        <v>635</v>
      </c>
      <c r="AS89" s="305" t="s">
        <v>636</v>
      </c>
      <c r="AT89" s="305" t="s">
        <v>2436</v>
      </c>
      <c r="AU89" s="306" t="str">
        <f t="shared" si="129"/>
        <v>B</v>
      </c>
      <c r="AV89" s="306" t="str">
        <f t="shared" si="130"/>
        <v>Mila B. Castillo</v>
      </c>
      <c r="AW89" s="306" t="str">
        <f t="shared" si="139"/>
        <v>CASTILLO, Mila Benedito</v>
      </c>
      <c r="AX89" s="305" t="s">
        <v>408</v>
      </c>
      <c r="AY89" s="447" t="s">
        <v>100</v>
      </c>
      <c r="AZ89" s="472">
        <v>24534</v>
      </c>
      <c r="BA89" s="101">
        <f t="shared" ca="1" si="131"/>
        <v>59</v>
      </c>
      <c r="BB89" s="492" t="str">
        <f t="shared" ca="1" si="132"/>
        <v>D</v>
      </c>
      <c r="BC89" s="492" t="str">
        <f t="shared" ca="1" si="133"/>
        <v>AbD</v>
      </c>
      <c r="BD89" s="492" t="str">
        <f t="shared" ca="1" si="134"/>
        <v>AbDF</v>
      </c>
      <c r="BE89" s="492" t="str">
        <f t="shared" ca="1" si="135"/>
        <v>LGOO6AbDF</v>
      </c>
      <c r="BF89" s="447" t="s">
        <v>638</v>
      </c>
      <c r="BG89" s="493">
        <v>33462</v>
      </c>
      <c r="BH89" s="493">
        <v>33462</v>
      </c>
      <c r="BI89" s="447">
        <f t="shared" ca="1" si="136"/>
        <v>34</v>
      </c>
      <c r="BJ89" s="447">
        <f t="shared" ca="1" si="103"/>
        <v>34</v>
      </c>
      <c r="BK89" s="493">
        <v>43070</v>
      </c>
      <c r="BL89" s="447">
        <f t="shared" ca="1" si="137"/>
        <v>8</v>
      </c>
      <c r="BM89" s="447" t="s">
        <v>64</v>
      </c>
      <c r="BN89" s="512" t="s">
        <v>102</v>
      </c>
      <c r="BO89" s="423" t="s">
        <v>2730</v>
      </c>
      <c r="BP89" s="513"/>
      <c r="BQ89" s="514" t="str">
        <f t="shared" si="138"/>
        <v>2FP</v>
      </c>
    </row>
    <row r="90" spans="1:69" ht="19.95" customHeight="1">
      <c r="A90" s="422" t="s">
        <v>2437</v>
      </c>
      <c r="B90" s="423" t="s">
        <v>157</v>
      </c>
      <c r="C90" s="424">
        <v>22</v>
      </c>
      <c r="D90" s="424"/>
      <c r="E90" s="424"/>
      <c r="F90" s="424"/>
      <c r="G90" s="424"/>
      <c r="H90" s="424"/>
      <c r="I90" s="422" t="s">
        <v>2300</v>
      </c>
      <c r="J90" s="421" t="str">
        <f t="shared" si="124"/>
        <v>Vacant</v>
      </c>
      <c r="K90" s="421" t="str">
        <f t="shared" si="125"/>
        <v>Vacant</v>
      </c>
      <c r="L90" s="447" t="str">
        <f t="shared" si="126"/>
        <v>XXX</v>
      </c>
      <c r="M90" s="932">
        <v>3</v>
      </c>
      <c r="N90" s="932">
        <v>3</v>
      </c>
      <c r="O90" s="932">
        <v>3</v>
      </c>
      <c r="P90" s="932">
        <v>3</v>
      </c>
      <c r="Q90" s="940"/>
      <c r="R90" s="940"/>
      <c r="S90" s="940"/>
      <c r="T90" s="940"/>
      <c r="U90" s="940"/>
      <c r="V90" s="940"/>
      <c r="W90" s="940"/>
      <c r="X90" s="948"/>
      <c r="Y90" s="948"/>
      <c r="Z90" s="948"/>
      <c r="AA90" s="948"/>
      <c r="AB90" s="948"/>
      <c r="AC90" s="948"/>
      <c r="AD90" s="616"/>
      <c r="AE90" s="616"/>
      <c r="AF90" s="616"/>
      <c r="AG90" s="616"/>
      <c r="AH90" s="448">
        <f t="shared" si="127"/>
        <v>783828</v>
      </c>
      <c r="AI90" s="449">
        <f t="shared" si="128"/>
        <v>0</v>
      </c>
      <c r="AJ90" s="450">
        <v>0</v>
      </c>
      <c r="AK90" s="452" t="s">
        <v>2438</v>
      </c>
      <c r="AL90" s="447" t="s">
        <v>54</v>
      </c>
      <c r="AM90" s="447" t="s">
        <v>55</v>
      </c>
      <c r="AN90" s="447">
        <v>310100100001000</v>
      </c>
      <c r="AO90" s="305" t="s">
        <v>211</v>
      </c>
      <c r="AP90" s="305" t="s">
        <v>2439</v>
      </c>
      <c r="AQ90" s="306" t="s">
        <v>2439</v>
      </c>
      <c r="AR90" s="306" t="s">
        <v>2440</v>
      </c>
      <c r="AS90" s="306"/>
      <c r="AT90" s="306"/>
      <c r="AU90" s="306" t="str">
        <f t="shared" si="129"/>
        <v/>
      </c>
      <c r="AV90" s="306" t="str">
        <f t="shared" si="130"/>
        <v xml:space="preserve"> . Vacant Aliño</v>
      </c>
      <c r="AW90" s="306" t="str">
        <f t="shared" si="139"/>
        <v xml:space="preserve">Vacant ALIÑO,  </v>
      </c>
      <c r="AX90" s="305"/>
      <c r="AY90" s="447"/>
      <c r="AZ90" s="472"/>
      <c r="BA90" s="101">
        <f t="shared" ca="1" si="131"/>
        <v>126</v>
      </c>
      <c r="BB90" s="492" t="str">
        <f t="shared" ca="1" si="132"/>
        <v>VACANT</v>
      </c>
      <c r="BC90" s="492" t="str">
        <f t="shared" si="133"/>
        <v>XXX</v>
      </c>
      <c r="BD90" s="492" t="str">
        <f t="shared" si="134"/>
        <v>XXX</v>
      </c>
      <c r="BE90" s="492" t="str">
        <f t="shared" si="135"/>
        <v>LGOO6XXX</v>
      </c>
      <c r="BF90" s="447"/>
      <c r="BG90" s="493"/>
      <c r="BH90" s="493"/>
      <c r="BI90" s="447">
        <f t="shared" ca="1" si="136"/>
        <v>126</v>
      </c>
      <c r="BJ90" s="447">
        <f t="shared" ca="1" si="103"/>
        <v>126</v>
      </c>
      <c r="BK90" s="493"/>
      <c r="BL90" s="447">
        <f t="shared" ca="1" si="137"/>
        <v>126</v>
      </c>
      <c r="BM90" s="447"/>
      <c r="BN90" s="512"/>
      <c r="BO90" s="423"/>
      <c r="BP90" s="513"/>
      <c r="BQ90" s="514" t="str">
        <f t="shared" si="138"/>
        <v>2</v>
      </c>
    </row>
    <row r="91" spans="1:69" ht="19.95" customHeight="1">
      <c r="A91" s="422" t="s">
        <v>2441</v>
      </c>
      <c r="B91" s="423" t="s">
        <v>157</v>
      </c>
      <c r="C91" s="424">
        <v>22</v>
      </c>
      <c r="D91" s="424"/>
      <c r="E91" s="424"/>
      <c r="F91" s="424"/>
      <c r="G91" s="424"/>
      <c r="H91" s="424"/>
      <c r="I91" s="422" t="s">
        <v>2300</v>
      </c>
      <c r="J91" s="421" t="str">
        <f t="shared" si="124"/>
        <v>Vacant</v>
      </c>
      <c r="K91" s="421" t="str">
        <f t="shared" si="125"/>
        <v>Vacant</v>
      </c>
      <c r="L91" s="447" t="str">
        <f t="shared" si="126"/>
        <v>XXX</v>
      </c>
      <c r="M91" s="932">
        <v>3</v>
      </c>
      <c r="N91" s="932">
        <v>3</v>
      </c>
      <c r="O91" s="932">
        <v>3</v>
      </c>
      <c r="P91" s="932">
        <v>3</v>
      </c>
      <c r="Q91" s="940"/>
      <c r="R91" s="940"/>
      <c r="S91" s="940"/>
      <c r="T91" s="940"/>
      <c r="U91" s="940"/>
      <c r="V91" s="940"/>
      <c r="W91" s="940"/>
      <c r="X91" s="948"/>
      <c r="Y91" s="948"/>
      <c r="Z91" s="948"/>
      <c r="AA91" s="948"/>
      <c r="AB91" s="948"/>
      <c r="AC91" s="948"/>
      <c r="AD91" s="616"/>
      <c r="AE91" s="616"/>
      <c r="AF91" s="616"/>
      <c r="AG91" s="616"/>
      <c r="AH91" s="448">
        <f t="shared" si="127"/>
        <v>783828</v>
      </c>
      <c r="AI91" s="449">
        <f t="shared" si="128"/>
        <v>0</v>
      </c>
      <c r="AJ91" s="450">
        <v>0</v>
      </c>
      <c r="AK91" s="452" t="s">
        <v>53</v>
      </c>
      <c r="AL91" s="447" t="s">
        <v>54</v>
      </c>
      <c r="AM91" s="447" t="s">
        <v>55</v>
      </c>
      <c r="AN91" s="447">
        <v>310100100001000</v>
      </c>
      <c r="AO91" s="305" t="s">
        <v>181</v>
      </c>
      <c r="AP91" s="305" t="s">
        <v>2404</v>
      </c>
      <c r="AQ91" s="306" t="s">
        <v>2442</v>
      </c>
      <c r="AR91" s="306" t="s">
        <v>2443</v>
      </c>
      <c r="AS91" s="306"/>
      <c r="AT91" s="306"/>
      <c r="AU91" s="306" t="str">
        <f t="shared" si="129"/>
        <v/>
      </c>
      <c r="AV91" s="306" t="str">
        <f t="shared" si="130"/>
        <v xml:space="preserve"> . Vacant Abulencia</v>
      </c>
      <c r="AW91" s="306" t="str">
        <f t="shared" si="139"/>
        <v xml:space="preserve">Vacant ABULENCIA,  </v>
      </c>
      <c r="AX91" s="305"/>
      <c r="AY91" s="447"/>
      <c r="AZ91" s="472"/>
      <c r="BA91" s="101">
        <f t="shared" ca="1" si="131"/>
        <v>126</v>
      </c>
      <c r="BB91" s="492" t="str">
        <f t="shared" ca="1" si="132"/>
        <v>VACANT</v>
      </c>
      <c r="BC91" s="492" t="str">
        <f t="shared" si="133"/>
        <v>XXX</v>
      </c>
      <c r="BD91" s="492" t="str">
        <f t="shared" si="134"/>
        <v>XXX</v>
      </c>
      <c r="BE91" s="492" t="str">
        <f t="shared" si="135"/>
        <v>LGOO6XXX</v>
      </c>
      <c r="BF91" s="447"/>
      <c r="BG91" s="493"/>
      <c r="BH91" s="493"/>
      <c r="BI91" s="447">
        <f t="shared" ca="1" si="136"/>
        <v>126</v>
      </c>
      <c r="BJ91" s="447">
        <f t="shared" ca="1" si="103"/>
        <v>126</v>
      </c>
      <c r="BK91" s="493"/>
      <c r="BL91" s="447">
        <f t="shared" ca="1" si="137"/>
        <v>126</v>
      </c>
      <c r="BM91" s="447"/>
      <c r="BN91" s="512"/>
      <c r="BO91" s="423"/>
      <c r="BP91" s="513"/>
      <c r="BQ91" s="514" t="str">
        <f t="shared" si="138"/>
        <v>2</v>
      </c>
    </row>
    <row r="92" spans="1:69" ht="19.95" customHeight="1">
      <c r="A92" s="422" t="s">
        <v>1413</v>
      </c>
      <c r="B92" s="423" t="s">
        <v>157</v>
      </c>
      <c r="C92" s="424">
        <v>22</v>
      </c>
      <c r="D92" s="424"/>
      <c r="E92" s="424"/>
      <c r="F92" s="424"/>
      <c r="G92" s="424"/>
      <c r="H92" s="424"/>
      <c r="I92" s="422" t="s">
        <v>2300</v>
      </c>
      <c r="J92" s="421" t="str">
        <f t="shared" si="124"/>
        <v>LGOO6Ab</v>
      </c>
      <c r="K92" s="421" t="str">
        <f t="shared" si="125"/>
        <v>LGOO6AbM</v>
      </c>
      <c r="L92" s="447" t="str">
        <f t="shared" si="126"/>
        <v>AbM</v>
      </c>
      <c r="M92" s="932">
        <v>3</v>
      </c>
      <c r="N92" s="932">
        <v>3</v>
      </c>
      <c r="O92" s="932">
        <v>3</v>
      </c>
      <c r="P92" s="932">
        <v>3</v>
      </c>
      <c r="Q92" s="940"/>
      <c r="R92" s="940"/>
      <c r="S92" s="940"/>
      <c r="T92" s="940"/>
      <c r="U92" s="940"/>
      <c r="V92" s="940"/>
      <c r="W92" s="940"/>
      <c r="X92" s="948"/>
      <c r="Y92" s="948"/>
      <c r="Z92" s="948"/>
      <c r="AA92" s="948"/>
      <c r="AB92" s="948"/>
      <c r="AC92" s="948"/>
      <c r="AD92" s="616"/>
      <c r="AE92" s="616"/>
      <c r="AF92" s="616"/>
      <c r="AG92" s="616"/>
      <c r="AH92" s="448">
        <f t="shared" si="127"/>
        <v>783828</v>
      </c>
      <c r="AI92" s="449">
        <f t="shared" si="128"/>
        <v>783828</v>
      </c>
      <c r="AJ92" s="450">
        <v>1</v>
      </c>
      <c r="AK92" s="452" t="s">
        <v>640</v>
      </c>
      <c r="AL92" s="447" t="s">
        <v>62</v>
      </c>
      <c r="AM92" s="447" t="s">
        <v>158</v>
      </c>
      <c r="AN92" s="447">
        <v>310100100001000</v>
      </c>
      <c r="AO92" s="305" t="s">
        <v>408</v>
      </c>
      <c r="AP92" s="305" t="s">
        <v>2423</v>
      </c>
      <c r="AQ92" s="306" t="s">
        <v>2444</v>
      </c>
      <c r="AR92" s="305" t="s">
        <v>467</v>
      </c>
      <c r="AS92" s="305" t="s">
        <v>2050</v>
      </c>
      <c r="AT92" s="305" t="s">
        <v>2051</v>
      </c>
      <c r="AU92" s="306" t="str">
        <f t="shared" si="129"/>
        <v>B</v>
      </c>
      <c r="AV92" s="306" t="str">
        <f t="shared" si="130"/>
        <v>Crescencio Ii B. Calina</v>
      </c>
      <c r="AW92" s="306" t="str">
        <f t="shared" si="139"/>
        <v>CALINA, Crescencio II Benauro</v>
      </c>
      <c r="AX92" s="305" t="s">
        <v>408</v>
      </c>
      <c r="AY92" s="447" t="s">
        <v>62</v>
      </c>
      <c r="AZ92" s="472">
        <v>30645</v>
      </c>
      <c r="BA92" s="101">
        <f t="shared" ca="1" si="131"/>
        <v>42</v>
      </c>
      <c r="BB92" s="492" t="str">
        <f t="shared" ca="1" si="132"/>
        <v>C</v>
      </c>
      <c r="BC92" s="492" t="str">
        <f t="shared" ca="1" si="133"/>
        <v>AbC</v>
      </c>
      <c r="BD92" s="492" t="str">
        <f t="shared" ca="1" si="134"/>
        <v>AbCM</v>
      </c>
      <c r="BE92" s="492" t="str">
        <f t="shared" ca="1" si="135"/>
        <v>LGOO6AbCM</v>
      </c>
      <c r="BF92" s="447" t="s">
        <v>2445</v>
      </c>
      <c r="BG92" s="493">
        <v>41157</v>
      </c>
      <c r="BH92" s="494">
        <v>41157</v>
      </c>
      <c r="BI92" s="447">
        <f t="shared" ca="1" si="136"/>
        <v>13</v>
      </c>
      <c r="BJ92" s="447">
        <f t="shared" ca="1" si="103"/>
        <v>13</v>
      </c>
      <c r="BK92" s="493">
        <v>43070</v>
      </c>
      <c r="BL92" s="447">
        <f t="shared" ca="1" si="137"/>
        <v>8</v>
      </c>
      <c r="BM92" s="447" t="s">
        <v>64</v>
      </c>
      <c r="BN92" s="512" t="s">
        <v>102</v>
      </c>
      <c r="BO92" s="423" t="s">
        <v>2726</v>
      </c>
      <c r="BP92" s="513"/>
      <c r="BQ92" s="514" t="str">
        <f t="shared" si="138"/>
        <v>2MP</v>
      </c>
    </row>
    <row r="93" spans="1:69" ht="19.95" customHeight="1">
      <c r="A93" s="422" t="s">
        <v>1414</v>
      </c>
      <c r="B93" s="423" t="s">
        <v>157</v>
      </c>
      <c r="C93" s="424">
        <v>22</v>
      </c>
      <c r="D93" s="424"/>
      <c r="E93" s="424"/>
      <c r="F93" s="424"/>
      <c r="G93" s="424"/>
      <c r="H93" s="424"/>
      <c r="I93" s="422" t="s">
        <v>2300</v>
      </c>
      <c r="J93" s="421" t="str">
        <f t="shared" si="124"/>
        <v>LGOO6Ab</v>
      </c>
      <c r="K93" s="421" t="str">
        <f t="shared" si="125"/>
        <v>LGOO6AbF</v>
      </c>
      <c r="L93" s="447" t="str">
        <f t="shared" si="126"/>
        <v>AbF</v>
      </c>
      <c r="M93" s="932">
        <v>3</v>
      </c>
      <c r="N93" s="932">
        <v>3</v>
      </c>
      <c r="O93" s="932">
        <v>3</v>
      </c>
      <c r="P93" s="932">
        <v>3</v>
      </c>
      <c r="Q93" s="940"/>
      <c r="R93" s="940"/>
      <c r="S93" s="940"/>
      <c r="T93" s="940"/>
      <c r="U93" s="940"/>
      <c r="V93" s="940"/>
      <c r="W93" s="940"/>
      <c r="X93" s="948"/>
      <c r="Y93" s="948"/>
      <c r="Z93" s="948"/>
      <c r="AA93" s="948"/>
      <c r="AB93" s="948"/>
      <c r="AC93" s="948"/>
      <c r="AD93" s="616"/>
      <c r="AE93" s="616"/>
      <c r="AF93" s="616"/>
      <c r="AG93" s="616"/>
      <c r="AH93" s="448">
        <f t="shared" si="127"/>
        <v>783828</v>
      </c>
      <c r="AI93" s="449">
        <f t="shared" si="128"/>
        <v>783828</v>
      </c>
      <c r="AJ93" s="450">
        <v>1</v>
      </c>
      <c r="AK93" s="452" t="s">
        <v>465</v>
      </c>
      <c r="AL93" s="447" t="s">
        <v>64</v>
      </c>
      <c r="AM93" s="447" t="s">
        <v>158</v>
      </c>
      <c r="AN93" s="447">
        <v>310100100001000</v>
      </c>
      <c r="AO93" s="305" t="s">
        <v>408</v>
      </c>
      <c r="AP93" s="305" t="s">
        <v>2404</v>
      </c>
      <c r="AQ93" s="306" t="s">
        <v>408</v>
      </c>
      <c r="AR93" s="305" t="s">
        <v>595</v>
      </c>
      <c r="AS93" s="305" t="s">
        <v>646</v>
      </c>
      <c r="AT93" s="305" t="s">
        <v>1919</v>
      </c>
      <c r="AU93" s="306" t="str">
        <f t="shared" si="129"/>
        <v>H</v>
      </c>
      <c r="AV93" s="306" t="str">
        <f t="shared" si="130"/>
        <v>Erma H. Cariño</v>
      </c>
      <c r="AW93" s="306" t="str">
        <f t="shared" si="139"/>
        <v>CARIÑO, Erma Hernandez</v>
      </c>
      <c r="AX93" s="305" t="s">
        <v>408</v>
      </c>
      <c r="AY93" s="447" t="s">
        <v>100</v>
      </c>
      <c r="AZ93" s="472">
        <v>21073</v>
      </c>
      <c r="BA93" s="101">
        <f t="shared" ca="1" si="131"/>
        <v>68</v>
      </c>
      <c r="BB93" s="492" t="str">
        <f t="shared" ca="1" si="132"/>
        <v>VACANT</v>
      </c>
      <c r="BC93" s="492" t="str">
        <f t="shared" ca="1" si="133"/>
        <v>VACANT</v>
      </c>
      <c r="BD93" s="492" t="str">
        <f t="shared" ca="1" si="134"/>
        <v>VACANTF</v>
      </c>
      <c r="BE93" s="492" t="str">
        <f t="shared" ca="1" si="135"/>
        <v>LGOO6VACANTF</v>
      </c>
      <c r="BF93" s="447" t="s">
        <v>649</v>
      </c>
      <c r="BG93" s="493">
        <v>33462</v>
      </c>
      <c r="BH93" s="493">
        <v>33462</v>
      </c>
      <c r="BI93" s="447">
        <f t="shared" ca="1" si="136"/>
        <v>34</v>
      </c>
      <c r="BJ93" s="447">
        <f t="shared" ca="1" si="103"/>
        <v>34</v>
      </c>
      <c r="BK93" s="493">
        <v>43070</v>
      </c>
      <c r="BL93" s="447">
        <f t="shared" ca="1" si="137"/>
        <v>8</v>
      </c>
      <c r="BM93" s="447" t="s">
        <v>64</v>
      </c>
      <c r="BN93" s="512" t="s">
        <v>102</v>
      </c>
      <c r="BO93" s="423" t="s">
        <v>2254</v>
      </c>
      <c r="BP93" s="513"/>
      <c r="BQ93" s="514" t="str">
        <f t="shared" si="138"/>
        <v>2FP</v>
      </c>
    </row>
    <row r="94" spans="1:69" ht="19.95" customHeight="1">
      <c r="A94" s="422" t="s">
        <v>2446</v>
      </c>
      <c r="B94" s="423" t="s">
        <v>157</v>
      </c>
      <c r="C94" s="424">
        <v>22</v>
      </c>
      <c r="D94" s="424"/>
      <c r="E94" s="424"/>
      <c r="F94" s="424"/>
      <c r="G94" s="424"/>
      <c r="H94" s="424"/>
      <c r="I94" s="422" t="s">
        <v>2300</v>
      </c>
      <c r="J94" s="421" t="str">
        <f t="shared" si="124"/>
        <v>LGOO6BC</v>
      </c>
      <c r="K94" s="421" t="str">
        <f t="shared" si="125"/>
        <v>LGOO6BCF</v>
      </c>
      <c r="L94" s="447" t="str">
        <f t="shared" si="126"/>
        <v>BCF</v>
      </c>
      <c r="M94" s="932">
        <v>3</v>
      </c>
      <c r="N94" s="932">
        <v>3</v>
      </c>
      <c r="O94" s="932">
        <v>3</v>
      </c>
      <c r="P94" s="932">
        <v>3</v>
      </c>
      <c r="Q94" s="940"/>
      <c r="R94" s="940"/>
      <c r="S94" s="940"/>
      <c r="T94" s="940"/>
      <c r="U94" s="940"/>
      <c r="V94" s="940"/>
      <c r="W94" s="940"/>
      <c r="X94" s="948"/>
      <c r="Y94" s="948"/>
      <c r="Z94" s="948"/>
      <c r="AA94" s="948"/>
      <c r="AB94" s="948"/>
      <c r="AC94" s="948"/>
      <c r="AD94" s="616"/>
      <c r="AE94" s="616"/>
      <c r="AF94" s="616"/>
      <c r="AG94" s="616"/>
      <c r="AH94" s="448">
        <f t="shared" si="127"/>
        <v>783828</v>
      </c>
      <c r="AI94" s="449">
        <f t="shared" si="128"/>
        <v>796620</v>
      </c>
      <c r="AJ94" s="450">
        <v>2</v>
      </c>
      <c r="AK94" s="452" t="s">
        <v>53</v>
      </c>
      <c r="AL94" s="447" t="s">
        <v>54</v>
      </c>
      <c r="AM94" s="447" t="s">
        <v>55</v>
      </c>
      <c r="AN94" s="447">
        <v>310100100001000</v>
      </c>
      <c r="AO94" s="305" t="s">
        <v>174</v>
      </c>
      <c r="AP94" s="305" t="s">
        <v>2402</v>
      </c>
      <c r="AQ94" s="306" t="s">
        <v>2447</v>
      </c>
      <c r="AR94" s="305" t="s">
        <v>1966</v>
      </c>
      <c r="AS94" s="305" t="s">
        <v>2448</v>
      </c>
      <c r="AT94" s="305" t="s">
        <v>1967</v>
      </c>
      <c r="AU94" s="306" t="str">
        <f t="shared" si="129"/>
        <v>L</v>
      </c>
      <c r="AV94" s="306" t="str">
        <f t="shared" si="130"/>
        <v>Anabelle  L. Camacho</v>
      </c>
      <c r="AW94" s="306" t="str">
        <f t="shared" si="139"/>
        <v>CAMACHO, Anabelle  Laron</v>
      </c>
      <c r="AX94" s="305" t="s">
        <v>189</v>
      </c>
      <c r="AY94" s="447" t="s">
        <v>100</v>
      </c>
      <c r="AZ94" s="472">
        <v>27616</v>
      </c>
      <c r="BA94" s="101">
        <f t="shared" ca="1" si="131"/>
        <v>50</v>
      </c>
      <c r="BB94" s="492" t="str">
        <f t="shared" ca="1" si="132"/>
        <v>D</v>
      </c>
      <c r="BC94" s="492" t="str">
        <f t="shared" ca="1" si="133"/>
        <v>BCD</v>
      </c>
      <c r="BD94" s="492" t="str">
        <f t="shared" ca="1" si="134"/>
        <v>BCDF</v>
      </c>
      <c r="BE94" s="492" t="str">
        <f t="shared" ca="1" si="135"/>
        <v>LGOO6BCDF</v>
      </c>
      <c r="BF94" s="447" t="s">
        <v>789</v>
      </c>
      <c r="BG94" s="493">
        <v>35660</v>
      </c>
      <c r="BH94" s="493">
        <v>35660</v>
      </c>
      <c r="BI94" s="447">
        <f t="shared" ca="1" si="136"/>
        <v>28</v>
      </c>
      <c r="BJ94" s="447">
        <f t="shared" ca="1" si="103"/>
        <v>28</v>
      </c>
      <c r="BK94" s="493">
        <v>41711</v>
      </c>
      <c r="BL94" s="447">
        <f t="shared" ca="1" si="137"/>
        <v>12</v>
      </c>
      <c r="BM94" s="447" t="s">
        <v>64</v>
      </c>
      <c r="BN94" s="512" t="s">
        <v>102</v>
      </c>
      <c r="BO94" s="423" t="s">
        <v>3400</v>
      </c>
      <c r="BP94" s="513"/>
      <c r="BQ94" s="514" t="str">
        <f t="shared" si="138"/>
        <v>2FP</v>
      </c>
    </row>
    <row r="95" spans="1:69" ht="19.95" customHeight="1">
      <c r="A95" s="422" t="s">
        <v>1415</v>
      </c>
      <c r="B95" s="423" t="s">
        <v>157</v>
      </c>
      <c r="C95" s="424">
        <v>22</v>
      </c>
      <c r="D95" s="424"/>
      <c r="E95" s="424"/>
      <c r="F95" s="424"/>
      <c r="G95" s="424"/>
      <c r="H95" s="424"/>
      <c r="I95" s="422" t="s">
        <v>2300</v>
      </c>
      <c r="J95" s="421" t="str">
        <f t="shared" si="124"/>
        <v>LGOO6Ab</v>
      </c>
      <c r="K95" s="421" t="str">
        <f t="shared" si="125"/>
        <v>LGOO6AbF</v>
      </c>
      <c r="L95" s="447" t="str">
        <f t="shared" si="126"/>
        <v>AbF</v>
      </c>
      <c r="M95" s="932">
        <v>3</v>
      </c>
      <c r="N95" s="932">
        <v>3</v>
      </c>
      <c r="O95" s="932">
        <v>3</v>
      </c>
      <c r="P95" s="932">
        <v>3</v>
      </c>
      <c r="Q95" s="940"/>
      <c r="R95" s="940"/>
      <c r="S95" s="940"/>
      <c r="T95" s="940"/>
      <c r="U95" s="940"/>
      <c r="V95" s="940"/>
      <c r="W95" s="940"/>
      <c r="X95" s="948"/>
      <c r="Y95" s="948"/>
      <c r="Z95" s="948"/>
      <c r="AA95" s="948"/>
      <c r="AB95" s="948"/>
      <c r="AC95" s="948"/>
      <c r="AD95" s="616"/>
      <c r="AE95" s="616"/>
      <c r="AF95" s="616"/>
      <c r="AG95" s="616"/>
      <c r="AH95" s="448">
        <f t="shared" si="127"/>
        <v>783828</v>
      </c>
      <c r="AI95" s="449">
        <f t="shared" si="128"/>
        <v>783828</v>
      </c>
      <c r="AJ95" s="450">
        <v>1</v>
      </c>
      <c r="AK95" s="452" t="s">
        <v>651</v>
      </c>
      <c r="AL95" s="447" t="s">
        <v>62</v>
      </c>
      <c r="AM95" s="447" t="s">
        <v>158</v>
      </c>
      <c r="AN95" s="447">
        <v>310100100001000</v>
      </c>
      <c r="AO95" s="305" t="s">
        <v>408</v>
      </c>
      <c r="AP95" s="305" t="s">
        <v>2423</v>
      </c>
      <c r="AQ95" s="306" t="s">
        <v>2449</v>
      </c>
      <c r="AR95" s="306" t="s">
        <v>963</v>
      </c>
      <c r="AS95" s="306" t="s">
        <v>2450</v>
      </c>
      <c r="AT95" s="306" t="s">
        <v>1977</v>
      </c>
      <c r="AU95" s="306" t="str">
        <f t="shared" si="129"/>
        <v>S</v>
      </c>
      <c r="AV95" s="306" t="str">
        <f t="shared" si="130"/>
        <v>Jean  S. Hernandez</v>
      </c>
      <c r="AW95" s="306" t="str">
        <f t="shared" si="139"/>
        <v>HERNANDEZ, Jean  Smith</v>
      </c>
      <c r="AX95" s="305" t="s">
        <v>408</v>
      </c>
      <c r="AY95" s="447" t="s">
        <v>100</v>
      </c>
      <c r="AZ95" s="472">
        <v>26829</v>
      </c>
      <c r="BA95" s="101">
        <f t="shared" ca="1" si="131"/>
        <v>52</v>
      </c>
      <c r="BB95" s="492" t="str">
        <f t="shared" ca="1" si="132"/>
        <v>D</v>
      </c>
      <c r="BC95" s="492" t="str">
        <f t="shared" ca="1" si="133"/>
        <v>AbD</v>
      </c>
      <c r="BD95" s="492" t="str">
        <f t="shared" ca="1" si="134"/>
        <v>AbDF</v>
      </c>
      <c r="BE95" s="492" t="str">
        <f t="shared" ca="1" si="135"/>
        <v>LGOO6AbDF</v>
      </c>
      <c r="BF95" s="447" t="s">
        <v>966</v>
      </c>
      <c r="BG95" s="493">
        <v>34684</v>
      </c>
      <c r="BH95" s="493">
        <v>34684</v>
      </c>
      <c r="BI95" s="447">
        <f t="shared" ca="1" si="136"/>
        <v>31</v>
      </c>
      <c r="BJ95" s="447">
        <f t="shared" ca="1" si="103"/>
        <v>31</v>
      </c>
      <c r="BK95" s="493">
        <v>43070</v>
      </c>
      <c r="BL95" s="447">
        <f t="shared" ca="1" si="137"/>
        <v>8</v>
      </c>
      <c r="BM95" s="447" t="s">
        <v>64</v>
      </c>
      <c r="BN95" s="512" t="s">
        <v>102</v>
      </c>
      <c r="BO95" s="423" t="s">
        <v>2254</v>
      </c>
      <c r="BP95" s="513" t="s">
        <v>1207</v>
      </c>
      <c r="BQ95" s="514" t="str">
        <f t="shared" si="138"/>
        <v>2FP</v>
      </c>
    </row>
    <row r="96" spans="1:69" ht="19.95" customHeight="1">
      <c r="A96" s="422" t="s">
        <v>1416</v>
      </c>
      <c r="B96" s="423" t="s">
        <v>157</v>
      </c>
      <c r="C96" s="424">
        <v>22</v>
      </c>
      <c r="D96" s="424"/>
      <c r="E96" s="424"/>
      <c r="F96" s="424"/>
      <c r="G96" s="424"/>
      <c r="H96" s="424"/>
      <c r="I96" s="422" t="s">
        <v>2300</v>
      </c>
      <c r="J96" s="421" t="str">
        <f t="shared" si="124"/>
        <v>LGOO6Ab</v>
      </c>
      <c r="K96" s="421" t="str">
        <f t="shared" si="125"/>
        <v>LGOO6AbM</v>
      </c>
      <c r="L96" s="447" t="str">
        <f t="shared" si="126"/>
        <v>AbM</v>
      </c>
      <c r="M96" s="932">
        <v>3</v>
      </c>
      <c r="N96" s="932">
        <v>3</v>
      </c>
      <c r="O96" s="932">
        <v>3</v>
      </c>
      <c r="P96" s="932">
        <v>3</v>
      </c>
      <c r="Q96" s="940"/>
      <c r="R96" s="940"/>
      <c r="S96" s="940"/>
      <c r="T96" s="940"/>
      <c r="U96" s="940"/>
      <c r="V96" s="940"/>
      <c r="W96" s="940"/>
      <c r="X96" s="948"/>
      <c r="Y96" s="948"/>
      <c r="Z96" s="948"/>
      <c r="AA96" s="948"/>
      <c r="AB96" s="948"/>
      <c r="AC96" s="948"/>
      <c r="AD96" s="616"/>
      <c r="AE96" s="616"/>
      <c r="AF96" s="616"/>
      <c r="AG96" s="616"/>
      <c r="AH96" s="448">
        <f t="shared" si="127"/>
        <v>783828</v>
      </c>
      <c r="AI96" s="449">
        <f t="shared" si="128"/>
        <v>783828</v>
      </c>
      <c r="AJ96" s="450">
        <v>1</v>
      </c>
      <c r="AK96" s="452" t="s">
        <v>657</v>
      </c>
      <c r="AL96" s="447" t="s">
        <v>62</v>
      </c>
      <c r="AM96" s="447" t="s">
        <v>158</v>
      </c>
      <c r="AN96" s="447">
        <v>310100100001000</v>
      </c>
      <c r="AO96" s="305" t="s">
        <v>408</v>
      </c>
      <c r="AP96" s="305" t="s">
        <v>2423</v>
      </c>
      <c r="AQ96" s="306" t="s">
        <v>2451</v>
      </c>
      <c r="AR96" s="306" t="s">
        <v>483</v>
      </c>
      <c r="AS96" s="306" t="s">
        <v>658</v>
      </c>
      <c r="AT96" s="306" t="s">
        <v>1980</v>
      </c>
      <c r="AU96" s="306" t="str">
        <f t="shared" si="129"/>
        <v>B</v>
      </c>
      <c r="AV96" s="306" t="str">
        <f t="shared" si="130"/>
        <v>Bernabe B. Trinidad</v>
      </c>
      <c r="AW96" s="306" t="str">
        <f t="shared" si="139"/>
        <v>TRINIDAD, Bernabe Bejarin</v>
      </c>
      <c r="AX96" s="305" t="s">
        <v>408</v>
      </c>
      <c r="AY96" s="447" t="s">
        <v>62</v>
      </c>
      <c r="AZ96" s="472">
        <v>26894</v>
      </c>
      <c r="BA96" s="101">
        <f t="shared" ca="1" si="131"/>
        <v>52</v>
      </c>
      <c r="BB96" s="492" t="str">
        <f t="shared" ca="1" si="132"/>
        <v>D</v>
      </c>
      <c r="BC96" s="492" t="str">
        <f t="shared" ca="1" si="133"/>
        <v>AbD</v>
      </c>
      <c r="BD96" s="492" t="str">
        <f t="shared" ca="1" si="134"/>
        <v>AbDM</v>
      </c>
      <c r="BE96" s="492" t="str">
        <f t="shared" ca="1" si="135"/>
        <v>LGOO6AbDM</v>
      </c>
      <c r="BF96" s="447" t="s">
        <v>660</v>
      </c>
      <c r="BG96" s="493">
        <v>36374</v>
      </c>
      <c r="BH96" s="493">
        <v>36374</v>
      </c>
      <c r="BI96" s="447">
        <f t="shared" ca="1" si="136"/>
        <v>26</v>
      </c>
      <c r="BJ96" s="447">
        <f t="shared" ca="1" si="103"/>
        <v>26</v>
      </c>
      <c r="BK96" s="493">
        <v>43070</v>
      </c>
      <c r="BL96" s="447">
        <f t="shared" ca="1" si="137"/>
        <v>8</v>
      </c>
      <c r="BM96" s="447" t="s">
        <v>64</v>
      </c>
      <c r="BN96" s="512" t="s">
        <v>102</v>
      </c>
      <c r="BO96" s="423" t="s">
        <v>2740</v>
      </c>
      <c r="BP96" s="513"/>
      <c r="BQ96" s="514" t="str">
        <f t="shared" si="138"/>
        <v>2MP</v>
      </c>
    </row>
    <row r="97" spans="1:69" ht="19.95" customHeight="1">
      <c r="A97" s="422" t="s">
        <v>2452</v>
      </c>
      <c r="B97" s="423" t="s">
        <v>157</v>
      </c>
      <c r="C97" s="424">
        <v>22</v>
      </c>
      <c r="D97" s="424"/>
      <c r="E97" s="424"/>
      <c r="F97" s="424"/>
      <c r="G97" s="424"/>
      <c r="H97" s="424"/>
      <c r="I97" s="422" t="s">
        <v>2300</v>
      </c>
      <c r="J97" s="421" t="str">
        <f t="shared" si="124"/>
        <v>Vacant</v>
      </c>
      <c r="K97" s="421" t="str">
        <f t="shared" si="125"/>
        <v>Vacant</v>
      </c>
      <c r="L97" s="447" t="str">
        <f t="shared" si="126"/>
        <v>XXX</v>
      </c>
      <c r="M97" s="932">
        <v>3</v>
      </c>
      <c r="N97" s="932">
        <v>3</v>
      </c>
      <c r="O97" s="932">
        <v>3</v>
      </c>
      <c r="P97" s="932">
        <v>3</v>
      </c>
      <c r="Q97" s="940"/>
      <c r="R97" s="940"/>
      <c r="S97" s="940"/>
      <c r="T97" s="940"/>
      <c r="U97" s="940"/>
      <c r="V97" s="940"/>
      <c r="W97" s="940"/>
      <c r="X97" s="948"/>
      <c r="Y97" s="948"/>
      <c r="Z97" s="948"/>
      <c r="AA97" s="948"/>
      <c r="AB97" s="948"/>
      <c r="AC97" s="948"/>
      <c r="AD97" s="616"/>
      <c r="AE97" s="616"/>
      <c r="AF97" s="616"/>
      <c r="AG97" s="616"/>
      <c r="AH97" s="448">
        <f t="shared" si="127"/>
        <v>783828</v>
      </c>
      <c r="AI97" s="449">
        <f t="shared" si="128"/>
        <v>0</v>
      </c>
      <c r="AJ97" s="450">
        <v>0</v>
      </c>
      <c r="AK97" s="452" t="s">
        <v>197</v>
      </c>
      <c r="AL97" s="447" t="s">
        <v>54</v>
      </c>
      <c r="AM97" s="447" t="s">
        <v>55</v>
      </c>
      <c r="AN97" s="447">
        <v>310100100001000</v>
      </c>
      <c r="AO97" s="305" t="s">
        <v>1542</v>
      </c>
      <c r="AP97" s="305" t="s">
        <v>2404</v>
      </c>
      <c r="AQ97" s="306" t="s">
        <v>167</v>
      </c>
      <c r="AR97" s="305" t="s">
        <v>2453</v>
      </c>
      <c r="AS97" s="305"/>
      <c r="AT97" s="305"/>
      <c r="AU97" s="306" t="str">
        <f t="shared" si="129"/>
        <v/>
      </c>
      <c r="AV97" s="306" t="str">
        <f t="shared" si="130"/>
        <v xml:space="preserve"> . Vacant Appoy</v>
      </c>
      <c r="AW97" s="306" t="str">
        <f t="shared" ref="AW97:AW160" si="140">CONCATENATE(AR97,", ",AS97," ",AT97)</f>
        <v xml:space="preserve">Vacant APPOY,  </v>
      </c>
      <c r="AX97" s="305"/>
      <c r="AY97" s="447"/>
      <c r="AZ97" s="472"/>
      <c r="BA97" s="101">
        <f t="shared" ca="1" si="131"/>
        <v>126</v>
      </c>
      <c r="BB97" s="492" t="str">
        <f t="shared" ca="1" si="132"/>
        <v>VACANT</v>
      </c>
      <c r="BC97" s="492" t="str">
        <f t="shared" si="133"/>
        <v>XXX</v>
      </c>
      <c r="BD97" s="492" t="str">
        <f t="shared" si="134"/>
        <v>XXX</v>
      </c>
      <c r="BE97" s="492" t="str">
        <f t="shared" si="135"/>
        <v>LGOO6XXX</v>
      </c>
      <c r="BF97" s="447"/>
      <c r="BG97" s="493"/>
      <c r="BH97" s="493"/>
      <c r="BI97" s="447">
        <f t="shared" ca="1" si="136"/>
        <v>126</v>
      </c>
      <c r="BJ97" s="447">
        <f t="shared" ca="1" si="103"/>
        <v>126</v>
      </c>
      <c r="BK97" s="493"/>
      <c r="BL97" s="447">
        <f t="shared" ca="1" si="137"/>
        <v>126</v>
      </c>
      <c r="BM97" s="447"/>
      <c r="BN97" s="512"/>
      <c r="BO97" s="423"/>
      <c r="BP97" s="513"/>
      <c r="BQ97" s="514" t="str">
        <f t="shared" si="138"/>
        <v>2</v>
      </c>
    </row>
    <row r="98" spans="1:69" ht="19.95" customHeight="1">
      <c r="A98" s="422" t="s">
        <v>1417</v>
      </c>
      <c r="B98" s="423" t="s">
        <v>157</v>
      </c>
      <c r="C98" s="424">
        <v>22</v>
      </c>
      <c r="D98" s="424"/>
      <c r="E98" s="424"/>
      <c r="F98" s="424"/>
      <c r="G98" s="424"/>
      <c r="H98" s="424"/>
      <c r="I98" s="422" t="s">
        <v>2300</v>
      </c>
      <c r="J98" s="421" t="str">
        <f t="shared" si="124"/>
        <v>LGOO6Ab</v>
      </c>
      <c r="K98" s="421" t="str">
        <f t="shared" si="125"/>
        <v>LGOO6AbF</v>
      </c>
      <c r="L98" s="447" t="str">
        <f t="shared" si="126"/>
        <v>AbF</v>
      </c>
      <c r="M98" s="932">
        <v>3</v>
      </c>
      <c r="N98" s="932">
        <v>3</v>
      </c>
      <c r="O98" s="932">
        <v>3</v>
      </c>
      <c r="P98" s="932">
        <v>3</v>
      </c>
      <c r="Q98" s="940"/>
      <c r="R98" s="940"/>
      <c r="S98" s="940"/>
      <c r="T98" s="940"/>
      <c r="U98" s="940"/>
      <c r="V98" s="940"/>
      <c r="W98" s="940"/>
      <c r="X98" s="948"/>
      <c r="Y98" s="948"/>
      <c r="Z98" s="948"/>
      <c r="AA98" s="948"/>
      <c r="AB98" s="948"/>
      <c r="AC98" s="948"/>
      <c r="AD98" s="616"/>
      <c r="AE98" s="616"/>
      <c r="AF98" s="616"/>
      <c r="AG98" s="616"/>
      <c r="AH98" s="448">
        <f t="shared" si="127"/>
        <v>783828</v>
      </c>
      <c r="AI98" s="449">
        <f t="shared" si="128"/>
        <v>783828</v>
      </c>
      <c r="AJ98" s="450">
        <v>1</v>
      </c>
      <c r="AK98" s="452" t="s">
        <v>662</v>
      </c>
      <c r="AL98" s="447" t="s">
        <v>62</v>
      </c>
      <c r="AM98" s="447" t="s">
        <v>158</v>
      </c>
      <c r="AN98" s="447">
        <v>310100100001000</v>
      </c>
      <c r="AO98" s="305" t="s">
        <v>408</v>
      </c>
      <c r="AP98" s="305" t="s">
        <v>2423</v>
      </c>
      <c r="AQ98" s="306" t="s">
        <v>2454</v>
      </c>
      <c r="AR98" s="306" t="s">
        <v>663</v>
      </c>
      <c r="AS98" s="306" t="s">
        <v>664</v>
      </c>
      <c r="AT98" s="306" t="s">
        <v>1950</v>
      </c>
      <c r="AU98" s="306" t="str">
        <f t="shared" si="129"/>
        <v>S</v>
      </c>
      <c r="AV98" s="306" t="str">
        <f t="shared" si="130"/>
        <v>Mary Jane S. Abance</v>
      </c>
      <c r="AW98" s="306" t="str">
        <f t="shared" si="140"/>
        <v>ABANCE, Mary Jane Samonte</v>
      </c>
      <c r="AX98" s="305" t="s">
        <v>408</v>
      </c>
      <c r="AY98" s="447" t="s">
        <v>100</v>
      </c>
      <c r="AZ98" s="472">
        <v>25359</v>
      </c>
      <c r="BA98" s="101">
        <f t="shared" ca="1" si="131"/>
        <v>56</v>
      </c>
      <c r="BB98" s="492" t="str">
        <f t="shared" ca="1" si="132"/>
        <v>D</v>
      </c>
      <c r="BC98" s="492" t="str">
        <f t="shared" ca="1" si="133"/>
        <v>AbD</v>
      </c>
      <c r="BD98" s="492" t="str">
        <f t="shared" ca="1" si="134"/>
        <v>AbDF</v>
      </c>
      <c r="BE98" s="492" t="str">
        <f t="shared" ca="1" si="135"/>
        <v>LGOO6AbDF</v>
      </c>
      <c r="BF98" s="447" t="s">
        <v>666</v>
      </c>
      <c r="BG98" s="493">
        <v>34915</v>
      </c>
      <c r="BH98" s="493">
        <v>34915</v>
      </c>
      <c r="BI98" s="447">
        <f t="shared" ca="1" si="136"/>
        <v>30</v>
      </c>
      <c r="BJ98" s="447">
        <f t="shared" ca="1" si="103"/>
        <v>30</v>
      </c>
      <c r="BK98" s="493">
        <v>43070</v>
      </c>
      <c r="BL98" s="447">
        <f t="shared" ca="1" si="137"/>
        <v>8</v>
      </c>
      <c r="BM98" s="447" t="s">
        <v>64</v>
      </c>
      <c r="BN98" s="512" t="s">
        <v>102</v>
      </c>
      <c r="BO98" s="423" t="s">
        <v>2720</v>
      </c>
      <c r="BP98" s="513"/>
      <c r="BQ98" s="514" t="str">
        <f t="shared" si="138"/>
        <v>2FP</v>
      </c>
    </row>
    <row r="99" spans="1:69" ht="19.95" customHeight="1">
      <c r="A99" s="422" t="s">
        <v>1418</v>
      </c>
      <c r="B99" s="423" t="s">
        <v>157</v>
      </c>
      <c r="C99" s="424">
        <v>22</v>
      </c>
      <c r="D99" s="424"/>
      <c r="E99" s="424"/>
      <c r="F99" s="424"/>
      <c r="G99" s="424"/>
      <c r="H99" s="424"/>
      <c r="I99" s="422" t="s">
        <v>2300</v>
      </c>
      <c r="J99" s="421" t="str">
        <f t="shared" si="124"/>
        <v>LGOO6Ab</v>
      </c>
      <c r="K99" s="421" t="str">
        <f t="shared" si="125"/>
        <v>LGOO6AbM</v>
      </c>
      <c r="L99" s="447" t="str">
        <f t="shared" si="126"/>
        <v>AbM</v>
      </c>
      <c r="M99" s="932">
        <v>3</v>
      </c>
      <c r="N99" s="932">
        <v>3</v>
      </c>
      <c r="O99" s="932">
        <v>3</v>
      </c>
      <c r="P99" s="932">
        <v>3</v>
      </c>
      <c r="Q99" s="940"/>
      <c r="R99" s="940"/>
      <c r="S99" s="940"/>
      <c r="T99" s="940"/>
      <c r="U99" s="940"/>
      <c r="V99" s="940"/>
      <c r="W99" s="940"/>
      <c r="X99" s="948"/>
      <c r="Y99" s="948"/>
      <c r="Z99" s="948"/>
      <c r="AA99" s="948"/>
      <c r="AB99" s="948"/>
      <c r="AC99" s="948"/>
      <c r="AD99" s="616"/>
      <c r="AE99" s="616"/>
      <c r="AF99" s="616"/>
      <c r="AG99" s="616"/>
      <c r="AH99" s="448">
        <f t="shared" si="127"/>
        <v>783828</v>
      </c>
      <c r="AI99" s="449">
        <f t="shared" si="128"/>
        <v>783828</v>
      </c>
      <c r="AJ99" s="450">
        <v>1</v>
      </c>
      <c r="AK99" s="452" t="s">
        <v>668</v>
      </c>
      <c r="AL99" s="447" t="s">
        <v>62</v>
      </c>
      <c r="AM99" s="447" t="s">
        <v>158</v>
      </c>
      <c r="AN99" s="447">
        <v>310100100001000</v>
      </c>
      <c r="AO99" s="305" t="s">
        <v>408</v>
      </c>
      <c r="AP99" s="305" t="s">
        <v>2423</v>
      </c>
      <c r="AQ99" s="306" t="s">
        <v>2455</v>
      </c>
      <c r="AR99" s="306" t="s">
        <v>106</v>
      </c>
      <c r="AS99" s="306" t="s">
        <v>107</v>
      </c>
      <c r="AT99" s="306" t="s">
        <v>1982</v>
      </c>
      <c r="AU99" s="306" t="str">
        <f t="shared" si="129"/>
        <v>S</v>
      </c>
      <c r="AV99" s="306" t="str">
        <f t="shared" si="130"/>
        <v>Marlon S. Walang</v>
      </c>
      <c r="AW99" s="306" t="str">
        <f t="shared" si="140"/>
        <v>WALANG, Marlon Silvada</v>
      </c>
      <c r="AX99" s="305" t="s">
        <v>408</v>
      </c>
      <c r="AY99" s="447" t="s">
        <v>62</v>
      </c>
      <c r="AZ99" s="472">
        <v>27738</v>
      </c>
      <c r="BA99" s="101">
        <f t="shared" ca="1" si="131"/>
        <v>50</v>
      </c>
      <c r="BB99" s="492" t="str">
        <f t="shared" ca="1" si="132"/>
        <v>D</v>
      </c>
      <c r="BC99" s="492" t="str">
        <f t="shared" ca="1" si="133"/>
        <v>AbD</v>
      </c>
      <c r="BD99" s="492" t="str">
        <f t="shared" ca="1" si="134"/>
        <v>AbDM</v>
      </c>
      <c r="BE99" s="492" t="str">
        <f t="shared" ca="1" si="135"/>
        <v>LGOO6AbDM</v>
      </c>
      <c r="BF99" s="447" t="s">
        <v>109</v>
      </c>
      <c r="BG99" s="493">
        <v>36461</v>
      </c>
      <c r="BH99" s="493">
        <v>36461</v>
      </c>
      <c r="BI99" s="447">
        <f t="shared" ca="1" si="136"/>
        <v>26</v>
      </c>
      <c r="BJ99" s="447">
        <f t="shared" ca="1" si="103"/>
        <v>26</v>
      </c>
      <c r="BK99" s="493">
        <v>43087</v>
      </c>
      <c r="BL99" s="447">
        <f t="shared" ca="1" si="137"/>
        <v>8</v>
      </c>
      <c r="BM99" s="447" t="s">
        <v>64</v>
      </c>
      <c r="BN99" s="512" t="s">
        <v>84</v>
      </c>
      <c r="BO99" s="423" t="s">
        <v>2760</v>
      </c>
      <c r="BP99" s="513"/>
      <c r="BQ99" s="514" t="str">
        <f t="shared" si="138"/>
        <v>2MP</v>
      </c>
    </row>
    <row r="100" spans="1:69" ht="19.95" customHeight="1">
      <c r="A100" s="422" t="s">
        <v>1419</v>
      </c>
      <c r="B100" s="423" t="s">
        <v>157</v>
      </c>
      <c r="C100" s="424">
        <v>22</v>
      </c>
      <c r="D100" s="424"/>
      <c r="E100" s="424"/>
      <c r="F100" s="424"/>
      <c r="G100" s="424"/>
      <c r="H100" s="424"/>
      <c r="I100" s="422" t="s">
        <v>2300</v>
      </c>
      <c r="J100" s="421" t="str">
        <f t="shared" ref="J100:J131" si="141">IF(AX100="Regional Office",CONCATENATE(I100,"R"),IF(AX100="Abra",CONCATENATE(I100,"Ab"),IF(AX100="Apayao",CONCATENATE(I100,"Ap"),IF(AX100="Baguio City",CONCATENATE(I100,"BC"),IF(AX100="Ifugao",CONCATENATE(I100,"I"),IF(AX100="Mt. Province",CONCATENATE(I100,"MP"),IF(AX100="Kalinga",CONCATENATE(I100,"K"),IF(AX100="Benguet",CONCATENATE(I100,"B"),"Vacant"))))))))</f>
        <v>LGOO6Ab</v>
      </c>
      <c r="K100" s="421" t="str">
        <f t="shared" ref="K100:K131" si="142">CONCATENATE(J100,AY100)</f>
        <v>LGOO6AbM</v>
      </c>
      <c r="L100" s="447" t="str">
        <f t="shared" ref="L100:L131" si="143">IF(AX100="Regional Office",(IF(AY100="M","RM","RF")),IF(AX100="Abra",(IF(AY100="M","AbM","AbF")),IF(AX100="Baguio City",(IF(AY100="M","BCM","BCF")),IF(AX100="Apayao",(IF(AY100="M","ApM","ApF")),IF(AX100="Benguet",(IF(AY100="M","BM","BF")),IF(AX100="Ifugao",(IF(AY100="M","IM","IF")),IF(AX100="Kalinga",(IF(AY100="M","KM","KF")),IF(AX100="Mt. Province",(IF(AY100="M","MPM","MPF")),"XXX"))))))))</f>
        <v>AbM</v>
      </c>
      <c r="M100" s="932">
        <v>3</v>
      </c>
      <c r="N100" s="932">
        <v>3</v>
      </c>
      <c r="O100" s="932">
        <v>3</v>
      </c>
      <c r="P100" s="932">
        <v>3</v>
      </c>
      <c r="Q100" s="940"/>
      <c r="R100" s="940"/>
      <c r="S100" s="940"/>
      <c r="T100" s="940"/>
      <c r="U100" s="940"/>
      <c r="V100" s="940"/>
      <c r="W100" s="940"/>
      <c r="X100" s="948"/>
      <c r="Y100" s="948"/>
      <c r="Z100" s="948"/>
      <c r="AA100" s="948"/>
      <c r="AB100" s="948"/>
      <c r="AC100" s="948"/>
      <c r="AD100" s="616"/>
      <c r="AE100" s="616"/>
      <c r="AF100" s="616"/>
      <c r="AG100" s="616"/>
      <c r="AH100" s="448">
        <f t="shared" ref="AH100:AH131" si="144">VLOOKUP(C100,idica,2,FALSE)*12</f>
        <v>783828</v>
      </c>
      <c r="AI100" s="449">
        <f t="shared" ref="AI100:AI131" si="145">(SUMPRODUCT((norman=C100)*(grace=AJ100)*(barnachea)))*12</f>
        <v>783828</v>
      </c>
      <c r="AJ100" s="450">
        <v>1</v>
      </c>
      <c r="AK100" s="452" t="s">
        <v>674</v>
      </c>
      <c r="AL100" s="447" t="s">
        <v>62</v>
      </c>
      <c r="AM100" s="447" t="s">
        <v>158</v>
      </c>
      <c r="AN100" s="447">
        <v>310100100001000</v>
      </c>
      <c r="AO100" s="305" t="s">
        <v>408</v>
      </c>
      <c r="AP100" s="305" t="s">
        <v>2423</v>
      </c>
      <c r="AQ100" s="306" t="s">
        <v>2456</v>
      </c>
      <c r="AR100" s="305" t="s">
        <v>675</v>
      </c>
      <c r="AS100" s="305" t="s">
        <v>676</v>
      </c>
      <c r="AT100" s="305" t="s">
        <v>1891</v>
      </c>
      <c r="AU100" s="306" t="str">
        <f t="shared" si="129"/>
        <v>T</v>
      </c>
      <c r="AV100" s="306" t="str">
        <f t="shared" si="130"/>
        <v>Carlito T. Barreras</v>
      </c>
      <c r="AW100" s="306" t="str">
        <f t="shared" si="140"/>
        <v>BARRERAS, Carlito Tejero</v>
      </c>
      <c r="AX100" s="305" t="s">
        <v>408</v>
      </c>
      <c r="AY100" s="447" t="s">
        <v>62</v>
      </c>
      <c r="AZ100" s="472">
        <v>21614</v>
      </c>
      <c r="BA100" s="101">
        <f t="shared" ref="BA100:BA131" ca="1" si="146">DATEDIF(AZ100,TODAY(),"Y")</f>
        <v>67</v>
      </c>
      <c r="BB100" s="492" t="str">
        <f t="shared" ref="BB100:BB131" ca="1" si="147">IF(BA100&lt;30,"A",IF(BA100&lt;40,"B",IF(BA100&lt;50,"C",IF(BA100&lt;60,"D",IF(BA100&lt;65,"E","VACANT")))))</f>
        <v>VACANT</v>
      </c>
      <c r="BC100" s="492" t="str">
        <f t="shared" ref="BC100:BC131" ca="1" si="148">+IF(AX100="Regional Office",(IF(BB100="A","RA",(IF(BB100="B","RB",IF(BB100="C","RC",IF(BB100="D","RD",IF(BB100="E","RE","VACANT"))))))),IF(AX100="Abra",(IF(BB100="A","AbA",(IF(BB100="B","AbB",IF(BB100="C","AbC",IF(BB100="D","AbD",IF(BB100="E","AbE","VACANT"))))))),IF(AX100="Baguio City",(IF(BB100="A","BCA",(IF(BB100="B","BCB",IF(BB100="C","BCC",IF(BB100="D","BCD",IF(BB100="E","BCE","VACANT"))))))),IF(AX100="Apayao",(IF(BB100="A","ApA",(IF(BB100="B","ApB",IF(BB100="C","ApC",IF(BB100="D","ApD",IF(BB100="E","ApE","VACANT"))))))),IF(AX100="Benguet",(IF(BB100="A","BA",(IF(BB100="B","BB",IF(BB100="C","BC",IF(BB100="D","BD",IF(BB100="E","BE","VACANT"))))))),IF(AX100="Ifugao",(IF(BB100="A","IA",(IF(BB100="B","IB",IF(BB100="C","IC",IF(BB100="D","ID",IF(BB100="E","IE","VACANT"))))))),IF(AX100="Kalinga",(IF(BB100="A","KA",(IF(BB100="B","KB",IF(BB100="C","KC",IF(BB100="D","KD",IF(BB100="E","KE","VACANT"))))))),IF(AX100="Mt. Province",(IF(BB100="A","MPA",(IF(BB100="B","MPB",IF(BB100="C","MPC",IF(BB100="D","MPD",IF(BB100="E","MPE","VACANT"))))))),"XXX"))))))))</f>
        <v>VACANT</v>
      </c>
      <c r="BD100" s="492" t="str">
        <f t="shared" ref="BD100:BD131" ca="1" si="149">CONCATENATE(BC100,AY100)</f>
        <v>VACANTM</v>
      </c>
      <c r="BE100" s="492" t="str">
        <f t="shared" ref="BE100:BE131" ca="1" si="150">CONCATENATE(I100,BD100)</f>
        <v>LGOO6VACANTM</v>
      </c>
      <c r="BF100" s="447" t="s">
        <v>678</v>
      </c>
      <c r="BG100" s="493">
        <v>32687</v>
      </c>
      <c r="BH100" s="493">
        <v>32687</v>
      </c>
      <c r="BI100" s="447">
        <f t="shared" ref="BI100:BI131" ca="1" si="151">DATEDIF(BG100,TODAY(),"Y")</f>
        <v>36</v>
      </c>
      <c r="BJ100" s="447">
        <f t="shared" ca="1" si="103"/>
        <v>36</v>
      </c>
      <c r="BK100" s="493">
        <v>43070</v>
      </c>
      <c r="BL100" s="447">
        <f t="shared" ca="1" si="137"/>
        <v>8</v>
      </c>
      <c r="BM100" s="447" t="s">
        <v>64</v>
      </c>
      <c r="BN100" s="512" t="s">
        <v>102</v>
      </c>
      <c r="BO100" s="423" t="s">
        <v>2254</v>
      </c>
      <c r="BP100" s="513"/>
      <c r="BQ100" s="514" t="str">
        <f t="shared" si="138"/>
        <v>2MP</v>
      </c>
    </row>
    <row r="101" spans="1:69" ht="19.95" customHeight="1">
      <c r="A101" s="422" t="s">
        <v>1420</v>
      </c>
      <c r="B101" s="423" t="s">
        <v>157</v>
      </c>
      <c r="C101" s="424">
        <v>22</v>
      </c>
      <c r="D101" s="424"/>
      <c r="E101" s="424"/>
      <c r="F101" s="424"/>
      <c r="G101" s="424"/>
      <c r="H101" s="424"/>
      <c r="I101" s="422" t="s">
        <v>2300</v>
      </c>
      <c r="J101" s="421" t="str">
        <f t="shared" si="141"/>
        <v>LGOO6Ab</v>
      </c>
      <c r="K101" s="421" t="str">
        <f t="shared" si="142"/>
        <v>LGOO6AbM</v>
      </c>
      <c r="L101" s="447" t="str">
        <f t="shared" si="143"/>
        <v>AbM</v>
      </c>
      <c r="M101" s="932">
        <v>3</v>
      </c>
      <c r="N101" s="932">
        <v>3</v>
      </c>
      <c r="O101" s="932">
        <v>3</v>
      </c>
      <c r="P101" s="932">
        <v>3</v>
      </c>
      <c r="Q101" s="940"/>
      <c r="R101" s="940"/>
      <c r="S101" s="940"/>
      <c r="T101" s="940"/>
      <c r="U101" s="940"/>
      <c r="V101" s="940"/>
      <c r="W101" s="940"/>
      <c r="X101" s="948"/>
      <c r="Y101" s="948"/>
      <c r="Z101" s="948"/>
      <c r="AA101" s="948"/>
      <c r="AB101" s="948"/>
      <c r="AC101" s="948"/>
      <c r="AD101" s="616"/>
      <c r="AE101" s="616"/>
      <c r="AF101" s="616"/>
      <c r="AG101" s="616"/>
      <c r="AH101" s="448">
        <f t="shared" si="144"/>
        <v>783828</v>
      </c>
      <c r="AI101" s="449">
        <f t="shared" si="145"/>
        <v>783828</v>
      </c>
      <c r="AJ101" s="450">
        <v>1</v>
      </c>
      <c r="AK101" s="452" t="s">
        <v>680</v>
      </c>
      <c r="AL101" s="447" t="s">
        <v>62</v>
      </c>
      <c r="AM101" s="447" t="s">
        <v>158</v>
      </c>
      <c r="AN101" s="447">
        <v>310100100001000</v>
      </c>
      <c r="AO101" s="305" t="s">
        <v>408</v>
      </c>
      <c r="AP101" s="305" t="s">
        <v>2423</v>
      </c>
      <c r="AQ101" s="306" t="s">
        <v>2457</v>
      </c>
      <c r="AR101" s="306" t="s">
        <v>681</v>
      </c>
      <c r="AS101" s="306" t="s">
        <v>682</v>
      </c>
      <c r="AT101" s="306" t="s">
        <v>1133</v>
      </c>
      <c r="AU101" s="306" t="str">
        <f t="shared" si="129"/>
        <v>D</v>
      </c>
      <c r="AV101" s="306" t="str">
        <f t="shared" si="130"/>
        <v>Nolito D. Venus</v>
      </c>
      <c r="AW101" s="306" t="str">
        <f t="shared" si="140"/>
        <v>VENUS, Nolito Domingo</v>
      </c>
      <c r="AX101" s="305" t="s">
        <v>408</v>
      </c>
      <c r="AY101" s="447" t="s">
        <v>62</v>
      </c>
      <c r="AZ101" s="472">
        <v>23544</v>
      </c>
      <c r="BA101" s="101">
        <f t="shared" ca="1" si="146"/>
        <v>61</v>
      </c>
      <c r="BB101" s="492" t="str">
        <f t="shared" ca="1" si="147"/>
        <v>E</v>
      </c>
      <c r="BC101" s="492" t="str">
        <f t="shared" ca="1" si="148"/>
        <v>AbE</v>
      </c>
      <c r="BD101" s="492" t="str">
        <f t="shared" ca="1" si="149"/>
        <v>AbEM</v>
      </c>
      <c r="BE101" s="492" t="str">
        <f t="shared" ca="1" si="150"/>
        <v>LGOO6AbEM</v>
      </c>
      <c r="BF101" s="447" t="s">
        <v>684</v>
      </c>
      <c r="BG101" s="493">
        <v>32687</v>
      </c>
      <c r="BH101" s="493">
        <v>32687</v>
      </c>
      <c r="BI101" s="447">
        <f t="shared" ca="1" si="151"/>
        <v>36</v>
      </c>
      <c r="BJ101" s="447">
        <f t="shared" ca="1" si="103"/>
        <v>36</v>
      </c>
      <c r="BK101" s="493">
        <v>43070</v>
      </c>
      <c r="BL101" s="447">
        <f t="shared" ca="1" si="137"/>
        <v>8</v>
      </c>
      <c r="BM101" s="447" t="s">
        <v>64</v>
      </c>
      <c r="BN101" s="512" t="s">
        <v>102</v>
      </c>
      <c r="BO101" s="423" t="s">
        <v>2748</v>
      </c>
      <c r="BP101" s="513"/>
      <c r="BQ101" s="514" t="str">
        <f t="shared" si="138"/>
        <v>2MP</v>
      </c>
    </row>
    <row r="102" spans="1:69" ht="19.95" customHeight="1">
      <c r="A102" s="422" t="s">
        <v>1422</v>
      </c>
      <c r="B102" s="423" t="s">
        <v>157</v>
      </c>
      <c r="C102" s="424">
        <v>22</v>
      </c>
      <c r="D102" s="424"/>
      <c r="E102" s="424"/>
      <c r="F102" s="424"/>
      <c r="G102" s="424"/>
      <c r="H102" s="424"/>
      <c r="I102" s="422" t="s">
        <v>2300</v>
      </c>
      <c r="J102" s="421" t="str">
        <f t="shared" si="141"/>
        <v>LGOO6Ab</v>
      </c>
      <c r="K102" s="421" t="str">
        <f t="shared" si="142"/>
        <v>LGOO6AbF</v>
      </c>
      <c r="L102" s="447" t="str">
        <f t="shared" si="143"/>
        <v>AbF</v>
      </c>
      <c r="M102" s="932">
        <v>3</v>
      </c>
      <c r="N102" s="932">
        <v>3</v>
      </c>
      <c r="O102" s="932">
        <v>3</v>
      </c>
      <c r="P102" s="932">
        <v>3</v>
      </c>
      <c r="Q102" s="940"/>
      <c r="R102" s="940"/>
      <c r="S102" s="940"/>
      <c r="T102" s="940"/>
      <c r="U102" s="940"/>
      <c r="V102" s="940"/>
      <c r="W102" s="940"/>
      <c r="X102" s="948"/>
      <c r="Y102" s="948"/>
      <c r="Z102" s="948"/>
      <c r="AA102" s="948"/>
      <c r="AB102" s="948"/>
      <c r="AC102" s="948"/>
      <c r="AD102" s="616"/>
      <c r="AE102" s="616"/>
      <c r="AF102" s="616"/>
      <c r="AG102" s="616"/>
      <c r="AH102" s="448">
        <f t="shared" si="144"/>
        <v>783828</v>
      </c>
      <c r="AI102" s="449">
        <f t="shared" si="145"/>
        <v>783828</v>
      </c>
      <c r="AJ102" s="450">
        <v>1</v>
      </c>
      <c r="AK102" s="452" t="s">
        <v>686</v>
      </c>
      <c r="AL102" s="447" t="s">
        <v>62</v>
      </c>
      <c r="AM102" s="447" t="s">
        <v>158</v>
      </c>
      <c r="AN102" s="447">
        <v>310100100001000</v>
      </c>
      <c r="AO102" s="305" t="s">
        <v>408</v>
      </c>
      <c r="AP102" s="305" t="s">
        <v>2423</v>
      </c>
      <c r="AQ102" s="306" t="s">
        <v>2458</v>
      </c>
      <c r="AR102" s="306" t="s">
        <v>681</v>
      </c>
      <c r="AS102" s="306" t="s">
        <v>696</v>
      </c>
      <c r="AT102" s="306" t="s">
        <v>1918</v>
      </c>
      <c r="AU102" s="306" t="str">
        <f t="shared" si="129"/>
        <v>C</v>
      </c>
      <c r="AV102" s="306" t="str">
        <f t="shared" si="130"/>
        <v>Normita C. Venus</v>
      </c>
      <c r="AW102" s="306" t="str">
        <f t="shared" si="140"/>
        <v>VENUS, Normita Cruz</v>
      </c>
      <c r="AX102" s="305" t="s">
        <v>408</v>
      </c>
      <c r="AY102" s="447" t="s">
        <v>100</v>
      </c>
      <c r="AZ102" s="472">
        <v>24852</v>
      </c>
      <c r="BA102" s="101">
        <f t="shared" ca="1" si="146"/>
        <v>58</v>
      </c>
      <c r="BB102" s="492" t="str">
        <f t="shared" ca="1" si="147"/>
        <v>D</v>
      </c>
      <c r="BC102" s="492" t="str">
        <f t="shared" ca="1" si="148"/>
        <v>AbD</v>
      </c>
      <c r="BD102" s="492" t="str">
        <f t="shared" ca="1" si="149"/>
        <v>AbDF</v>
      </c>
      <c r="BE102" s="492" t="str">
        <f t="shared" ca="1" si="150"/>
        <v>LGOO6AbDF</v>
      </c>
      <c r="BF102" s="447" t="s">
        <v>698</v>
      </c>
      <c r="BG102" s="493">
        <v>33550</v>
      </c>
      <c r="BH102" s="493">
        <v>33550</v>
      </c>
      <c r="BI102" s="447">
        <f t="shared" ca="1" si="151"/>
        <v>34</v>
      </c>
      <c r="BJ102" s="447">
        <f t="shared" ca="1" si="103"/>
        <v>34</v>
      </c>
      <c r="BK102" s="493">
        <v>43070</v>
      </c>
      <c r="BL102" s="447">
        <f t="shared" ca="1" si="137"/>
        <v>8</v>
      </c>
      <c r="BM102" s="447" t="s">
        <v>64</v>
      </c>
      <c r="BN102" s="512" t="s">
        <v>605</v>
      </c>
      <c r="BO102" s="423" t="s">
        <v>2720</v>
      </c>
      <c r="BP102" s="513"/>
      <c r="BQ102" s="514" t="str">
        <f t="shared" si="138"/>
        <v>2FP</v>
      </c>
    </row>
    <row r="103" spans="1:69" ht="19.95" customHeight="1">
      <c r="A103" s="422" t="s">
        <v>1424</v>
      </c>
      <c r="B103" s="423" t="s">
        <v>157</v>
      </c>
      <c r="C103" s="424">
        <v>22</v>
      </c>
      <c r="D103" s="424"/>
      <c r="E103" s="424"/>
      <c r="F103" s="424"/>
      <c r="G103" s="424"/>
      <c r="H103" s="424"/>
      <c r="I103" s="422" t="s">
        <v>2300</v>
      </c>
      <c r="J103" s="421" t="str">
        <f t="shared" si="141"/>
        <v>LGOO6Ab</v>
      </c>
      <c r="K103" s="421" t="str">
        <f t="shared" si="142"/>
        <v>LGOO6AbM</v>
      </c>
      <c r="L103" s="447" t="str">
        <f t="shared" si="143"/>
        <v>AbM</v>
      </c>
      <c r="M103" s="932">
        <v>3</v>
      </c>
      <c r="N103" s="932">
        <v>3</v>
      </c>
      <c r="O103" s="932">
        <v>3</v>
      </c>
      <c r="P103" s="932">
        <v>3</v>
      </c>
      <c r="Q103" s="940"/>
      <c r="R103" s="940"/>
      <c r="S103" s="940"/>
      <c r="T103" s="940"/>
      <c r="U103" s="940"/>
      <c r="V103" s="940"/>
      <c r="W103" s="940"/>
      <c r="X103" s="948"/>
      <c r="Y103" s="948"/>
      <c r="Z103" s="948"/>
      <c r="AA103" s="948"/>
      <c r="AB103" s="948"/>
      <c r="AC103" s="948"/>
      <c r="AD103" s="616"/>
      <c r="AE103" s="616"/>
      <c r="AF103" s="616"/>
      <c r="AG103" s="616"/>
      <c r="AH103" s="448">
        <f t="shared" si="144"/>
        <v>783828</v>
      </c>
      <c r="AI103" s="449">
        <f t="shared" si="145"/>
        <v>783828</v>
      </c>
      <c r="AJ103" s="450">
        <v>1</v>
      </c>
      <c r="AK103" s="452" t="s">
        <v>700</v>
      </c>
      <c r="AL103" s="447" t="s">
        <v>62</v>
      </c>
      <c r="AM103" s="447" t="s">
        <v>158</v>
      </c>
      <c r="AN103" s="447">
        <v>310100100001000</v>
      </c>
      <c r="AO103" s="305" t="s">
        <v>408</v>
      </c>
      <c r="AP103" s="305" t="s">
        <v>2423</v>
      </c>
      <c r="AQ103" s="306" t="s">
        <v>2459</v>
      </c>
      <c r="AR103" s="306" t="s">
        <v>401</v>
      </c>
      <c r="AS103" s="306" t="s">
        <v>402</v>
      </c>
      <c r="AT103" s="306" t="s">
        <v>2007</v>
      </c>
      <c r="AU103" s="306" t="str">
        <f t="shared" si="129"/>
        <v>L</v>
      </c>
      <c r="AV103" s="306" t="str">
        <f t="shared" si="130"/>
        <v>Dexter L. Idos</v>
      </c>
      <c r="AW103" s="306" t="str">
        <f t="shared" si="140"/>
        <v>IDOS, Dexter Las-o</v>
      </c>
      <c r="AX103" s="305" t="s">
        <v>408</v>
      </c>
      <c r="AY103" s="447" t="s">
        <v>62</v>
      </c>
      <c r="AZ103" s="472">
        <v>29647</v>
      </c>
      <c r="BA103" s="101">
        <f t="shared" ca="1" si="146"/>
        <v>45</v>
      </c>
      <c r="BB103" s="492" t="str">
        <f t="shared" ca="1" si="147"/>
        <v>C</v>
      </c>
      <c r="BC103" s="492" t="str">
        <f t="shared" ca="1" si="148"/>
        <v>AbC</v>
      </c>
      <c r="BD103" s="492" t="str">
        <f t="shared" ca="1" si="149"/>
        <v>AbCM</v>
      </c>
      <c r="BE103" s="492" t="str">
        <f t="shared" ca="1" si="150"/>
        <v>LGOO6AbCM</v>
      </c>
      <c r="BF103" s="447" t="s">
        <v>404</v>
      </c>
      <c r="BG103" s="493">
        <v>38215</v>
      </c>
      <c r="BH103" s="493">
        <v>38215</v>
      </c>
      <c r="BI103" s="447">
        <f t="shared" ca="1" si="151"/>
        <v>21</v>
      </c>
      <c r="BJ103" s="447">
        <f t="shared" ca="1" si="103"/>
        <v>21</v>
      </c>
      <c r="BK103" s="493">
        <v>43070</v>
      </c>
      <c r="BL103" s="447">
        <f t="shared" ca="1" si="137"/>
        <v>8</v>
      </c>
      <c r="BM103" s="447" t="s">
        <v>64</v>
      </c>
      <c r="BN103" s="512" t="s">
        <v>102</v>
      </c>
      <c r="BO103" s="423" t="s">
        <v>3391</v>
      </c>
      <c r="BP103" s="513" t="s">
        <v>1207</v>
      </c>
      <c r="BQ103" s="514" t="str">
        <f t="shared" si="138"/>
        <v>2MP</v>
      </c>
    </row>
    <row r="104" spans="1:69" ht="19.95" customHeight="1">
      <c r="A104" s="422" t="s">
        <v>1399</v>
      </c>
      <c r="B104" s="423" t="s">
        <v>157</v>
      </c>
      <c r="C104" s="424">
        <v>22</v>
      </c>
      <c r="D104" s="424"/>
      <c r="E104" s="424"/>
      <c r="F104" s="424"/>
      <c r="G104" s="424"/>
      <c r="H104" s="424"/>
      <c r="I104" s="422" t="s">
        <v>2300</v>
      </c>
      <c r="J104" s="421" t="str">
        <f t="shared" si="141"/>
        <v>LGOO6Ab</v>
      </c>
      <c r="K104" s="421" t="str">
        <f t="shared" si="142"/>
        <v>LGOO6AbF</v>
      </c>
      <c r="L104" s="447" t="str">
        <f t="shared" si="143"/>
        <v>AbF</v>
      </c>
      <c r="M104" s="932">
        <v>3</v>
      </c>
      <c r="N104" s="932">
        <v>3</v>
      </c>
      <c r="O104" s="932">
        <v>3</v>
      </c>
      <c r="P104" s="932">
        <v>3</v>
      </c>
      <c r="Q104" s="940"/>
      <c r="R104" s="940"/>
      <c r="S104" s="940"/>
      <c r="T104" s="940"/>
      <c r="U104" s="940"/>
      <c r="V104" s="940"/>
      <c r="W104" s="940"/>
      <c r="X104" s="948"/>
      <c r="Y104" s="948"/>
      <c r="Z104" s="948"/>
      <c r="AA104" s="948"/>
      <c r="AB104" s="948"/>
      <c r="AC104" s="948"/>
      <c r="AD104" s="616"/>
      <c r="AE104" s="616"/>
      <c r="AF104" s="616"/>
      <c r="AG104" s="616"/>
      <c r="AH104" s="448">
        <f t="shared" si="144"/>
        <v>783828</v>
      </c>
      <c r="AI104" s="449">
        <f t="shared" si="145"/>
        <v>783828</v>
      </c>
      <c r="AJ104" s="450">
        <v>1</v>
      </c>
      <c r="AK104" s="452" t="s">
        <v>546</v>
      </c>
      <c r="AL104" s="447" t="s">
        <v>62</v>
      </c>
      <c r="AM104" s="447" t="s">
        <v>158</v>
      </c>
      <c r="AN104" s="447">
        <v>310100100001000</v>
      </c>
      <c r="AO104" s="305" t="s">
        <v>408</v>
      </c>
      <c r="AP104" s="305" t="s">
        <v>2423</v>
      </c>
      <c r="AQ104" s="305" t="s">
        <v>2461</v>
      </c>
      <c r="AR104" s="305" t="s">
        <v>2018</v>
      </c>
      <c r="AS104" s="305" t="s">
        <v>2019</v>
      </c>
      <c r="AT104" s="305" t="s">
        <v>2020</v>
      </c>
      <c r="AU104" s="306" t="str">
        <f t="shared" si="129"/>
        <v>B</v>
      </c>
      <c r="AV104" s="306" t="str">
        <f t="shared" si="130"/>
        <v>Janice Cristine B. Ton</v>
      </c>
      <c r="AW104" s="306" t="str">
        <f t="shared" si="140"/>
        <v>TON, Janice Cristine Barreras</v>
      </c>
      <c r="AX104" s="305" t="s">
        <v>408</v>
      </c>
      <c r="AY104" s="447" t="s">
        <v>100</v>
      </c>
      <c r="AZ104" s="472">
        <v>29611</v>
      </c>
      <c r="BA104" s="101">
        <f t="shared" ca="1" si="146"/>
        <v>45</v>
      </c>
      <c r="BB104" s="492" t="str">
        <f t="shared" ca="1" si="147"/>
        <v>C</v>
      </c>
      <c r="BC104" s="492" t="str">
        <f t="shared" ca="1" si="148"/>
        <v>AbC</v>
      </c>
      <c r="BD104" s="492" t="str">
        <f t="shared" ca="1" si="149"/>
        <v>AbCF</v>
      </c>
      <c r="BE104" s="492" t="str">
        <f t="shared" ca="1" si="150"/>
        <v>LGOO6AbCF</v>
      </c>
      <c r="BF104" s="447" t="s">
        <v>2462</v>
      </c>
      <c r="BG104" s="493">
        <v>40910</v>
      </c>
      <c r="BH104" s="494">
        <v>40910</v>
      </c>
      <c r="BI104" s="447">
        <f t="shared" ca="1" si="151"/>
        <v>14</v>
      </c>
      <c r="BJ104" s="447">
        <f t="shared" ca="1" si="103"/>
        <v>14</v>
      </c>
      <c r="BK104" s="493">
        <v>43070</v>
      </c>
      <c r="BL104" s="447">
        <f t="shared" ca="1" si="137"/>
        <v>8</v>
      </c>
      <c r="BM104" s="447" t="s">
        <v>64</v>
      </c>
      <c r="BN104" s="512" t="s">
        <v>102</v>
      </c>
      <c r="BO104" s="423" t="s">
        <v>3406</v>
      </c>
      <c r="BP104" s="513"/>
      <c r="BQ104" s="514" t="str">
        <f t="shared" si="138"/>
        <v>2FP</v>
      </c>
    </row>
    <row r="105" spans="1:69" ht="19.95" customHeight="1">
      <c r="A105" s="422" t="s">
        <v>1421</v>
      </c>
      <c r="B105" s="423" t="s">
        <v>157</v>
      </c>
      <c r="C105" s="424">
        <v>22</v>
      </c>
      <c r="D105" s="424"/>
      <c r="E105" s="424"/>
      <c r="F105" s="424"/>
      <c r="G105" s="424"/>
      <c r="H105" s="424"/>
      <c r="I105" s="422" t="s">
        <v>2300</v>
      </c>
      <c r="J105" s="421" t="str">
        <f t="shared" si="141"/>
        <v>LGOO6Ab</v>
      </c>
      <c r="K105" s="421" t="str">
        <f t="shared" si="142"/>
        <v>LGOO6AbF</v>
      </c>
      <c r="L105" s="447" t="str">
        <f t="shared" si="143"/>
        <v>AbF</v>
      </c>
      <c r="M105" s="932">
        <v>3</v>
      </c>
      <c r="N105" s="932">
        <v>3</v>
      </c>
      <c r="O105" s="932">
        <v>3</v>
      </c>
      <c r="P105" s="932">
        <v>3</v>
      </c>
      <c r="Q105" s="940"/>
      <c r="R105" s="940"/>
      <c r="S105" s="940"/>
      <c r="T105" s="940"/>
      <c r="U105" s="940"/>
      <c r="V105" s="940"/>
      <c r="W105" s="940"/>
      <c r="X105" s="948"/>
      <c r="Y105" s="948"/>
      <c r="Z105" s="948"/>
      <c r="AA105" s="948"/>
      <c r="AB105" s="948"/>
      <c r="AC105" s="948"/>
      <c r="AD105" s="616"/>
      <c r="AE105" s="616"/>
      <c r="AF105" s="616"/>
      <c r="AG105" s="616"/>
      <c r="AH105" s="448">
        <f t="shared" si="144"/>
        <v>783828</v>
      </c>
      <c r="AI105" s="449">
        <f t="shared" si="145"/>
        <v>783828</v>
      </c>
      <c r="AJ105" s="450">
        <v>1</v>
      </c>
      <c r="AK105" s="452" t="s">
        <v>686</v>
      </c>
      <c r="AL105" s="447" t="s">
        <v>62</v>
      </c>
      <c r="AM105" s="447" t="s">
        <v>158</v>
      </c>
      <c r="AN105" s="447">
        <v>310100100001000</v>
      </c>
      <c r="AO105" s="305" t="s">
        <v>408</v>
      </c>
      <c r="AP105" s="305" t="s">
        <v>2423</v>
      </c>
      <c r="AQ105" s="306" t="s">
        <v>2458</v>
      </c>
      <c r="AR105" s="306" t="s">
        <v>205</v>
      </c>
      <c r="AS105" s="306" t="s">
        <v>308</v>
      </c>
      <c r="AT105" s="306" t="s">
        <v>1887</v>
      </c>
      <c r="AU105" s="306" t="str">
        <f t="shared" si="129"/>
        <v>A</v>
      </c>
      <c r="AV105" s="306" t="str">
        <f t="shared" si="130"/>
        <v>Evelyn A. Garcia</v>
      </c>
      <c r="AW105" s="306" t="str">
        <f t="shared" si="140"/>
        <v>GARCIA, Evelyn Arizabal</v>
      </c>
      <c r="AX105" s="305" t="s">
        <v>408</v>
      </c>
      <c r="AY105" s="447" t="s">
        <v>100</v>
      </c>
      <c r="AZ105" s="472">
        <v>22595</v>
      </c>
      <c r="BA105" s="101">
        <f t="shared" ca="1" si="146"/>
        <v>64</v>
      </c>
      <c r="BB105" s="492" t="str">
        <f t="shared" ca="1" si="147"/>
        <v>E</v>
      </c>
      <c r="BC105" s="492" t="str">
        <f t="shared" ca="1" si="148"/>
        <v>AbE</v>
      </c>
      <c r="BD105" s="492" t="str">
        <f t="shared" ca="1" si="149"/>
        <v>AbEF</v>
      </c>
      <c r="BE105" s="492" t="str">
        <f t="shared" ca="1" si="150"/>
        <v>LGOO6AbEF</v>
      </c>
      <c r="BF105" s="447" t="s">
        <v>688</v>
      </c>
      <c r="BG105" s="493">
        <v>32687</v>
      </c>
      <c r="BH105" s="493">
        <v>32687</v>
      </c>
      <c r="BI105" s="447">
        <f t="shared" ca="1" si="151"/>
        <v>36</v>
      </c>
      <c r="BJ105" s="447">
        <f t="shared" ca="1" si="103"/>
        <v>36</v>
      </c>
      <c r="BK105" s="493">
        <v>43070</v>
      </c>
      <c r="BL105" s="447">
        <f t="shared" ref="BL105:BL136" ca="1" si="152">DATEDIF(BK105,TODAY(),"Y")</f>
        <v>8</v>
      </c>
      <c r="BM105" s="447" t="s">
        <v>64</v>
      </c>
      <c r="BN105" s="512" t="s">
        <v>102</v>
      </c>
      <c r="BO105" s="423" t="s">
        <v>2757</v>
      </c>
      <c r="BP105" s="513"/>
      <c r="BQ105" s="514" t="str">
        <f t="shared" si="138"/>
        <v>2FP</v>
      </c>
    </row>
    <row r="106" spans="1:69" ht="19.95" customHeight="1">
      <c r="A106" s="422" t="s">
        <v>1425</v>
      </c>
      <c r="B106" s="423" t="s">
        <v>157</v>
      </c>
      <c r="C106" s="424">
        <v>22</v>
      </c>
      <c r="D106" s="424"/>
      <c r="E106" s="424"/>
      <c r="F106" s="424"/>
      <c r="G106" s="424"/>
      <c r="H106" s="424"/>
      <c r="I106" s="422" t="s">
        <v>2300</v>
      </c>
      <c r="J106" s="421" t="str">
        <f t="shared" si="141"/>
        <v>LGOO6Ab</v>
      </c>
      <c r="K106" s="421" t="str">
        <f t="shared" si="142"/>
        <v>LGOO6AbM</v>
      </c>
      <c r="L106" s="447" t="str">
        <f t="shared" si="143"/>
        <v>AbM</v>
      </c>
      <c r="M106" s="932">
        <v>3</v>
      </c>
      <c r="N106" s="932">
        <v>3</v>
      </c>
      <c r="O106" s="932">
        <v>3</v>
      </c>
      <c r="P106" s="932">
        <v>3</v>
      </c>
      <c r="Q106" s="940"/>
      <c r="R106" s="940"/>
      <c r="S106" s="940"/>
      <c r="T106" s="940"/>
      <c r="U106" s="940"/>
      <c r="V106" s="940"/>
      <c r="W106" s="940"/>
      <c r="X106" s="948"/>
      <c r="Y106" s="948"/>
      <c r="Z106" s="948"/>
      <c r="AA106" s="948"/>
      <c r="AB106" s="948"/>
      <c r="AC106" s="948"/>
      <c r="AD106" s="616"/>
      <c r="AE106" s="616"/>
      <c r="AF106" s="616"/>
      <c r="AG106" s="616"/>
      <c r="AH106" s="448">
        <f t="shared" si="144"/>
        <v>783828</v>
      </c>
      <c r="AI106" s="449">
        <f t="shared" si="145"/>
        <v>783828</v>
      </c>
      <c r="AJ106" s="450">
        <v>1</v>
      </c>
      <c r="AK106" s="452" t="s">
        <v>2463</v>
      </c>
      <c r="AL106" s="447" t="s">
        <v>62</v>
      </c>
      <c r="AM106" s="447" t="s">
        <v>158</v>
      </c>
      <c r="AN106" s="447">
        <v>310100100001000</v>
      </c>
      <c r="AO106" s="305" t="s">
        <v>408</v>
      </c>
      <c r="AP106" s="305" t="s">
        <v>2423</v>
      </c>
      <c r="AQ106" s="306" t="s">
        <v>2464</v>
      </c>
      <c r="AR106" s="306" t="s">
        <v>1138</v>
      </c>
      <c r="AS106" s="306" t="s">
        <v>1139</v>
      </c>
      <c r="AT106" s="306" t="s">
        <v>2005</v>
      </c>
      <c r="AU106" s="306" t="str">
        <f t="shared" si="129"/>
        <v>S</v>
      </c>
      <c r="AV106" s="306" t="str">
        <f t="shared" si="130"/>
        <v>Dan Joel S. Rullan</v>
      </c>
      <c r="AW106" s="306" t="str">
        <f t="shared" si="140"/>
        <v>RULLAN, Dan Joel Suaya</v>
      </c>
      <c r="AX106" s="305" t="s">
        <v>408</v>
      </c>
      <c r="AY106" s="447" t="s">
        <v>62</v>
      </c>
      <c r="AZ106" s="472">
        <v>25113</v>
      </c>
      <c r="BA106" s="101">
        <f t="shared" ca="1" si="146"/>
        <v>57</v>
      </c>
      <c r="BB106" s="492" t="str">
        <f t="shared" ca="1" si="147"/>
        <v>D</v>
      </c>
      <c r="BC106" s="492" t="str">
        <f t="shared" ca="1" si="148"/>
        <v>AbD</v>
      </c>
      <c r="BD106" s="492" t="str">
        <f t="shared" ca="1" si="149"/>
        <v>AbDM</v>
      </c>
      <c r="BE106" s="492" t="str">
        <f t="shared" ca="1" si="150"/>
        <v>LGOO6AbDM</v>
      </c>
      <c r="BF106" s="447" t="s">
        <v>1141</v>
      </c>
      <c r="BG106" s="493">
        <v>34738</v>
      </c>
      <c r="BH106" s="494">
        <v>37211</v>
      </c>
      <c r="BI106" s="447">
        <f t="shared" ca="1" si="151"/>
        <v>31</v>
      </c>
      <c r="BJ106" s="447">
        <f t="shared" ca="1" si="103"/>
        <v>24</v>
      </c>
      <c r="BK106" s="493">
        <v>43070</v>
      </c>
      <c r="BL106" s="447">
        <f t="shared" ca="1" si="152"/>
        <v>8</v>
      </c>
      <c r="BM106" s="447" t="s">
        <v>64</v>
      </c>
      <c r="BN106" s="512" t="s">
        <v>102</v>
      </c>
      <c r="BO106" s="423" t="s">
        <v>3407</v>
      </c>
      <c r="BP106" s="513"/>
      <c r="BQ106" s="514" t="str">
        <f t="shared" si="138"/>
        <v>2MP</v>
      </c>
    </row>
    <row r="107" spans="1:69" ht="19.95" customHeight="1">
      <c r="A107" s="422" t="s">
        <v>1426</v>
      </c>
      <c r="B107" s="423" t="s">
        <v>157</v>
      </c>
      <c r="C107" s="424">
        <v>22</v>
      </c>
      <c r="D107" s="424"/>
      <c r="E107" s="424"/>
      <c r="F107" s="424"/>
      <c r="G107" s="424"/>
      <c r="H107" s="424"/>
      <c r="I107" s="422" t="s">
        <v>2300</v>
      </c>
      <c r="J107" s="421" t="str">
        <f t="shared" si="141"/>
        <v>LGOO6Ab</v>
      </c>
      <c r="K107" s="421" t="str">
        <f t="shared" si="142"/>
        <v>LGOO6AbM</v>
      </c>
      <c r="L107" s="447" t="str">
        <f t="shared" si="143"/>
        <v>AbM</v>
      </c>
      <c r="M107" s="932">
        <v>3</v>
      </c>
      <c r="N107" s="932">
        <v>3</v>
      </c>
      <c r="O107" s="932">
        <v>3</v>
      </c>
      <c r="P107" s="932">
        <v>3</v>
      </c>
      <c r="Q107" s="940"/>
      <c r="R107" s="940"/>
      <c r="S107" s="940"/>
      <c r="T107" s="940"/>
      <c r="U107" s="940"/>
      <c r="V107" s="940"/>
      <c r="W107" s="940"/>
      <c r="X107" s="948"/>
      <c r="Y107" s="948"/>
      <c r="Z107" s="948"/>
      <c r="AA107" s="948"/>
      <c r="AB107" s="948"/>
      <c r="AC107" s="948"/>
      <c r="AD107" s="616"/>
      <c r="AE107" s="616"/>
      <c r="AF107" s="616"/>
      <c r="AG107" s="616"/>
      <c r="AH107" s="448">
        <f t="shared" si="144"/>
        <v>783828</v>
      </c>
      <c r="AI107" s="449">
        <f t="shared" si="145"/>
        <v>783828</v>
      </c>
      <c r="AJ107" s="450">
        <v>1</v>
      </c>
      <c r="AK107" s="452" t="s">
        <v>983</v>
      </c>
      <c r="AL107" s="447" t="s">
        <v>62</v>
      </c>
      <c r="AM107" s="447" t="s">
        <v>158</v>
      </c>
      <c r="AN107" s="447">
        <v>310100100001000</v>
      </c>
      <c r="AO107" s="305" t="s">
        <v>408</v>
      </c>
      <c r="AP107" s="305" t="s">
        <v>2423</v>
      </c>
      <c r="AQ107" s="306" t="s">
        <v>2465</v>
      </c>
      <c r="AR107" s="306" t="s">
        <v>984</v>
      </c>
      <c r="AS107" s="306" t="s">
        <v>985</v>
      </c>
      <c r="AT107" s="306" t="s">
        <v>1987</v>
      </c>
      <c r="AU107" s="306" t="str">
        <f t="shared" si="129"/>
        <v>S</v>
      </c>
      <c r="AV107" s="306" t="str">
        <f t="shared" si="130"/>
        <v>Dayan S. Wacnang</v>
      </c>
      <c r="AW107" s="306" t="str">
        <f t="shared" si="140"/>
        <v>WACNANG, Dayan Salimbay</v>
      </c>
      <c r="AX107" s="305" t="s">
        <v>408</v>
      </c>
      <c r="AY107" s="447" t="s">
        <v>62</v>
      </c>
      <c r="AZ107" s="472">
        <v>27022</v>
      </c>
      <c r="BA107" s="101">
        <f t="shared" ca="1" si="146"/>
        <v>52</v>
      </c>
      <c r="BB107" s="492" t="str">
        <f t="shared" ca="1" si="147"/>
        <v>D</v>
      </c>
      <c r="BC107" s="492" t="str">
        <f t="shared" ca="1" si="148"/>
        <v>AbD</v>
      </c>
      <c r="BD107" s="492" t="str">
        <f t="shared" ca="1" si="149"/>
        <v>AbDM</v>
      </c>
      <c r="BE107" s="492" t="str">
        <f t="shared" ca="1" si="150"/>
        <v>LGOO6AbDM</v>
      </c>
      <c r="BF107" s="447" t="s">
        <v>987</v>
      </c>
      <c r="BG107" s="493">
        <v>36234</v>
      </c>
      <c r="BH107" s="494">
        <v>36966</v>
      </c>
      <c r="BI107" s="447">
        <f t="shared" ca="1" si="151"/>
        <v>27</v>
      </c>
      <c r="BJ107" s="447">
        <f t="shared" ca="1" si="103"/>
        <v>25</v>
      </c>
      <c r="BK107" s="493">
        <v>43070</v>
      </c>
      <c r="BL107" s="447">
        <f t="shared" ca="1" si="152"/>
        <v>8</v>
      </c>
      <c r="BM107" s="447" t="s">
        <v>64</v>
      </c>
      <c r="BN107" s="512" t="s">
        <v>102</v>
      </c>
      <c r="BO107" s="423" t="s">
        <v>2254</v>
      </c>
      <c r="BP107" s="513"/>
      <c r="BQ107" s="514" t="str">
        <f t="shared" ref="BQ107:BQ138" si="153">CONCATENATE(2,AY107,BM107)</f>
        <v>2MP</v>
      </c>
    </row>
    <row r="108" spans="1:69" ht="19.95" customHeight="1">
      <c r="A108" s="422" t="s">
        <v>1428</v>
      </c>
      <c r="B108" s="423" t="s">
        <v>157</v>
      </c>
      <c r="C108" s="424">
        <v>22</v>
      </c>
      <c r="D108" s="424"/>
      <c r="E108" s="424"/>
      <c r="F108" s="424"/>
      <c r="G108" s="424"/>
      <c r="H108" s="424"/>
      <c r="I108" s="422" t="s">
        <v>2300</v>
      </c>
      <c r="J108" s="421" t="str">
        <f t="shared" si="141"/>
        <v>LGOO6Ab</v>
      </c>
      <c r="K108" s="421" t="str">
        <f t="shared" si="142"/>
        <v>LGOO6AbF</v>
      </c>
      <c r="L108" s="447" t="str">
        <f t="shared" si="143"/>
        <v>AbF</v>
      </c>
      <c r="M108" s="932">
        <v>3</v>
      </c>
      <c r="N108" s="932">
        <v>3</v>
      </c>
      <c r="O108" s="932">
        <v>3</v>
      </c>
      <c r="P108" s="932">
        <v>3</v>
      </c>
      <c r="Q108" s="940"/>
      <c r="R108" s="940"/>
      <c r="S108" s="940"/>
      <c r="T108" s="940"/>
      <c r="U108" s="940"/>
      <c r="V108" s="940"/>
      <c r="W108" s="940"/>
      <c r="X108" s="948"/>
      <c r="Y108" s="948"/>
      <c r="Z108" s="948"/>
      <c r="AA108" s="948"/>
      <c r="AB108" s="948"/>
      <c r="AC108" s="948"/>
      <c r="AD108" s="616"/>
      <c r="AE108" s="616"/>
      <c r="AF108" s="616"/>
      <c r="AG108" s="616"/>
      <c r="AH108" s="448">
        <f t="shared" si="144"/>
        <v>783828</v>
      </c>
      <c r="AI108" s="449">
        <f t="shared" si="145"/>
        <v>783828</v>
      </c>
      <c r="AJ108" s="450">
        <v>1</v>
      </c>
      <c r="AK108" s="452" t="s">
        <v>989</v>
      </c>
      <c r="AL108" s="447" t="s">
        <v>62</v>
      </c>
      <c r="AM108" s="447" t="s">
        <v>158</v>
      </c>
      <c r="AN108" s="447">
        <v>310100100001000</v>
      </c>
      <c r="AO108" s="305" t="s">
        <v>408</v>
      </c>
      <c r="AP108" s="305" t="s">
        <v>2423</v>
      </c>
      <c r="AQ108" s="306" t="s">
        <v>2466</v>
      </c>
      <c r="AR108" s="306" t="s">
        <v>990</v>
      </c>
      <c r="AS108" s="306" t="s">
        <v>991</v>
      </c>
      <c r="AT108" s="306" t="s">
        <v>1894</v>
      </c>
      <c r="AU108" s="306" t="str">
        <f t="shared" si="129"/>
        <v>A</v>
      </c>
      <c r="AV108" s="306" t="str">
        <f t="shared" si="130"/>
        <v>Prescila A. Monreal</v>
      </c>
      <c r="AW108" s="306" t="str">
        <f t="shared" si="140"/>
        <v>MONREAL, Prescila Alzate</v>
      </c>
      <c r="AX108" s="305" t="s">
        <v>408</v>
      </c>
      <c r="AY108" s="447" t="s">
        <v>100</v>
      </c>
      <c r="AZ108" s="472">
        <v>24123</v>
      </c>
      <c r="BA108" s="101">
        <f t="shared" ca="1" si="146"/>
        <v>60</v>
      </c>
      <c r="BB108" s="492" t="str">
        <f t="shared" ca="1" si="147"/>
        <v>E</v>
      </c>
      <c r="BC108" s="492" t="str">
        <f t="shared" ca="1" si="148"/>
        <v>AbE</v>
      </c>
      <c r="BD108" s="492" t="str">
        <f t="shared" ca="1" si="149"/>
        <v>AbEF</v>
      </c>
      <c r="BE108" s="492" t="str">
        <f t="shared" ca="1" si="150"/>
        <v>LGOO6AbEF</v>
      </c>
      <c r="BF108" s="447" t="s">
        <v>993</v>
      </c>
      <c r="BG108" s="493">
        <v>32687</v>
      </c>
      <c r="BH108" s="493">
        <v>32687</v>
      </c>
      <c r="BI108" s="447">
        <f t="shared" ca="1" si="151"/>
        <v>36</v>
      </c>
      <c r="BJ108" s="447">
        <f t="shared" ca="1" si="103"/>
        <v>36</v>
      </c>
      <c r="BK108" s="493">
        <v>43070</v>
      </c>
      <c r="BL108" s="447">
        <f t="shared" ca="1" si="152"/>
        <v>8</v>
      </c>
      <c r="BM108" s="447" t="s">
        <v>64</v>
      </c>
      <c r="BN108" s="512" t="s">
        <v>102</v>
      </c>
      <c r="BO108" s="423" t="s">
        <v>2254</v>
      </c>
      <c r="BP108" s="513"/>
      <c r="BQ108" s="514" t="str">
        <f t="shared" si="153"/>
        <v>2FP</v>
      </c>
    </row>
    <row r="109" spans="1:69" ht="19.95" customHeight="1">
      <c r="A109" s="422" t="s">
        <v>1430</v>
      </c>
      <c r="B109" s="423" t="s">
        <v>157</v>
      </c>
      <c r="C109" s="424">
        <v>22</v>
      </c>
      <c r="D109" s="424"/>
      <c r="E109" s="424"/>
      <c r="F109" s="424"/>
      <c r="G109" s="424"/>
      <c r="H109" s="424"/>
      <c r="I109" s="422" t="s">
        <v>2300</v>
      </c>
      <c r="J109" s="421" t="str">
        <f t="shared" si="141"/>
        <v>LGOO6Ap</v>
      </c>
      <c r="K109" s="421" t="str">
        <f t="shared" si="142"/>
        <v>LGOO6ApF</v>
      </c>
      <c r="L109" s="447" t="str">
        <f t="shared" si="143"/>
        <v>ApF</v>
      </c>
      <c r="M109" s="932">
        <v>3</v>
      </c>
      <c r="N109" s="932">
        <v>3</v>
      </c>
      <c r="O109" s="932">
        <v>3</v>
      </c>
      <c r="P109" s="932">
        <v>3</v>
      </c>
      <c r="Q109" s="940"/>
      <c r="R109" s="940"/>
      <c r="S109" s="940"/>
      <c r="T109" s="940"/>
      <c r="U109" s="940"/>
      <c r="V109" s="940"/>
      <c r="W109" s="940"/>
      <c r="X109" s="948"/>
      <c r="Y109" s="948"/>
      <c r="Z109" s="948"/>
      <c r="AA109" s="948"/>
      <c r="AB109" s="948"/>
      <c r="AC109" s="948"/>
      <c r="AD109" s="616"/>
      <c r="AE109" s="616"/>
      <c r="AF109" s="616"/>
      <c r="AG109" s="616"/>
      <c r="AH109" s="448">
        <f t="shared" si="144"/>
        <v>783828</v>
      </c>
      <c r="AI109" s="449">
        <f t="shared" si="145"/>
        <v>783828</v>
      </c>
      <c r="AJ109" s="450">
        <v>1</v>
      </c>
      <c r="AK109" s="452" t="s">
        <v>223</v>
      </c>
      <c r="AL109" s="447" t="s">
        <v>64</v>
      </c>
      <c r="AM109" s="447" t="s">
        <v>158</v>
      </c>
      <c r="AN109" s="447">
        <v>310100100001000</v>
      </c>
      <c r="AO109" s="305" t="s">
        <v>181</v>
      </c>
      <c r="AP109" s="305" t="s">
        <v>2404</v>
      </c>
      <c r="AQ109" s="305" t="s">
        <v>181</v>
      </c>
      <c r="AR109" s="305" t="s">
        <v>1125</v>
      </c>
      <c r="AS109" s="305" t="s">
        <v>1126</v>
      </c>
      <c r="AT109" s="305" t="s">
        <v>2000</v>
      </c>
      <c r="AU109" s="306" t="str">
        <f t="shared" si="129"/>
        <v>A</v>
      </c>
      <c r="AV109" s="306" t="str">
        <f t="shared" si="130"/>
        <v>Mary Beth A. Micu</v>
      </c>
      <c r="AW109" s="306" t="str">
        <f t="shared" si="140"/>
        <v>MICU, Mary Beth Agustin</v>
      </c>
      <c r="AX109" s="305" t="s">
        <v>181</v>
      </c>
      <c r="AY109" s="447" t="s">
        <v>100</v>
      </c>
      <c r="AZ109" s="472">
        <v>29486</v>
      </c>
      <c r="BA109" s="101">
        <f t="shared" ca="1" si="146"/>
        <v>45</v>
      </c>
      <c r="BB109" s="492" t="str">
        <f t="shared" ca="1" si="147"/>
        <v>C</v>
      </c>
      <c r="BC109" s="492" t="str">
        <f t="shared" ca="1" si="148"/>
        <v>ApC</v>
      </c>
      <c r="BD109" s="492" t="str">
        <f t="shared" ca="1" si="149"/>
        <v>ApCF</v>
      </c>
      <c r="BE109" s="492" t="str">
        <f t="shared" ca="1" si="150"/>
        <v>LGOO6ApCF</v>
      </c>
      <c r="BF109" s="447" t="s">
        <v>1128</v>
      </c>
      <c r="BG109" s="493">
        <v>37655</v>
      </c>
      <c r="BH109" s="493">
        <v>37655</v>
      </c>
      <c r="BI109" s="447">
        <f t="shared" ca="1" si="151"/>
        <v>23</v>
      </c>
      <c r="BJ109" s="447">
        <f t="shared" ca="1" si="103"/>
        <v>23</v>
      </c>
      <c r="BK109" s="493">
        <v>43070</v>
      </c>
      <c r="BL109" s="447">
        <f t="shared" ca="1" si="152"/>
        <v>8</v>
      </c>
      <c r="BM109" s="447" t="s">
        <v>64</v>
      </c>
      <c r="BN109" s="512" t="s">
        <v>102</v>
      </c>
      <c r="BO109" s="423" t="s">
        <v>2254</v>
      </c>
      <c r="BP109" s="513"/>
      <c r="BQ109" s="514" t="str">
        <f t="shared" si="153"/>
        <v>2FP</v>
      </c>
    </row>
    <row r="110" spans="1:69" ht="19.95" customHeight="1">
      <c r="A110" s="422" t="s">
        <v>1431</v>
      </c>
      <c r="B110" s="423" t="s">
        <v>157</v>
      </c>
      <c r="C110" s="424">
        <v>22</v>
      </c>
      <c r="D110" s="424"/>
      <c r="E110" s="424"/>
      <c r="F110" s="424"/>
      <c r="G110" s="424"/>
      <c r="H110" s="424"/>
      <c r="I110" s="422" t="s">
        <v>2300</v>
      </c>
      <c r="J110" s="421" t="str">
        <f t="shared" si="141"/>
        <v>LGOO6Ap</v>
      </c>
      <c r="K110" s="421" t="str">
        <f t="shared" si="142"/>
        <v>LGOO6ApF</v>
      </c>
      <c r="L110" s="447" t="str">
        <f t="shared" si="143"/>
        <v>ApF</v>
      </c>
      <c r="M110" s="932">
        <v>3</v>
      </c>
      <c r="N110" s="932">
        <v>3</v>
      </c>
      <c r="O110" s="932">
        <v>3</v>
      </c>
      <c r="P110" s="932">
        <v>3</v>
      </c>
      <c r="Q110" s="940"/>
      <c r="R110" s="940"/>
      <c r="S110" s="940"/>
      <c r="T110" s="940"/>
      <c r="U110" s="940"/>
      <c r="V110" s="940"/>
      <c r="W110" s="940"/>
      <c r="X110" s="948"/>
      <c r="Y110" s="948"/>
      <c r="Z110" s="948"/>
      <c r="AA110" s="948"/>
      <c r="AB110" s="948"/>
      <c r="AC110" s="948"/>
      <c r="AD110" s="616"/>
      <c r="AE110" s="616"/>
      <c r="AF110" s="616"/>
      <c r="AG110" s="616"/>
      <c r="AH110" s="448">
        <f t="shared" si="144"/>
        <v>783828</v>
      </c>
      <c r="AI110" s="449">
        <f t="shared" si="145"/>
        <v>783828</v>
      </c>
      <c r="AJ110" s="450">
        <v>1</v>
      </c>
      <c r="AK110" s="452" t="s">
        <v>223</v>
      </c>
      <c r="AL110" s="447" t="s">
        <v>64</v>
      </c>
      <c r="AM110" s="447" t="s">
        <v>158</v>
      </c>
      <c r="AN110" s="447">
        <v>310100100001000</v>
      </c>
      <c r="AO110" s="305" t="s">
        <v>181</v>
      </c>
      <c r="AP110" s="305" t="s">
        <v>2404</v>
      </c>
      <c r="AQ110" s="305" t="s">
        <v>2467</v>
      </c>
      <c r="AR110" s="305" t="s">
        <v>957</v>
      </c>
      <c r="AS110" s="305" t="s">
        <v>958</v>
      </c>
      <c r="AT110" s="305" t="s">
        <v>1913</v>
      </c>
      <c r="AU110" s="306" t="str">
        <f t="shared" si="129"/>
        <v>M</v>
      </c>
      <c r="AV110" s="306" t="str">
        <f t="shared" si="130"/>
        <v>Filipinita M. Galvez</v>
      </c>
      <c r="AW110" s="306" t="str">
        <f t="shared" si="140"/>
        <v>GALVEZ, Filipinita Marigza</v>
      </c>
      <c r="AX110" s="305" t="s">
        <v>181</v>
      </c>
      <c r="AY110" s="447" t="s">
        <v>100</v>
      </c>
      <c r="AZ110" s="472">
        <v>24270</v>
      </c>
      <c r="BA110" s="101">
        <f t="shared" ca="1" si="146"/>
        <v>59</v>
      </c>
      <c r="BB110" s="492" t="str">
        <f t="shared" ca="1" si="147"/>
        <v>D</v>
      </c>
      <c r="BC110" s="492" t="str">
        <f t="shared" ca="1" si="148"/>
        <v>ApD</v>
      </c>
      <c r="BD110" s="492" t="str">
        <f t="shared" ca="1" si="149"/>
        <v>ApDF</v>
      </c>
      <c r="BE110" s="492" t="str">
        <f t="shared" ca="1" si="150"/>
        <v>LGOO6ApDF</v>
      </c>
      <c r="BF110" s="447" t="s">
        <v>960</v>
      </c>
      <c r="BG110" s="493">
        <v>33196</v>
      </c>
      <c r="BH110" s="493">
        <v>33196</v>
      </c>
      <c r="BI110" s="447">
        <f t="shared" ca="1" si="151"/>
        <v>35</v>
      </c>
      <c r="BJ110" s="447">
        <f t="shared" ca="1" si="103"/>
        <v>35</v>
      </c>
      <c r="BK110" s="493">
        <v>43089</v>
      </c>
      <c r="BL110" s="447">
        <f t="shared" ca="1" si="152"/>
        <v>8</v>
      </c>
      <c r="BM110" s="447" t="s">
        <v>64</v>
      </c>
      <c r="BN110" s="512" t="s">
        <v>102</v>
      </c>
      <c r="BO110" s="423" t="s">
        <v>3391</v>
      </c>
      <c r="BP110" s="513" t="s">
        <v>1207</v>
      </c>
      <c r="BQ110" s="514" t="str">
        <f t="shared" si="153"/>
        <v>2FP</v>
      </c>
    </row>
    <row r="111" spans="1:69" ht="19.95" customHeight="1">
      <c r="A111" s="422" t="s">
        <v>1438</v>
      </c>
      <c r="B111" s="423" t="s">
        <v>157</v>
      </c>
      <c r="C111" s="424">
        <v>22</v>
      </c>
      <c r="D111" s="424"/>
      <c r="E111" s="424"/>
      <c r="F111" s="424"/>
      <c r="G111" s="424"/>
      <c r="H111" s="424"/>
      <c r="I111" s="422" t="s">
        <v>2300</v>
      </c>
      <c r="J111" s="421" t="str">
        <f t="shared" si="141"/>
        <v>LGOO6B</v>
      </c>
      <c r="K111" s="421" t="str">
        <f t="shared" si="142"/>
        <v>LGOO6BF</v>
      </c>
      <c r="L111" s="447" t="str">
        <f t="shared" si="143"/>
        <v>BF</v>
      </c>
      <c r="M111" s="932">
        <v>3</v>
      </c>
      <c r="N111" s="932">
        <v>3</v>
      </c>
      <c r="O111" s="932">
        <v>3</v>
      </c>
      <c r="P111" s="932">
        <v>3</v>
      </c>
      <c r="Q111" s="940"/>
      <c r="R111" s="940"/>
      <c r="S111" s="940"/>
      <c r="T111" s="940"/>
      <c r="U111" s="940"/>
      <c r="V111" s="940"/>
      <c r="W111" s="940"/>
      <c r="X111" s="948"/>
      <c r="Y111" s="948"/>
      <c r="Z111" s="948"/>
      <c r="AA111" s="948"/>
      <c r="AB111" s="948"/>
      <c r="AC111" s="948"/>
      <c r="AD111" s="616"/>
      <c r="AE111" s="616"/>
      <c r="AF111" s="616"/>
      <c r="AG111" s="616"/>
      <c r="AH111" s="448">
        <f t="shared" si="144"/>
        <v>783828</v>
      </c>
      <c r="AI111" s="449">
        <f t="shared" si="145"/>
        <v>783828</v>
      </c>
      <c r="AJ111" s="450">
        <v>1</v>
      </c>
      <c r="AK111" s="452" t="s">
        <v>721</v>
      </c>
      <c r="AL111" s="447" t="s">
        <v>62</v>
      </c>
      <c r="AM111" s="447" t="s">
        <v>158</v>
      </c>
      <c r="AN111" s="447">
        <v>310100100001000</v>
      </c>
      <c r="AO111" s="305" t="s">
        <v>167</v>
      </c>
      <c r="AP111" s="306" t="s">
        <v>2423</v>
      </c>
      <c r="AQ111" s="306" t="s">
        <v>2468</v>
      </c>
      <c r="AR111" s="305" t="s">
        <v>722</v>
      </c>
      <c r="AS111" s="305" t="s">
        <v>723</v>
      </c>
      <c r="AT111" s="305" t="s">
        <v>1106</v>
      </c>
      <c r="AU111" s="306" t="str">
        <f t="shared" si="129"/>
        <v>L</v>
      </c>
      <c r="AV111" s="306" t="str">
        <f t="shared" si="130"/>
        <v>Virginia L. Chan</v>
      </c>
      <c r="AW111" s="306" t="str">
        <f t="shared" si="140"/>
        <v>CHAN, Virginia Lucas</v>
      </c>
      <c r="AX111" s="305" t="s">
        <v>167</v>
      </c>
      <c r="AY111" s="447" t="s">
        <v>100</v>
      </c>
      <c r="AZ111" s="472">
        <v>22384</v>
      </c>
      <c r="BA111" s="101">
        <f t="shared" ca="1" si="146"/>
        <v>64</v>
      </c>
      <c r="BB111" s="492" t="str">
        <f t="shared" ca="1" si="147"/>
        <v>E</v>
      </c>
      <c r="BC111" s="492" t="str">
        <f t="shared" ca="1" si="148"/>
        <v>BE</v>
      </c>
      <c r="BD111" s="492" t="str">
        <f t="shared" ca="1" si="149"/>
        <v>BEF</v>
      </c>
      <c r="BE111" s="492" t="str">
        <f t="shared" ca="1" si="150"/>
        <v>LGOO6BEF</v>
      </c>
      <c r="BF111" s="447" t="s">
        <v>725</v>
      </c>
      <c r="BG111" s="493">
        <v>30391</v>
      </c>
      <c r="BH111" s="493">
        <v>30391</v>
      </c>
      <c r="BI111" s="447">
        <f t="shared" ca="1" si="151"/>
        <v>43</v>
      </c>
      <c r="BJ111" s="447">
        <f t="shared" ca="1" si="103"/>
        <v>43</v>
      </c>
      <c r="BK111" s="493">
        <v>43070</v>
      </c>
      <c r="BL111" s="447">
        <f t="shared" ca="1" si="152"/>
        <v>8</v>
      </c>
      <c r="BM111" s="447" t="s">
        <v>64</v>
      </c>
      <c r="BN111" s="512" t="s">
        <v>102</v>
      </c>
      <c r="BO111" s="423" t="s">
        <v>2730</v>
      </c>
      <c r="BP111" s="513"/>
      <c r="BQ111" s="514" t="str">
        <f t="shared" si="153"/>
        <v>2FP</v>
      </c>
    </row>
    <row r="112" spans="1:69" ht="19.95" customHeight="1">
      <c r="A112" s="422" t="s">
        <v>1440</v>
      </c>
      <c r="B112" s="423" t="s">
        <v>157</v>
      </c>
      <c r="C112" s="424">
        <v>22</v>
      </c>
      <c r="D112" s="424"/>
      <c r="E112" s="424"/>
      <c r="F112" s="424"/>
      <c r="G112" s="424"/>
      <c r="H112" s="424"/>
      <c r="I112" s="422" t="s">
        <v>2300</v>
      </c>
      <c r="J112" s="421" t="str">
        <f t="shared" si="141"/>
        <v>LGOO6B</v>
      </c>
      <c r="K112" s="421" t="str">
        <f t="shared" si="142"/>
        <v>LGOO6BF</v>
      </c>
      <c r="L112" s="447" t="str">
        <f t="shared" si="143"/>
        <v>BF</v>
      </c>
      <c r="M112" s="932">
        <v>3</v>
      </c>
      <c r="N112" s="932">
        <v>3</v>
      </c>
      <c r="O112" s="932">
        <v>3</v>
      </c>
      <c r="P112" s="932">
        <v>3</v>
      </c>
      <c r="Q112" s="940"/>
      <c r="R112" s="940"/>
      <c r="S112" s="940"/>
      <c r="T112" s="940"/>
      <c r="U112" s="940"/>
      <c r="V112" s="940"/>
      <c r="W112" s="940"/>
      <c r="X112" s="948"/>
      <c r="Y112" s="948"/>
      <c r="Z112" s="948"/>
      <c r="AA112" s="948"/>
      <c r="AB112" s="948"/>
      <c r="AC112" s="948"/>
      <c r="AD112" s="616"/>
      <c r="AE112" s="616"/>
      <c r="AF112" s="616"/>
      <c r="AG112" s="616"/>
      <c r="AH112" s="448">
        <f t="shared" si="144"/>
        <v>783828</v>
      </c>
      <c r="AI112" s="449">
        <f t="shared" si="145"/>
        <v>783828</v>
      </c>
      <c r="AJ112" s="450">
        <v>1</v>
      </c>
      <c r="AK112" s="452" t="s">
        <v>727</v>
      </c>
      <c r="AL112" s="447" t="s">
        <v>62</v>
      </c>
      <c r="AM112" s="447" t="s">
        <v>158</v>
      </c>
      <c r="AN112" s="447">
        <v>310100100001000</v>
      </c>
      <c r="AO112" s="305" t="s">
        <v>167</v>
      </c>
      <c r="AP112" s="305" t="s">
        <v>2423</v>
      </c>
      <c r="AQ112" s="305" t="s">
        <v>2469</v>
      </c>
      <c r="AR112" s="305" t="s">
        <v>2069</v>
      </c>
      <c r="AS112" s="305" t="s">
        <v>2070</v>
      </c>
      <c r="AT112" s="305" t="s">
        <v>2071</v>
      </c>
      <c r="AU112" s="306" t="str">
        <f t="shared" si="129"/>
        <v>F</v>
      </c>
      <c r="AV112" s="306" t="str">
        <f t="shared" si="130"/>
        <v>Jonilou F. Sahoy</v>
      </c>
      <c r="AW112" s="306" t="str">
        <f t="shared" si="140"/>
        <v>SAHOY, Jonilou Fukai</v>
      </c>
      <c r="AX112" s="305" t="s">
        <v>167</v>
      </c>
      <c r="AY112" s="447" t="s">
        <v>100</v>
      </c>
      <c r="AZ112" s="472">
        <v>27811</v>
      </c>
      <c r="BA112" s="101">
        <f t="shared" ca="1" si="146"/>
        <v>50</v>
      </c>
      <c r="BB112" s="492" t="str">
        <f t="shared" ca="1" si="147"/>
        <v>D</v>
      </c>
      <c r="BC112" s="492" t="str">
        <f t="shared" ca="1" si="148"/>
        <v>BD</v>
      </c>
      <c r="BD112" s="492" t="str">
        <f t="shared" ca="1" si="149"/>
        <v>BDF</v>
      </c>
      <c r="BE112" s="492" t="str">
        <f t="shared" ca="1" si="150"/>
        <v>LGOO6BDF</v>
      </c>
      <c r="BF112" s="447" t="s">
        <v>2310</v>
      </c>
      <c r="BG112" s="493">
        <v>37200</v>
      </c>
      <c r="BH112" s="494">
        <v>41163</v>
      </c>
      <c r="BI112" s="447">
        <f t="shared" ca="1" si="151"/>
        <v>24</v>
      </c>
      <c r="BJ112" s="447">
        <f t="shared" ca="1" si="103"/>
        <v>13</v>
      </c>
      <c r="BK112" s="493">
        <v>43087</v>
      </c>
      <c r="BL112" s="447">
        <f t="shared" ca="1" si="152"/>
        <v>8</v>
      </c>
      <c r="BM112" s="447" t="s">
        <v>64</v>
      </c>
      <c r="BN112" s="512" t="s">
        <v>102</v>
      </c>
      <c r="BO112" s="423" t="s">
        <v>2273</v>
      </c>
      <c r="BP112" s="513"/>
      <c r="BQ112" s="514" t="str">
        <f t="shared" si="153"/>
        <v>2FP</v>
      </c>
    </row>
    <row r="113" spans="1:69" ht="19.95" customHeight="1">
      <c r="A113" s="422" t="s">
        <v>1441</v>
      </c>
      <c r="B113" s="423" t="s">
        <v>157</v>
      </c>
      <c r="C113" s="424">
        <v>22</v>
      </c>
      <c r="D113" s="424"/>
      <c r="E113" s="424"/>
      <c r="F113" s="424"/>
      <c r="G113" s="424"/>
      <c r="H113" s="424"/>
      <c r="I113" s="422" t="s">
        <v>2300</v>
      </c>
      <c r="J113" s="421" t="str">
        <f t="shared" si="141"/>
        <v>LGOO6B</v>
      </c>
      <c r="K113" s="421" t="str">
        <f t="shared" si="142"/>
        <v>LGOO6BF</v>
      </c>
      <c r="L113" s="447" t="str">
        <f t="shared" si="143"/>
        <v>BF</v>
      </c>
      <c r="M113" s="932">
        <v>3</v>
      </c>
      <c r="N113" s="932">
        <v>3</v>
      </c>
      <c r="O113" s="932">
        <v>3</v>
      </c>
      <c r="P113" s="932">
        <v>3</v>
      </c>
      <c r="Q113" s="940"/>
      <c r="R113" s="940"/>
      <c r="S113" s="940"/>
      <c r="T113" s="940"/>
      <c r="U113" s="940"/>
      <c r="V113" s="940"/>
      <c r="W113" s="940"/>
      <c r="X113" s="948"/>
      <c r="Y113" s="948"/>
      <c r="Z113" s="948"/>
      <c r="AA113" s="948"/>
      <c r="AB113" s="948"/>
      <c r="AC113" s="948"/>
      <c r="AD113" s="616"/>
      <c r="AE113" s="616"/>
      <c r="AF113" s="616"/>
      <c r="AG113" s="616"/>
      <c r="AH113" s="448">
        <f t="shared" si="144"/>
        <v>783828</v>
      </c>
      <c r="AI113" s="449">
        <f t="shared" si="145"/>
        <v>783828</v>
      </c>
      <c r="AJ113" s="450">
        <v>1</v>
      </c>
      <c r="AK113" s="452" t="s">
        <v>197</v>
      </c>
      <c r="AL113" s="447" t="s">
        <v>64</v>
      </c>
      <c r="AM113" s="447" t="s">
        <v>158</v>
      </c>
      <c r="AN113" s="447">
        <v>310100100001000</v>
      </c>
      <c r="AO113" s="305" t="s">
        <v>167</v>
      </c>
      <c r="AP113" s="306" t="s">
        <v>2404</v>
      </c>
      <c r="AQ113" s="305" t="s">
        <v>167</v>
      </c>
      <c r="AR113" s="305" t="s">
        <v>733</v>
      </c>
      <c r="AS113" s="305" t="s">
        <v>734</v>
      </c>
      <c r="AT113" s="305" t="s">
        <v>1962</v>
      </c>
      <c r="AU113" s="306" t="str">
        <f t="shared" si="129"/>
        <v>B</v>
      </c>
      <c r="AV113" s="306" t="str">
        <f t="shared" si="130"/>
        <v>Janet B. Ating</v>
      </c>
      <c r="AW113" s="306" t="str">
        <f t="shared" si="140"/>
        <v>ATING, Janet Belingon</v>
      </c>
      <c r="AX113" s="305" t="s">
        <v>167</v>
      </c>
      <c r="AY113" s="447" t="s">
        <v>100</v>
      </c>
      <c r="AZ113" s="472">
        <v>25908</v>
      </c>
      <c r="BA113" s="101">
        <f t="shared" ca="1" si="146"/>
        <v>55</v>
      </c>
      <c r="BB113" s="492" t="str">
        <f t="shared" ca="1" si="147"/>
        <v>D</v>
      </c>
      <c r="BC113" s="492" t="str">
        <f t="shared" ca="1" si="148"/>
        <v>BD</v>
      </c>
      <c r="BD113" s="492" t="str">
        <f t="shared" ca="1" si="149"/>
        <v>BDF</v>
      </c>
      <c r="BE113" s="492" t="str">
        <f t="shared" ca="1" si="150"/>
        <v>LGOO6BDF</v>
      </c>
      <c r="BF113" s="447" t="s">
        <v>736</v>
      </c>
      <c r="BG113" s="493">
        <v>35837</v>
      </c>
      <c r="BH113" s="493">
        <v>35837</v>
      </c>
      <c r="BI113" s="447">
        <f t="shared" ca="1" si="151"/>
        <v>28</v>
      </c>
      <c r="BJ113" s="447">
        <f t="shared" ca="1" si="103"/>
        <v>28</v>
      </c>
      <c r="BK113" s="493">
        <v>43070</v>
      </c>
      <c r="BL113" s="447">
        <f t="shared" ca="1" si="152"/>
        <v>8</v>
      </c>
      <c r="BM113" s="447" t="s">
        <v>64</v>
      </c>
      <c r="BN113" s="512" t="s">
        <v>2470</v>
      </c>
      <c r="BO113" s="423" t="s">
        <v>2254</v>
      </c>
      <c r="BP113" s="513"/>
      <c r="BQ113" s="514" t="str">
        <f t="shared" si="153"/>
        <v>2FP</v>
      </c>
    </row>
    <row r="114" spans="1:69" ht="19.95" customHeight="1">
      <c r="A114" s="422" t="s">
        <v>1442</v>
      </c>
      <c r="B114" s="423" t="s">
        <v>157</v>
      </c>
      <c r="C114" s="424">
        <v>22</v>
      </c>
      <c r="D114" s="424"/>
      <c r="E114" s="424"/>
      <c r="F114" s="424"/>
      <c r="G114" s="424"/>
      <c r="H114" s="424"/>
      <c r="I114" s="422" t="s">
        <v>2300</v>
      </c>
      <c r="J114" s="421" t="str">
        <f t="shared" si="141"/>
        <v>LGOO6B</v>
      </c>
      <c r="K114" s="421" t="str">
        <f t="shared" si="142"/>
        <v>LGOO6BF</v>
      </c>
      <c r="L114" s="447" t="str">
        <f t="shared" si="143"/>
        <v>BF</v>
      </c>
      <c r="M114" s="932">
        <v>3</v>
      </c>
      <c r="N114" s="932">
        <v>3</v>
      </c>
      <c r="O114" s="932">
        <v>3</v>
      </c>
      <c r="P114" s="932">
        <v>3</v>
      </c>
      <c r="Q114" s="940"/>
      <c r="R114" s="940"/>
      <c r="S114" s="940"/>
      <c r="T114" s="940"/>
      <c r="U114" s="940"/>
      <c r="V114" s="940"/>
      <c r="W114" s="940"/>
      <c r="X114" s="948"/>
      <c r="Y114" s="948"/>
      <c r="Z114" s="948"/>
      <c r="AA114" s="948"/>
      <c r="AB114" s="948"/>
      <c r="AC114" s="948"/>
      <c r="AD114" s="616"/>
      <c r="AE114" s="616"/>
      <c r="AF114" s="616"/>
      <c r="AG114" s="616"/>
      <c r="AH114" s="448">
        <f t="shared" si="144"/>
        <v>783828</v>
      </c>
      <c r="AI114" s="449">
        <f t="shared" si="145"/>
        <v>783828</v>
      </c>
      <c r="AJ114" s="450">
        <v>1</v>
      </c>
      <c r="AK114" s="452" t="s">
        <v>738</v>
      </c>
      <c r="AL114" s="447" t="s">
        <v>62</v>
      </c>
      <c r="AM114" s="447" t="s">
        <v>158</v>
      </c>
      <c r="AN114" s="447">
        <v>310100100001000</v>
      </c>
      <c r="AO114" s="305" t="s">
        <v>167</v>
      </c>
      <c r="AP114" s="306" t="s">
        <v>2423</v>
      </c>
      <c r="AQ114" s="306" t="s">
        <v>2471</v>
      </c>
      <c r="AR114" s="306" t="s">
        <v>739</v>
      </c>
      <c r="AS114" s="306" t="s">
        <v>2472</v>
      </c>
      <c r="AT114" s="306" t="s">
        <v>1932</v>
      </c>
      <c r="AU114" s="306" t="str">
        <f t="shared" si="129"/>
        <v>A</v>
      </c>
      <c r="AV114" s="306" t="str">
        <f t="shared" si="130"/>
        <v>Brigitte  A. Ulep</v>
      </c>
      <c r="AW114" s="306" t="str">
        <f t="shared" si="140"/>
        <v>ULEP, Brigitte  Adeban</v>
      </c>
      <c r="AX114" s="305" t="s">
        <v>167</v>
      </c>
      <c r="AY114" s="447" t="s">
        <v>100</v>
      </c>
      <c r="AZ114" s="472">
        <v>24770</v>
      </c>
      <c r="BA114" s="101">
        <f t="shared" ca="1" si="146"/>
        <v>58</v>
      </c>
      <c r="BB114" s="492" t="str">
        <f t="shared" ca="1" si="147"/>
        <v>D</v>
      </c>
      <c r="BC114" s="492" t="str">
        <f t="shared" ca="1" si="148"/>
        <v>BD</v>
      </c>
      <c r="BD114" s="492" t="str">
        <f t="shared" ca="1" si="149"/>
        <v>BDF</v>
      </c>
      <c r="BE114" s="492" t="str">
        <f t="shared" ca="1" si="150"/>
        <v>LGOO6BDF</v>
      </c>
      <c r="BF114" s="447" t="s">
        <v>742</v>
      </c>
      <c r="BG114" s="493">
        <v>33605</v>
      </c>
      <c r="BH114" s="493">
        <v>33605</v>
      </c>
      <c r="BI114" s="447">
        <f t="shared" ca="1" si="151"/>
        <v>34</v>
      </c>
      <c r="BJ114" s="447">
        <f t="shared" ca="1" si="103"/>
        <v>34</v>
      </c>
      <c r="BK114" s="493">
        <v>43070</v>
      </c>
      <c r="BL114" s="447">
        <f t="shared" ca="1" si="152"/>
        <v>8</v>
      </c>
      <c r="BM114" s="447" t="s">
        <v>64</v>
      </c>
      <c r="BN114" s="512" t="s">
        <v>102</v>
      </c>
      <c r="BO114" s="423" t="s">
        <v>2254</v>
      </c>
      <c r="BP114" s="513"/>
      <c r="BQ114" s="514" t="str">
        <f t="shared" si="153"/>
        <v>2FP</v>
      </c>
    </row>
    <row r="115" spans="1:69" ht="19.95" customHeight="1">
      <c r="A115" s="422" t="s">
        <v>1443</v>
      </c>
      <c r="B115" s="423" t="s">
        <v>157</v>
      </c>
      <c r="C115" s="424">
        <v>22</v>
      </c>
      <c r="D115" s="424"/>
      <c r="E115" s="424"/>
      <c r="F115" s="424"/>
      <c r="G115" s="424"/>
      <c r="H115" s="424"/>
      <c r="I115" s="422" t="s">
        <v>2300</v>
      </c>
      <c r="J115" s="421" t="str">
        <f t="shared" si="141"/>
        <v>LGOO6B</v>
      </c>
      <c r="K115" s="421" t="str">
        <f t="shared" si="142"/>
        <v>LGOO6BM</v>
      </c>
      <c r="L115" s="447" t="str">
        <f t="shared" si="143"/>
        <v>BM</v>
      </c>
      <c r="M115" s="932">
        <v>3</v>
      </c>
      <c r="N115" s="932">
        <v>3</v>
      </c>
      <c r="O115" s="932">
        <v>3</v>
      </c>
      <c r="P115" s="932">
        <v>3</v>
      </c>
      <c r="Q115" s="940"/>
      <c r="R115" s="940"/>
      <c r="S115" s="940"/>
      <c r="T115" s="940"/>
      <c r="U115" s="940"/>
      <c r="V115" s="940"/>
      <c r="W115" s="940"/>
      <c r="X115" s="948"/>
      <c r="Y115" s="948"/>
      <c r="Z115" s="948"/>
      <c r="AA115" s="948"/>
      <c r="AB115" s="948"/>
      <c r="AC115" s="948"/>
      <c r="AD115" s="616"/>
      <c r="AE115" s="616"/>
      <c r="AF115" s="616"/>
      <c r="AG115" s="616"/>
      <c r="AH115" s="448">
        <f t="shared" si="144"/>
        <v>783828</v>
      </c>
      <c r="AI115" s="449">
        <f t="shared" si="145"/>
        <v>783828</v>
      </c>
      <c r="AJ115" s="450">
        <v>1</v>
      </c>
      <c r="AK115" s="452" t="s">
        <v>744</v>
      </c>
      <c r="AL115" s="447" t="s">
        <v>62</v>
      </c>
      <c r="AM115" s="447" t="s">
        <v>158</v>
      </c>
      <c r="AN115" s="447">
        <v>310100100001000</v>
      </c>
      <c r="AO115" s="305" t="s">
        <v>167</v>
      </c>
      <c r="AP115" s="306" t="s">
        <v>2423</v>
      </c>
      <c r="AQ115" s="306" t="s">
        <v>2473</v>
      </c>
      <c r="AR115" s="305" t="s">
        <v>733</v>
      </c>
      <c r="AS115" s="305" t="s">
        <v>829</v>
      </c>
      <c r="AT115" s="305" t="s">
        <v>1943</v>
      </c>
      <c r="AU115" s="306" t="str">
        <f t="shared" si="129"/>
        <v>U</v>
      </c>
      <c r="AV115" s="306" t="str">
        <f t="shared" si="130"/>
        <v>Cesar U. Ating</v>
      </c>
      <c r="AW115" s="306" t="str">
        <f t="shared" si="140"/>
        <v>ATING, Cesar Uemura</v>
      </c>
      <c r="AX115" s="305" t="s">
        <v>167</v>
      </c>
      <c r="AY115" s="447" t="s">
        <v>62</v>
      </c>
      <c r="AZ115" s="472">
        <v>26872</v>
      </c>
      <c r="BA115" s="101">
        <f t="shared" ca="1" si="146"/>
        <v>52</v>
      </c>
      <c r="BB115" s="492" t="str">
        <f t="shared" ca="1" si="147"/>
        <v>D</v>
      </c>
      <c r="BC115" s="492" t="str">
        <f t="shared" ca="1" si="148"/>
        <v>BD</v>
      </c>
      <c r="BD115" s="492" t="str">
        <f t="shared" ca="1" si="149"/>
        <v>BDM</v>
      </c>
      <c r="BE115" s="492" t="str">
        <f t="shared" ca="1" si="150"/>
        <v>LGOO6BDM</v>
      </c>
      <c r="BF115" s="447" t="s">
        <v>831</v>
      </c>
      <c r="BG115" s="493">
        <v>35100</v>
      </c>
      <c r="BH115" s="493">
        <v>35100</v>
      </c>
      <c r="BI115" s="447">
        <f t="shared" ca="1" si="151"/>
        <v>30</v>
      </c>
      <c r="BJ115" s="447">
        <f t="shared" ca="1" si="103"/>
        <v>30</v>
      </c>
      <c r="BK115" s="493">
        <v>43070</v>
      </c>
      <c r="BL115" s="447">
        <f t="shared" ca="1" si="152"/>
        <v>8</v>
      </c>
      <c r="BM115" s="447" t="s">
        <v>64</v>
      </c>
      <c r="BN115" s="512" t="s">
        <v>102</v>
      </c>
      <c r="BO115" s="423" t="s">
        <v>2254</v>
      </c>
      <c r="BP115" s="513" t="s">
        <v>1207</v>
      </c>
      <c r="BQ115" s="514" t="str">
        <f t="shared" si="153"/>
        <v>2MP</v>
      </c>
    </row>
    <row r="116" spans="1:69" ht="19.95" customHeight="1">
      <c r="A116" s="422" t="s">
        <v>1444</v>
      </c>
      <c r="B116" s="423" t="s">
        <v>157</v>
      </c>
      <c r="C116" s="424">
        <v>22</v>
      </c>
      <c r="D116" s="424"/>
      <c r="E116" s="424"/>
      <c r="F116" s="424"/>
      <c r="G116" s="424"/>
      <c r="H116" s="424"/>
      <c r="I116" s="422" t="s">
        <v>2300</v>
      </c>
      <c r="J116" s="421" t="str">
        <f t="shared" si="141"/>
        <v>LGOO6B</v>
      </c>
      <c r="K116" s="421" t="str">
        <f t="shared" si="142"/>
        <v>LGOO6BM</v>
      </c>
      <c r="L116" s="447" t="str">
        <f t="shared" si="143"/>
        <v>BM</v>
      </c>
      <c r="M116" s="932">
        <v>3</v>
      </c>
      <c r="N116" s="932">
        <v>3</v>
      </c>
      <c r="O116" s="932">
        <v>3</v>
      </c>
      <c r="P116" s="932">
        <v>3</v>
      </c>
      <c r="Q116" s="940"/>
      <c r="R116" s="940"/>
      <c r="S116" s="940"/>
      <c r="T116" s="940"/>
      <c r="U116" s="940"/>
      <c r="V116" s="940"/>
      <c r="W116" s="940"/>
      <c r="X116" s="948"/>
      <c r="Y116" s="948"/>
      <c r="Z116" s="948"/>
      <c r="AA116" s="948"/>
      <c r="AB116" s="948"/>
      <c r="AC116" s="948"/>
      <c r="AD116" s="616"/>
      <c r="AE116" s="616"/>
      <c r="AF116" s="616"/>
      <c r="AG116" s="616"/>
      <c r="AH116" s="448">
        <f t="shared" si="144"/>
        <v>783828</v>
      </c>
      <c r="AI116" s="449">
        <f t="shared" si="145"/>
        <v>783828</v>
      </c>
      <c r="AJ116" s="450">
        <v>1</v>
      </c>
      <c r="AK116" s="452" t="s">
        <v>749</v>
      </c>
      <c r="AL116" s="447" t="s">
        <v>62</v>
      </c>
      <c r="AM116" s="447" t="s">
        <v>158</v>
      </c>
      <c r="AN116" s="447">
        <v>310100100001000</v>
      </c>
      <c r="AO116" s="305" t="s">
        <v>167</v>
      </c>
      <c r="AP116" s="306" t="s">
        <v>2423</v>
      </c>
      <c r="AQ116" s="306" t="s">
        <v>2474</v>
      </c>
      <c r="AR116" s="306" t="s">
        <v>1286</v>
      </c>
      <c r="AS116" s="306" t="s">
        <v>1287</v>
      </c>
      <c r="AT116" s="306" t="s">
        <v>2006</v>
      </c>
      <c r="AU116" s="306" t="str">
        <f t="shared" si="129"/>
        <v>T</v>
      </c>
      <c r="AV116" s="306" t="str">
        <f t="shared" si="130"/>
        <v>Randy T. Luma-Ang</v>
      </c>
      <c r="AW116" s="306" t="str">
        <f t="shared" si="140"/>
        <v>LUMA-ANG, Randy Thomas</v>
      </c>
      <c r="AX116" s="305" t="s">
        <v>167</v>
      </c>
      <c r="AY116" s="447" t="s">
        <v>62</v>
      </c>
      <c r="AZ116" s="472">
        <v>29139</v>
      </c>
      <c r="BA116" s="101">
        <f t="shared" ca="1" si="146"/>
        <v>46</v>
      </c>
      <c r="BB116" s="492" t="str">
        <f t="shared" ca="1" si="147"/>
        <v>C</v>
      </c>
      <c r="BC116" s="492" t="str">
        <f t="shared" ca="1" si="148"/>
        <v>BC</v>
      </c>
      <c r="BD116" s="492" t="str">
        <f t="shared" ca="1" si="149"/>
        <v>BCM</v>
      </c>
      <c r="BE116" s="492" t="str">
        <f t="shared" ca="1" si="150"/>
        <v>LGOO6BCM</v>
      </c>
      <c r="BF116" s="447" t="s">
        <v>1289</v>
      </c>
      <c r="BG116" s="493">
        <v>38200</v>
      </c>
      <c r="BH116" s="494">
        <v>38200</v>
      </c>
      <c r="BI116" s="447">
        <f t="shared" ca="1" si="151"/>
        <v>21</v>
      </c>
      <c r="BJ116" s="447">
        <f t="shared" ca="1" si="103"/>
        <v>21</v>
      </c>
      <c r="BK116" s="493">
        <v>43070</v>
      </c>
      <c r="BL116" s="447">
        <f t="shared" ca="1" si="152"/>
        <v>8</v>
      </c>
      <c r="BM116" s="447" t="s">
        <v>64</v>
      </c>
      <c r="BN116" s="512" t="s">
        <v>102</v>
      </c>
      <c r="BO116" s="423" t="s">
        <v>2753</v>
      </c>
      <c r="BP116" s="513"/>
      <c r="BQ116" s="514" t="str">
        <f t="shared" si="153"/>
        <v>2MP</v>
      </c>
    </row>
    <row r="117" spans="1:69" ht="19.95" customHeight="1">
      <c r="A117" s="422" t="s">
        <v>1445</v>
      </c>
      <c r="B117" s="423" t="s">
        <v>157</v>
      </c>
      <c r="C117" s="424">
        <v>22</v>
      </c>
      <c r="D117" s="424"/>
      <c r="E117" s="424"/>
      <c r="F117" s="424"/>
      <c r="G117" s="424"/>
      <c r="H117" s="424"/>
      <c r="I117" s="422" t="s">
        <v>2300</v>
      </c>
      <c r="J117" s="421" t="str">
        <f t="shared" si="141"/>
        <v>LGOO6B</v>
      </c>
      <c r="K117" s="421" t="str">
        <f t="shared" si="142"/>
        <v>LGOO6BM</v>
      </c>
      <c r="L117" s="447" t="str">
        <f t="shared" si="143"/>
        <v>BM</v>
      </c>
      <c r="M117" s="932">
        <v>3</v>
      </c>
      <c r="N117" s="932">
        <v>3</v>
      </c>
      <c r="O117" s="932">
        <v>3</v>
      </c>
      <c r="P117" s="932">
        <v>3</v>
      </c>
      <c r="Q117" s="940"/>
      <c r="R117" s="940"/>
      <c r="S117" s="940"/>
      <c r="T117" s="940"/>
      <c r="U117" s="940"/>
      <c r="V117" s="940"/>
      <c r="W117" s="940"/>
      <c r="X117" s="948"/>
      <c r="Y117" s="948"/>
      <c r="Z117" s="948"/>
      <c r="AA117" s="948"/>
      <c r="AB117" s="948"/>
      <c r="AC117" s="948"/>
      <c r="AD117" s="616"/>
      <c r="AE117" s="616"/>
      <c r="AF117" s="616"/>
      <c r="AG117" s="616"/>
      <c r="AH117" s="448">
        <f t="shared" si="144"/>
        <v>783828</v>
      </c>
      <c r="AI117" s="449">
        <f t="shared" si="145"/>
        <v>783828</v>
      </c>
      <c r="AJ117" s="450">
        <v>1</v>
      </c>
      <c r="AK117" s="452" t="s">
        <v>715</v>
      </c>
      <c r="AL117" s="447" t="s">
        <v>62</v>
      </c>
      <c r="AM117" s="447" t="s">
        <v>158</v>
      </c>
      <c r="AN117" s="447">
        <v>310100100001000</v>
      </c>
      <c r="AO117" s="305" t="s">
        <v>167</v>
      </c>
      <c r="AP117" s="306" t="s">
        <v>2423</v>
      </c>
      <c r="AQ117" s="306" t="s">
        <v>2475</v>
      </c>
      <c r="AR117" s="305" t="s">
        <v>198</v>
      </c>
      <c r="AS117" s="305" t="s">
        <v>199</v>
      </c>
      <c r="AT117" s="305" t="s">
        <v>1985</v>
      </c>
      <c r="AU117" s="306" t="str">
        <f t="shared" si="129"/>
        <v>M</v>
      </c>
      <c r="AV117" s="306" t="str">
        <f t="shared" si="130"/>
        <v>Odemar M. Cawis</v>
      </c>
      <c r="AW117" s="306" t="str">
        <f t="shared" si="140"/>
        <v>CAWIS, Odemar Mendoza</v>
      </c>
      <c r="AX117" s="305" t="s">
        <v>167</v>
      </c>
      <c r="AY117" s="447" t="s">
        <v>62</v>
      </c>
      <c r="AZ117" s="472">
        <v>25761</v>
      </c>
      <c r="BA117" s="101">
        <f t="shared" ca="1" si="146"/>
        <v>55</v>
      </c>
      <c r="BB117" s="492" t="str">
        <f t="shared" ca="1" si="147"/>
        <v>D</v>
      </c>
      <c r="BC117" s="492" t="str">
        <f t="shared" ca="1" si="148"/>
        <v>BD</v>
      </c>
      <c r="BD117" s="492" t="str">
        <f t="shared" ca="1" si="149"/>
        <v>BDM</v>
      </c>
      <c r="BE117" s="492" t="str">
        <f t="shared" ca="1" si="150"/>
        <v>LGOO6BDM</v>
      </c>
      <c r="BF117" s="447" t="s">
        <v>201</v>
      </c>
      <c r="BG117" s="493">
        <v>36434</v>
      </c>
      <c r="BH117" s="493">
        <v>36434</v>
      </c>
      <c r="BI117" s="447">
        <f t="shared" ca="1" si="151"/>
        <v>26</v>
      </c>
      <c r="BJ117" s="447">
        <f t="shared" ca="1" si="103"/>
        <v>26</v>
      </c>
      <c r="BK117" s="493">
        <v>43070</v>
      </c>
      <c r="BL117" s="447">
        <f t="shared" ca="1" si="152"/>
        <v>8</v>
      </c>
      <c r="BM117" s="447" t="s">
        <v>64</v>
      </c>
      <c r="BN117" s="512" t="s">
        <v>102</v>
      </c>
      <c r="BO117" s="423" t="s">
        <v>3407</v>
      </c>
      <c r="BP117" s="513"/>
      <c r="BQ117" s="514" t="str">
        <f t="shared" si="153"/>
        <v>2MP</v>
      </c>
    </row>
    <row r="118" spans="1:69" ht="19.95" customHeight="1">
      <c r="A118" s="422" t="s">
        <v>1447</v>
      </c>
      <c r="B118" s="423" t="s">
        <v>157</v>
      </c>
      <c r="C118" s="424">
        <v>22</v>
      </c>
      <c r="D118" s="424"/>
      <c r="E118" s="424"/>
      <c r="F118" s="424"/>
      <c r="G118" s="424"/>
      <c r="H118" s="424"/>
      <c r="I118" s="422" t="s">
        <v>2300</v>
      </c>
      <c r="J118" s="421" t="str">
        <f t="shared" si="141"/>
        <v>LGOO6B</v>
      </c>
      <c r="K118" s="421" t="str">
        <f t="shared" si="142"/>
        <v>LGOO6BF</v>
      </c>
      <c r="L118" s="447" t="str">
        <f t="shared" si="143"/>
        <v>BF</v>
      </c>
      <c r="M118" s="932">
        <v>3</v>
      </c>
      <c r="N118" s="932">
        <v>3</v>
      </c>
      <c r="O118" s="932">
        <v>3</v>
      </c>
      <c r="P118" s="932">
        <v>3</v>
      </c>
      <c r="Q118" s="940"/>
      <c r="R118" s="940"/>
      <c r="S118" s="940"/>
      <c r="T118" s="940"/>
      <c r="U118" s="940"/>
      <c r="V118" s="940"/>
      <c r="W118" s="940"/>
      <c r="X118" s="948"/>
      <c r="Y118" s="948"/>
      <c r="Z118" s="948"/>
      <c r="AA118" s="948"/>
      <c r="AB118" s="948"/>
      <c r="AC118" s="948"/>
      <c r="AD118" s="616"/>
      <c r="AE118" s="616"/>
      <c r="AF118" s="616"/>
      <c r="AG118" s="616"/>
      <c r="AH118" s="448">
        <f t="shared" si="144"/>
        <v>783828</v>
      </c>
      <c r="AI118" s="449">
        <f t="shared" si="145"/>
        <v>783828</v>
      </c>
      <c r="AJ118" s="450">
        <v>1</v>
      </c>
      <c r="AK118" s="452" t="s">
        <v>767</v>
      </c>
      <c r="AL118" s="447" t="s">
        <v>62</v>
      </c>
      <c r="AM118" s="447" t="s">
        <v>158</v>
      </c>
      <c r="AN118" s="447">
        <v>310100100001000</v>
      </c>
      <c r="AO118" s="305" t="s">
        <v>167</v>
      </c>
      <c r="AP118" s="306" t="s">
        <v>2423</v>
      </c>
      <c r="AQ118" s="306" t="s">
        <v>2476</v>
      </c>
      <c r="AR118" s="305" t="s">
        <v>255</v>
      </c>
      <c r="AS118" s="305" t="s">
        <v>256</v>
      </c>
      <c r="AT118" s="305" t="s">
        <v>1927</v>
      </c>
      <c r="AU118" s="306" t="str">
        <f t="shared" si="129"/>
        <v>F</v>
      </c>
      <c r="AV118" s="306" t="str">
        <f t="shared" si="130"/>
        <v>Cheryl Rose F. Cardenas</v>
      </c>
      <c r="AW118" s="306" t="str">
        <f t="shared" si="140"/>
        <v>CARDENAS, Cheryl Rose Flores</v>
      </c>
      <c r="AX118" s="305" t="s">
        <v>167</v>
      </c>
      <c r="AY118" s="447" t="s">
        <v>100</v>
      </c>
      <c r="AZ118" s="472">
        <v>22338</v>
      </c>
      <c r="BA118" s="101">
        <f t="shared" ca="1" si="146"/>
        <v>65</v>
      </c>
      <c r="BB118" s="492" t="str">
        <f t="shared" ca="1" si="147"/>
        <v>VACANT</v>
      </c>
      <c r="BC118" s="492" t="str">
        <f t="shared" ca="1" si="148"/>
        <v>VACANT</v>
      </c>
      <c r="BD118" s="492" t="str">
        <f t="shared" ca="1" si="149"/>
        <v>VACANTF</v>
      </c>
      <c r="BE118" s="492" t="str">
        <f t="shared" ca="1" si="150"/>
        <v>LGOO6VACANTF</v>
      </c>
      <c r="BF118" s="447" t="s">
        <v>2477</v>
      </c>
      <c r="BG118" s="493">
        <v>31719</v>
      </c>
      <c r="BH118" s="494">
        <v>35096</v>
      </c>
      <c r="BI118" s="447">
        <f t="shared" ca="1" si="151"/>
        <v>39</v>
      </c>
      <c r="BJ118" s="447">
        <f t="shared" ca="1" si="103"/>
        <v>30</v>
      </c>
      <c r="BK118" s="493">
        <v>43070</v>
      </c>
      <c r="BL118" s="447">
        <f t="shared" ca="1" si="152"/>
        <v>8</v>
      </c>
      <c r="BM118" s="447" t="s">
        <v>64</v>
      </c>
      <c r="BN118" s="512" t="s">
        <v>102</v>
      </c>
      <c r="BO118" s="423" t="s">
        <v>2254</v>
      </c>
      <c r="BP118" s="513" t="s">
        <v>1207</v>
      </c>
      <c r="BQ118" s="514" t="str">
        <f t="shared" si="153"/>
        <v>2FP</v>
      </c>
    </row>
    <row r="119" spans="1:69" ht="19.95" customHeight="1">
      <c r="A119" s="422" t="s">
        <v>1448</v>
      </c>
      <c r="B119" s="423" t="s">
        <v>157</v>
      </c>
      <c r="C119" s="424">
        <v>22</v>
      </c>
      <c r="D119" s="424"/>
      <c r="E119" s="424"/>
      <c r="F119" s="424"/>
      <c r="G119" s="424"/>
      <c r="H119" s="424"/>
      <c r="I119" s="422" t="s">
        <v>2300</v>
      </c>
      <c r="J119" s="421" t="str">
        <f t="shared" si="141"/>
        <v>LGOO6B</v>
      </c>
      <c r="K119" s="421" t="str">
        <f t="shared" si="142"/>
        <v>LGOO6BM</v>
      </c>
      <c r="L119" s="447" t="str">
        <f t="shared" si="143"/>
        <v>BM</v>
      </c>
      <c r="M119" s="932">
        <v>3</v>
      </c>
      <c r="N119" s="932">
        <v>3</v>
      </c>
      <c r="O119" s="932">
        <v>3</v>
      </c>
      <c r="P119" s="932">
        <v>3</v>
      </c>
      <c r="Q119" s="940"/>
      <c r="R119" s="940"/>
      <c r="S119" s="940"/>
      <c r="T119" s="940"/>
      <c r="U119" s="940"/>
      <c r="V119" s="940"/>
      <c r="W119" s="940"/>
      <c r="X119" s="948"/>
      <c r="Y119" s="948"/>
      <c r="Z119" s="948"/>
      <c r="AA119" s="948"/>
      <c r="AB119" s="948"/>
      <c r="AC119" s="948"/>
      <c r="AD119" s="616"/>
      <c r="AE119" s="616"/>
      <c r="AF119" s="616"/>
      <c r="AG119" s="616"/>
      <c r="AH119" s="448">
        <f t="shared" si="144"/>
        <v>783828</v>
      </c>
      <c r="AI119" s="449">
        <f t="shared" si="145"/>
        <v>783828</v>
      </c>
      <c r="AJ119" s="450">
        <v>1</v>
      </c>
      <c r="AK119" s="452" t="s">
        <v>773</v>
      </c>
      <c r="AL119" s="447" t="s">
        <v>62</v>
      </c>
      <c r="AM119" s="447" t="s">
        <v>158</v>
      </c>
      <c r="AN119" s="447">
        <v>310100100001000</v>
      </c>
      <c r="AO119" s="305" t="s">
        <v>167</v>
      </c>
      <c r="AP119" s="306" t="s">
        <v>2423</v>
      </c>
      <c r="AQ119" s="306" t="s">
        <v>2479</v>
      </c>
      <c r="AR119" s="305" t="s">
        <v>774</v>
      </c>
      <c r="AS119" s="305" t="s">
        <v>775</v>
      </c>
      <c r="AT119" s="305" t="s">
        <v>1939</v>
      </c>
      <c r="AU119" s="306" t="str">
        <f t="shared" si="129"/>
        <v>B</v>
      </c>
      <c r="AV119" s="306" t="str">
        <f t="shared" si="130"/>
        <v>Linston B. Ebes</v>
      </c>
      <c r="AW119" s="306" t="str">
        <f t="shared" si="140"/>
        <v>EBES, Linston Bolislis</v>
      </c>
      <c r="AX119" s="305" t="s">
        <v>167</v>
      </c>
      <c r="AY119" s="447" t="s">
        <v>62</v>
      </c>
      <c r="AZ119" s="472">
        <v>25425</v>
      </c>
      <c r="BA119" s="101">
        <f t="shared" ca="1" si="146"/>
        <v>56</v>
      </c>
      <c r="BB119" s="492" t="str">
        <f t="shared" ca="1" si="147"/>
        <v>D</v>
      </c>
      <c r="BC119" s="492" t="str">
        <f t="shared" ca="1" si="148"/>
        <v>BD</v>
      </c>
      <c r="BD119" s="492" t="str">
        <f t="shared" ca="1" si="149"/>
        <v>BDM</v>
      </c>
      <c r="BE119" s="492" t="str">
        <f t="shared" ca="1" si="150"/>
        <v>LGOO6BDM</v>
      </c>
      <c r="BF119" s="447" t="s">
        <v>777</v>
      </c>
      <c r="BG119" s="493">
        <v>33686</v>
      </c>
      <c r="BH119" s="494">
        <v>34808</v>
      </c>
      <c r="BI119" s="447">
        <f t="shared" ca="1" si="151"/>
        <v>34</v>
      </c>
      <c r="BJ119" s="447">
        <f t="shared" ca="1" si="103"/>
        <v>30</v>
      </c>
      <c r="BK119" s="493">
        <v>43070</v>
      </c>
      <c r="BL119" s="447">
        <f t="shared" ca="1" si="152"/>
        <v>8</v>
      </c>
      <c r="BM119" s="447" t="s">
        <v>64</v>
      </c>
      <c r="BN119" s="512" t="s">
        <v>102</v>
      </c>
      <c r="BO119" s="423" t="s">
        <v>2730</v>
      </c>
      <c r="BP119" s="513"/>
      <c r="BQ119" s="514" t="str">
        <f t="shared" si="153"/>
        <v>2MP</v>
      </c>
    </row>
    <row r="120" spans="1:69" ht="19.95" customHeight="1">
      <c r="A120" s="422" t="s">
        <v>1432</v>
      </c>
      <c r="B120" s="423" t="s">
        <v>157</v>
      </c>
      <c r="C120" s="424">
        <v>22</v>
      </c>
      <c r="D120" s="424"/>
      <c r="E120" s="424"/>
      <c r="F120" s="424"/>
      <c r="G120" s="424"/>
      <c r="H120" s="424"/>
      <c r="I120" s="422" t="s">
        <v>2300</v>
      </c>
      <c r="J120" s="421" t="str">
        <f t="shared" si="141"/>
        <v>LGOO6Ap</v>
      </c>
      <c r="K120" s="421" t="str">
        <f t="shared" si="142"/>
        <v>LGOO6ApM</v>
      </c>
      <c r="L120" s="447" t="str">
        <f t="shared" si="143"/>
        <v>ApM</v>
      </c>
      <c r="M120" s="932">
        <v>3</v>
      </c>
      <c r="N120" s="932">
        <v>3</v>
      </c>
      <c r="O120" s="932">
        <v>3</v>
      </c>
      <c r="P120" s="932">
        <v>3</v>
      </c>
      <c r="Q120" s="940"/>
      <c r="R120" s="940"/>
      <c r="S120" s="940"/>
      <c r="T120" s="940"/>
      <c r="U120" s="940"/>
      <c r="V120" s="940"/>
      <c r="W120" s="940"/>
      <c r="X120" s="948"/>
      <c r="Y120" s="948"/>
      <c r="Z120" s="948"/>
      <c r="AA120" s="948"/>
      <c r="AB120" s="948"/>
      <c r="AC120" s="948"/>
      <c r="AD120" s="616"/>
      <c r="AE120" s="616"/>
      <c r="AF120" s="616"/>
      <c r="AG120" s="616"/>
      <c r="AH120" s="448">
        <f t="shared" si="144"/>
        <v>783828</v>
      </c>
      <c r="AI120" s="449">
        <f t="shared" si="145"/>
        <v>783828</v>
      </c>
      <c r="AJ120" s="450">
        <v>1</v>
      </c>
      <c r="AK120" s="452" t="s">
        <v>901</v>
      </c>
      <c r="AL120" s="447" t="s">
        <v>62</v>
      </c>
      <c r="AM120" s="447" t="s">
        <v>158</v>
      </c>
      <c r="AN120" s="447">
        <v>310100100001000</v>
      </c>
      <c r="AO120" s="305" t="s">
        <v>181</v>
      </c>
      <c r="AP120" s="306" t="s">
        <v>2423</v>
      </c>
      <c r="AQ120" s="306" t="s">
        <v>2480</v>
      </c>
      <c r="AR120" s="306" t="s">
        <v>681</v>
      </c>
      <c r="AS120" s="306" t="s">
        <v>314</v>
      </c>
      <c r="AT120" s="306" t="s">
        <v>1133</v>
      </c>
      <c r="AU120" s="306" t="str">
        <f t="shared" si="129"/>
        <v>D</v>
      </c>
      <c r="AV120" s="306" t="str">
        <f t="shared" si="130"/>
        <v>Norman D. Venus</v>
      </c>
      <c r="AW120" s="306" t="str">
        <f t="shared" si="140"/>
        <v>VENUS, Norman Domingo</v>
      </c>
      <c r="AX120" s="305" t="s">
        <v>181</v>
      </c>
      <c r="AY120" s="447" t="s">
        <v>62</v>
      </c>
      <c r="AZ120" s="472">
        <v>24297</v>
      </c>
      <c r="BA120" s="101">
        <f t="shared" ca="1" si="146"/>
        <v>59</v>
      </c>
      <c r="BB120" s="492" t="str">
        <f t="shared" ca="1" si="147"/>
        <v>D</v>
      </c>
      <c r="BC120" s="492" t="str">
        <f t="shared" ca="1" si="148"/>
        <v>ApD</v>
      </c>
      <c r="BD120" s="492" t="str">
        <f t="shared" ca="1" si="149"/>
        <v>ApDM</v>
      </c>
      <c r="BE120" s="492" t="str">
        <f t="shared" ca="1" si="150"/>
        <v>LGOO6ApDM</v>
      </c>
      <c r="BF120" s="447" t="s">
        <v>903</v>
      </c>
      <c r="BG120" s="493">
        <v>35264</v>
      </c>
      <c r="BH120" s="493">
        <v>35264</v>
      </c>
      <c r="BI120" s="447">
        <f t="shared" ca="1" si="151"/>
        <v>29</v>
      </c>
      <c r="BJ120" s="447">
        <f t="shared" ca="1" si="103"/>
        <v>29</v>
      </c>
      <c r="BK120" s="493">
        <v>43070</v>
      </c>
      <c r="BL120" s="447">
        <f t="shared" ca="1" si="152"/>
        <v>8</v>
      </c>
      <c r="BM120" s="447" t="s">
        <v>64</v>
      </c>
      <c r="BN120" s="512" t="s">
        <v>102</v>
      </c>
      <c r="BO120" s="423" t="s">
        <v>2254</v>
      </c>
      <c r="BP120" s="513"/>
      <c r="BQ120" s="514" t="str">
        <f t="shared" si="153"/>
        <v>2MP</v>
      </c>
    </row>
    <row r="121" spans="1:69" ht="19.95" customHeight="1">
      <c r="A121" s="422" t="s">
        <v>1434</v>
      </c>
      <c r="B121" s="423" t="s">
        <v>157</v>
      </c>
      <c r="C121" s="424">
        <v>22</v>
      </c>
      <c r="D121" s="424"/>
      <c r="E121" s="424"/>
      <c r="F121" s="424"/>
      <c r="G121" s="424"/>
      <c r="H121" s="424"/>
      <c r="I121" s="422" t="s">
        <v>2300</v>
      </c>
      <c r="J121" s="421" t="str">
        <f t="shared" si="141"/>
        <v>LGOO6Ap</v>
      </c>
      <c r="K121" s="421" t="str">
        <f t="shared" si="142"/>
        <v>LGOO6ApM</v>
      </c>
      <c r="L121" s="447" t="str">
        <f t="shared" si="143"/>
        <v>ApM</v>
      </c>
      <c r="M121" s="932">
        <v>3</v>
      </c>
      <c r="N121" s="932">
        <v>3</v>
      </c>
      <c r="O121" s="932">
        <v>3</v>
      </c>
      <c r="P121" s="932">
        <v>3</v>
      </c>
      <c r="Q121" s="940"/>
      <c r="R121" s="940"/>
      <c r="S121" s="940"/>
      <c r="T121" s="940"/>
      <c r="U121" s="940"/>
      <c r="V121" s="940"/>
      <c r="W121" s="940"/>
      <c r="X121" s="948"/>
      <c r="Y121" s="948"/>
      <c r="Z121" s="948"/>
      <c r="AA121" s="948"/>
      <c r="AB121" s="948"/>
      <c r="AC121" s="948"/>
      <c r="AD121" s="616"/>
      <c r="AE121" s="616"/>
      <c r="AF121" s="616"/>
      <c r="AG121" s="616"/>
      <c r="AH121" s="448">
        <f t="shared" si="144"/>
        <v>783828</v>
      </c>
      <c r="AI121" s="449">
        <f t="shared" si="145"/>
        <v>783828</v>
      </c>
      <c r="AJ121" s="450">
        <v>1</v>
      </c>
      <c r="AK121" s="452" t="s">
        <v>905</v>
      </c>
      <c r="AL121" s="447" t="s">
        <v>62</v>
      </c>
      <c r="AM121" s="447" t="s">
        <v>158</v>
      </c>
      <c r="AN121" s="447">
        <v>310100100001000</v>
      </c>
      <c r="AO121" s="305" t="s">
        <v>181</v>
      </c>
      <c r="AP121" s="306" t="s">
        <v>2423</v>
      </c>
      <c r="AQ121" s="306" t="s">
        <v>2481</v>
      </c>
      <c r="AR121" s="306" t="s">
        <v>2061</v>
      </c>
      <c r="AS121" s="306" t="s">
        <v>2062</v>
      </c>
      <c r="AT121" s="306" t="s">
        <v>2063</v>
      </c>
      <c r="AU121" s="306" t="str">
        <f t="shared" si="129"/>
        <v>C</v>
      </c>
      <c r="AV121" s="306" t="str">
        <f t="shared" si="130"/>
        <v>Rhiener C. Visitacion</v>
      </c>
      <c r="AW121" s="306" t="str">
        <f t="shared" si="140"/>
        <v>VISITACION, Rhiener Cardenas</v>
      </c>
      <c r="AX121" s="305" t="s">
        <v>181</v>
      </c>
      <c r="AY121" s="447" t="s">
        <v>62</v>
      </c>
      <c r="AZ121" s="472">
        <v>29993</v>
      </c>
      <c r="BA121" s="101">
        <f t="shared" ca="1" si="146"/>
        <v>44</v>
      </c>
      <c r="BB121" s="492" t="str">
        <f t="shared" ca="1" si="147"/>
        <v>C</v>
      </c>
      <c r="BC121" s="492" t="str">
        <f t="shared" ca="1" si="148"/>
        <v>ApC</v>
      </c>
      <c r="BD121" s="492" t="str">
        <f t="shared" ca="1" si="149"/>
        <v>ApCM</v>
      </c>
      <c r="BE121" s="492" t="str">
        <f t="shared" ca="1" si="150"/>
        <v>LGOO6ApCM</v>
      </c>
      <c r="BF121" s="447" t="s">
        <v>2482</v>
      </c>
      <c r="BG121" s="493">
        <v>41157</v>
      </c>
      <c r="BH121" s="494">
        <v>41157</v>
      </c>
      <c r="BI121" s="447">
        <f t="shared" ca="1" si="151"/>
        <v>13</v>
      </c>
      <c r="BJ121" s="447">
        <f t="shared" ca="1" si="103"/>
        <v>13</v>
      </c>
      <c r="BK121" s="493">
        <v>43087</v>
      </c>
      <c r="BL121" s="447">
        <f t="shared" ca="1" si="152"/>
        <v>8</v>
      </c>
      <c r="BM121" s="447" t="s">
        <v>64</v>
      </c>
      <c r="BN121" s="512" t="s">
        <v>84</v>
      </c>
      <c r="BO121" s="423" t="s">
        <v>2757</v>
      </c>
      <c r="BP121" s="513"/>
      <c r="BQ121" s="514" t="str">
        <f t="shared" si="153"/>
        <v>2MP</v>
      </c>
    </row>
    <row r="122" spans="1:69" ht="19.95" customHeight="1">
      <c r="A122" s="422" t="s">
        <v>1435</v>
      </c>
      <c r="B122" s="423" t="s">
        <v>157</v>
      </c>
      <c r="C122" s="424">
        <v>22</v>
      </c>
      <c r="D122" s="424"/>
      <c r="E122" s="424"/>
      <c r="F122" s="424"/>
      <c r="G122" s="424"/>
      <c r="H122" s="424"/>
      <c r="I122" s="422" t="s">
        <v>2300</v>
      </c>
      <c r="J122" s="421" t="str">
        <f t="shared" si="141"/>
        <v>LGOO6Ap</v>
      </c>
      <c r="K122" s="421" t="str">
        <f t="shared" si="142"/>
        <v>LGOO6ApF</v>
      </c>
      <c r="L122" s="447" t="str">
        <f t="shared" si="143"/>
        <v>ApF</v>
      </c>
      <c r="M122" s="932">
        <v>3</v>
      </c>
      <c r="N122" s="932">
        <v>3</v>
      </c>
      <c r="O122" s="932">
        <v>3</v>
      </c>
      <c r="P122" s="932">
        <v>3</v>
      </c>
      <c r="Q122" s="940"/>
      <c r="R122" s="940"/>
      <c r="S122" s="940"/>
      <c r="T122" s="940"/>
      <c r="U122" s="940"/>
      <c r="V122" s="940"/>
      <c r="W122" s="940"/>
      <c r="X122" s="948"/>
      <c r="Y122" s="948"/>
      <c r="Z122" s="948"/>
      <c r="AA122" s="948"/>
      <c r="AB122" s="948"/>
      <c r="AC122" s="948"/>
      <c r="AD122" s="616"/>
      <c r="AE122" s="616"/>
      <c r="AF122" s="616"/>
      <c r="AG122" s="616"/>
      <c r="AH122" s="448">
        <f t="shared" si="144"/>
        <v>783828</v>
      </c>
      <c r="AI122" s="449">
        <f t="shared" si="145"/>
        <v>783828</v>
      </c>
      <c r="AJ122" s="450">
        <v>1</v>
      </c>
      <c r="AK122" s="452" t="s">
        <v>940</v>
      </c>
      <c r="AL122" s="447" t="s">
        <v>62</v>
      </c>
      <c r="AM122" s="447" t="s">
        <v>158</v>
      </c>
      <c r="AN122" s="447">
        <v>310100100001000</v>
      </c>
      <c r="AO122" s="305" t="s">
        <v>181</v>
      </c>
      <c r="AP122" s="306" t="s">
        <v>2423</v>
      </c>
      <c r="AQ122" s="306" t="s">
        <v>2483</v>
      </c>
      <c r="AR122" s="305" t="s">
        <v>941</v>
      </c>
      <c r="AS122" s="305" t="s">
        <v>942</v>
      </c>
      <c r="AT122" s="305" t="s">
        <v>1893</v>
      </c>
      <c r="AU122" s="306" t="str">
        <f t="shared" si="129"/>
        <v>C</v>
      </c>
      <c r="AV122" s="306" t="str">
        <f t="shared" si="130"/>
        <v>Cecile C. Eugenio</v>
      </c>
      <c r="AW122" s="306" t="str">
        <f t="shared" si="140"/>
        <v>EUGENIO, Cecile Cagurangan</v>
      </c>
      <c r="AX122" s="305" t="s">
        <v>181</v>
      </c>
      <c r="AY122" s="447" t="s">
        <v>100</v>
      </c>
      <c r="AZ122" s="472">
        <v>22989</v>
      </c>
      <c r="BA122" s="101">
        <f t="shared" ca="1" si="146"/>
        <v>63</v>
      </c>
      <c r="BB122" s="492" t="str">
        <f t="shared" ca="1" si="147"/>
        <v>E</v>
      </c>
      <c r="BC122" s="492" t="str">
        <f t="shared" ca="1" si="148"/>
        <v>ApE</v>
      </c>
      <c r="BD122" s="492" t="str">
        <f t="shared" ca="1" si="149"/>
        <v>ApEF</v>
      </c>
      <c r="BE122" s="492" t="str">
        <f t="shared" ca="1" si="150"/>
        <v>LGOO6ApEF</v>
      </c>
      <c r="BF122" s="447" t="s">
        <v>944</v>
      </c>
      <c r="BG122" s="493">
        <v>31414</v>
      </c>
      <c r="BH122" s="493">
        <v>31414</v>
      </c>
      <c r="BI122" s="447">
        <f t="shared" ca="1" si="151"/>
        <v>40</v>
      </c>
      <c r="BJ122" s="447">
        <f t="shared" ca="1" si="103"/>
        <v>40</v>
      </c>
      <c r="BK122" s="493">
        <v>43070</v>
      </c>
      <c r="BL122" s="447">
        <f t="shared" ca="1" si="152"/>
        <v>8</v>
      </c>
      <c r="BM122" s="447" t="s">
        <v>64</v>
      </c>
      <c r="BN122" s="512" t="s">
        <v>102</v>
      </c>
      <c r="BO122" s="423" t="s">
        <v>2725</v>
      </c>
      <c r="BP122" s="513"/>
      <c r="BQ122" s="514" t="str">
        <f t="shared" si="153"/>
        <v>2FP</v>
      </c>
    </row>
    <row r="123" spans="1:69" ht="19.95" customHeight="1">
      <c r="A123" s="422" t="s">
        <v>1436</v>
      </c>
      <c r="B123" s="423" t="s">
        <v>157</v>
      </c>
      <c r="C123" s="424">
        <v>22</v>
      </c>
      <c r="D123" s="424"/>
      <c r="E123" s="424"/>
      <c r="F123" s="424"/>
      <c r="G123" s="424"/>
      <c r="H123" s="424"/>
      <c r="I123" s="422" t="s">
        <v>2300</v>
      </c>
      <c r="J123" s="421" t="str">
        <f t="shared" si="141"/>
        <v>LGOO6Ap</v>
      </c>
      <c r="K123" s="421" t="str">
        <f t="shared" si="142"/>
        <v>LGOO6ApM</v>
      </c>
      <c r="L123" s="447" t="str">
        <f t="shared" si="143"/>
        <v>ApM</v>
      </c>
      <c r="M123" s="932">
        <v>3</v>
      </c>
      <c r="N123" s="932">
        <v>3</v>
      </c>
      <c r="O123" s="932">
        <v>3</v>
      </c>
      <c r="P123" s="932">
        <v>3</v>
      </c>
      <c r="Q123" s="940"/>
      <c r="R123" s="940"/>
      <c r="S123" s="940"/>
      <c r="T123" s="940"/>
      <c r="U123" s="940"/>
      <c r="V123" s="940"/>
      <c r="W123" s="940"/>
      <c r="X123" s="948"/>
      <c r="Y123" s="948"/>
      <c r="Z123" s="948"/>
      <c r="AA123" s="948"/>
      <c r="AB123" s="948"/>
      <c r="AC123" s="948"/>
      <c r="AD123" s="616"/>
      <c r="AE123" s="616"/>
      <c r="AF123" s="616"/>
      <c r="AG123" s="616"/>
      <c r="AH123" s="448">
        <f t="shared" si="144"/>
        <v>783828</v>
      </c>
      <c r="AI123" s="449">
        <f t="shared" si="145"/>
        <v>783828</v>
      </c>
      <c r="AJ123" s="450">
        <v>1</v>
      </c>
      <c r="AK123" s="452" t="s">
        <v>962</v>
      </c>
      <c r="AL123" s="447" t="s">
        <v>62</v>
      </c>
      <c r="AM123" s="447" t="s">
        <v>158</v>
      </c>
      <c r="AN123" s="447">
        <v>310100100001000</v>
      </c>
      <c r="AO123" s="305" t="s">
        <v>181</v>
      </c>
      <c r="AP123" s="306" t="s">
        <v>2423</v>
      </c>
      <c r="AQ123" s="306" t="s">
        <v>2484</v>
      </c>
      <c r="AR123" s="305" t="s">
        <v>652</v>
      </c>
      <c r="AS123" s="305" t="s">
        <v>653</v>
      </c>
      <c r="AT123" s="305" t="s">
        <v>1133</v>
      </c>
      <c r="AU123" s="306" t="str">
        <f t="shared" si="129"/>
        <v>D</v>
      </c>
      <c r="AV123" s="306" t="str">
        <f t="shared" si="130"/>
        <v>Roderick D. Begtang</v>
      </c>
      <c r="AW123" s="306" t="str">
        <f t="shared" si="140"/>
        <v>BEGTANG, Roderick Domingo</v>
      </c>
      <c r="AX123" s="305" t="s">
        <v>181</v>
      </c>
      <c r="AY123" s="447" t="s">
        <v>62</v>
      </c>
      <c r="AZ123" s="472">
        <v>25011</v>
      </c>
      <c r="BA123" s="101">
        <f t="shared" ca="1" si="146"/>
        <v>57</v>
      </c>
      <c r="BB123" s="492" t="str">
        <f t="shared" ca="1" si="147"/>
        <v>D</v>
      </c>
      <c r="BC123" s="492" t="str">
        <f t="shared" ca="1" si="148"/>
        <v>ApD</v>
      </c>
      <c r="BD123" s="492" t="str">
        <f t="shared" ca="1" si="149"/>
        <v>ApDM</v>
      </c>
      <c r="BE123" s="492" t="str">
        <f t="shared" ca="1" si="150"/>
        <v>LGOO6ApDM</v>
      </c>
      <c r="BF123" s="447" t="s">
        <v>655</v>
      </c>
      <c r="BG123" s="493">
        <v>33284</v>
      </c>
      <c r="BH123" s="494">
        <v>36057</v>
      </c>
      <c r="BI123" s="447">
        <f t="shared" ca="1" si="151"/>
        <v>35</v>
      </c>
      <c r="BJ123" s="447">
        <f t="shared" ca="1" si="103"/>
        <v>27</v>
      </c>
      <c r="BK123" s="493">
        <v>43070</v>
      </c>
      <c r="BL123" s="447">
        <f t="shared" ca="1" si="152"/>
        <v>8</v>
      </c>
      <c r="BM123" s="447" t="s">
        <v>64</v>
      </c>
      <c r="BN123" s="512" t="s">
        <v>102</v>
      </c>
      <c r="BO123" s="423" t="s">
        <v>2254</v>
      </c>
      <c r="BP123" s="513" t="s">
        <v>1207</v>
      </c>
      <c r="BQ123" s="514" t="str">
        <f t="shared" si="153"/>
        <v>2MP</v>
      </c>
    </row>
    <row r="124" spans="1:69" ht="19.95" customHeight="1">
      <c r="A124" s="422" t="s">
        <v>1449</v>
      </c>
      <c r="B124" s="423" t="s">
        <v>157</v>
      </c>
      <c r="C124" s="424">
        <v>22</v>
      </c>
      <c r="D124" s="424"/>
      <c r="E124" s="424"/>
      <c r="F124" s="424"/>
      <c r="G124" s="424"/>
      <c r="H124" s="424"/>
      <c r="I124" s="422" t="s">
        <v>2300</v>
      </c>
      <c r="J124" s="421" t="str">
        <f t="shared" si="141"/>
        <v>LGOO6B</v>
      </c>
      <c r="K124" s="421" t="str">
        <f t="shared" si="142"/>
        <v>LGOO6BM</v>
      </c>
      <c r="L124" s="447" t="str">
        <f t="shared" si="143"/>
        <v>BM</v>
      </c>
      <c r="M124" s="932">
        <v>3</v>
      </c>
      <c r="N124" s="932">
        <v>3</v>
      </c>
      <c r="O124" s="932">
        <v>3</v>
      </c>
      <c r="P124" s="932">
        <v>3</v>
      </c>
      <c r="Q124" s="940"/>
      <c r="R124" s="940"/>
      <c r="S124" s="940"/>
      <c r="T124" s="940"/>
      <c r="U124" s="940"/>
      <c r="V124" s="940"/>
      <c r="W124" s="940"/>
      <c r="X124" s="948"/>
      <c r="Y124" s="948"/>
      <c r="Z124" s="948"/>
      <c r="AA124" s="948"/>
      <c r="AB124" s="948"/>
      <c r="AC124" s="948"/>
      <c r="AD124" s="616"/>
      <c r="AE124" s="616"/>
      <c r="AF124" s="616"/>
      <c r="AG124" s="616"/>
      <c r="AH124" s="448">
        <f t="shared" si="144"/>
        <v>783828</v>
      </c>
      <c r="AI124" s="449">
        <f t="shared" si="145"/>
        <v>783828</v>
      </c>
      <c r="AJ124" s="450">
        <v>1</v>
      </c>
      <c r="AK124" s="452" t="s">
        <v>995</v>
      </c>
      <c r="AL124" s="447" t="s">
        <v>62</v>
      </c>
      <c r="AM124" s="447" t="s">
        <v>158</v>
      </c>
      <c r="AN124" s="447">
        <v>310100100001000</v>
      </c>
      <c r="AO124" s="305" t="s">
        <v>167</v>
      </c>
      <c r="AP124" s="306" t="s">
        <v>2423</v>
      </c>
      <c r="AQ124" s="306" t="s">
        <v>2485</v>
      </c>
      <c r="AR124" s="306" t="s">
        <v>1156</v>
      </c>
      <c r="AS124" s="306" t="s">
        <v>1157</v>
      </c>
      <c r="AT124" s="306" t="s">
        <v>1997</v>
      </c>
      <c r="AU124" s="306" t="str">
        <f t="shared" si="129"/>
        <v>P</v>
      </c>
      <c r="AV124" s="306" t="str">
        <f t="shared" si="130"/>
        <v>Euchols P. Manacnis</v>
      </c>
      <c r="AW124" s="306" t="str">
        <f t="shared" si="140"/>
        <v>MANACNIS, Euchols Plazo</v>
      </c>
      <c r="AX124" s="305" t="s">
        <v>167</v>
      </c>
      <c r="AY124" s="447" t="s">
        <v>62</v>
      </c>
      <c r="AZ124" s="472">
        <v>28260</v>
      </c>
      <c r="BA124" s="101">
        <f t="shared" ca="1" si="146"/>
        <v>48</v>
      </c>
      <c r="BB124" s="492" t="str">
        <f t="shared" ca="1" si="147"/>
        <v>C</v>
      </c>
      <c r="BC124" s="492" t="str">
        <f t="shared" ca="1" si="148"/>
        <v>BC</v>
      </c>
      <c r="BD124" s="492" t="str">
        <f t="shared" ca="1" si="149"/>
        <v>BCM</v>
      </c>
      <c r="BE124" s="492" t="str">
        <f t="shared" ca="1" si="150"/>
        <v>LGOO6BCM</v>
      </c>
      <c r="BF124" s="447" t="s">
        <v>1159</v>
      </c>
      <c r="BG124" s="493">
        <v>37595</v>
      </c>
      <c r="BH124" s="493">
        <v>37595</v>
      </c>
      <c r="BI124" s="447">
        <f t="shared" ca="1" si="151"/>
        <v>23</v>
      </c>
      <c r="BJ124" s="447">
        <f t="shared" ca="1" si="103"/>
        <v>23</v>
      </c>
      <c r="BK124" s="493">
        <v>43070</v>
      </c>
      <c r="BL124" s="447">
        <f t="shared" ca="1" si="152"/>
        <v>8</v>
      </c>
      <c r="BM124" s="447" t="s">
        <v>64</v>
      </c>
      <c r="BN124" s="512" t="s">
        <v>2486</v>
      </c>
      <c r="BO124" s="423" t="s">
        <v>3408</v>
      </c>
      <c r="BP124" s="513" t="s">
        <v>1207</v>
      </c>
      <c r="BQ124" s="514" t="str">
        <f t="shared" si="153"/>
        <v>2MP</v>
      </c>
    </row>
    <row r="125" spans="1:69" ht="19.95" customHeight="1">
      <c r="A125" s="422" t="s">
        <v>1450</v>
      </c>
      <c r="B125" s="423" t="s">
        <v>157</v>
      </c>
      <c r="C125" s="424">
        <v>22</v>
      </c>
      <c r="D125" s="424"/>
      <c r="E125" s="424"/>
      <c r="F125" s="424"/>
      <c r="G125" s="424"/>
      <c r="H125" s="424"/>
      <c r="I125" s="422" t="s">
        <v>2300</v>
      </c>
      <c r="J125" s="421" t="str">
        <f t="shared" si="141"/>
        <v>LGOO6B</v>
      </c>
      <c r="K125" s="421" t="str">
        <f t="shared" si="142"/>
        <v>LGOO6BF</v>
      </c>
      <c r="L125" s="447" t="str">
        <f t="shared" si="143"/>
        <v>BF</v>
      </c>
      <c r="M125" s="932">
        <v>3</v>
      </c>
      <c r="N125" s="932">
        <v>3</v>
      </c>
      <c r="O125" s="932">
        <v>3</v>
      </c>
      <c r="P125" s="932">
        <v>3</v>
      </c>
      <c r="Q125" s="940"/>
      <c r="R125" s="940"/>
      <c r="S125" s="940"/>
      <c r="T125" s="940"/>
      <c r="U125" s="940"/>
      <c r="V125" s="940"/>
      <c r="W125" s="940"/>
      <c r="X125" s="948"/>
      <c r="Y125" s="948"/>
      <c r="Z125" s="948"/>
      <c r="AA125" s="948"/>
      <c r="AB125" s="948"/>
      <c r="AC125" s="948"/>
      <c r="AD125" s="616"/>
      <c r="AE125" s="616"/>
      <c r="AF125" s="616"/>
      <c r="AG125" s="616"/>
      <c r="AH125" s="448">
        <f t="shared" si="144"/>
        <v>783828</v>
      </c>
      <c r="AI125" s="449">
        <f t="shared" si="145"/>
        <v>783828</v>
      </c>
      <c r="AJ125" s="450">
        <v>1</v>
      </c>
      <c r="AK125" s="452" t="s">
        <v>1001</v>
      </c>
      <c r="AL125" s="447" t="s">
        <v>62</v>
      </c>
      <c r="AM125" s="447" t="s">
        <v>158</v>
      </c>
      <c r="AN125" s="447">
        <v>310100100001000</v>
      </c>
      <c r="AO125" s="305" t="s">
        <v>167</v>
      </c>
      <c r="AP125" s="306" t="s">
        <v>2423</v>
      </c>
      <c r="AQ125" s="306" t="s">
        <v>2487</v>
      </c>
      <c r="AR125" s="306" t="s">
        <v>307</v>
      </c>
      <c r="AS125" s="306" t="s">
        <v>308</v>
      </c>
      <c r="AT125" s="306" t="s">
        <v>1914</v>
      </c>
      <c r="AU125" s="306" t="str">
        <f t="shared" si="129"/>
        <v>M</v>
      </c>
      <c r="AV125" s="306" t="str">
        <f t="shared" si="130"/>
        <v>Evelyn M. Saingan</v>
      </c>
      <c r="AW125" s="306" t="str">
        <f t="shared" si="140"/>
        <v>SAINGAN, Evelyn Mensi</v>
      </c>
      <c r="AX125" s="305" t="s">
        <v>167</v>
      </c>
      <c r="AY125" s="447" t="s">
        <v>100</v>
      </c>
      <c r="AZ125" s="472">
        <v>23843</v>
      </c>
      <c r="BA125" s="101">
        <f t="shared" ca="1" si="146"/>
        <v>60</v>
      </c>
      <c r="BB125" s="492" t="str">
        <f t="shared" ca="1" si="147"/>
        <v>E</v>
      </c>
      <c r="BC125" s="492" t="str">
        <f t="shared" ca="1" si="148"/>
        <v>BE</v>
      </c>
      <c r="BD125" s="492" t="str">
        <f t="shared" ca="1" si="149"/>
        <v>BEF</v>
      </c>
      <c r="BE125" s="492" t="str">
        <f t="shared" ca="1" si="150"/>
        <v>LGOO6BEF</v>
      </c>
      <c r="BF125" s="447" t="s">
        <v>310</v>
      </c>
      <c r="BG125" s="493">
        <v>33233</v>
      </c>
      <c r="BH125" s="493">
        <v>33233</v>
      </c>
      <c r="BI125" s="447">
        <f t="shared" ca="1" si="151"/>
        <v>35</v>
      </c>
      <c r="BJ125" s="447">
        <f t="shared" ca="1" si="103"/>
        <v>35</v>
      </c>
      <c r="BK125" s="493">
        <v>43089</v>
      </c>
      <c r="BL125" s="447">
        <f t="shared" ca="1" si="152"/>
        <v>8</v>
      </c>
      <c r="BM125" s="447" t="s">
        <v>64</v>
      </c>
      <c r="BN125" s="512" t="s">
        <v>102</v>
      </c>
      <c r="BO125" s="423" t="s">
        <v>2730</v>
      </c>
      <c r="BP125" s="513" t="s">
        <v>1207</v>
      </c>
      <c r="BQ125" s="514" t="str">
        <f t="shared" si="153"/>
        <v>2FP</v>
      </c>
    </row>
    <row r="126" spans="1:69" ht="19.95" customHeight="1">
      <c r="A126" s="422" t="s">
        <v>1437</v>
      </c>
      <c r="B126" s="423" t="s">
        <v>157</v>
      </c>
      <c r="C126" s="424">
        <v>22</v>
      </c>
      <c r="D126" s="424"/>
      <c r="E126" s="424"/>
      <c r="F126" s="424"/>
      <c r="G126" s="424"/>
      <c r="H126" s="424"/>
      <c r="I126" s="422" t="s">
        <v>2300</v>
      </c>
      <c r="J126" s="421" t="str">
        <f t="shared" si="141"/>
        <v>LGOO6Ap</v>
      </c>
      <c r="K126" s="421" t="str">
        <f t="shared" si="142"/>
        <v>LGOO6ApF</v>
      </c>
      <c r="L126" s="447" t="str">
        <f t="shared" si="143"/>
        <v>ApF</v>
      </c>
      <c r="M126" s="932">
        <v>3</v>
      </c>
      <c r="N126" s="932">
        <v>3</v>
      </c>
      <c r="O126" s="932">
        <v>3</v>
      </c>
      <c r="P126" s="932">
        <v>3</v>
      </c>
      <c r="Q126" s="940"/>
      <c r="R126" s="940"/>
      <c r="S126" s="940"/>
      <c r="T126" s="940"/>
      <c r="U126" s="940"/>
      <c r="V126" s="940"/>
      <c r="W126" s="940"/>
      <c r="X126" s="948"/>
      <c r="Y126" s="948"/>
      <c r="Z126" s="948"/>
      <c r="AA126" s="948"/>
      <c r="AB126" s="948"/>
      <c r="AC126" s="948"/>
      <c r="AD126" s="616"/>
      <c r="AE126" s="616"/>
      <c r="AF126" s="616"/>
      <c r="AG126" s="616"/>
      <c r="AH126" s="448">
        <f t="shared" si="144"/>
        <v>783828</v>
      </c>
      <c r="AI126" s="449">
        <f t="shared" si="145"/>
        <v>783828</v>
      </c>
      <c r="AJ126" s="450">
        <v>1</v>
      </c>
      <c r="AK126" s="452" t="s">
        <v>1051</v>
      </c>
      <c r="AL126" s="447" t="s">
        <v>62</v>
      </c>
      <c r="AM126" s="447" t="s">
        <v>158</v>
      </c>
      <c r="AN126" s="447">
        <v>310100100001000</v>
      </c>
      <c r="AO126" s="305" t="s">
        <v>181</v>
      </c>
      <c r="AP126" s="306" t="s">
        <v>2423</v>
      </c>
      <c r="AQ126" s="306" t="s">
        <v>2488</v>
      </c>
      <c r="AR126" s="305" t="s">
        <v>182</v>
      </c>
      <c r="AS126" s="305" t="s">
        <v>183</v>
      </c>
      <c r="AT126" s="305" t="s">
        <v>1975</v>
      </c>
      <c r="AU126" s="306" t="str">
        <f t="shared" si="129"/>
        <v>B</v>
      </c>
      <c r="AV126" s="306" t="str">
        <f t="shared" si="130"/>
        <v>Merina B. Cenu</v>
      </c>
      <c r="AW126" s="306" t="str">
        <f t="shared" si="140"/>
        <v>CENU, Merina Bagasol</v>
      </c>
      <c r="AX126" s="305" t="s">
        <v>181</v>
      </c>
      <c r="AY126" s="447" t="s">
        <v>100</v>
      </c>
      <c r="AZ126" s="472">
        <v>28132</v>
      </c>
      <c r="BA126" s="101">
        <f t="shared" ca="1" si="146"/>
        <v>49</v>
      </c>
      <c r="BB126" s="492" t="str">
        <f t="shared" ca="1" si="147"/>
        <v>C</v>
      </c>
      <c r="BC126" s="492" t="str">
        <f t="shared" ca="1" si="148"/>
        <v>ApC</v>
      </c>
      <c r="BD126" s="492" t="str">
        <f t="shared" ca="1" si="149"/>
        <v>ApCF</v>
      </c>
      <c r="BE126" s="492" t="str">
        <f t="shared" ca="1" si="150"/>
        <v>LGOO6ApCF</v>
      </c>
      <c r="BF126" s="447" t="s">
        <v>185</v>
      </c>
      <c r="BG126" s="493">
        <v>36299</v>
      </c>
      <c r="BH126" s="493">
        <v>36299</v>
      </c>
      <c r="BI126" s="447">
        <f t="shared" ca="1" si="151"/>
        <v>26</v>
      </c>
      <c r="BJ126" s="447">
        <f t="shared" ca="1" si="103"/>
        <v>26</v>
      </c>
      <c r="BK126" s="493">
        <v>43103</v>
      </c>
      <c r="BL126" s="447">
        <f t="shared" ca="1" si="152"/>
        <v>8</v>
      </c>
      <c r="BM126" s="447" t="s">
        <v>64</v>
      </c>
      <c r="BN126" s="512" t="s">
        <v>102</v>
      </c>
      <c r="BO126" s="423" t="s">
        <v>2254</v>
      </c>
      <c r="BP126" s="513" t="s">
        <v>1207</v>
      </c>
      <c r="BQ126" s="514" t="str">
        <f t="shared" si="153"/>
        <v>2FP</v>
      </c>
    </row>
    <row r="127" spans="1:69" ht="19.95" customHeight="1">
      <c r="A127" s="422" t="s">
        <v>1452</v>
      </c>
      <c r="B127" s="423" t="s">
        <v>2489</v>
      </c>
      <c r="C127" s="424">
        <v>22</v>
      </c>
      <c r="D127" s="424"/>
      <c r="E127" s="424"/>
      <c r="F127" s="424"/>
      <c r="G127" s="424"/>
      <c r="H127" s="424"/>
      <c r="I127" s="422" t="s">
        <v>2300</v>
      </c>
      <c r="J127" s="421" t="str">
        <f t="shared" si="141"/>
        <v>LGOO6I</v>
      </c>
      <c r="K127" s="421" t="str">
        <f t="shared" si="142"/>
        <v>LGOO6IF</v>
      </c>
      <c r="L127" s="447" t="str">
        <f t="shared" si="143"/>
        <v>IF</v>
      </c>
      <c r="M127" s="932">
        <v>3</v>
      </c>
      <c r="N127" s="932">
        <v>3</v>
      </c>
      <c r="O127" s="932">
        <v>3</v>
      </c>
      <c r="P127" s="932">
        <v>3</v>
      </c>
      <c r="Q127" s="940"/>
      <c r="R127" s="940"/>
      <c r="S127" s="940"/>
      <c r="T127" s="940"/>
      <c r="U127" s="940"/>
      <c r="V127" s="940"/>
      <c r="W127" s="940"/>
      <c r="X127" s="948"/>
      <c r="Y127" s="948"/>
      <c r="Z127" s="948"/>
      <c r="AA127" s="948"/>
      <c r="AB127" s="948"/>
      <c r="AC127" s="948"/>
      <c r="AD127" s="616"/>
      <c r="AE127" s="616"/>
      <c r="AF127" s="616"/>
      <c r="AG127" s="616"/>
      <c r="AH127" s="448">
        <f t="shared" si="144"/>
        <v>783828</v>
      </c>
      <c r="AI127" s="449">
        <f t="shared" si="145"/>
        <v>783828</v>
      </c>
      <c r="AJ127" s="450">
        <v>1</v>
      </c>
      <c r="AK127" s="452" t="s">
        <v>839</v>
      </c>
      <c r="AL127" s="447" t="s">
        <v>62</v>
      </c>
      <c r="AM127" s="447" t="s">
        <v>158</v>
      </c>
      <c r="AN127" s="447">
        <v>310100100001000</v>
      </c>
      <c r="AO127" s="306" t="s">
        <v>174</v>
      </c>
      <c r="AP127" s="306" t="s">
        <v>2423</v>
      </c>
      <c r="AQ127" s="306" t="s">
        <v>2490</v>
      </c>
      <c r="AR127" s="305" t="s">
        <v>840</v>
      </c>
      <c r="AS127" s="305" t="s">
        <v>841</v>
      </c>
      <c r="AT127" s="305" t="s">
        <v>1898</v>
      </c>
      <c r="AU127" s="306" t="str">
        <f t="shared" si="129"/>
        <v>C</v>
      </c>
      <c r="AV127" s="306" t="str">
        <f t="shared" si="130"/>
        <v>Carol C. Cabanayan</v>
      </c>
      <c r="AW127" s="306" t="str">
        <f t="shared" si="140"/>
        <v>CABANAYAN, Carol Chulipa</v>
      </c>
      <c r="AX127" s="305" t="s">
        <v>174</v>
      </c>
      <c r="AY127" s="447" t="s">
        <v>100</v>
      </c>
      <c r="AZ127" s="472">
        <v>21810</v>
      </c>
      <c r="BA127" s="101">
        <f t="shared" ca="1" si="146"/>
        <v>66</v>
      </c>
      <c r="BB127" s="492" t="str">
        <f t="shared" ca="1" si="147"/>
        <v>VACANT</v>
      </c>
      <c r="BC127" s="492" t="str">
        <f t="shared" ca="1" si="148"/>
        <v>VACANT</v>
      </c>
      <c r="BD127" s="492" t="str">
        <f t="shared" ca="1" si="149"/>
        <v>VACANTF</v>
      </c>
      <c r="BE127" s="492" t="str">
        <f t="shared" ca="1" si="150"/>
        <v>LGOO6VACANTF</v>
      </c>
      <c r="BF127" s="447" t="s">
        <v>843</v>
      </c>
      <c r="BG127" s="493">
        <v>31138</v>
      </c>
      <c r="BH127" s="493">
        <v>31138</v>
      </c>
      <c r="BI127" s="447">
        <f t="shared" ca="1" si="151"/>
        <v>40</v>
      </c>
      <c r="BJ127" s="447">
        <f t="shared" ca="1" si="103"/>
        <v>40</v>
      </c>
      <c r="BK127" s="493">
        <v>43070</v>
      </c>
      <c r="BL127" s="447">
        <f t="shared" ca="1" si="152"/>
        <v>8</v>
      </c>
      <c r="BM127" s="447" t="s">
        <v>64</v>
      </c>
      <c r="BN127" s="512" t="s">
        <v>102</v>
      </c>
      <c r="BO127" s="423" t="s">
        <v>2254</v>
      </c>
      <c r="BP127" s="513"/>
      <c r="BQ127" s="514" t="str">
        <f t="shared" si="153"/>
        <v>2FP</v>
      </c>
    </row>
    <row r="128" spans="1:69" ht="19.95" customHeight="1">
      <c r="A128" s="422" t="s">
        <v>1454</v>
      </c>
      <c r="B128" s="423" t="s">
        <v>2489</v>
      </c>
      <c r="C128" s="424">
        <v>22</v>
      </c>
      <c r="D128" s="424"/>
      <c r="E128" s="424"/>
      <c r="F128" s="424"/>
      <c r="G128" s="424"/>
      <c r="H128" s="424"/>
      <c r="I128" s="422" t="s">
        <v>2300</v>
      </c>
      <c r="J128" s="421" t="str">
        <f t="shared" si="141"/>
        <v>LGOO6I</v>
      </c>
      <c r="K128" s="421" t="str">
        <f t="shared" si="142"/>
        <v>LGOO6IM</v>
      </c>
      <c r="L128" s="447" t="str">
        <f t="shared" si="143"/>
        <v>IM</v>
      </c>
      <c r="M128" s="932">
        <v>3</v>
      </c>
      <c r="N128" s="932">
        <v>3</v>
      </c>
      <c r="O128" s="932">
        <v>3</v>
      </c>
      <c r="P128" s="932">
        <v>3</v>
      </c>
      <c r="Q128" s="940"/>
      <c r="R128" s="940"/>
      <c r="S128" s="940"/>
      <c r="T128" s="940"/>
      <c r="U128" s="940"/>
      <c r="V128" s="940"/>
      <c r="W128" s="940"/>
      <c r="X128" s="948"/>
      <c r="Y128" s="948"/>
      <c r="Z128" s="948"/>
      <c r="AA128" s="948"/>
      <c r="AB128" s="948"/>
      <c r="AC128" s="948"/>
      <c r="AD128" s="616"/>
      <c r="AE128" s="616"/>
      <c r="AF128" s="616"/>
      <c r="AG128" s="616"/>
      <c r="AH128" s="448">
        <f t="shared" si="144"/>
        <v>783828</v>
      </c>
      <c r="AI128" s="449">
        <f t="shared" si="145"/>
        <v>783828</v>
      </c>
      <c r="AJ128" s="450">
        <v>1</v>
      </c>
      <c r="AK128" s="452" t="s">
        <v>845</v>
      </c>
      <c r="AL128" s="447" t="s">
        <v>62</v>
      </c>
      <c r="AM128" s="447" t="s">
        <v>158</v>
      </c>
      <c r="AN128" s="447">
        <v>310100100001000</v>
      </c>
      <c r="AO128" s="306" t="s">
        <v>174</v>
      </c>
      <c r="AP128" s="306" t="s">
        <v>2423</v>
      </c>
      <c r="AQ128" s="306" t="s">
        <v>2491</v>
      </c>
      <c r="AR128" s="306" t="s">
        <v>923</v>
      </c>
      <c r="AS128" s="306" t="s">
        <v>924</v>
      </c>
      <c r="AT128" s="306" t="s">
        <v>1908</v>
      </c>
      <c r="AU128" s="306" t="str">
        <f t="shared" si="129"/>
        <v>B</v>
      </c>
      <c r="AV128" s="306" t="str">
        <f t="shared" si="130"/>
        <v>Jimmy B. Pagaddut</v>
      </c>
      <c r="AW128" s="306" t="str">
        <f t="shared" si="140"/>
        <v>PAGADDUT, Jimmy Bantiyan</v>
      </c>
      <c r="AX128" s="305" t="s">
        <v>174</v>
      </c>
      <c r="AY128" s="447" t="s">
        <v>62</v>
      </c>
      <c r="AZ128" s="472">
        <v>24039</v>
      </c>
      <c r="BA128" s="101">
        <f t="shared" ca="1" si="146"/>
        <v>60</v>
      </c>
      <c r="BB128" s="492" t="str">
        <f t="shared" ca="1" si="147"/>
        <v>E</v>
      </c>
      <c r="BC128" s="492" t="str">
        <f t="shared" ca="1" si="148"/>
        <v>IE</v>
      </c>
      <c r="BD128" s="492" t="str">
        <f t="shared" ca="1" si="149"/>
        <v>IEM</v>
      </c>
      <c r="BE128" s="492" t="str">
        <f t="shared" ca="1" si="150"/>
        <v>LGOO6IEM</v>
      </c>
      <c r="BF128" s="447" t="s">
        <v>2492</v>
      </c>
      <c r="BG128" s="493">
        <v>35264</v>
      </c>
      <c r="BH128" s="493">
        <v>35264</v>
      </c>
      <c r="BI128" s="447">
        <f t="shared" ca="1" si="151"/>
        <v>29</v>
      </c>
      <c r="BJ128" s="447">
        <f t="shared" ca="1" si="103"/>
        <v>29</v>
      </c>
      <c r="BK128" s="493">
        <v>43070</v>
      </c>
      <c r="BL128" s="447">
        <f t="shared" ca="1" si="152"/>
        <v>8</v>
      </c>
      <c r="BM128" s="447" t="s">
        <v>64</v>
      </c>
      <c r="BN128" s="512" t="s">
        <v>102</v>
      </c>
      <c r="BO128" s="423" t="s">
        <v>2254</v>
      </c>
      <c r="BP128" s="513" t="s">
        <v>1207</v>
      </c>
      <c r="BQ128" s="514" t="str">
        <f t="shared" si="153"/>
        <v>2MP</v>
      </c>
    </row>
    <row r="129" spans="1:69" ht="19.95" customHeight="1">
      <c r="A129" s="422" t="s">
        <v>1456</v>
      </c>
      <c r="B129" s="423" t="s">
        <v>2489</v>
      </c>
      <c r="C129" s="424">
        <v>22</v>
      </c>
      <c r="D129" s="424"/>
      <c r="E129" s="424"/>
      <c r="F129" s="424"/>
      <c r="G129" s="424"/>
      <c r="H129" s="424"/>
      <c r="I129" s="422" t="s">
        <v>2300</v>
      </c>
      <c r="J129" s="421" t="str">
        <f t="shared" si="141"/>
        <v>LGOO6I</v>
      </c>
      <c r="K129" s="421" t="str">
        <f t="shared" si="142"/>
        <v>LGOO6IF</v>
      </c>
      <c r="L129" s="447" t="str">
        <f t="shared" si="143"/>
        <v>IF</v>
      </c>
      <c r="M129" s="932">
        <v>3</v>
      </c>
      <c r="N129" s="932">
        <v>3</v>
      </c>
      <c r="O129" s="932">
        <v>3</v>
      </c>
      <c r="P129" s="932">
        <v>3</v>
      </c>
      <c r="Q129" s="940"/>
      <c r="R129" s="940"/>
      <c r="S129" s="940"/>
      <c r="T129" s="940"/>
      <c r="U129" s="940"/>
      <c r="V129" s="940"/>
      <c r="W129" s="940"/>
      <c r="X129" s="948"/>
      <c r="Y129" s="948"/>
      <c r="Z129" s="948"/>
      <c r="AA129" s="948"/>
      <c r="AB129" s="948"/>
      <c r="AC129" s="948"/>
      <c r="AD129" s="616"/>
      <c r="AE129" s="616"/>
      <c r="AF129" s="616"/>
      <c r="AG129" s="616"/>
      <c r="AH129" s="448">
        <f t="shared" si="144"/>
        <v>783828</v>
      </c>
      <c r="AI129" s="449">
        <f t="shared" si="145"/>
        <v>783828</v>
      </c>
      <c r="AJ129" s="450">
        <v>1</v>
      </c>
      <c r="AK129" s="452" t="s">
        <v>856</v>
      </c>
      <c r="AL129" s="447" t="s">
        <v>62</v>
      </c>
      <c r="AM129" s="447" t="s">
        <v>158</v>
      </c>
      <c r="AN129" s="447">
        <v>310100100001000</v>
      </c>
      <c r="AO129" s="306" t="s">
        <v>174</v>
      </c>
      <c r="AP129" s="306" t="s">
        <v>2423</v>
      </c>
      <c r="AQ129" s="306" t="s">
        <v>2494</v>
      </c>
      <c r="AR129" s="305" t="s">
        <v>857</v>
      </c>
      <c r="AS129" s="305" t="s">
        <v>858</v>
      </c>
      <c r="AT129" s="305" t="s">
        <v>1897</v>
      </c>
      <c r="AU129" s="306" t="str">
        <f t="shared" si="129"/>
        <v>A</v>
      </c>
      <c r="AV129" s="306" t="str">
        <f t="shared" si="130"/>
        <v>Isabel A. Bulayungan</v>
      </c>
      <c r="AW129" s="306" t="str">
        <f t="shared" si="140"/>
        <v>BULAYUNGAN, Isabel Allaga</v>
      </c>
      <c r="AX129" s="305" t="s">
        <v>174</v>
      </c>
      <c r="AY129" s="447" t="s">
        <v>100</v>
      </c>
      <c r="AZ129" s="472">
        <v>22163</v>
      </c>
      <c r="BA129" s="101">
        <f t="shared" ca="1" si="146"/>
        <v>65</v>
      </c>
      <c r="BB129" s="492" t="str">
        <f t="shared" ca="1" si="147"/>
        <v>VACANT</v>
      </c>
      <c r="BC129" s="492" t="str">
        <f t="shared" ca="1" si="148"/>
        <v>VACANT</v>
      </c>
      <c r="BD129" s="492" t="str">
        <f t="shared" ca="1" si="149"/>
        <v>VACANTF</v>
      </c>
      <c r="BE129" s="492" t="str">
        <f t="shared" ca="1" si="150"/>
        <v>LGOO6VACANTF</v>
      </c>
      <c r="BF129" s="447" t="s">
        <v>860</v>
      </c>
      <c r="BG129" s="493">
        <v>30133</v>
      </c>
      <c r="BH129" s="494">
        <v>32687</v>
      </c>
      <c r="BI129" s="447">
        <f t="shared" ca="1" si="151"/>
        <v>43</v>
      </c>
      <c r="BJ129" s="447">
        <f t="shared" ca="1" si="103"/>
        <v>36</v>
      </c>
      <c r="BK129" s="493">
        <v>43070</v>
      </c>
      <c r="BL129" s="447">
        <f t="shared" ca="1" si="152"/>
        <v>8</v>
      </c>
      <c r="BM129" s="447" t="s">
        <v>64</v>
      </c>
      <c r="BN129" s="512" t="s">
        <v>102</v>
      </c>
      <c r="BO129" s="423" t="s">
        <v>2254</v>
      </c>
      <c r="BP129" s="513"/>
      <c r="BQ129" s="514" t="str">
        <f t="shared" si="153"/>
        <v>2FP</v>
      </c>
    </row>
    <row r="130" spans="1:69" ht="19.95" customHeight="1">
      <c r="A130" s="422" t="s">
        <v>1457</v>
      </c>
      <c r="B130" s="423" t="s">
        <v>2489</v>
      </c>
      <c r="C130" s="424">
        <v>22</v>
      </c>
      <c r="D130" s="424"/>
      <c r="E130" s="424"/>
      <c r="F130" s="424"/>
      <c r="G130" s="424"/>
      <c r="H130" s="424"/>
      <c r="I130" s="422" t="s">
        <v>2300</v>
      </c>
      <c r="J130" s="421" t="str">
        <f t="shared" si="141"/>
        <v>LGOO6I</v>
      </c>
      <c r="K130" s="421" t="str">
        <f t="shared" si="142"/>
        <v>LGOO6IF</v>
      </c>
      <c r="L130" s="447" t="str">
        <f t="shared" si="143"/>
        <v>IF</v>
      </c>
      <c r="M130" s="932">
        <v>3</v>
      </c>
      <c r="N130" s="932">
        <v>3</v>
      </c>
      <c r="O130" s="932">
        <v>3</v>
      </c>
      <c r="P130" s="932">
        <v>3</v>
      </c>
      <c r="Q130" s="940"/>
      <c r="R130" s="940"/>
      <c r="S130" s="940"/>
      <c r="T130" s="940"/>
      <c r="U130" s="940"/>
      <c r="V130" s="940"/>
      <c r="W130" s="940"/>
      <c r="X130" s="948"/>
      <c r="Y130" s="948"/>
      <c r="Z130" s="948"/>
      <c r="AA130" s="948"/>
      <c r="AB130" s="948"/>
      <c r="AC130" s="948"/>
      <c r="AD130" s="616"/>
      <c r="AE130" s="616"/>
      <c r="AF130" s="616"/>
      <c r="AG130" s="616"/>
      <c r="AH130" s="448">
        <f t="shared" si="144"/>
        <v>783828</v>
      </c>
      <c r="AI130" s="449">
        <f t="shared" si="145"/>
        <v>783828</v>
      </c>
      <c r="AJ130" s="450">
        <v>1</v>
      </c>
      <c r="AK130" s="452" t="s">
        <v>862</v>
      </c>
      <c r="AL130" s="447" t="s">
        <v>62</v>
      </c>
      <c r="AM130" s="447" t="s">
        <v>158</v>
      </c>
      <c r="AN130" s="447">
        <v>310100100001000</v>
      </c>
      <c r="AO130" s="306" t="s">
        <v>174</v>
      </c>
      <c r="AP130" s="306" t="s">
        <v>2423</v>
      </c>
      <c r="AQ130" s="306" t="s">
        <v>2495</v>
      </c>
      <c r="AR130" s="306" t="s">
        <v>488</v>
      </c>
      <c r="AS130" s="306" t="s">
        <v>2059</v>
      </c>
      <c r="AT130" s="306" t="s">
        <v>2060</v>
      </c>
      <c r="AU130" s="306" t="str">
        <f t="shared" si="129"/>
        <v>P</v>
      </c>
      <c r="AV130" s="306" t="str">
        <f t="shared" si="130"/>
        <v>Jeda P. Monayao</v>
      </c>
      <c r="AW130" s="306" t="str">
        <f t="shared" si="140"/>
        <v>MONAYAO, Jeda Paulha</v>
      </c>
      <c r="AX130" s="305" t="s">
        <v>174</v>
      </c>
      <c r="AY130" s="447" t="s">
        <v>100</v>
      </c>
      <c r="AZ130" s="472">
        <v>28471</v>
      </c>
      <c r="BA130" s="101">
        <f t="shared" ca="1" si="146"/>
        <v>48</v>
      </c>
      <c r="BB130" s="492" t="str">
        <f t="shared" ca="1" si="147"/>
        <v>C</v>
      </c>
      <c r="BC130" s="492" t="str">
        <f t="shared" ca="1" si="148"/>
        <v>IC</v>
      </c>
      <c r="BD130" s="492" t="str">
        <f t="shared" ca="1" si="149"/>
        <v>ICF</v>
      </c>
      <c r="BE130" s="492" t="str">
        <f t="shared" ca="1" si="150"/>
        <v>LGOO6ICF</v>
      </c>
      <c r="BF130" s="447" t="s">
        <v>2478</v>
      </c>
      <c r="BG130" s="493">
        <v>41157</v>
      </c>
      <c r="BH130" s="494">
        <v>41157</v>
      </c>
      <c r="BI130" s="447">
        <f t="shared" ca="1" si="151"/>
        <v>13</v>
      </c>
      <c r="BJ130" s="447">
        <f t="shared" ca="1" si="103"/>
        <v>13</v>
      </c>
      <c r="BK130" s="493">
        <v>43070</v>
      </c>
      <c r="BL130" s="447">
        <f t="shared" ca="1" si="152"/>
        <v>8</v>
      </c>
      <c r="BM130" s="447" t="s">
        <v>64</v>
      </c>
      <c r="BN130" s="512" t="s">
        <v>102</v>
      </c>
      <c r="BO130" s="423" t="s">
        <v>3409</v>
      </c>
      <c r="BP130" s="513" t="s">
        <v>1207</v>
      </c>
      <c r="BQ130" s="514" t="str">
        <f t="shared" si="153"/>
        <v>2FP</v>
      </c>
    </row>
    <row r="131" spans="1:69" ht="19.95" customHeight="1">
      <c r="A131" s="422" t="s">
        <v>1458</v>
      </c>
      <c r="B131" s="423" t="s">
        <v>2489</v>
      </c>
      <c r="C131" s="424">
        <v>22</v>
      </c>
      <c r="D131" s="424"/>
      <c r="E131" s="424"/>
      <c r="F131" s="424"/>
      <c r="G131" s="424"/>
      <c r="H131" s="424"/>
      <c r="I131" s="422" t="s">
        <v>2300</v>
      </c>
      <c r="J131" s="421" t="str">
        <f t="shared" si="141"/>
        <v>LGOO6I</v>
      </c>
      <c r="K131" s="421" t="str">
        <f t="shared" si="142"/>
        <v>LGOO6IF</v>
      </c>
      <c r="L131" s="447" t="str">
        <f t="shared" si="143"/>
        <v>IF</v>
      </c>
      <c r="M131" s="932">
        <v>3</v>
      </c>
      <c r="N131" s="932">
        <v>3</v>
      </c>
      <c r="O131" s="932">
        <v>3</v>
      </c>
      <c r="P131" s="932">
        <v>3</v>
      </c>
      <c r="Q131" s="940"/>
      <c r="R131" s="940"/>
      <c r="S131" s="940"/>
      <c r="T131" s="940"/>
      <c r="U131" s="940"/>
      <c r="V131" s="940"/>
      <c r="W131" s="940"/>
      <c r="X131" s="948"/>
      <c r="Y131" s="948"/>
      <c r="Z131" s="948"/>
      <c r="AA131" s="948"/>
      <c r="AB131" s="948"/>
      <c r="AC131" s="948"/>
      <c r="AD131" s="616"/>
      <c r="AE131" s="616"/>
      <c r="AF131" s="616"/>
      <c r="AG131" s="616"/>
      <c r="AH131" s="448">
        <f t="shared" si="144"/>
        <v>783828</v>
      </c>
      <c r="AI131" s="449">
        <f t="shared" si="145"/>
        <v>783828</v>
      </c>
      <c r="AJ131" s="450">
        <v>1</v>
      </c>
      <c r="AK131" s="452" t="s">
        <v>869</v>
      </c>
      <c r="AL131" s="447" t="s">
        <v>62</v>
      </c>
      <c r="AM131" s="447" t="s">
        <v>158</v>
      </c>
      <c r="AN131" s="447">
        <v>310100100001000</v>
      </c>
      <c r="AO131" s="306" t="s">
        <v>174</v>
      </c>
      <c r="AP131" s="306" t="s">
        <v>2423</v>
      </c>
      <c r="AQ131" s="306" t="s">
        <v>2497</v>
      </c>
      <c r="AR131" s="305" t="s">
        <v>996</v>
      </c>
      <c r="AS131" s="305" t="s">
        <v>997</v>
      </c>
      <c r="AT131" s="305" t="s">
        <v>1736</v>
      </c>
      <c r="AU131" s="306" t="str">
        <f t="shared" si="129"/>
        <v>T</v>
      </c>
      <c r="AV131" s="306" t="str">
        <f t="shared" si="130"/>
        <v>Regina T. Dong-E</v>
      </c>
      <c r="AW131" s="306" t="str">
        <f t="shared" si="140"/>
        <v>DONG-E, Regina Tayaban</v>
      </c>
      <c r="AX131" s="305" t="s">
        <v>174</v>
      </c>
      <c r="AY131" s="447" t="s">
        <v>100</v>
      </c>
      <c r="AZ131" s="472">
        <v>24630</v>
      </c>
      <c r="BA131" s="101">
        <f t="shared" ca="1" si="146"/>
        <v>58</v>
      </c>
      <c r="BB131" s="492" t="str">
        <f t="shared" ca="1" si="147"/>
        <v>D</v>
      </c>
      <c r="BC131" s="492" t="str">
        <f t="shared" ca="1" si="148"/>
        <v>ID</v>
      </c>
      <c r="BD131" s="492" t="str">
        <f t="shared" ca="1" si="149"/>
        <v>IDF</v>
      </c>
      <c r="BE131" s="492" t="str">
        <f t="shared" ca="1" si="150"/>
        <v>LGOO6IDF</v>
      </c>
      <c r="BF131" s="447" t="s">
        <v>999</v>
      </c>
      <c r="BG131" s="493">
        <v>34808</v>
      </c>
      <c r="BH131" s="493">
        <v>34808</v>
      </c>
      <c r="BI131" s="447">
        <f t="shared" ca="1" si="151"/>
        <v>30</v>
      </c>
      <c r="BJ131" s="447">
        <f t="shared" ca="1" si="103"/>
        <v>30</v>
      </c>
      <c r="BK131" s="493">
        <v>43070</v>
      </c>
      <c r="BL131" s="447">
        <f t="shared" ca="1" si="152"/>
        <v>8</v>
      </c>
      <c r="BM131" s="447" t="s">
        <v>64</v>
      </c>
      <c r="BN131" s="512" t="s">
        <v>102</v>
      </c>
      <c r="BO131" s="423" t="s">
        <v>2254</v>
      </c>
      <c r="BP131" s="513" t="s">
        <v>1207</v>
      </c>
      <c r="BQ131" s="514" t="str">
        <f t="shared" si="153"/>
        <v>2FP</v>
      </c>
    </row>
    <row r="132" spans="1:69" ht="19.95" customHeight="1">
      <c r="A132" s="422" t="s">
        <v>1459</v>
      </c>
      <c r="B132" s="423" t="s">
        <v>2489</v>
      </c>
      <c r="C132" s="424">
        <v>22</v>
      </c>
      <c r="D132" s="424"/>
      <c r="E132" s="424"/>
      <c r="F132" s="424"/>
      <c r="G132" s="424"/>
      <c r="H132" s="424"/>
      <c r="I132" s="422" t="s">
        <v>2300</v>
      </c>
      <c r="J132" s="421" t="str">
        <f t="shared" ref="J132:J163" si="154">IF(AX132="Regional Office",CONCATENATE(I132,"R"),IF(AX132="Abra",CONCATENATE(I132,"Ab"),IF(AX132="Apayao",CONCATENATE(I132,"Ap"),IF(AX132="Baguio City",CONCATENATE(I132,"BC"),IF(AX132="Ifugao",CONCATENATE(I132,"I"),IF(AX132="Mt. Province",CONCATENATE(I132,"MP"),IF(AX132="Kalinga",CONCATENATE(I132,"K"),IF(AX132="Benguet",CONCATENATE(I132,"B"),"Vacant"))))))))</f>
        <v>LGOO6I</v>
      </c>
      <c r="K132" s="421" t="str">
        <f t="shared" ref="K132:K163" si="155">CONCATENATE(J132,AY132)</f>
        <v>LGOO6IM</v>
      </c>
      <c r="L132" s="447" t="str">
        <f t="shared" ref="L132:L163" si="156">IF(AX132="Regional Office",(IF(AY132="M","RM","RF")),IF(AX132="Abra",(IF(AY132="M","AbM","AbF")),IF(AX132="Baguio City",(IF(AY132="M","BCM","BCF")),IF(AX132="Apayao",(IF(AY132="M","ApM","ApF")),IF(AX132="Benguet",(IF(AY132="M","BM","BF")),IF(AX132="Ifugao",(IF(AY132="M","IM","IF")),IF(AX132="Kalinga",(IF(AY132="M","KM","KF")),IF(AX132="Mt. Province",(IF(AY132="M","MPM","MPF")),"XXX"))))))))</f>
        <v>IM</v>
      </c>
      <c r="M132" s="932">
        <v>3</v>
      </c>
      <c r="N132" s="932">
        <v>3</v>
      </c>
      <c r="O132" s="932">
        <v>3</v>
      </c>
      <c r="P132" s="932">
        <v>3</v>
      </c>
      <c r="Q132" s="940"/>
      <c r="R132" s="940"/>
      <c r="S132" s="940"/>
      <c r="T132" s="940"/>
      <c r="U132" s="940"/>
      <c r="V132" s="940"/>
      <c r="W132" s="940"/>
      <c r="X132" s="948"/>
      <c r="Y132" s="948"/>
      <c r="Z132" s="948"/>
      <c r="AA132" s="948"/>
      <c r="AB132" s="948"/>
      <c r="AC132" s="948"/>
      <c r="AD132" s="616"/>
      <c r="AE132" s="616"/>
      <c r="AF132" s="616"/>
      <c r="AG132" s="616"/>
      <c r="AH132" s="448">
        <f t="shared" ref="AH132:AH163" si="157">VLOOKUP(C132,idica,2,FALSE)*12</f>
        <v>783828</v>
      </c>
      <c r="AI132" s="449">
        <f t="shared" ref="AI132:AI163" si="158">(SUMPRODUCT((norman=C132)*(grace=AJ132)*(barnachea)))*12</f>
        <v>783828</v>
      </c>
      <c r="AJ132" s="450">
        <v>1</v>
      </c>
      <c r="AK132" s="452" t="s">
        <v>879</v>
      </c>
      <c r="AL132" s="447" t="s">
        <v>62</v>
      </c>
      <c r="AM132" s="447" t="s">
        <v>158</v>
      </c>
      <c r="AN132" s="447">
        <v>310100100001000</v>
      </c>
      <c r="AO132" s="306" t="s">
        <v>174</v>
      </c>
      <c r="AP132" s="306" t="s">
        <v>2423</v>
      </c>
      <c r="AQ132" s="306" t="s">
        <v>2498</v>
      </c>
      <c r="AR132" s="305" t="s">
        <v>880</v>
      </c>
      <c r="AS132" s="305" t="s">
        <v>563</v>
      </c>
      <c r="AT132" s="305" t="s">
        <v>1890</v>
      </c>
      <c r="AU132" s="306" t="str">
        <f t="shared" ref="AU132:AU195" si="159">LEFT(AT132)&amp;IF(ISNUMBER(FIND(" ",AT132)),MID(AT132,FIND(" ",AT132)+1,1),"")&amp;IF(ISNUMBER(FIND(" ",AT132,FIND(" ",AT132)+1)),MID(AT132,FIND(" ",AT132,FIND(" ",AT132)+1)+1,1),"")</f>
        <v>H</v>
      </c>
      <c r="AV132" s="306" t="str">
        <f t="shared" ref="AV132:AV195" si="160">PROPER(CONCATENATE(AS132," ",AU132,". ",AR132))</f>
        <v>Emmanuel H. Bango</v>
      </c>
      <c r="AW132" s="306" t="str">
        <f t="shared" si="140"/>
        <v>BANGO, Emmanuel Hiadan</v>
      </c>
      <c r="AX132" s="305" t="s">
        <v>174</v>
      </c>
      <c r="AY132" s="447" t="s">
        <v>62</v>
      </c>
      <c r="AZ132" s="472">
        <v>22868</v>
      </c>
      <c r="BA132" s="101">
        <f t="shared" ref="BA132:BA163" ca="1" si="161">DATEDIF(AZ132,TODAY(),"Y")</f>
        <v>63</v>
      </c>
      <c r="BB132" s="492" t="str">
        <f t="shared" ref="BB132:BB163" ca="1" si="162">IF(BA132&lt;30,"A",IF(BA132&lt;40,"B",IF(BA132&lt;50,"C",IF(BA132&lt;60,"D",IF(BA132&lt;65,"E","VACANT")))))</f>
        <v>E</v>
      </c>
      <c r="BC132" s="492" t="str">
        <f t="shared" ref="BC132:BC163" ca="1" si="163">+IF(AX132="Regional Office",(IF(BB132="A","RA",(IF(BB132="B","RB",IF(BB132="C","RC",IF(BB132="D","RD",IF(BB132="E","RE","VACANT"))))))),IF(AX132="Abra",(IF(BB132="A","AbA",(IF(BB132="B","AbB",IF(BB132="C","AbC",IF(BB132="D","AbD",IF(BB132="E","AbE","VACANT"))))))),IF(AX132="Baguio City",(IF(BB132="A","BCA",(IF(BB132="B","BCB",IF(BB132="C","BCC",IF(BB132="D","BCD",IF(BB132="E","BCE","VACANT"))))))),IF(AX132="Apayao",(IF(BB132="A","ApA",(IF(BB132="B","ApB",IF(BB132="C","ApC",IF(BB132="D","ApD",IF(BB132="E","ApE","VACANT"))))))),IF(AX132="Benguet",(IF(BB132="A","BA",(IF(BB132="B","BB",IF(BB132="C","BC",IF(BB132="D","BD",IF(BB132="E","BE","VACANT"))))))),IF(AX132="Ifugao",(IF(BB132="A","IA",(IF(BB132="B","IB",IF(BB132="C","IC",IF(BB132="D","ID",IF(BB132="E","IE","VACANT"))))))),IF(AX132="Kalinga",(IF(BB132="A","KA",(IF(BB132="B","KB",IF(BB132="C","KC",IF(BB132="D","KD",IF(BB132="E","KE","VACANT"))))))),IF(AX132="Mt. Province",(IF(BB132="A","MPA",(IF(BB132="B","MPB",IF(BB132="C","MPC",IF(BB132="D","MPD",IF(BB132="E","MPE","VACANT"))))))),"XXX"))))))))</f>
        <v>IE</v>
      </c>
      <c r="BD132" s="492" t="str">
        <f t="shared" ref="BD132:BD163" ca="1" si="164">CONCATENATE(BC132,AY132)</f>
        <v>IEM</v>
      </c>
      <c r="BE132" s="492" t="str">
        <f t="shared" ref="BE132:BE163" ca="1" si="165">CONCATENATE(I132,BD132)</f>
        <v>LGOO6IEM</v>
      </c>
      <c r="BF132" s="447" t="s">
        <v>882</v>
      </c>
      <c r="BG132" s="493">
        <v>31336</v>
      </c>
      <c r="BH132" s="493">
        <v>31336</v>
      </c>
      <c r="BI132" s="447">
        <f t="shared" ref="BI132:BI163" ca="1" si="166">DATEDIF(BG132,TODAY(),"Y")</f>
        <v>40</v>
      </c>
      <c r="BJ132" s="447">
        <f t="shared" ref="BJ132:BJ195" ca="1" si="167">DATEDIF(BH132,TODAY(),"Y")</f>
        <v>40</v>
      </c>
      <c r="BK132" s="493">
        <v>43070</v>
      </c>
      <c r="BL132" s="447">
        <f t="shared" ca="1" si="152"/>
        <v>8</v>
      </c>
      <c r="BM132" s="447" t="s">
        <v>64</v>
      </c>
      <c r="BN132" s="512" t="s">
        <v>102</v>
      </c>
      <c r="BO132" s="423" t="s">
        <v>2730</v>
      </c>
      <c r="BP132" s="513"/>
      <c r="BQ132" s="514" t="str">
        <f t="shared" si="153"/>
        <v>2MP</v>
      </c>
    </row>
    <row r="133" spans="1:69" ht="19.95" customHeight="1">
      <c r="A133" s="422" t="s">
        <v>1460</v>
      </c>
      <c r="B133" s="423" t="s">
        <v>2489</v>
      </c>
      <c r="C133" s="424">
        <v>22</v>
      </c>
      <c r="D133" s="424"/>
      <c r="E133" s="424"/>
      <c r="F133" s="424"/>
      <c r="G133" s="424"/>
      <c r="H133" s="424"/>
      <c r="I133" s="422" t="s">
        <v>2300</v>
      </c>
      <c r="J133" s="421" t="str">
        <f t="shared" si="154"/>
        <v>LGOO6I</v>
      </c>
      <c r="K133" s="421" t="str">
        <f t="shared" si="155"/>
        <v>LGOO6IM</v>
      </c>
      <c r="L133" s="447" t="str">
        <f t="shared" si="156"/>
        <v>IM</v>
      </c>
      <c r="M133" s="932">
        <v>3</v>
      </c>
      <c r="N133" s="932">
        <v>3</v>
      </c>
      <c r="O133" s="932">
        <v>3</v>
      </c>
      <c r="P133" s="932">
        <v>3</v>
      </c>
      <c r="Q133" s="940"/>
      <c r="R133" s="940"/>
      <c r="S133" s="940"/>
      <c r="T133" s="940"/>
      <c r="U133" s="940"/>
      <c r="V133" s="940"/>
      <c r="W133" s="940"/>
      <c r="X133" s="948"/>
      <c r="Y133" s="948"/>
      <c r="Z133" s="948"/>
      <c r="AA133" s="948"/>
      <c r="AB133" s="948"/>
      <c r="AC133" s="948"/>
      <c r="AD133" s="616"/>
      <c r="AE133" s="616"/>
      <c r="AF133" s="616"/>
      <c r="AG133" s="616"/>
      <c r="AH133" s="448">
        <f t="shared" si="157"/>
        <v>783828</v>
      </c>
      <c r="AI133" s="449">
        <f t="shared" si="158"/>
        <v>783828</v>
      </c>
      <c r="AJ133" s="450">
        <v>1</v>
      </c>
      <c r="AK133" s="452" t="s">
        <v>833</v>
      </c>
      <c r="AL133" s="447" t="s">
        <v>62</v>
      </c>
      <c r="AM133" s="447" t="s">
        <v>158</v>
      </c>
      <c r="AN133" s="447">
        <v>310100100001000</v>
      </c>
      <c r="AO133" s="306" t="s">
        <v>174</v>
      </c>
      <c r="AP133" s="306" t="s">
        <v>2423</v>
      </c>
      <c r="AQ133" s="306" t="s">
        <v>2499</v>
      </c>
      <c r="AR133" s="306" t="s">
        <v>884</v>
      </c>
      <c r="AS133" s="306" t="s">
        <v>885</v>
      </c>
      <c r="AT133" s="306" t="s">
        <v>1889</v>
      </c>
      <c r="AU133" s="306" t="str">
        <f t="shared" si="159"/>
        <v>L</v>
      </c>
      <c r="AV133" s="306" t="str">
        <f t="shared" si="160"/>
        <v>Guillaume L. Adawe</v>
      </c>
      <c r="AW133" s="306" t="str">
        <f t="shared" si="140"/>
        <v>ADAWE, Guillaume Lebbet</v>
      </c>
      <c r="AX133" s="305" t="s">
        <v>174</v>
      </c>
      <c r="AY133" s="447" t="s">
        <v>62</v>
      </c>
      <c r="AZ133" s="472">
        <v>22312</v>
      </c>
      <c r="BA133" s="101">
        <f t="shared" ca="1" si="161"/>
        <v>65</v>
      </c>
      <c r="BB133" s="492" t="str">
        <f t="shared" ca="1" si="162"/>
        <v>VACANT</v>
      </c>
      <c r="BC133" s="492" t="str">
        <f t="shared" ca="1" si="163"/>
        <v>VACANT</v>
      </c>
      <c r="BD133" s="492" t="str">
        <f t="shared" ca="1" si="164"/>
        <v>VACANTM</v>
      </c>
      <c r="BE133" s="492" t="str">
        <f t="shared" ca="1" si="165"/>
        <v>LGOO6VACANTM</v>
      </c>
      <c r="BF133" s="447" t="s">
        <v>887</v>
      </c>
      <c r="BG133" s="493">
        <v>32251</v>
      </c>
      <c r="BH133" s="494">
        <v>32687</v>
      </c>
      <c r="BI133" s="447">
        <f t="shared" ca="1" si="166"/>
        <v>37</v>
      </c>
      <c r="BJ133" s="447">
        <f t="shared" ca="1" si="167"/>
        <v>36</v>
      </c>
      <c r="BK133" s="493">
        <v>43070</v>
      </c>
      <c r="BL133" s="447">
        <f t="shared" ca="1" si="152"/>
        <v>8</v>
      </c>
      <c r="BM133" s="447" t="s">
        <v>64</v>
      </c>
      <c r="BN133" s="512" t="s">
        <v>102</v>
      </c>
      <c r="BO133" s="423" t="s">
        <v>2722</v>
      </c>
      <c r="BP133" s="513"/>
      <c r="BQ133" s="514" t="str">
        <f t="shared" si="153"/>
        <v>2MP</v>
      </c>
    </row>
    <row r="134" spans="1:69" ht="19.95" customHeight="1">
      <c r="A134" s="422" t="s">
        <v>1462</v>
      </c>
      <c r="B134" s="423" t="s">
        <v>2489</v>
      </c>
      <c r="C134" s="424">
        <v>22</v>
      </c>
      <c r="D134" s="424"/>
      <c r="E134" s="424"/>
      <c r="F134" s="424"/>
      <c r="G134" s="424"/>
      <c r="H134" s="424"/>
      <c r="I134" s="422" t="s">
        <v>2300</v>
      </c>
      <c r="J134" s="421" t="str">
        <f t="shared" si="154"/>
        <v>LGOO6I</v>
      </c>
      <c r="K134" s="421" t="str">
        <f t="shared" si="155"/>
        <v>LGOO6IF</v>
      </c>
      <c r="L134" s="447" t="str">
        <f t="shared" si="156"/>
        <v>IF</v>
      </c>
      <c r="M134" s="932">
        <v>3</v>
      </c>
      <c r="N134" s="932">
        <v>3</v>
      </c>
      <c r="O134" s="932">
        <v>3</v>
      </c>
      <c r="P134" s="932">
        <v>3</v>
      </c>
      <c r="Q134" s="940"/>
      <c r="R134" s="940"/>
      <c r="S134" s="940"/>
      <c r="T134" s="940"/>
      <c r="U134" s="940"/>
      <c r="V134" s="940"/>
      <c r="W134" s="940"/>
      <c r="X134" s="948"/>
      <c r="Y134" s="948"/>
      <c r="Z134" s="948"/>
      <c r="AA134" s="948"/>
      <c r="AB134" s="948"/>
      <c r="AC134" s="948"/>
      <c r="AD134" s="616"/>
      <c r="AE134" s="616"/>
      <c r="AF134" s="616"/>
      <c r="AG134" s="616"/>
      <c r="AH134" s="448">
        <f t="shared" si="157"/>
        <v>783828</v>
      </c>
      <c r="AI134" s="449">
        <f t="shared" si="158"/>
        <v>783828</v>
      </c>
      <c r="AJ134" s="450">
        <v>1</v>
      </c>
      <c r="AK134" s="452" t="s">
        <v>973</v>
      </c>
      <c r="AL134" s="447" t="s">
        <v>62</v>
      </c>
      <c r="AM134" s="447" t="s">
        <v>158</v>
      </c>
      <c r="AN134" s="447">
        <v>310100100001000</v>
      </c>
      <c r="AO134" s="306" t="s">
        <v>174</v>
      </c>
      <c r="AP134" s="306" t="s">
        <v>2423</v>
      </c>
      <c r="AQ134" s="306" t="s">
        <v>2500</v>
      </c>
      <c r="AR134" s="305" t="s">
        <v>2009</v>
      </c>
      <c r="AS134" s="305" t="s">
        <v>1089</v>
      </c>
      <c r="AT134" s="305" t="s">
        <v>2010</v>
      </c>
      <c r="AU134" s="306" t="str">
        <f t="shared" si="159"/>
        <v>N</v>
      </c>
      <c r="AV134" s="306" t="str">
        <f t="shared" si="160"/>
        <v>Roselle N. Aplosen</v>
      </c>
      <c r="AW134" s="306" t="str">
        <f t="shared" si="140"/>
        <v>APLOSEN, Roselle Nanglegan</v>
      </c>
      <c r="AX134" s="305" t="s">
        <v>174</v>
      </c>
      <c r="AY134" s="447" t="s">
        <v>100</v>
      </c>
      <c r="AZ134" s="472">
        <v>28730</v>
      </c>
      <c r="BA134" s="101">
        <f t="shared" ca="1" si="161"/>
        <v>47</v>
      </c>
      <c r="BB134" s="492" t="str">
        <f t="shared" ca="1" si="162"/>
        <v>C</v>
      </c>
      <c r="BC134" s="492" t="str">
        <f t="shared" ca="1" si="163"/>
        <v>IC</v>
      </c>
      <c r="BD134" s="492" t="str">
        <f t="shared" ca="1" si="164"/>
        <v>ICF</v>
      </c>
      <c r="BE134" s="492" t="str">
        <f t="shared" ca="1" si="165"/>
        <v>LGOO6ICF</v>
      </c>
      <c r="BF134" s="447" t="s">
        <v>1091</v>
      </c>
      <c r="BG134" s="493">
        <v>36951</v>
      </c>
      <c r="BH134" s="494">
        <v>37196</v>
      </c>
      <c r="BI134" s="447">
        <f t="shared" ca="1" si="166"/>
        <v>25</v>
      </c>
      <c r="BJ134" s="447">
        <f t="shared" ca="1" si="167"/>
        <v>24</v>
      </c>
      <c r="BK134" s="493">
        <v>43087</v>
      </c>
      <c r="BL134" s="447">
        <f t="shared" ca="1" si="152"/>
        <v>8</v>
      </c>
      <c r="BM134" s="447" t="s">
        <v>64</v>
      </c>
      <c r="BN134" s="512" t="s">
        <v>102</v>
      </c>
      <c r="BO134" s="423" t="s">
        <v>2254</v>
      </c>
      <c r="BP134" s="513"/>
      <c r="BQ134" s="514" t="str">
        <f t="shared" si="153"/>
        <v>2FP</v>
      </c>
    </row>
    <row r="135" spans="1:69" ht="19.95" customHeight="1">
      <c r="A135" s="422" t="s">
        <v>1463</v>
      </c>
      <c r="B135" s="423" t="s">
        <v>2489</v>
      </c>
      <c r="C135" s="424">
        <v>22</v>
      </c>
      <c r="D135" s="424"/>
      <c r="E135" s="424"/>
      <c r="F135" s="424"/>
      <c r="G135" s="424"/>
      <c r="H135" s="424"/>
      <c r="I135" s="422" t="s">
        <v>2300</v>
      </c>
      <c r="J135" s="421" t="str">
        <f t="shared" si="154"/>
        <v>LGOO6I</v>
      </c>
      <c r="K135" s="421" t="str">
        <f t="shared" si="155"/>
        <v>LGOO6IM</v>
      </c>
      <c r="L135" s="447" t="str">
        <f t="shared" si="156"/>
        <v>IM</v>
      </c>
      <c r="M135" s="932">
        <v>3</v>
      </c>
      <c r="N135" s="932">
        <v>3</v>
      </c>
      <c r="O135" s="932">
        <v>3</v>
      </c>
      <c r="P135" s="932">
        <v>3</v>
      </c>
      <c r="Q135" s="940"/>
      <c r="R135" s="940"/>
      <c r="S135" s="940"/>
      <c r="T135" s="940"/>
      <c r="U135" s="940"/>
      <c r="V135" s="940"/>
      <c r="W135" s="940"/>
      <c r="X135" s="948"/>
      <c r="Y135" s="948"/>
      <c r="Z135" s="948"/>
      <c r="AA135" s="948"/>
      <c r="AB135" s="948"/>
      <c r="AC135" s="948"/>
      <c r="AD135" s="616"/>
      <c r="AE135" s="616"/>
      <c r="AF135" s="616"/>
      <c r="AG135" s="616"/>
      <c r="AH135" s="448">
        <f t="shared" si="157"/>
        <v>783828</v>
      </c>
      <c r="AI135" s="449">
        <f t="shared" si="158"/>
        <v>783828</v>
      </c>
      <c r="AJ135" s="450">
        <v>1</v>
      </c>
      <c r="AK135" s="452" t="s">
        <v>1027</v>
      </c>
      <c r="AL135" s="447" t="s">
        <v>62</v>
      </c>
      <c r="AM135" s="447" t="s">
        <v>158</v>
      </c>
      <c r="AN135" s="447">
        <v>310100100001000</v>
      </c>
      <c r="AO135" s="306" t="s">
        <v>174</v>
      </c>
      <c r="AP135" s="306" t="s">
        <v>2423</v>
      </c>
      <c r="AQ135" s="306" t="s">
        <v>2501</v>
      </c>
      <c r="AR135" s="306" t="s">
        <v>1028</v>
      </c>
      <c r="AS135" s="306" t="s">
        <v>1029</v>
      </c>
      <c r="AT135" s="306" t="s">
        <v>1938</v>
      </c>
      <c r="AU135" s="306" t="str">
        <f t="shared" si="159"/>
        <v>M</v>
      </c>
      <c r="AV135" s="306" t="str">
        <f t="shared" si="160"/>
        <v>Wilbert M. Umalco</v>
      </c>
      <c r="AW135" s="306" t="str">
        <f t="shared" si="140"/>
        <v>UMALCO, Wilbert Mayam-o</v>
      </c>
      <c r="AX135" s="305" t="s">
        <v>174</v>
      </c>
      <c r="AY135" s="447" t="s">
        <v>62</v>
      </c>
      <c r="AZ135" s="472">
        <v>23249</v>
      </c>
      <c r="BA135" s="101">
        <f t="shared" ca="1" si="161"/>
        <v>62</v>
      </c>
      <c r="BB135" s="492" t="str">
        <f t="shared" ca="1" si="162"/>
        <v>E</v>
      </c>
      <c r="BC135" s="492" t="str">
        <f t="shared" ca="1" si="163"/>
        <v>IE</v>
      </c>
      <c r="BD135" s="492" t="str">
        <f t="shared" ca="1" si="164"/>
        <v>IEM</v>
      </c>
      <c r="BE135" s="492" t="str">
        <f t="shared" ca="1" si="165"/>
        <v>LGOO6IEM</v>
      </c>
      <c r="BF135" s="447" t="s">
        <v>1031</v>
      </c>
      <c r="BG135" s="493">
        <v>34808</v>
      </c>
      <c r="BH135" s="493">
        <v>34808</v>
      </c>
      <c r="BI135" s="447">
        <f t="shared" ca="1" si="166"/>
        <v>30</v>
      </c>
      <c r="BJ135" s="447">
        <f t="shared" ca="1" si="167"/>
        <v>30</v>
      </c>
      <c r="BK135" s="493">
        <v>43070</v>
      </c>
      <c r="BL135" s="447">
        <f t="shared" ca="1" si="152"/>
        <v>8</v>
      </c>
      <c r="BM135" s="447" t="s">
        <v>64</v>
      </c>
      <c r="BN135" s="512" t="s">
        <v>1032</v>
      </c>
      <c r="BO135" s="423" t="s">
        <v>2254</v>
      </c>
      <c r="BP135" s="513"/>
      <c r="BQ135" s="514" t="str">
        <f t="shared" si="153"/>
        <v>2MP</v>
      </c>
    </row>
    <row r="136" spans="1:69" ht="19.95" customHeight="1">
      <c r="A136" s="422" t="s">
        <v>1464</v>
      </c>
      <c r="B136" s="423" t="s">
        <v>2489</v>
      </c>
      <c r="C136" s="424">
        <v>22</v>
      </c>
      <c r="D136" s="424"/>
      <c r="E136" s="424"/>
      <c r="F136" s="424"/>
      <c r="G136" s="424"/>
      <c r="H136" s="424"/>
      <c r="I136" s="422" t="s">
        <v>2300</v>
      </c>
      <c r="J136" s="421" t="str">
        <f t="shared" si="154"/>
        <v>LGOO6I</v>
      </c>
      <c r="K136" s="421" t="str">
        <f t="shared" si="155"/>
        <v>LGOO6IM</v>
      </c>
      <c r="L136" s="447" t="str">
        <f t="shared" si="156"/>
        <v>IM</v>
      </c>
      <c r="M136" s="932">
        <v>3</v>
      </c>
      <c r="N136" s="932">
        <v>3</v>
      </c>
      <c r="O136" s="932">
        <v>3</v>
      </c>
      <c r="P136" s="932">
        <v>3</v>
      </c>
      <c r="Q136" s="940"/>
      <c r="R136" s="940"/>
      <c r="S136" s="940"/>
      <c r="T136" s="940"/>
      <c r="U136" s="940"/>
      <c r="V136" s="940"/>
      <c r="W136" s="940"/>
      <c r="X136" s="948"/>
      <c r="Y136" s="948"/>
      <c r="Z136" s="948"/>
      <c r="AA136" s="948"/>
      <c r="AB136" s="948"/>
      <c r="AC136" s="948"/>
      <c r="AD136" s="616"/>
      <c r="AE136" s="616"/>
      <c r="AF136" s="616"/>
      <c r="AG136" s="616"/>
      <c r="AH136" s="448">
        <f t="shared" si="157"/>
        <v>783828</v>
      </c>
      <c r="AI136" s="449">
        <f t="shared" si="158"/>
        <v>783828</v>
      </c>
      <c r="AJ136" s="450">
        <v>1</v>
      </c>
      <c r="AK136" s="452" t="s">
        <v>1034</v>
      </c>
      <c r="AL136" s="447" t="s">
        <v>62</v>
      </c>
      <c r="AM136" s="447" t="s">
        <v>158</v>
      </c>
      <c r="AN136" s="447">
        <v>310100100001000</v>
      </c>
      <c r="AO136" s="306" t="s">
        <v>174</v>
      </c>
      <c r="AP136" s="306" t="s">
        <v>2423</v>
      </c>
      <c r="AQ136" s="306" t="s">
        <v>2502</v>
      </c>
      <c r="AR136" s="306" t="s">
        <v>1035</v>
      </c>
      <c r="AS136" s="306" t="s">
        <v>1036</v>
      </c>
      <c r="AT136" s="306" t="s">
        <v>1923</v>
      </c>
      <c r="AU136" s="306" t="str">
        <f t="shared" si="159"/>
        <v>N</v>
      </c>
      <c r="AV136" s="306" t="str">
        <f t="shared" si="160"/>
        <v>Gilbert N. Lindawan</v>
      </c>
      <c r="AW136" s="306" t="str">
        <f t="shared" si="140"/>
        <v>LINDAWAN, Gilbert Nayahangan</v>
      </c>
      <c r="AX136" s="305" t="s">
        <v>174</v>
      </c>
      <c r="AY136" s="447" t="s">
        <v>62</v>
      </c>
      <c r="AZ136" s="472">
        <v>24545</v>
      </c>
      <c r="BA136" s="101">
        <f t="shared" ca="1" si="161"/>
        <v>59</v>
      </c>
      <c r="BB136" s="492" t="str">
        <f t="shared" ca="1" si="162"/>
        <v>D</v>
      </c>
      <c r="BC136" s="492" t="str">
        <f t="shared" ca="1" si="163"/>
        <v>ID</v>
      </c>
      <c r="BD136" s="492" t="str">
        <f t="shared" ca="1" si="164"/>
        <v>IDM</v>
      </c>
      <c r="BE136" s="492" t="str">
        <f t="shared" ca="1" si="165"/>
        <v>LGOO6IDM</v>
      </c>
      <c r="BF136" s="447" t="s">
        <v>1039</v>
      </c>
      <c r="BG136" s="493">
        <v>33550</v>
      </c>
      <c r="BH136" s="493">
        <v>33550</v>
      </c>
      <c r="BI136" s="447">
        <f t="shared" ca="1" si="166"/>
        <v>34</v>
      </c>
      <c r="BJ136" s="447">
        <f t="shared" ca="1" si="167"/>
        <v>34</v>
      </c>
      <c r="BK136" s="493">
        <v>43070</v>
      </c>
      <c r="BL136" s="447">
        <f t="shared" ca="1" si="152"/>
        <v>8</v>
      </c>
      <c r="BM136" s="447" t="s">
        <v>64</v>
      </c>
      <c r="BN136" s="512" t="s">
        <v>102</v>
      </c>
      <c r="BO136" s="423" t="s">
        <v>2254</v>
      </c>
      <c r="BP136" s="513"/>
      <c r="BQ136" s="514" t="str">
        <f t="shared" si="153"/>
        <v>2MP</v>
      </c>
    </row>
    <row r="137" spans="1:69" ht="19.95" customHeight="1">
      <c r="A137" s="422" t="s">
        <v>1465</v>
      </c>
      <c r="B137" s="423" t="s">
        <v>2489</v>
      </c>
      <c r="C137" s="424">
        <v>22</v>
      </c>
      <c r="D137" s="424"/>
      <c r="E137" s="424"/>
      <c r="F137" s="424"/>
      <c r="G137" s="424"/>
      <c r="H137" s="424"/>
      <c r="I137" s="422" t="s">
        <v>2300</v>
      </c>
      <c r="J137" s="421" t="str">
        <f t="shared" si="154"/>
        <v>LGOO6I</v>
      </c>
      <c r="K137" s="421" t="str">
        <f t="shared" si="155"/>
        <v>LGOO6IF</v>
      </c>
      <c r="L137" s="447" t="str">
        <f t="shared" si="156"/>
        <v>IF</v>
      </c>
      <c r="M137" s="932">
        <v>3</v>
      </c>
      <c r="N137" s="932">
        <v>3</v>
      </c>
      <c r="O137" s="932">
        <v>3</v>
      </c>
      <c r="P137" s="932">
        <v>3</v>
      </c>
      <c r="Q137" s="940"/>
      <c r="R137" s="940"/>
      <c r="S137" s="940"/>
      <c r="T137" s="940"/>
      <c r="U137" s="940"/>
      <c r="V137" s="940"/>
      <c r="W137" s="940"/>
      <c r="X137" s="948"/>
      <c r="Y137" s="948"/>
      <c r="Z137" s="948"/>
      <c r="AA137" s="948"/>
      <c r="AB137" s="948"/>
      <c r="AC137" s="948"/>
      <c r="AD137" s="616"/>
      <c r="AE137" s="616"/>
      <c r="AF137" s="616"/>
      <c r="AG137" s="616"/>
      <c r="AH137" s="448">
        <f t="shared" si="157"/>
        <v>783828</v>
      </c>
      <c r="AI137" s="449">
        <f t="shared" si="158"/>
        <v>783828</v>
      </c>
      <c r="AJ137" s="450">
        <v>1</v>
      </c>
      <c r="AK137" s="452" t="s">
        <v>487</v>
      </c>
      <c r="AL137" s="447" t="s">
        <v>64</v>
      </c>
      <c r="AM137" s="447" t="s">
        <v>158</v>
      </c>
      <c r="AN137" s="447">
        <v>310100100001000</v>
      </c>
      <c r="AO137" s="306" t="s">
        <v>174</v>
      </c>
      <c r="AP137" s="306" t="s">
        <v>2404</v>
      </c>
      <c r="AQ137" s="306" t="s">
        <v>174</v>
      </c>
      <c r="AR137" s="306" t="s">
        <v>1041</v>
      </c>
      <c r="AS137" s="306" t="s">
        <v>1042</v>
      </c>
      <c r="AT137" s="306" t="s">
        <v>1978</v>
      </c>
      <c r="AU137" s="306" t="str">
        <f t="shared" si="159"/>
        <v>H</v>
      </c>
      <c r="AV137" s="306" t="str">
        <f t="shared" si="160"/>
        <v>Linda H. Marcaida</v>
      </c>
      <c r="AW137" s="306" t="str">
        <f t="shared" si="140"/>
        <v>MARCAIDA, Linda Himoldang</v>
      </c>
      <c r="AX137" s="305" t="s">
        <v>174</v>
      </c>
      <c r="AY137" s="447" t="s">
        <v>100</v>
      </c>
      <c r="AZ137" s="472">
        <v>26028</v>
      </c>
      <c r="BA137" s="101">
        <f t="shared" ca="1" si="161"/>
        <v>54</v>
      </c>
      <c r="BB137" s="492" t="str">
        <f t="shared" ca="1" si="162"/>
        <v>D</v>
      </c>
      <c r="BC137" s="492" t="str">
        <f t="shared" ca="1" si="163"/>
        <v>ID</v>
      </c>
      <c r="BD137" s="492" t="str">
        <f t="shared" ca="1" si="164"/>
        <v>IDF</v>
      </c>
      <c r="BE137" s="492" t="str">
        <f t="shared" ca="1" si="165"/>
        <v>LGOO6IDF</v>
      </c>
      <c r="BF137" s="447" t="s">
        <v>1044</v>
      </c>
      <c r="BG137" s="493">
        <v>36374</v>
      </c>
      <c r="BH137" s="493">
        <v>36374</v>
      </c>
      <c r="BI137" s="447">
        <f t="shared" ca="1" si="166"/>
        <v>26</v>
      </c>
      <c r="BJ137" s="447">
        <f t="shared" ca="1" si="167"/>
        <v>26</v>
      </c>
      <c r="BK137" s="493">
        <v>43070</v>
      </c>
      <c r="BL137" s="447">
        <f t="shared" ref="BL137:BL168" ca="1" si="168">DATEDIF(BK137,TODAY(),"Y")</f>
        <v>8</v>
      </c>
      <c r="BM137" s="447" t="s">
        <v>64</v>
      </c>
      <c r="BN137" s="512" t="s">
        <v>1045</v>
      </c>
      <c r="BO137" s="423" t="s">
        <v>3399</v>
      </c>
      <c r="BP137" s="513"/>
      <c r="BQ137" s="514" t="str">
        <f t="shared" si="153"/>
        <v>2FP</v>
      </c>
    </row>
    <row r="138" spans="1:69" ht="19.95" customHeight="1">
      <c r="A138" s="422" t="s">
        <v>1468</v>
      </c>
      <c r="B138" s="423" t="s">
        <v>2489</v>
      </c>
      <c r="C138" s="424">
        <v>22</v>
      </c>
      <c r="D138" s="424"/>
      <c r="E138" s="424"/>
      <c r="F138" s="424"/>
      <c r="G138" s="424"/>
      <c r="H138" s="424"/>
      <c r="I138" s="422" t="s">
        <v>2300</v>
      </c>
      <c r="J138" s="421" t="str">
        <f t="shared" si="154"/>
        <v>LGOO6K</v>
      </c>
      <c r="K138" s="421" t="str">
        <f t="shared" si="155"/>
        <v>LGOO6KM</v>
      </c>
      <c r="L138" s="447" t="str">
        <f t="shared" si="156"/>
        <v>KM</v>
      </c>
      <c r="M138" s="932">
        <v>3</v>
      </c>
      <c r="N138" s="932">
        <v>3</v>
      </c>
      <c r="O138" s="932">
        <v>3</v>
      </c>
      <c r="P138" s="932">
        <v>3</v>
      </c>
      <c r="Q138" s="940"/>
      <c r="R138" s="940"/>
      <c r="S138" s="940"/>
      <c r="T138" s="940"/>
      <c r="U138" s="940"/>
      <c r="V138" s="940"/>
      <c r="W138" s="940"/>
      <c r="X138" s="948"/>
      <c r="Y138" s="948"/>
      <c r="Z138" s="948"/>
      <c r="AA138" s="948"/>
      <c r="AB138" s="948"/>
      <c r="AC138" s="948"/>
      <c r="AD138" s="616"/>
      <c r="AE138" s="616"/>
      <c r="AF138" s="616"/>
      <c r="AG138" s="616"/>
      <c r="AH138" s="448">
        <f t="shared" si="157"/>
        <v>783828</v>
      </c>
      <c r="AI138" s="449">
        <f t="shared" si="158"/>
        <v>783828</v>
      </c>
      <c r="AJ138" s="450">
        <v>1</v>
      </c>
      <c r="AK138" s="452" t="s">
        <v>889</v>
      </c>
      <c r="AL138" s="447" t="s">
        <v>62</v>
      </c>
      <c r="AM138" s="447" t="s">
        <v>158</v>
      </c>
      <c r="AN138" s="447">
        <v>310100100001000</v>
      </c>
      <c r="AO138" s="305" t="s">
        <v>211</v>
      </c>
      <c r="AP138" s="306" t="s">
        <v>2423</v>
      </c>
      <c r="AQ138" s="306" t="s">
        <v>2503</v>
      </c>
      <c r="AR138" s="306" t="s">
        <v>2067</v>
      </c>
      <c r="AS138" s="306" t="s">
        <v>2068</v>
      </c>
      <c r="AT138" s="306" t="s">
        <v>2504</v>
      </c>
      <c r="AU138" s="306" t="str">
        <f t="shared" si="159"/>
        <v>B</v>
      </c>
      <c r="AV138" s="306" t="str">
        <f t="shared" si="160"/>
        <v>Chris B. Lucas</v>
      </c>
      <c r="AW138" s="306" t="str">
        <f t="shared" si="140"/>
        <v>LUCAS, Chris Berana</v>
      </c>
      <c r="AX138" s="305" t="s">
        <v>211</v>
      </c>
      <c r="AY138" s="447" t="s">
        <v>62</v>
      </c>
      <c r="AZ138" s="472">
        <v>29313</v>
      </c>
      <c r="BA138" s="101">
        <f t="shared" ca="1" si="161"/>
        <v>45</v>
      </c>
      <c r="BB138" s="492" t="str">
        <f t="shared" ca="1" si="162"/>
        <v>C</v>
      </c>
      <c r="BC138" s="492" t="str">
        <f t="shared" ca="1" si="163"/>
        <v>KC</v>
      </c>
      <c r="BD138" s="492" t="str">
        <f t="shared" ca="1" si="164"/>
        <v>KCM</v>
      </c>
      <c r="BE138" s="492" t="str">
        <f t="shared" ca="1" si="165"/>
        <v>LGOO6KCM</v>
      </c>
      <c r="BF138" s="447" t="s">
        <v>2505</v>
      </c>
      <c r="BG138" s="493">
        <v>40371</v>
      </c>
      <c r="BH138" s="494">
        <v>41163</v>
      </c>
      <c r="BI138" s="447">
        <f t="shared" ca="1" si="166"/>
        <v>15</v>
      </c>
      <c r="BJ138" s="447">
        <f t="shared" ca="1" si="167"/>
        <v>13</v>
      </c>
      <c r="BK138" s="493">
        <v>43070</v>
      </c>
      <c r="BL138" s="447">
        <f t="shared" ca="1" si="168"/>
        <v>8</v>
      </c>
      <c r="BM138" s="447" t="s">
        <v>64</v>
      </c>
      <c r="BN138" s="512" t="s">
        <v>102</v>
      </c>
      <c r="BO138" s="423" t="s">
        <v>3407</v>
      </c>
      <c r="BP138" s="513"/>
      <c r="BQ138" s="514" t="str">
        <f t="shared" si="153"/>
        <v>2MP</v>
      </c>
    </row>
    <row r="139" spans="1:69" ht="19.95" customHeight="1">
      <c r="A139" s="422" t="s">
        <v>1469</v>
      </c>
      <c r="B139" s="423" t="s">
        <v>2489</v>
      </c>
      <c r="C139" s="424">
        <v>22</v>
      </c>
      <c r="D139" s="424"/>
      <c r="E139" s="424"/>
      <c r="F139" s="424"/>
      <c r="G139" s="424"/>
      <c r="H139" s="424"/>
      <c r="I139" s="422" t="s">
        <v>2300</v>
      </c>
      <c r="J139" s="421" t="str">
        <f t="shared" si="154"/>
        <v>LGOO6K</v>
      </c>
      <c r="K139" s="421" t="str">
        <f t="shared" si="155"/>
        <v>LGOO6KM</v>
      </c>
      <c r="L139" s="447" t="str">
        <f t="shared" si="156"/>
        <v>KM</v>
      </c>
      <c r="M139" s="932">
        <v>3</v>
      </c>
      <c r="N139" s="932">
        <v>3</v>
      </c>
      <c r="O139" s="932">
        <v>3</v>
      </c>
      <c r="P139" s="932">
        <v>3</v>
      </c>
      <c r="Q139" s="940"/>
      <c r="R139" s="940"/>
      <c r="S139" s="940"/>
      <c r="T139" s="940"/>
      <c r="U139" s="940"/>
      <c r="V139" s="940"/>
      <c r="W139" s="940"/>
      <c r="X139" s="948"/>
      <c r="Y139" s="948"/>
      <c r="Z139" s="948"/>
      <c r="AA139" s="948"/>
      <c r="AB139" s="948"/>
      <c r="AC139" s="948"/>
      <c r="AD139" s="616"/>
      <c r="AE139" s="616"/>
      <c r="AF139" s="616"/>
      <c r="AG139" s="616"/>
      <c r="AH139" s="448">
        <f t="shared" si="157"/>
        <v>783828</v>
      </c>
      <c r="AI139" s="449">
        <f t="shared" si="158"/>
        <v>783828</v>
      </c>
      <c r="AJ139" s="450">
        <v>1</v>
      </c>
      <c r="AK139" s="452" t="s">
        <v>916</v>
      </c>
      <c r="AL139" s="447" t="s">
        <v>62</v>
      </c>
      <c r="AM139" s="447" t="s">
        <v>158</v>
      </c>
      <c r="AN139" s="447">
        <v>310100100001000</v>
      </c>
      <c r="AO139" s="305" t="s">
        <v>211</v>
      </c>
      <c r="AP139" s="306" t="s">
        <v>2423</v>
      </c>
      <c r="AQ139" s="306" t="s">
        <v>2506</v>
      </c>
      <c r="AR139" s="306" t="s">
        <v>917</v>
      </c>
      <c r="AS139" s="306" t="s">
        <v>918</v>
      </c>
      <c r="AT139" s="306" t="s">
        <v>1928</v>
      </c>
      <c r="AU139" s="306" t="str">
        <f t="shared" si="159"/>
        <v>G</v>
      </c>
      <c r="AV139" s="306" t="str">
        <f t="shared" si="160"/>
        <v>Alexander G. Acuat</v>
      </c>
      <c r="AW139" s="306" t="str">
        <f t="shared" si="140"/>
        <v>ACUAT, Alexander Gacuya</v>
      </c>
      <c r="AX139" s="305" t="s">
        <v>211</v>
      </c>
      <c r="AY139" s="447" t="s">
        <v>62</v>
      </c>
      <c r="AZ139" s="472">
        <v>19978</v>
      </c>
      <c r="BA139" s="101">
        <f t="shared" ca="1" si="161"/>
        <v>71</v>
      </c>
      <c r="BB139" s="492" t="str">
        <f t="shared" ca="1" si="162"/>
        <v>VACANT</v>
      </c>
      <c r="BC139" s="492" t="str">
        <f t="shared" ca="1" si="163"/>
        <v>VACANT</v>
      </c>
      <c r="BD139" s="492" t="str">
        <f t="shared" ca="1" si="164"/>
        <v>VACANTM</v>
      </c>
      <c r="BE139" s="492" t="str">
        <f t="shared" ca="1" si="165"/>
        <v>LGOO6VACANTM</v>
      </c>
      <c r="BF139" s="447" t="s">
        <v>920</v>
      </c>
      <c r="BG139" s="493">
        <v>31260</v>
      </c>
      <c r="BH139" s="493">
        <v>31260</v>
      </c>
      <c r="BI139" s="447">
        <f t="shared" ca="1" si="166"/>
        <v>40</v>
      </c>
      <c r="BJ139" s="447">
        <f t="shared" ca="1" si="167"/>
        <v>40</v>
      </c>
      <c r="BK139" s="493">
        <v>43087</v>
      </c>
      <c r="BL139" s="447">
        <f t="shared" ca="1" si="168"/>
        <v>8</v>
      </c>
      <c r="BM139" s="447" t="s">
        <v>64</v>
      </c>
      <c r="BN139" s="512" t="s">
        <v>102</v>
      </c>
      <c r="BO139" s="423" t="s">
        <v>3410</v>
      </c>
      <c r="BP139" s="513"/>
      <c r="BQ139" s="514" t="str">
        <f t="shared" ref="BQ139:BQ170" si="169">CONCATENATE(2,AY139,BM139)</f>
        <v>2MP</v>
      </c>
    </row>
    <row r="140" spans="1:69" ht="19.95" customHeight="1">
      <c r="A140" s="422" t="s">
        <v>1470</v>
      </c>
      <c r="B140" s="423" t="s">
        <v>2489</v>
      </c>
      <c r="C140" s="424">
        <v>22</v>
      </c>
      <c r="D140" s="424"/>
      <c r="E140" s="424"/>
      <c r="F140" s="424"/>
      <c r="G140" s="424"/>
      <c r="H140" s="424"/>
      <c r="I140" s="422" t="s">
        <v>2300</v>
      </c>
      <c r="J140" s="421" t="str">
        <f t="shared" si="154"/>
        <v>LGOO6K</v>
      </c>
      <c r="K140" s="421" t="str">
        <f t="shared" si="155"/>
        <v>LGOO6KF</v>
      </c>
      <c r="L140" s="447" t="str">
        <f t="shared" si="156"/>
        <v>KF</v>
      </c>
      <c r="M140" s="932">
        <v>3</v>
      </c>
      <c r="N140" s="932">
        <v>3</v>
      </c>
      <c r="O140" s="932">
        <v>3</v>
      </c>
      <c r="P140" s="932">
        <v>3</v>
      </c>
      <c r="Q140" s="940"/>
      <c r="R140" s="940"/>
      <c r="S140" s="940"/>
      <c r="T140" s="940"/>
      <c r="U140" s="940"/>
      <c r="V140" s="940"/>
      <c r="W140" s="940"/>
      <c r="X140" s="948"/>
      <c r="Y140" s="948"/>
      <c r="Z140" s="948"/>
      <c r="AA140" s="948"/>
      <c r="AB140" s="948"/>
      <c r="AC140" s="948"/>
      <c r="AD140" s="616"/>
      <c r="AE140" s="616"/>
      <c r="AF140" s="616"/>
      <c r="AG140" s="616"/>
      <c r="AH140" s="448">
        <f t="shared" si="157"/>
        <v>783828</v>
      </c>
      <c r="AI140" s="449">
        <f t="shared" si="158"/>
        <v>783828</v>
      </c>
      <c r="AJ140" s="450">
        <v>1</v>
      </c>
      <c r="AK140" s="452" t="s">
        <v>922</v>
      </c>
      <c r="AL140" s="447" t="s">
        <v>62</v>
      </c>
      <c r="AM140" s="447" t="s">
        <v>158</v>
      </c>
      <c r="AN140" s="447">
        <v>310100100001000</v>
      </c>
      <c r="AO140" s="305" t="s">
        <v>211</v>
      </c>
      <c r="AP140" s="306" t="s">
        <v>2423</v>
      </c>
      <c r="AQ140" s="306" t="s">
        <v>2507</v>
      </c>
      <c r="AR140" s="306" t="s">
        <v>846</v>
      </c>
      <c r="AS140" s="306" t="s">
        <v>1902</v>
      </c>
      <c r="AT140" s="306" t="s">
        <v>1903</v>
      </c>
      <c r="AU140" s="306" t="str">
        <f t="shared" si="159"/>
        <v>B</v>
      </c>
      <c r="AV140" s="306" t="str">
        <f t="shared" si="160"/>
        <v>Elizabeth Perpetua B. Lorenzo</v>
      </c>
      <c r="AW140" s="306" t="str">
        <f t="shared" si="140"/>
        <v>LORENZO, Elizabeth Perpetua Baylon</v>
      </c>
      <c r="AX140" s="305" t="s">
        <v>211</v>
      </c>
      <c r="AY140" s="447" t="s">
        <v>100</v>
      </c>
      <c r="AZ140" s="472">
        <v>22866</v>
      </c>
      <c r="BA140" s="101">
        <f t="shared" ca="1" si="161"/>
        <v>63</v>
      </c>
      <c r="BB140" s="492" t="str">
        <f t="shared" ca="1" si="162"/>
        <v>E</v>
      </c>
      <c r="BC140" s="492" t="str">
        <f t="shared" ca="1" si="163"/>
        <v>KE</v>
      </c>
      <c r="BD140" s="492" t="str">
        <f t="shared" ca="1" si="164"/>
        <v>KEF</v>
      </c>
      <c r="BE140" s="492" t="str">
        <f t="shared" ca="1" si="165"/>
        <v>LGOO6KEF</v>
      </c>
      <c r="BF140" s="447" t="s">
        <v>2493</v>
      </c>
      <c r="BG140" s="493">
        <v>31371</v>
      </c>
      <c r="BH140" s="493">
        <v>31371</v>
      </c>
      <c r="BI140" s="447">
        <f t="shared" ca="1" si="166"/>
        <v>40</v>
      </c>
      <c r="BJ140" s="447">
        <f t="shared" ca="1" si="167"/>
        <v>40</v>
      </c>
      <c r="BK140" s="493">
        <v>43070</v>
      </c>
      <c r="BL140" s="447">
        <f t="shared" ca="1" si="168"/>
        <v>8</v>
      </c>
      <c r="BM140" s="447" t="s">
        <v>64</v>
      </c>
      <c r="BN140" s="512" t="s">
        <v>102</v>
      </c>
      <c r="BO140" s="423" t="s">
        <v>3411</v>
      </c>
      <c r="BP140" s="513" t="s">
        <v>1207</v>
      </c>
      <c r="BQ140" s="514" t="str">
        <f t="shared" si="169"/>
        <v>2FP</v>
      </c>
    </row>
    <row r="141" spans="1:69" ht="19.95" customHeight="1">
      <c r="A141" s="422" t="s">
        <v>1471</v>
      </c>
      <c r="B141" s="423" t="s">
        <v>2489</v>
      </c>
      <c r="C141" s="424">
        <v>22</v>
      </c>
      <c r="D141" s="424"/>
      <c r="E141" s="424"/>
      <c r="F141" s="424"/>
      <c r="G141" s="424"/>
      <c r="H141" s="424"/>
      <c r="I141" s="422" t="s">
        <v>2300</v>
      </c>
      <c r="J141" s="421" t="str">
        <f t="shared" si="154"/>
        <v>LGOO6K</v>
      </c>
      <c r="K141" s="421" t="str">
        <f t="shared" si="155"/>
        <v>LGOO6KF</v>
      </c>
      <c r="L141" s="447" t="str">
        <f t="shared" si="156"/>
        <v>KF</v>
      </c>
      <c r="M141" s="932">
        <v>3</v>
      </c>
      <c r="N141" s="932">
        <v>3</v>
      </c>
      <c r="O141" s="932">
        <v>3</v>
      </c>
      <c r="P141" s="932">
        <v>3</v>
      </c>
      <c r="Q141" s="940"/>
      <c r="R141" s="940"/>
      <c r="S141" s="940"/>
      <c r="T141" s="940"/>
      <c r="U141" s="940"/>
      <c r="V141" s="940"/>
      <c r="W141" s="940"/>
      <c r="X141" s="948"/>
      <c r="Y141" s="948"/>
      <c r="Z141" s="948"/>
      <c r="AA141" s="948"/>
      <c r="AB141" s="948"/>
      <c r="AC141" s="948"/>
      <c r="AD141" s="616"/>
      <c r="AE141" s="616"/>
      <c r="AF141" s="616"/>
      <c r="AG141" s="616"/>
      <c r="AH141" s="448">
        <f t="shared" si="157"/>
        <v>783828</v>
      </c>
      <c r="AI141" s="449">
        <f t="shared" si="158"/>
        <v>783828</v>
      </c>
      <c r="AJ141" s="450">
        <v>1</v>
      </c>
      <c r="AK141" s="452" t="s">
        <v>928</v>
      </c>
      <c r="AL141" s="447" t="s">
        <v>62</v>
      </c>
      <c r="AM141" s="447" t="s">
        <v>158</v>
      </c>
      <c r="AN141" s="447">
        <v>310100100001000</v>
      </c>
      <c r="AO141" s="305" t="s">
        <v>211</v>
      </c>
      <c r="AP141" s="306" t="s">
        <v>2423</v>
      </c>
      <c r="AQ141" s="306" t="s">
        <v>2508</v>
      </c>
      <c r="AR141" s="306" t="s">
        <v>863</v>
      </c>
      <c r="AS141" s="306" t="s">
        <v>864</v>
      </c>
      <c r="AT141" s="306" t="s">
        <v>1970</v>
      </c>
      <c r="AU141" s="306" t="str">
        <f t="shared" si="159"/>
        <v>E</v>
      </c>
      <c r="AV141" s="306" t="str">
        <f t="shared" si="160"/>
        <v>Helen E. Lacuesta</v>
      </c>
      <c r="AW141" s="306" t="str">
        <f t="shared" si="140"/>
        <v>LACUESTA, Helen Espita</v>
      </c>
      <c r="AX141" s="305" t="s">
        <v>211</v>
      </c>
      <c r="AY141" s="447" t="s">
        <v>100</v>
      </c>
      <c r="AZ141" s="472">
        <v>28004</v>
      </c>
      <c r="BA141" s="101">
        <f t="shared" ca="1" si="161"/>
        <v>49</v>
      </c>
      <c r="BB141" s="492" t="str">
        <f t="shared" ca="1" si="162"/>
        <v>C</v>
      </c>
      <c r="BC141" s="492" t="str">
        <f t="shared" ca="1" si="163"/>
        <v>KC</v>
      </c>
      <c r="BD141" s="492" t="str">
        <f t="shared" ca="1" si="164"/>
        <v>KCF</v>
      </c>
      <c r="BE141" s="492" t="str">
        <f t="shared" ca="1" si="165"/>
        <v>LGOO6KCF</v>
      </c>
      <c r="BF141" s="447" t="s">
        <v>2496</v>
      </c>
      <c r="BG141" s="493">
        <v>36000</v>
      </c>
      <c r="BH141" s="493">
        <v>36000</v>
      </c>
      <c r="BI141" s="447">
        <f t="shared" ca="1" si="166"/>
        <v>27</v>
      </c>
      <c r="BJ141" s="447">
        <f t="shared" ca="1" si="167"/>
        <v>27</v>
      </c>
      <c r="BK141" s="493">
        <v>43087</v>
      </c>
      <c r="BL141" s="447">
        <f t="shared" ca="1" si="168"/>
        <v>8</v>
      </c>
      <c r="BM141" s="447" t="s">
        <v>64</v>
      </c>
      <c r="BN141" s="522" t="s">
        <v>102</v>
      </c>
      <c r="BO141" s="523" t="s">
        <v>2254</v>
      </c>
      <c r="BP141" s="513" t="s">
        <v>1207</v>
      </c>
      <c r="BQ141" s="514" t="str">
        <f t="shared" si="169"/>
        <v>2FP</v>
      </c>
    </row>
    <row r="142" spans="1:69" ht="19.95" customHeight="1">
      <c r="A142" s="422" t="s">
        <v>1472</v>
      </c>
      <c r="B142" s="423" t="s">
        <v>2489</v>
      </c>
      <c r="C142" s="424">
        <v>22</v>
      </c>
      <c r="D142" s="424"/>
      <c r="E142" s="424"/>
      <c r="F142" s="424"/>
      <c r="G142" s="424"/>
      <c r="H142" s="424"/>
      <c r="I142" s="422" t="s">
        <v>2300</v>
      </c>
      <c r="J142" s="421" t="str">
        <f t="shared" si="154"/>
        <v>LGOO6K</v>
      </c>
      <c r="K142" s="421" t="str">
        <f t="shared" si="155"/>
        <v>LGOO6KM</v>
      </c>
      <c r="L142" s="447" t="str">
        <f t="shared" si="156"/>
        <v>KM</v>
      </c>
      <c r="M142" s="932">
        <v>3</v>
      </c>
      <c r="N142" s="932">
        <v>3</v>
      </c>
      <c r="O142" s="932">
        <v>3</v>
      </c>
      <c r="P142" s="932">
        <v>3</v>
      </c>
      <c r="Q142" s="940"/>
      <c r="R142" s="940"/>
      <c r="S142" s="940"/>
      <c r="T142" s="940"/>
      <c r="U142" s="940"/>
      <c r="V142" s="940"/>
      <c r="W142" s="940"/>
      <c r="X142" s="948"/>
      <c r="Y142" s="948"/>
      <c r="Z142" s="948"/>
      <c r="AA142" s="948"/>
      <c r="AB142" s="948"/>
      <c r="AC142" s="948"/>
      <c r="AD142" s="616"/>
      <c r="AE142" s="616"/>
      <c r="AF142" s="616"/>
      <c r="AG142" s="616"/>
      <c r="AH142" s="448">
        <f t="shared" si="157"/>
        <v>783828</v>
      </c>
      <c r="AI142" s="449">
        <f t="shared" si="158"/>
        <v>783828</v>
      </c>
      <c r="AJ142" s="450">
        <v>1</v>
      </c>
      <c r="AK142" s="452" t="s">
        <v>934</v>
      </c>
      <c r="AL142" s="447" t="s">
        <v>62</v>
      </c>
      <c r="AM142" s="447" t="s">
        <v>158</v>
      </c>
      <c r="AN142" s="447">
        <v>310100100001000</v>
      </c>
      <c r="AO142" s="305" t="s">
        <v>211</v>
      </c>
      <c r="AP142" s="306" t="s">
        <v>2423</v>
      </c>
      <c r="AQ142" s="306" t="s">
        <v>2509</v>
      </c>
      <c r="AR142" s="305" t="s">
        <v>733</v>
      </c>
      <c r="AS142" s="305" t="s">
        <v>1106</v>
      </c>
      <c r="AT142" s="305" t="s">
        <v>1989</v>
      </c>
      <c r="AU142" s="306" t="str">
        <f t="shared" si="159"/>
        <v>A</v>
      </c>
      <c r="AV142" s="306" t="str">
        <f t="shared" si="160"/>
        <v>Lucas A. Ating</v>
      </c>
      <c r="AW142" s="306" t="str">
        <f t="shared" si="140"/>
        <v>ATING, Lucas Alsiyao</v>
      </c>
      <c r="AX142" s="305" t="s">
        <v>211</v>
      </c>
      <c r="AY142" s="447" t="s">
        <v>62</v>
      </c>
      <c r="AZ142" s="472">
        <v>28219</v>
      </c>
      <c r="BA142" s="101">
        <f t="shared" ca="1" si="161"/>
        <v>48</v>
      </c>
      <c r="BB142" s="492" t="str">
        <f t="shared" ca="1" si="162"/>
        <v>C</v>
      </c>
      <c r="BC142" s="492" t="str">
        <f t="shared" ca="1" si="163"/>
        <v>KC</v>
      </c>
      <c r="BD142" s="492" t="str">
        <f t="shared" ca="1" si="164"/>
        <v>KCM</v>
      </c>
      <c r="BE142" s="492" t="str">
        <f t="shared" ca="1" si="165"/>
        <v>LGOO6KCM</v>
      </c>
      <c r="BF142" s="447" t="s">
        <v>2510</v>
      </c>
      <c r="BG142" s="493">
        <v>37293</v>
      </c>
      <c r="BH142" s="493">
        <v>37293</v>
      </c>
      <c r="BI142" s="447">
        <f t="shared" ca="1" si="166"/>
        <v>24</v>
      </c>
      <c r="BJ142" s="447">
        <f t="shared" ca="1" si="167"/>
        <v>24</v>
      </c>
      <c r="BK142" s="493">
        <v>43070</v>
      </c>
      <c r="BL142" s="447">
        <f t="shared" ca="1" si="168"/>
        <v>8</v>
      </c>
      <c r="BM142" s="447" t="s">
        <v>64</v>
      </c>
      <c r="BN142" s="512" t="s">
        <v>102</v>
      </c>
      <c r="BO142" s="423" t="s">
        <v>2254</v>
      </c>
      <c r="BP142" s="513"/>
      <c r="BQ142" s="514" t="str">
        <f t="shared" si="169"/>
        <v>2MP</v>
      </c>
    </row>
    <row r="143" spans="1:69" ht="19.95" customHeight="1">
      <c r="A143" s="422" t="s">
        <v>1473</v>
      </c>
      <c r="B143" s="423" t="s">
        <v>2489</v>
      </c>
      <c r="C143" s="424">
        <v>22</v>
      </c>
      <c r="D143" s="424"/>
      <c r="E143" s="424"/>
      <c r="F143" s="424"/>
      <c r="G143" s="424"/>
      <c r="H143" s="424"/>
      <c r="I143" s="422" t="s">
        <v>2300</v>
      </c>
      <c r="J143" s="421" t="str">
        <f t="shared" si="154"/>
        <v>LGOO6K</v>
      </c>
      <c r="K143" s="421" t="str">
        <f t="shared" si="155"/>
        <v>LGOO6KF</v>
      </c>
      <c r="L143" s="447" t="str">
        <f t="shared" si="156"/>
        <v>KF</v>
      </c>
      <c r="M143" s="932">
        <v>3</v>
      </c>
      <c r="N143" s="932">
        <v>3</v>
      </c>
      <c r="O143" s="932">
        <v>3</v>
      </c>
      <c r="P143" s="932">
        <v>3</v>
      </c>
      <c r="Q143" s="940"/>
      <c r="R143" s="940"/>
      <c r="S143" s="940"/>
      <c r="T143" s="940"/>
      <c r="U143" s="940"/>
      <c r="V143" s="940"/>
      <c r="W143" s="940"/>
      <c r="X143" s="948"/>
      <c r="Y143" s="948"/>
      <c r="Z143" s="948"/>
      <c r="AA143" s="948"/>
      <c r="AB143" s="948"/>
      <c r="AC143" s="948"/>
      <c r="AD143" s="616"/>
      <c r="AE143" s="616"/>
      <c r="AF143" s="616"/>
      <c r="AG143" s="616"/>
      <c r="AH143" s="448">
        <f t="shared" si="157"/>
        <v>783828</v>
      </c>
      <c r="AI143" s="449">
        <f t="shared" si="158"/>
        <v>783828</v>
      </c>
      <c r="AJ143" s="450">
        <v>1</v>
      </c>
      <c r="AK143" s="452" t="s">
        <v>946</v>
      </c>
      <c r="AL143" s="447" t="s">
        <v>62</v>
      </c>
      <c r="AM143" s="447" t="s">
        <v>158</v>
      </c>
      <c r="AN143" s="447">
        <v>310100100001000</v>
      </c>
      <c r="AO143" s="305" t="s">
        <v>211</v>
      </c>
      <c r="AP143" s="306" t="s">
        <v>2423</v>
      </c>
      <c r="AQ143" s="306" t="s">
        <v>2511</v>
      </c>
      <c r="AR143" s="305" t="s">
        <v>947</v>
      </c>
      <c r="AS143" s="305" t="s">
        <v>948</v>
      </c>
      <c r="AT143" s="305" t="s">
        <v>1952</v>
      </c>
      <c r="AU143" s="306" t="str">
        <f t="shared" si="159"/>
        <v>O</v>
      </c>
      <c r="AV143" s="306" t="str">
        <f t="shared" si="160"/>
        <v>Gemma O. Bawanta</v>
      </c>
      <c r="AW143" s="306" t="str">
        <f t="shared" si="140"/>
        <v>BAWANTA, Gemma Oga-oy</v>
      </c>
      <c r="AX143" s="305" t="s">
        <v>211</v>
      </c>
      <c r="AY143" s="447" t="s">
        <v>100</v>
      </c>
      <c r="AZ143" s="472">
        <v>24904</v>
      </c>
      <c r="BA143" s="101">
        <f t="shared" ca="1" si="161"/>
        <v>58</v>
      </c>
      <c r="BB143" s="492" t="str">
        <f t="shared" ca="1" si="162"/>
        <v>D</v>
      </c>
      <c r="BC143" s="492" t="str">
        <f t="shared" ca="1" si="163"/>
        <v>KD</v>
      </c>
      <c r="BD143" s="492" t="str">
        <f t="shared" ca="1" si="164"/>
        <v>KDF</v>
      </c>
      <c r="BE143" s="492" t="str">
        <f t="shared" ca="1" si="165"/>
        <v>LGOO6KDF</v>
      </c>
      <c r="BF143" s="447" t="s">
        <v>950</v>
      </c>
      <c r="BG143" s="493">
        <v>35234</v>
      </c>
      <c r="BH143" s="493">
        <v>35234</v>
      </c>
      <c r="BI143" s="447">
        <f t="shared" ca="1" si="166"/>
        <v>29</v>
      </c>
      <c r="BJ143" s="447">
        <f t="shared" ca="1" si="167"/>
        <v>29</v>
      </c>
      <c r="BK143" s="493">
        <v>43070</v>
      </c>
      <c r="BL143" s="447">
        <f t="shared" ca="1" si="168"/>
        <v>8</v>
      </c>
      <c r="BM143" s="447" t="s">
        <v>64</v>
      </c>
      <c r="BN143" s="512" t="s">
        <v>102</v>
      </c>
      <c r="BO143" s="423" t="s">
        <v>2254</v>
      </c>
      <c r="BP143" s="513"/>
      <c r="BQ143" s="514" t="str">
        <f t="shared" si="169"/>
        <v>2FP</v>
      </c>
    </row>
    <row r="144" spans="1:69" ht="19.95" customHeight="1">
      <c r="A144" s="422" t="s">
        <v>1474</v>
      </c>
      <c r="B144" s="423" t="s">
        <v>2489</v>
      </c>
      <c r="C144" s="424">
        <v>22</v>
      </c>
      <c r="D144" s="424"/>
      <c r="E144" s="424"/>
      <c r="F144" s="424"/>
      <c r="G144" s="424"/>
      <c r="H144" s="424"/>
      <c r="I144" s="422" t="s">
        <v>2300</v>
      </c>
      <c r="J144" s="421" t="str">
        <f t="shared" si="154"/>
        <v>LGOO6K</v>
      </c>
      <c r="K144" s="421" t="str">
        <f t="shared" si="155"/>
        <v>LGOO6KF</v>
      </c>
      <c r="L144" s="447" t="str">
        <f t="shared" si="156"/>
        <v>KF</v>
      </c>
      <c r="M144" s="932">
        <v>3</v>
      </c>
      <c r="N144" s="932">
        <v>3</v>
      </c>
      <c r="O144" s="932">
        <v>3</v>
      </c>
      <c r="P144" s="932">
        <v>3</v>
      </c>
      <c r="Q144" s="940"/>
      <c r="R144" s="940"/>
      <c r="S144" s="940"/>
      <c r="T144" s="940"/>
      <c r="U144" s="940"/>
      <c r="V144" s="940"/>
      <c r="W144" s="940"/>
      <c r="X144" s="948"/>
      <c r="Y144" s="948"/>
      <c r="Z144" s="948"/>
      <c r="AA144" s="948"/>
      <c r="AB144" s="948"/>
      <c r="AC144" s="948"/>
      <c r="AD144" s="616"/>
      <c r="AE144" s="616"/>
      <c r="AF144" s="616"/>
      <c r="AG144" s="616"/>
      <c r="AH144" s="448">
        <f t="shared" si="157"/>
        <v>783828</v>
      </c>
      <c r="AI144" s="449">
        <f t="shared" si="158"/>
        <v>783828</v>
      </c>
      <c r="AJ144" s="450">
        <v>1</v>
      </c>
      <c r="AK144" s="452" t="s">
        <v>895</v>
      </c>
      <c r="AL144" s="447" t="s">
        <v>62</v>
      </c>
      <c r="AM144" s="447" t="s">
        <v>158</v>
      </c>
      <c r="AN144" s="447">
        <v>310100100001000</v>
      </c>
      <c r="AO144" s="305" t="s">
        <v>211</v>
      </c>
      <c r="AP144" s="306" t="s">
        <v>2423</v>
      </c>
      <c r="AQ144" s="306" t="s">
        <v>2439</v>
      </c>
      <c r="AR144" s="305" t="s">
        <v>571</v>
      </c>
      <c r="AS144" s="305" t="s">
        <v>572</v>
      </c>
      <c r="AT144" s="305" t="s">
        <v>1901</v>
      </c>
      <c r="AU144" s="306" t="str">
        <f t="shared" si="159"/>
        <v>L</v>
      </c>
      <c r="AV144" s="306" t="str">
        <f t="shared" si="160"/>
        <v>Franchita L. Gayudan</v>
      </c>
      <c r="AW144" s="306" t="str">
        <f t="shared" si="140"/>
        <v>GAYUDAN, Franchita Lucob</v>
      </c>
      <c r="AX144" s="305" t="s">
        <v>211</v>
      </c>
      <c r="AY144" s="447" t="s">
        <v>100</v>
      </c>
      <c r="AZ144" s="472">
        <v>24004</v>
      </c>
      <c r="BA144" s="101">
        <f t="shared" ca="1" si="161"/>
        <v>60</v>
      </c>
      <c r="BB144" s="492" t="str">
        <f t="shared" ca="1" si="162"/>
        <v>E</v>
      </c>
      <c r="BC144" s="492" t="str">
        <f t="shared" ca="1" si="163"/>
        <v>KE</v>
      </c>
      <c r="BD144" s="492" t="str">
        <f t="shared" ca="1" si="164"/>
        <v>KEF</v>
      </c>
      <c r="BE144" s="492" t="str">
        <f t="shared" ca="1" si="165"/>
        <v>LGOO6KEF</v>
      </c>
      <c r="BF144" s="447" t="s">
        <v>574</v>
      </c>
      <c r="BG144" s="493">
        <v>32021</v>
      </c>
      <c r="BH144" s="493">
        <v>32021</v>
      </c>
      <c r="BI144" s="447">
        <f t="shared" ca="1" si="166"/>
        <v>38</v>
      </c>
      <c r="BJ144" s="447">
        <f t="shared" ca="1" si="167"/>
        <v>38</v>
      </c>
      <c r="BK144" s="493">
        <v>43070</v>
      </c>
      <c r="BL144" s="447">
        <f t="shared" ca="1" si="168"/>
        <v>8</v>
      </c>
      <c r="BM144" s="447" t="s">
        <v>64</v>
      </c>
      <c r="BN144" s="512" t="s">
        <v>102</v>
      </c>
      <c r="BO144" s="423" t="s">
        <v>3412</v>
      </c>
      <c r="BP144" s="513" t="s">
        <v>1207</v>
      </c>
      <c r="BQ144" s="514" t="str">
        <f t="shared" si="169"/>
        <v>2FP</v>
      </c>
    </row>
    <row r="145" spans="1:69" ht="19.95" customHeight="1">
      <c r="A145" s="422" t="s">
        <v>1475</v>
      </c>
      <c r="B145" s="423" t="s">
        <v>157</v>
      </c>
      <c r="C145" s="424">
        <v>22</v>
      </c>
      <c r="D145" s="424"/>
      <c r="E145" s="424"/>
      <c r="F145" s="424"/>
      <c r="G145" s="424"/>
      <c r="H145" s="424"/>
      <c r="I145" s="422" t="s">
        <v>2300</v>
      </c>
      <c r="J145" s="421" t="str">
        <f t="shared" si="154"/>
        <v>LGOO6MP</v>
      </c>
      <c r="K145" s="421" t="str">
        <f t="shared" si="155"/>
        <v>LGOO6MPF</v>
      </c>
      <c r="L145" s="447" t="str">
        <f t="shared" si="156"/>
        <v>MPF</v>
      </c>
      <c r="M145" s="932">
        <v>3</v>
      </c>
      <c r="N145" s="932">
        <v>3</v>
      </c>
      <c r="O145" s="932">
        <v>3</v>
      </c>
      <c r="P145" s="932">
        <v>3</v>
      </c>
      <c r="Q145" s="940"/>
      <c r="R145" s="940"/>
      <c r="S145" s="940"/>
      <c r="T145" s="940"/>
      <c r="U145" s="940"/>
      <c r="V145" s="940"/>
      <c r="W145" s="940"/>
      <c r="X145" s="948"/>
      <c r="Y145" s="948"/>
      <c r="Z145" s="948"/>
      <c r="AA145" s="948"/>
      <c r="AB145" s="948"/>
      <c r="AC145" s="948"/>
      <c r="AD145" s="616"/>
      <c r="AE145" s="616"/>
      <c r="AF145" s="616"/>
      <c r="AG145" s="616"/>
      <c r="AH145" s="448">
        <f t="shared" si="157"/>
        <v>783828</v>
      </c>
      <c r="AI145" s="449">
        <f t="shared" si="158"/>
        <v>783828</v>
      </c>
      <c r="AJ145" s="450">
        <v>1</v>
      </c>
      <c r="AK145" s="452" t="s">
        <v>779</v>
      </c>
      <c r="AL145" s="447" t="s">
        <v>62</v>
      </c>
      <c r="AM145" s="447" t="s">
        <v>158</v>
      </c>
      <c r="AN145" s="447">
        <v>310100100001000</v>
      </c>
      <c r="AO145" s="305" t="s">
        <v>268</v>
      </c>
      <c r="AP145" s="306" t="s">
        <v>2423</v>
      </c>
      <c r="AQ145" s="306" t="s">
        <v>2512</v>
      </c>
      <c r="AR145" s="306" t="s">
        <v>780</v>
      </c>
      <c r="AS145" s="306" t="s">
        <v>781</v>
      </c>
      <c r="AT145" s="306" t="s">
        <v>1992</v>
      </c>
      <c r="AU145" s="306" t="str">
        <f t="shared" si="159"/>
        <v>F</v>
      </c>
      <c r="AV145" s="306" t="str">
        <f t="shared" si="160"/>
        <v>Lourdes Claire F. Peel</v>
      </c>
      <c r="AW145" s="306" t="str">
        <f t="shared" si="140"/>
        <v>PEEL, Lourdes Claire Fanusan</v>
      </c>
      <c r="AX145" s="305" t="s">
        <v>268</v>
      </c>
      <c r="AY145" s="447" t="s">
        <v>100</v>
      </c>
      <c r="AZ145" s="472">
        <v>28328</v>
      </c>
      <c r="BA145" s="101">
        <f t="shared" ca="1" si="161"/>
        <v>48</v>
      </c>
      <c r="BB145" s="492" t="str">
        <f t="shared" ca="1" si="162"/>
        <v>C</v>
      </c>
      <c r="BC145" s="492" t="str">
        <f t="shared" ca="1" si="163"/>
        <v>MPC</v>
      </c>
      <c r="BD145" s="492" t="str">
        <f t="shared" ca="1" si="164"/>
        <v>MPCF</v>
      </c>
      <c r="BE145" s="492" t="str">
        <f t="shared" ca="1" si="165"/>
        <v>LGOO6MPCF</v>
      </c>
      <c r="BF145" s="447" t="s">
        <v>783</v>
      </c>
      <c r="BG145" s="493">
        <v>37378</v>
      </c>
      <c r="BH145" s="493">
        <v>37378</v>
      </c>
      <c r="BI145" s="447">
        <f t="shared" ca="1" si="166"/>
        <v>23</v>
      </c>
      <c r="BJ145" s="447">
        <f t="shared" ca="1" si="167"/>
        <v>23</v>
      </c>
      <c r="BK145" s="493">
        <v>43070</v>
      </c>
      <c r="BL145" s="447">
        <f t="shared" ca="1" si="168"/>
        <v>8</v>
      </c>
      <c r="BM145" s="447" t="s">
        <v>64</v>
      </c>
      <c r="BN145" s="512" t="s">
        <v>102</v>
      </c>
      <c r="BO145" s="423" t="s">
        <v>2756</v>
      </c>
      <c r="BP145" s="513"/>
      <c r="BQ145" s="514" t="str">
        <f t="shared" si="169"/>
        <v>2FP</v>
      </c>
    </row>
    <row r="146" spans="1:69" ht="19.95" customHeight="1">
      <c r="A146" s="422" t="s">
        <v>1477</v>
      </c>
      <c r="B146" s="423" t="s">
        <v>157</v>
      </c>
      <c r="C146" s="424">
        <v>22</v>
      </c>
      <c r="D146" s="424"/>
      <c r="E146" s="424"/>
      <c r="F146" s="424"/>
      <c r="G146" s="424"/>
      <c r="H146" s="424"/>
      <c r="I146" s="422" t="s">
        <v>2300</v>
      </c>
      <c r="J146" s="421" t="str">
        <f t="shared" si="154"/>
        <v>LGOO6MP</v>
      </c>
      <c r="K146" s="421" t="str">
        <f t="shared" si="155"/>
        <v>LGOO6MPM</v>
      </c>
      <c r="L146" s="447" t="str">
        <f t="shared" si="156"/>
        <v>MPM</v>
      </c>
      <c r="M146" s="932">
        <v>3</v>
      </c>
      <c r="N146" s="932">
        <v>3</v>
      </c>
      <c r="O146" s="932">
        <v>3</v>
      </c>
      <c r="P146" s="932">
        <v>3</v>
      </c>
      <c r="Q146" s="940"/>
      <c r="R146" s="940"/>
      <c r="S146" s="940"/>
      <c r="T146" s="940"/>
      <c r="U146" s="940"/>
      <c r="V146" s="940"/>
      <c r="W146" s="940"/>
      <c r="X146" s="948"/>
      <c r="Y146" s="948"/>
      <c r="Z146" s="948"/>
      <c r="AA146" s="948"/>
      <c r="AB146" s="948"/>
      <c r="AC146" s="948"/>
      <c r="AD146" s="616"/>
      <c r="AE146" s="616"/>
      <c r="AF146" s="616"/>
      <c r="AG146" s="616"/>
      <c r="AH146" s="448">
        <f t="shared" si="157"/>
        <v>783828</v>
      </c>
      <c r="AI146" s="449">
        <f t="shared" si="158"/>
        <v>783828</v>
      </c>
      <c r="AJ146" s="450">
        <v>1</v>
      </c>
      <c r="AK146" s="452" t="s">
        <v>785</v>
      </c>
      <c r="AL146" s="447" t="s">
        <v>62</v>
      </c>
      <c r="AM146" s="447" t="s">
        <v>158</v>
      </c>
      <c r="AN146" s="447">
        <v>310100100001000</v>
      </c>
      <c r="AO146" s="305" t="s">
        <v>268</v>
      </c>
      <c r="AP146" s="305" t="s">
        <v>2423</v>
      </c>
      <c r="AQ146" s="305" t="s">
        <v>2513</v>
      </c>
      <c r="AR146" s="305" t="s">
        <v>478</v>
      </c>
      <c r="AS146" s="305" t="s">
        <v>2058</v>
      </c>
      <c r="AT146" s="305" t="s">
        <v>1650</v>
      </c>
      <c r="AU146" s="306" t="str">
        <f t="shared" si="159"/>
        <v>T</v>
      </c>
      <c r="AV146" s="306" t="str">
        <f t="shared" si="160"/>
        <v>Erwin Gerald T. Fegcan</v>
      </c>
      <c r="AW146" s="306" t="str">
        <f t="shared" si="140"/>
        <v>FEGCAN, Erwin Gerald Talusig</v>
      </c>
      <c r="AX146" s="305" t="s">
        <v>268</v>
      </c>
      <c r="AY146" s="447" t="s">
        <v>62</v>
      </c>
      <c r="AZ146" s="472">
        <v>30412</v>
      </c>
      <c r="BA146" s="101">
        <f t="shared" ca="1" si="161"/>
        <v>42</v>
      </c>
      <c r="BB146" s="492" t="str">
        <f t="shared" ca="1" si="162"/>
        <v>C</v>
      </c>
      <c r="BC146" s="492" t="str">
        <f t="shared" ca="1" si="163"/>
        <v>MPC</v>
      </c>
      <c r="BD146" s="492" t="str">
        <f t="shared" ca="1" si="164"/>
        <v>MPCM</v>
      </c>
      <c r="BE146" s="492" t="str">
        <f t="shared" ca="1" si="165"/>
        <v>LGOO6MPCM</v>
      </c>
      <c r="BF146" s="447" t="s">
        <v>2514</v>
      </c>
      <c r="BG146" s="493">
        <v>40575</v>
      </c>
      <c r="BH146" s="494">
        <v>41157</v>
      </c>
      <c r="BI146" s="447">
        <f t="shared" ca="1" si="166"/>
        <v>15</v>
      </c>
      <c r="BJ146" s="447">
        <f t="shared" ca="1" si="167"/>
        <v>13</v>
      </c>
      <c r="BK146" s="493">
        <v>43070</v>
      </c>
      <c r="BL146" s="447">
        <f t="shared" ca="1" si="168"/>
        <v>8</v>
      </c>
      <c r="BM146" s="447" t="s">
        <v>64</v>
      </c>
      <c r="BN146" s="512" t="s">
        <v>1077</v>
      </c>
      <c r="BO146" s="423" t="s">
        <v>2254</v>
      </c>
      <c r="BP146" s="513"/>
      <c r="BQ146" s="514" t="str">
        <f t="shared" si="169"/>
        <v>2MP</v>
      </c>
    </row>
    <row r="147" spans="1:69" ht="19.95" customHeight="1">
      <c r="A147" s="422" t="s">
        <v>1478</v>
      </c>
      <c r="B147" s="423" t="s">
        <v>157</v>
      </c>
      <c r="C147" s="424">
        <v>22</v>
      </c>
      <c r="D147" s="424"/>
      <c r="E147" s="424"/>
      <c r="F147" s="424"/>
      <c r="G147" s="424"/>
      <c r="H147" s="424"/>
      <c r="I147" s="422" t="s">
        <v>2300</v>
      </c>
      <c r="J147" s="421" t="str">
        <f t="shared" si="154"/>
        <v>LGOO6MP</v>
      </c>
      <c r="K147" s="421" t="str">
        <f t="shared" si="155"/>
        <v>LGOO6MPM</v>
      </c>
      <c r="L147" s="447" t="str">
        <f t="shared" si="156"/>
        <v>MPM</v>
      </c>
      <c r="M147" s="932">
        <v>3</v>
      </c>
      <c r="N147" s="932">
        <v>3</v>
      </c>
      <c r="O147" s="932">
        <v>3</v>
      </c>
      <c r="P147" s="932">
        <v>3</v>
      </c>
      <c r="Q147" s="940"/>
      <c r="R147" s="940"/>
      <c r="S147" s="940"/>
      <c r="T147" s="940"/>
      <c r="U147" s="940"/>
      <c r="V147" s="940"/>
      <c r="W147" s="940"/>
      <c r="X147" s="948"/>
      <c r="Y147" s="948"/>
      <c r="Z147" s="948"/>
      <c r="AA147" s="948"/>
      <c r="AB147" s="948"/>
      <c r="AC147" s="948"/>
      <c r="AD147" s="616"/>
      <c r="AE147" s="616"/>
      <c r="AF147" s="616"/>
      <c r="AG147" s="616"/>
      <c r="AH147" s="448">
        <f t="shared" si="157"/>
        <v>783828</v>
      </c>
      <c r="AI147" s="449">
        <f t="shared" si="158"/>
        <v>783828</v>
      </c>
      <c r="AJ147" s="450">
        <v>1</v>
      </c>
      <c r="AK147" s="452" t="s">
        <v>791</v>
      </c>
      <c r="AL147" s="447" t="s">
        <v>62</v>
      </c>
      <c r="AM147" s="447" t="s">
        <v>158</v>
      </c>
      <c r="AN147" s="447">
        <v>310100100001000</v>
      </c>
      <c r="AO147" s="305" t="s">
        <v>268</v>
      </c>
      <c r="AP147" s="306" t="s">
        <v>2404</v>
      </c>
      <c r="AQ147" s="306" t="s">
        <v>268</v>
      </c>
      <c r="AR147" s="306" t="s">
        <v>69</v>
      </c>
      <c r="AS147" s="306" t="s">
        <v>2515</v>
      </c>
      <c r="AT147" s="306" t="s">
        <v>2516</v>
      </c>
      <c r="AU147" s="306" t="str">
        <f t="shared" si="159"/>
        <v>P</v>
      </c>
      <c r="AV147" s="306" t="str">
        <f t="shared" si="160"/>
        <v>Robert Jr.  P. Mangangey</v>
      </c>
      <c r="AW147" s="306" t="str">
        <f t="shared" si="140"/>
        <v>MANGANGEY, Robert Jr.  Palog</v>
      </c>
      <c r="AX147" s="305" t="s">
        <v>268</v>
      </c>
      <c r="AY147" s="447" t="s">
        <v>62</v>
      </c>
      <c r="AZ147" s="472">
        <v>28376</v>
      </c>
      <c r="BA147" s="101">
        <f t="shared" ca="1" si="161"/>
        <v>48</v>
      </c>
      <c r="BB147" s="492" t="str">
        <f t="shared" ca="1" si="162"/>
        <v>C</v>
      </c>
      <c r="BC147" s="492" t="str">
        <f t="shared" ca="1" si="163"/>
        <v>MPC</v>
      </c>
      <c r="BD147" s="492" t="str">
        <f t="shared" ca="1" si="164"/>
        <v>MPCM</v>
      </c>
      <c r="BE147" s="492" t="str">
        <f t="shared" ca="1" si="165"/>
        <v>LGOO6MPCM</v>
      </c>
      <c r="BF147" s="447" t="s">
        <v>1076</v>
      </c>
      <c r="BG147" s="493">
        <v>37778</v>
      </c>
      <c r="BH147" s="494">
        <v>37778</v>
      </c>
      <c r="BI147" s="447">
        <f t="shared" ca="1" si="166"/>
        <v>22</v>
      </c>
      <c r="BJ147" s="447">
        <f t="shared" ca="1" si="167"/>
        <v>22</v>
      </c>
      <c r="BK147" s="493">
        <v>43168</v>
      </c>
      <c r="BL147" s="447">
        <f t="shared" ca="1" si="168"/>
        <v>8</v>
      </c>
      <c r="BM147" s="447" t="s">
        <v>64</v>
      </c>
      <c r="BN147" s="512" t="s">
        <v>1077</v>
      </c>
      <c r="BO147" s="423" t="s">
        <v>2752</v>
      </c>
      <c r="BP147" s="513" t="s">
        <v>1207</v>
      </c>
      <c r="BQ147" s="514" t="str">
        <f t="shared" si="169"/>
        <v>2MP</v>
      </c>
    </row>
    <row r="148" spans="1:69" ht="19.95" customHeight="1">
      <c r="A148" s="422" t="s">
        <v>1479</v>
      </c>
      <c r="B148" s="423" t="s">
        <v>157</v>
      </c>
      <c r="C148" s="424">
        <v>22</v>
      </c>
      <c r="D148" s="424"/>
      <c r="E148" s="424"/>
      <c r="F148" s="424"/>
      <c r="G148" s="424"/>
      <c r="H148" s="424"/>
      <c r="I148" s="422" t="s">
        <v>2300</v>
      </c>
      <c r="J148" s="421" t="str">
        <f t="shared" si="154"/>
        <v>LGOO6MP</v>
      </c>
      <c r="K148" s="421" t="str">
        <f t="shared" si="155"/>
        <v>LGOO6MPF</v>
      </c>
      <c r="L148" s="447" t="str">
        <f t="shared" si="156"/>
        <v>MPF</v>
      </c>
      <c r="M148" s="932">
        <v>3</v>
      </c>
      <c r="N148" s="932">
        <v>3</v>
      </c>
      <c r="O148" s="932">
        <v>3</v>
      </c>
      <c r="P148" s="932">
        <v>3</v>
      </c>
      <c r="Q148" s="940"/>
      <c r="R148" s="940"/>
      <c r="S148" s="940"/>
      <c r="T148" s="940"/>
      <c r="U148" s="940"/>
      <c r="V148" s="940"/>
      <c r="W148" s="940"/>
      <c r="X148" s="948"/>
      <c r="Y148" s="948"/>
      <c r="Z148" s="948"/>
      <c r="AA148" s="948"/>
      <c r="AB148" s="948"/>
      <c r="AC148" s="948"/>
      <c r="AD148" s="616"/>
      <c r="AE148" s="616"/>
      <c r="AF148" s="616"/>
      <c r="AG148" s="616"/>
      <c r="AH148" s="448">
        <f t="shared" si="157"/>
        <v>783828</v>
      </c>
      <c r="AI148" s="449">
        <f t="shared" si="158"/>
        <v>783828</v>
      </c>
      <c r="AJ148" s="450">
        <v>1</v>
      </c>
      <c r="AK148" s="452" t="s">
        <v>804</v>
      </c>
      <c r="AL148" s="447" t="s">
        <v>62</v>
      </c>
      <c r="AM148" s="447" t="s">
        <v>158</v>
      </c>
      <c r="AN148" s="447">
        <v>310100100001000</v>
      </c>
      <c r="AO148" s="305" t="s">
        <v>268</v>
      </c>
      <c r="AP148" s="306" t="s">
        <v>2423</v>
      </c>
      <c r="AQ148" s="306" t="s">
        <v>2517</v>
      </c>
      <c r="AR148" s="305" t="s">
        <v>1112</v>
      </c>
      <c r="AS148" s="305" t="s">
        <v>2518</v>
      </c>
      <c r="AT148" s="305" t="s">
        <v>2001</v>
      </c>
      <c r="AU148" s="306" t="str">
        <f t="shared" si="159"/>
        <v>F</v>
      </c>
      <c r="AV148" s="306" t="str">
        <f t="shared" si="160"/>
        <v>Jill  F. Fa-Ed</v>
      </c>
      <c r="AW148" s="306" t="str">
        <f t="shared" si="140"/>
        <v>FA-ED, Jill  Fanged</v>
      </c>
      <c r="AX148" s="305" t="s">
        <v>268</v>
      </c>
      <c r="AY148" s="447" t="s">
        <v>100</v>
      </c>
      <c r="AZ148" s="472">
        <v>26950</v>
      </c>
      <c r="BA148" s="101">
        <f t="shared" ca="1" si="161"/>
        <v>52</v>
      </c>
      <c r="BB148" s="492" t="str">
        <f t="shared" ca="1" si="162"/>
        <v>D</v>
      </c>
      <c r="BC148" s="492" t="str">
        <f t="shared" ca="1" si="163"/>
        <v>MPD</v>
      </c>
      <c r="BD148" s="492" t="str">
        <f t="shared" ca="1" si="164"/>
        <v>MPDF</v>
      </c>
      <c r="BE148" s="492" t="str">
        <f t="shared" ca="1" si="165"/>
        <v>LGOO6MPDF</v>
      </c>
      <c r="BF148" s="447" t="s">
        <v>1115</v>
      </c>
      <c r="BG148" s="493">
        <v>37739</v>
      </c>
      <c r="BH148" s="493">
        <v>37739</v>
      </c>
      <c r="BI148" s="447">
        <f t="shared" ca="1" si="166"/>
        <v>22</v>
      </c>
      <c r="BJ148" s="447">
        <f t="shared" ca="1" si="167"/>
        <v>22</v>
      </c>
      <c r="BK148" s="493">
        <v>43070</v>
      </c>
      <c r="BL148" s="447">
        <f t="shared" ca="1" si="168"/>
        <v>8</v>
      </c>
      <c r="BM148" s="447" t="s">
        <v>64</v>
      </c>
      <c r="BN148" s="512" t="s">
        <v>84</v>
      </c>
      <c r="BO148" s="423" t="s">
        <v>2254</v>
      </c>
      <c r="BP148" s="513"/>
      <c r="BQ148" s="514" t="str">
        <f t="shared" si="169"/>
        <v>2FP</v>
      </c>
    </row>
    <row r="149" spans="1:69" ht="19.95" customHeight="1">
      <c r="A149" s="422" t="s">
        <v>1480</v>
      </c>
      <c r="B149" s="423" t="s">
        <v>157</v>
      </c>
      <c r="C149" s="424">
        <v>22</v>
      </c>
      <c r="D149" s="424"/>
      <c r="E149" s="424"/>
      <c r="F149" s="424"/>
      <c r="G149" s="424"/>
      <c r="H149" s="424"/>
      <c r="I149" s="422" t="s">
        <v>2300</v>
      </c>
      <c r="J149" s="421" t="str">
        <f t="shared" si="154"/>
        <v>LGOO6MP</v>
      </c>
      <c r="K149" s="421" t="str">
        <f t="shared" si="155"/>
        <v>LGOO6MPM</v>
      </c>
      <c r="L149" s="447" t="str">
        <f t="shared" si="156"/>
        <v>MPM</v>
      </c>
      <c r="M149" s="932">
        <v>3</v>
      </c>
      <c r="N149" s="932">
        <v>3</v>
      </c>
      <c r="O149" s="932">
        <v>3</v>
      </c>
      <c r="P149" s="932">
        <v>3</v>
      </c>
      <c r="Q149" s="940"/>
      <c r="R149" s="940"/>
      <c r="S149" s="940"/>
      <c r="T149" s="940"/>
      <c r="U149" s="940"/>
      <c r="V149" s="940"/>
      <c r="W149" s="940"/>
      <c r="X149" s="948"/>
      <c r="Y149" s="948"/>
      <c r="Z149" s="948"/>
      <c r="AA149" s="948"/>
      <c r="AB149" s="948"/>
      <c r="AC149" s="948"/>
      <c r="AD149" s="616"/>
      <c r="AE149" s="616"/>
      <c r="AF149" s="616"/>
      <c r="AG149" s="616"/>
      <c r="AH149" s="448">
        <f t="shared" si="157"/>
        <v>783828</v>
      </c>
      <c r="AI149" s="449">
        <f t="shared" si="158"/>
        <v>783828</v>
      </c>
      <c r="AJ149" s="450">
        <v>1</v>
      </c>
      <c r="AK149" s="452" t="s">
        <v>810</v>
      </c>
      <c r="AL149" s="447" t="s">
        <v>62</v>
      </c>
      <c r="AM149" s="447" t="s">
        <v>158</v>
      </c>
      <c r="AN149" s="447">
        <v>310100100001000</v>
      </c>
      <c r="AO149" s="305" t="s">
        <v>268</v>
      </c>
      <c r="AP149" s="306" t="s">
        <v>2423</v>
      </c>
      <c r="AQ149" s="306" t="s">
        <v>2519</v>
      </c>
      <c r="AR149" s="305" t="s">
        <v>269</v>
      </c>
      <c r="AS149" s="305" t="s">
        <v>270</v>
      </c>
      <c r="AT149" s="305" t="s">
        <v>2008</v>
      </c>
      <c r="AU149" s="306" t="str">
        <f t="shared" si="159"/>
        <v>P</v>
      </c>
      <c r="AV149" s="306" t="str">
        <f t="shared" si="160"/>
        <v>Raymundo Jacinto P. Basco</v>
      </c>
      <c r="AW149" s="306" t="str">
        <f t="shared" si="140"/>
        <v>BASCO, Raymundo Jacinto Pandoyos</v>
      </c>
      <c r="AX149" s="305" t="s">
        <v>268</v>
      </c>
      <c r="AY149" s="447" t="s">
        <v>62</v>
      </c>
      <c r="AZ149" s="472">
        <v>28517</v>
      </c>
      <c r="BA149" s="101">
        <f t="shared" ca="1" si="161"/>
        <v>48</v>
      </c>
      <c r="BB149" s="492" t="str">
        <f t="shared" ca="1" si="162"/>
        <v>C</v>
      </c>
      <c r="BC149" s="492" t="str">
        <f t="shared" ca="1" si="163"/>
        <v>MPC</v>
      </c>
      <c r="BD149" s="492" t="str">
        <f t="shared" ca="1" si="164"/>
        <v>MPCM</v>
      </c>
      <c r="BE149" s="492" t="str">
        <f t="shared" ca="1" si="165"/>
        <v>LGOO6MPCM</v>
      </c>
      <c r="BF149" s="447" t="s">
        <v>272</v>
      </c>
      <c r="BG149" s="493">
        <v>38231</v>
      </c>
      <c r="BH149" s="493">
        <v>38231</v>
      </c>
      <c r="BI149" s="447">
        <f t="shared" ca="1" si="166"/>
        <v>21</v>
      </c>
      <c r="BJ149" s="447">
        <f t="shared" ca="1" si="167"/>
        <v>21</v>
      </c>
      <c r="BK149" s="493">
        <v>43087</v>
      </c>
      <c r="BL149" s="447">
        <f t="shared" ca="1" si="168"/>
        <v>8</v>
      </c>
      <c r="BM149" s="447" t="s">
        <v>64</v>
      </c>
      <c r="BN149" s="512" t="s">
        <v>102</v>
      </c>
      <c r="BO149" s="423" t="s">
        <v>2254</v>
      </c>
      <c r="BP149" s="513"/>
      <c r="BQ149" s="514" t="str">
        <f t="shared" si="169"/>
        <v>2MP</v>
      </c>
    </row>
    <row r="150" spans="1:69" ht="19.95" customHeight="1">
      <c r="A150" s="422" t="s">
        <v>1481</v>
      </c>
      <c r="B150" s="423" t="s">
        <v>157</v>
      </c>
      <c r="C150" s="424">
        <v>22</v>
      </c>
      <c r="D150" s="424"/>
      <c r="E150" s="424"/>
      <c r="F150" s="424"/>
      <c r="G150" s="424"/>
      <c r="H150" s="424"/>
      <c r="I150" s="422" t="s">
        <v>2300</v>
      </c>
      <c r="J150" s="421" t="str">
        <f t="shared" si="154"/>
        <v>LGOO6MP</v>
      </c>
      <c r="K150" s="421" t="str">
        <f t="shared" si="155"/>
        <v>LGOO6MPF</v>
      </c>
      <c r="L150" s="447" t="str">
        <f t="shared" si="156"/>
        <v>MPF</v>
      </c>
      <c r="M150" s="932">
        <v>3</v>
      </c>
      <c r="N150" s="932">
        <v>3</v>
      </c>
      <c r="O150" s="932">
        <v>3</v>
      </c>
      <c r="P150" s="932">
        <v>3</v>
      </c>
      <c r="Q150" s="940"/>
      <c r="R150" s="940"/>
      <c r="S150" s="940"/>
      <c r="T150" s="940"/>
      <c r="U150" s="940"/>
      <c r="V150" s="940"/>
      <c r="W150" s="940"/>
      <c r="X150" s="948"/>
      <c r="Y150" s="948"/>
      <c r="Z150" s="948"/>
      <c r="AA150" s="948"/>
      <c r="AB150" s="948"/>
      <c r="AC150" s="948"/>
      <c r="AD150" s="616"/>
      <c r="AE150" s="616"/>
      <c r="AF150" s="616"/>
      <c r="AG150" s="616"/>
      <c r="AH150" s="448">
        <f t="shared" si="157"/>
        <v>783828</v>
      </c>
      <c r="AI150" s="449">
        <f t="shared" si="158"/>
        <v>783828</v>
      </c>
      <c r="AJ150" s="450">
        <v>1</v>
      </c>
      <c r="AK150" s="452" t="s">
        <v>817</v>
      </c>
      <c r="AL150" s="447" t="s">
        <v>62</v>
      </c>
      <c r="AM150" s="447" t="s">
        <v>158</v>
      </c>
      <c r="AN150" s="447">
        <v>310100100001000</v>
      </c>
      <c r="AO150" s="305" t="s">
        <v>268</v>
      </c>
      <c r="AP150" s="306" t="s">
        <v>2423</v>
      </c>
      <c r="AQ150" s="306" t="s">
        <v>2520</v>
      </c>
      <c r="AR150" s="306" t="s">
        <v>818</v>
      </c>
      <c r="AS150" s="306" t="s">
        <v>819</v>
      </c>
      <c r="AT150" s="306" t="s">
        <v>1900</v>
      </c>
      <c r="AU150" s="306" t="str">
        <f t="shared" si="159"/>
        <v>C</v>
      </c>
      <c r="AV150" s="306" t="str">
        <f t="shared" si="160"/>
        <v>Judy C. Piluden</v>
      </c>
      <c r="AW150" s="306" t="str">
        <f t="shared" si="140"/>
        <v>PILUDEN, Judy Colabot</v>
      </c>
      <c r="AX150" s="305" t="s">
        <v>268</v>
      </c>
      <c r="AY150" s="447" t="s">
        <v>100</v>
      </c>
      <c r="AZ150" s="472">
        <v>22947</v>
      </c>
      <c r="BA150" s="101">
        <f t="shared" ca="1" si="161"/>
        <v>63</v>
      </c>
      <c r="BB150" s="492" t="str">
        <f t="shared" ca="1" si="162"/>
        <v>E</v>
      </c>
      <c r="BC150" s="492" t="str">
        <f t="shared" ca="1" si="163"/>
        <v>MPE</v>
      </c>
      <c r="BD150" s="492" t="str">
        <f t="shared" ca="1" si="164"/>
        <v>MPEF</v>
      </c>
      <c r="BE150" s="492" t="str">
        <f t="shared" ca="1" si="165"/>
        <v>LGOO6MPEF</v>
      </c>
      <c r="BF150" s="447" t="s">
        <v>821</v>
      </c>
      <c r="BG150" s="493">
        <v>32687</v>
      </c>
      <c r="BH150" s="493">
        <v>32687</v>
      </c>
      <c r="BI150" s="447">
        <f t="shared" ca="1" si="166"/>
        <v>36</v>
      </c>
      <c r="BJ150" s="447">
        <f t="shared" ca="1" si="167"/>
        <v>36</v>
      </c>
      <c r="BK150" s="493">
        <v>43070</v>
      </c>
      <c r="BL150" s="447">
        <f t="shared" ca="1" si="168"/>
        <v>8</v>
      </c>
      <c r="BM150" s="447" t="s">
        <v>64</v>
      </c>
      <c r="BN150" s="512" t="s">
        <v>102</v>
      </c>
      <c r="BO150" s="423" t="s">
        <v>3410</v>
      </c>
      <c r="BP150" s="513"/>
      <c r="BQ150" s="514" t="str">
        <f t="shared" si="169"/>
        <v>2FP</v>
      </c>
    </row>
    <row r="151" spans="1:69" ht="19.95" customHeight="1">
      <c r="A151" s="422" t="s">
        <v>1482</v>
      </c>
      <c r="B151" s="423" t="s">
        <v>157</v>
      </c>
      <c r="C151" s="424">
        <v>22</v>
      </c>
      <c r="D151" s="424"/>
      <c r="E151" s="424"/>
      <c r="F151" s="424"/>
      <c r="G151" s="424"/>
      <c r="H151" s="424"/>
      <c r="I151" s="422" t="s">
        <v>2300</v>
      </c>
      <c r="J151" s="421" t="str">
        <f t="shared" si="154"/>
        <v>LGOO6MP</v>
      </c>
      <c r="K151" s="421" t="str">
        <f t="shared" si="155"/>
        <v>LGOO6MPM</v>
      </c>
      <c r="L151" s="447" t="str">
        <f t="shared" si="156"/>
        <v>MPM</v>
      </c>
      <c r="M151" s="932">
        <v>3</v>
      </c>
      <c r="N151" s="932">
        <v>3</v>
      </c>
      <c r="O151" s="932">
        <v>3</v>
      </c>
      <c r="P151" s="932">
        <v>3</v>
      </c>
      <c r="Q151" s="940"/>
      <c r="R151" s="940"/>
      <c r="S151" s="940"/>
      <c r="T151" s="940"/>
      <c r="U151" s="940"/>
      <c r="V151" s="940"/>
      <c r="W151" s="940"/>
      <c r="X151" s="948"/>
      <c r="Y151" s="948"/>
      <c r="Z151" s="948"/>
      <c r="AA151" s="948"/>
      <c r="AB151" s="948"/>
      <c r="AC151" s="948"/>
      <c r="AD151" s="616"/>
      <c r="AE151" s="616"/>
      <c r="AF151" s="616"/>
      <c r="AG151" s="616"/>
      <c r="AH151" s="448">
        <f t="shared" si="157"/>
        <v>783828</v>
      </c>
      <c r="AI151" s="449">
        <f t="shared" si="158"/>
        <v>783828</v>
      </c>
      <c r="AJ151" s="450">
        <v>1</v>
      </c>
      <c r="AK151" s="452" t="s">
        <v>828</v>
      </c>
      <c r="AL151" s="447" t="s">
        <v>62</v>
      </c>
      <c r="AM151" s="447" t="s">
        <v>158</v>
      </c>
      <c r="AN151" s="447">
        <v>310100100001000</v>
      </c>
      <c r="AO151" s="305" t="s">
        <v>268</v>
      </c>
      <c r="AP151" s="306" t="s">
        <v>2423</v>
      </c>
      <c r="AQ151" s="306" t="s">
        <v>2521</v>
      </c>
      <c r="AR151" s="306" t="s">
        <v>2037</v>
      </c>
      <c r="AS151" s="306" t="s">
        <v>2522</v>
      </c>
      <c r="AT151" s="306" t="s">
        <v>2038</v>
      </c>
      <c r="AU151" s="306" t="str">
        <f t="shared" si="159"/>
        <v>M</v>
      </c>
      <c r="AV151" s="306" t="str">
        <f t="shared" si="160"/>
        <v>Johnny Jr.  M. Maymaya</v>
      </c>
      <c r="AW151" s="306" t="str">
        <f t="shared" si="140"/>
        <v>MAYMAYA, Johnny Jr.  Mukay</v>
      </c>
      <c r="AX151" s="305" t="s">
        <v>268</v>
      </c>
      <c r="AY151" s="447" t="s">
        <v>62</v>
      </c>
      <c r="AZ151" s="472">
        <v>28821</v>
      </c>
      <c r="BA151" s="101">
        <f t="shared" ca="1" si="161"/>
        <v>47</v>
      </c>
      <c r="BB151" s="492" t="str">
        <f t="shared" ca="1" si="162"/>
        <v>C</v>
      </c>
      <c r="BC151" s="492" t="str">
        <f t="shared" ca="1" si="163"/>
        <v>MPC</v>
      </c>
      <c r="BD151" s="492" t="str">
        <f t="shared" ca="1" si="164"/>
        <v>MPCM</v>
      </c>
      <c r="BE151" s="492" t="str">
        <f t="shared" ca="1" si="165"/>
        <v>LGOO6MPCM</v>
      </c>
      <c r="BF151" s="447" t="s">
        <v>2460</v>
      </c>
      <c r="BG151" s="493">
        <v>40932</v>
      </c>
      <c r="BH151" s="494">
        <v>40932</v>
      </c>
      <c r="BI151" s="447">
        <f t="shared" ca="1" si="166"/>
        <v>14</v>
      </c>
      <c r="BJ151" s="447">
        <f t="shared" ca="1" si="167"/>
        <v>14</v>
      </c>
      <c r="BK151" s="493">
        <v>43089</v>
      </c>
      <c r="BL151" s="447">
        <f t="shared" ca="1" si="168"/>
        <v>8</v>
      </c>
      <c r="BM151" s="447" t="s">
        <v>64</v>
      </c>
      <c r="BN151" s="512" t="s">
        <v>102</v>
      </c>
      <c r="BO151" s="423" t="s">
        <v>3407</v>
      </c>
      <c r="BP151" s="513" t="s">
        <v>1207</v>
      </c>
      <c r="BQ151" s="514" t="str">
        <f t="shared" si="169"/>
        <v>2MP</v>
      </c>
    </row>
    <row r="152" spans="1:69" ht="19.95" customHeight="1">
      <c r="A152" s="422" t="s">
        <v>1483</v>
      </c>
      <c r="B152" s="423" t="s">
        <v>157</v>
      </c>
      <c r="C152" s="424">
        <v>22</v>
      </c>
      <c r="D152" s="424"/>
      <c r="E152" s="424"/>
      <c r="F152" s="424"/>
      <c r="G152" s="424"/>
      <c r="H152" s="424"/>
      <c r="I152" s="422" t="s">
        <v>2300</v>
      </c>
      <c r="J152" s="421" t="str">
        <f t="shared" si="154"/>
        <v>LGOO6MP</v>
      </c>
      <c r="K152" s="421" t="str">
        <f t="shared" si="155"/>
        <v>LGOO6MPF</v>
      </c>
      <c r="L152" s="447" t="str">
        <f t="shared" si="156"/>
        <v>MPF</v>
      </c>
      <c r="M152" s="932">
        <v>3</v>
      </c>
      <c r="N152" s="932">
        <v>3</v>
      </c>
      <c r="O152" s="932">
        <v>3</v>
      </c>
      <c r="P152" s="932">
        <v>3</v>
      </c>
      <c r="Q152" s="940"/>
      <c r="R152" s="940"/>
      <c r="S152" s="940"/>
      <c r="T152" s="940"/>
      <c r="U152" s="940"/>
      <c r="V152" s="940"/>
      <c r="W152" s="940"/>
      <c r="X152" s="948"/>
      <c r="Y152" s="948"/>
      <c r="Z152" s="948"/>
      <c r="AA152" s="948"/>
      <c r="AB152" s="948"/>
      <c r="AC152" s="948"/>
      <c r="AD152" s="616"/>
      <c r="AE152" s="616"/>
      <c r="AF152" s="616"/>
      <c r="AG152" s="616"/>
      <c r="AH152" s="448">
        <f t="shared" si="157"/>
        <v>783828</v>
      </c>
      <c r="AI152" s="449">
        <f t="shared" si="158"/>
        <v>783828</v>
      </c>
      <c r="AJ152" s="450">
        <v>1</v>
      </c>
      <c r="AK152" s="452" t="s">
        <v>1012</v>
      </c>
      <c r="AL152" s="447" t="s">
        <v>62</v>
      </c>
      <c r="AM152" s="447" t="s">
        <v>158</v>
      </c>
      <c r="AN152" s="447">
        <v>310100100001000</v>
      </c>
      <c r="AO152" s="305" t="s">
        <v>268</v>
      </c>
      <c r="AP152" s="306" t="s">
        <v>2423</v>
      </c>
      <c r="AQ152" s="306" t="s">
        <v>2523</v>
      </c>
      <c r="AR152" s="306" t="s">
        <v>1224</v>
      </c>
      <c r="AS152" s="306" t="s">
        <v>1225</v>
      </c>
      <c r="AT152" s="306" t="s">
        <v>1984</v>
      </c>
      <c r="AU152" s="306" t="str">
        <f t="shared" si="159"/>
        <v>A</v>
      </c>
      <c r="AV152" s="306" t="str">
        <f t="shared" si="160"/>
        <v>Maria A. Guiawan</v>
      </c>
      <c r="AW152" s="306" t="str">
        <f t="shared" si="140"/>
        <v>GUIAWAN, Maria Addalay</v>
      </c>
      <c r="AX152" s="305" t="s">
        <v>268</v>
      </c>
      <c r="AY152" s="447" t="s">
        <v>100</v>
      </c>
      <c r="AZ152" s="472">
        <v>26580</v>
      </c>
      <c r="BA152" s="101">
        <f t="shared" ca="1" si="161"/>
        <v>53</v>
      </c>
      <c r="BB152" s="492" t="str">
        <f t="shared" ca="1" si="162"/>
        <v>D</v>
      </c>
      <c r="BC152" s="492" t="str">
        <f t="shared" ca="1" si="163"/>
        <v>MPD</v>
      </c>
      <c r="BD152" s="492" t="str">
        <f t="shared" ca="1" si="164"/>
        <v>MPDF</v>
      </c>
      <c r="BE152" s="492" t="str">
        <f t="shared" ca="1" si="165"/>
        <v>LGOO6MPDF</v>
      </c>
      <c r="BF152" s="447" t="s">
        <v>1227</v>
      </c>
      <c r="BG152" s="493">
        <v>36353</v>
      </c>
      <c r="BH152" s="494">
        <v>36404</v>
      </c>
      <c r="BI152" s="447">
        <f t="shared" ca="1" si="166"/>
        <v>26</v>
      </c>
      <c r="BJ152" s="447">
        <f t="shared" ca="1" si="167"/>
        <v>26</v>
      </c>
      <c r="BK152" s="493">
        <v>43070</v>
      </c>
      <c r="BL152" s="447">
        <f t="shared" ca="1" si="168"/>
        <v>8</v>
      </c>
      <c r="BM152" s="447" t="s">
        <v>64</v>
      </c>
      <c r="BN152" s="512" t="s">
        <v>1077</v>
      </c>
      <c r="BO152" s="423" t="s">
        <v>2254</v>
      </c>
      <c r="BP152" s="513" t="s">
        <v>1207</v>
      </c>
      <c r="BQ152" s="514" t="str">
        <f t="shared" si="169"/>
        <v>2FP</v>
      </c>
    </row>
    <row r="153" spans="1:69" ht="19.95" customHeight="1">
      <c r="A153" s="422" t="s">
        <v>1484</v>
      </c>
      <c r="B153" s="423" t="s">
        <v>157</v>
      </c>
      <c r="C153" s="424">
        <v>22</v>
      </c>
      <c r="D153" s="424"/>
      <c r="E153" s="424"/>
      <c r="F153" s="424"/>
      <c r="G153" s="424"/>
      <c r="H153" s="424"/>
      <c r="I153" s="422" t="s">
        <v>2300</v>
      </c>
      <c r="J153" s="421" t="str">
        <f t="shared" si="154"/>
        <v>LGOO6MP</v>
      </c>
      <c r="K153" s="421" t="str">
        <f t="shared" si="155"/>
        <v>LGOO6MPF</v>
      </c>
      <c r="L153" s="447" t="str">
        <f t="shared" si="156"/>
        <v>MPF</v>
      </c>
      <c r="M153" s="932">
        <v>3</v>
      </c>
      <c r="N153" s="932">
        <v>3</v>
      </c>
      <c r="O153" s="932">
        <v>3</v>
      </c>
      <c r="P153" s="932">
        <v>3</v>
      </c>
      <c r="Q153" s="940"/>
      <c r="R153" s="940"/>
      <c r="S153" s="940"/>
      <c r="T153" s="940"/>
      <c r="U153" s="940"/>
      <c r="V153" s="940"/>
      <c r="W153" s="940"/>
      <c r="X153" s="948"/>
      <c r="Y153" s="948"/>
      <c r="Z153" s="948"/>
      <c r="AA153" s="948"/>
      <c r="AB153" s="948"/>
      <c r="AC153" s="948"/>
      <c r="AD153" s="616"/>
      <c r="AE153" s="616"/>
      <c r="AF153" s="616"/>
      <c r="AG153" s="616"/>
      <c r="AH153" s="448">
        <f t="shared" si="157"/>
        <v>783828</v>
      </c>
      <c r="AI153" s="449">
        <f t="shared" si="158"/>
        <v>783828</v>
      </c>
      <c r="AJ153" s="450">
        <v>1</v>
      </c>
      <c r="AK153" s="452" t="s">
        <v>576</v>
      </c>
      <c r="AL153" s="447" t="s">
        <v>62</v>
      </c>
      <c r="AM153" s="447" t="s">
        <v>158</v>
      </c>
      <c r="AN153" s="447">
        <v>310100100001000</v>
      </c>
      <c r="AO153" s="305" t="s">
        <v>268</v>
      </c>
      <c r="AP153" s="306" t="s">
        <v>2423</v>
      </c>
      <c r="AQ153" s="306" t="s">
        <v>2524</v>
      </c>
      <c r="AR153" s="305" t="s">
        <v>1022</v>
      </c>
      <c r="AS153" s="305" t="s">
        <v>2525</v>
      </c>
      <c r="AT153" s="305" t="s">
        <v>1959</v>
      </c>
      <c r="AU153" s="306" t="str">
        <f t="shared" si="159"/>
        <v>B</v>
      </c>
      <c r="AV153" s="306" t="str">
        <f t="shared" si="160"/>
        <v>Caridad  B. Basilio</v>
      </c>
      <c r="AW153" s="306" t="str">
        <f t="shared" si="140"/>
        <v>BASILIO, Caridad  Ballang</v>
      </c>
      <c r="AX153" s="305" t="s">
        <v>268</v>
      </c>
      <c r="AY153" s="447" t="s">
        <v>100</v>
      </c>
      <c r="AZ153" s="472">
        <v>25986</v>
      </c>
      <c r="BA153" s="101">
        <f t="shared" ca="1" si="161"/>
        <v>55</v>
      </c>
      <c r="BB153" s="492" t="str">
        <f t="shared" ca="1" si="162"/>
        <v>D</v>
      </c>
      <c r="BC153" s="492" t="str">
        <f t="shared" ca="1" si="163"/>
        <v>MPD</v>
      </c>
      <c r="BD153" s="492" t="str">
        <f t="shared" ca="1" si="164"/>
        <v>MPDF</v>
      </c>
      <c r="BE153" s="492" t="str">
        <f t="shared" ca="1" si="165"/>
        <v>LGOO6MPDF</v>
      </c>
      <c r="BF153" s="447" t="s">
        <v>1025</v>
      </c>
      <c r="BG153" s="493">
        <v>35471</v>
      </c>
      <c r="BH153" s="493">
        <v>35471</v>
      </c>
      <c r="BI153" s="447">
        <f t="shared" ca="1" si="166"/>
        <v>29</v>
      </c>
      <c r="BJ153" s="447">
        <f t="shared" ca="1" si="167"/>
        <v>29</v>
      </c>
      <c r="BK153" s="493">
        <v>43070</v>
      </c>
      <c r="BL153" s="447">
        <f t="shared" ca="1" si="168"/>
        <v>8</v>
      </c>
      <c r="BM153" s="447" t="s">
        <v>64</v>
      </c>
      <c r="BN153" s="512" t="s">
        <v>102</v>
      </c>
      <c r="BO153" s="423" t="s">
        <v>2254</v>
      </c>
      <c r="BP153" s="513"/>
      <c r="BQ153" s="514" t="str">
        <f t="shared" si="169"/>
        <v>2FP</v>
      </c>
    </row>
    <row r="154" spans="1:69" ht="19.95" customHeight="1">
      <c r="A154" s="422" t="s">
        <v>1397</v>
      </c>
      <c r="B154" s="423" t="s">
        <v>157</v>
      </c>
      <c r="C154" s="424">
        <v>22</v>
      </c>
      <c r="D154" s="424"/>
      <c r="E154" s="424"/>
      <c r="F154" s="424"/>
      <c r="G154" s="424"/>
      <c r="H154" s="424"/>
      <c r="I154" s="422" t="s">
        <v>2300</v>
      </c>
      <c r="J154" s="421" t="str">
        <f t="shared" si="154"/>
        <v>LGOO6Ab</v>
      </c>
      <c r="K154" s="421" t="str">
        <f t="shared" si="155"/>
        <v>LGOO6AbM</v>
      </c>
      <c r="L154" s="447" t="str">
        <f t="shared" si="156"/>
        <v>AbM</v>
      </c>
      <c r="M154" s="932">
        <v>3</v>
      </c>
      <c r="N154" s="932">
        <v>3</v>
      </c>
      <c r="O154" s="932">
        <v>3</v>
      </c>
      <c r="P154" s="932">
        <v>3</v>
      </c>
      <c r="Q154" s="940"/>
      <c r="R154" s="940"/>
      <c r="S154" s="940"/>
      <c r="T154" s="940"/>
      <c r="U154" s="940"/>
      <c r="V154" s="940"/>
      <c r="W154" s="940"/>
      <c r="X154" s="948"/>
      <c r="Y154" s="948"/>
      <c r="Z154" s="948"/>
      <c r="AA154" s="948"/>
      <c r="AB154" s="948"/>
      <c r="AC154" s="948"/>
      <c r="AD154" s="616"/>
      <c r="AE154" s="616"/>
      <c r="AF154" s="616"/>
      <c r="AG154" s="616"/>
      <c r="AH154" s="448">
        <f t="shared" si="157"/>
        <v>783828</v>
      </c>
      <c r="AI154" s="449">
        <f t="shared" si="158"/>
        <v>783828</v>
      </c>
      <c r="AJ154" s="450">
        <v>1</v>
      </c>
      <c r="AK154" s="452" t="s">
        <v>542</v>
      </c>
      <c r="AL154" s="447" t="s">
        <v>62</v>
      </c>
      <c r="AM154" s="447" t="s">
        <v>158</v>
      </c>
      <c r="AN154" s="447">
        <v>310100100001000</v>
      </c>
      <c r="AO154" s="305" t="s">
        <v>408</v>
      </c>
      <c r="AP154" s="305" t="s">
        <v>2423</v>
      </c>
      <c r="AQ154" s="305" t="s">
        <v>2526</v>
      </c>
      <c r="AR154" s="305" t="s">
        <v>240</v>
      </c>
      <c r="AS154" s="305" t="s">
        <v>241</v>
      </c>
      <c r="AT154" s="305" t="s">
        <v>1896</v>
      </c>
      <c r="AU154" s="306" t="str">
        <f t="shared" si="159"/>
        <v>B</v>
      </c>
      <c r="AV154" s="306" t="str">
        <f t="shared" si="160"/>
        <v>Antonio B. Balderama</v>
      </c>
      <c r="AW154" s="306" t="str">
        <f t="shared" si="140"/>
        <v>BALDERAMA, Antonio Badere</v>
      </c>
      <c r="AX154" s="305" t="s">
        <v>408</v>
      </c>
      <c r="AY154" s="447" t="s">
        <v>62</v>
      </c>
      <c r="AZ154" s="472">
        <v>22046</v>
      </c>
      <c r="BA154" s="101">
        <f t="shared" ca="1" si="161"/>
        <v>65</v>
      </c>
      <c r="BB154" s="492" t="str">
        <f t="shared" ca="1" si="162"/>
        <v>VACANT</v>
      </c>
      <c r="BC154" s="492" t="str">
        <f t="shared" ca="1" si="163"/>
        <v>VACANT</v>
      </c>
      <c r="BD154" s="492" t="str">
        <f t="shared" ca="1" si="164"/>
        <v>VACANTM</v>
      </c>
      <c r="BE154" s="492" t="str">
        <f t="shared" ca="1" si="165"/>
        <v>LGOO6VACANTM</v>
      </c>
      <c r="BF154" s="447" t="s">
        <v>544</v>
      </c>
      <c r="BG154" s="493">
        <v>32687</v>
      </c>
      <c r="BH154" s="493">
        <v>32687</v>
      </c>
      <c r="BI154" s="447">
        <f t="shared" ca="1" si="166"/>
        <v>36</v>
      </c>
      <c r="BJ154" s="447">
        <f t="shared" ca="1" si="167"/>
        <v>36</v>
      </c>
      <c r="BK154" s="493">
        <v>43070</v>
      </c>
      <c r="BL154" s="447">
        <f t="shared" ca="1" si="168"/>
        <v>8</v>
      </c>
      <c r="BM154" s="447" t="s">
        <v>64</v>
      </c>
      <c r="BN154" s="512" t="s">
        <v>215</v>
      </c>
      <c r="BO154" s="423" t="s">
        <v>2736</v>
      </c>
      <c r="BP154" s="513"/>
      <c r="BQ154" s="514" t="str">
        <f t="shared" si="169"/>
        <v>2MP</v>
      </c>
    </row>
    <row r="155" spans="1:69" ht="19.95" customHeight="1">
      <c r="A155" s="422" t="s">
        <v>1389</v>
      </c>
      <c r="B155" s="423" t="s">
        <v>157</v>
      </c>
      <c r="C155" s="424">
        <v>22</v>
      </c>
      <c r="D155" s="424"/>
      <c r="E155" s="424"/>
      <c r="F155" s="424"/>
      <c r="G155" s="424"/>
      <c r="H155" s="424"/>
      <c r="I155" s="422" t="s">
        <v>2300</v>
      </c>
      <c r="J155" s="421" t="str">
        <f t="shared" si="154"/>
        <v>LGOO6Ab</v>
      </c>
      <c r="K155" s="421" t="str">
        <f t="shared" si="155"/>
        <v>LGOO6AbF</v>
      </c>
      <c r="L155" s="447" t="str">
        <f t="shared" si="156"/>
        <v>AbF</v>
      </c>
      <c r="M155" s="932">
        <v>3</v>
      </c>
      <c r="N155" s="932">
        <v>3</v>
      </c>
      <c r="O155" s="932">
        <v>3</v>
      </c>
      <c r="P155" s="932">
        <v>3</v>
      </c>
      <c r="Q155" s="940"/>
      <c r="R155" s="940"/>
      <c r="S155" s="940"/>
      <c r="T155" s="940"/>
      <c r="U155" s="940"/>
      <c r="V155" s="940"/>
      <c r="W155" s="940"/>
      <c r="X155" s="948"/>
      <c r="Y155" s="948"/>
      <c r="Z155" s="948"/>
      <c r="AA155" s="948"/>
      <c r="AB155" s="948"/>
      <c r="AC155" s="948"/>
      <c r="AD155" s="616"/>
      <c r="AE155" s="616"/>
      <c r="AF155" s="616"/>
      <c r="AG155" s="616"/>
      <c r="AH155" s="448">
        <f t="shared" si="157"/>
        <v>783828</v>
      </c>
      <c r="AI155" s="449">
        <f t="shared" si="158"/>
        <v>783828</v>
      </c>
      <c r="AJ155" s="450">
        <v>1</v>
      </c>
      <c r="AK155" s="452" t="s">
        <v>537</v>
      </c>
      <c r="AL155" s="447" t="s">
        <v>62</v>
      </c>
      <c r="AM155" s="447" t="s">
        <v>158</v>
      </c>
      <c r="AN155" s="447">
        <v>310100100001000</v>
      </c>
      <c r="AO155" s="305" t="s">
        <v>408</v>
      </c>
      <c r="AP155" s="305" t="s">
        <v>2404</v>
      </c>
      <c r="AQ155" s="306" t="s">
        <v>408</v>
      </c>
      <c r="AR155" s="305" t="s">
        <v>1093</v>
      </c>
      <c r="AS155" s="305" t="s">
        <v>841</v>
      </c>
      <c r="AT155" s="305" t="s">
        <v>1983</v>
      </c>
      <c r="AU155" s="306" t="str">
        <f t="shared" si="159"/>
        <v>G</v>
      </c>
      <c r="AV155" s="306" t="str">
        <f t="shared" si="160"/>
        <v>Carol G. Gano</v>
      </c>
      <c r="AW155" s="306" t="str">
        <f t="shared" si="140"/>
        <v>GANO, Carol Guidangen</v>
      </c>
      <c r="AX155" s="305" t="s">
        <v>408</v>
      </c>
      <c r="AY155" s="447" t="s">
        <v>100</v>
      </c>
      <c r="AZ155" s="472">
        <v>25838</v>
      </c>
      <c r="BA155" s="101">
        <f t="shared" ca="1" si="161"/>
        <v>55</v>
      </c>
      <c r="BB155" s="492" t="str">
        <f t="shared" ca="1" si="162"/>
        <v>D</v>
      </c>
      <c r="BC155" s="492" t="str">
        <f t="shared" ca="1" si="163"/>
        <v>AbD</v>
      </c>
      <c r="BD155" s="492" t="str">
        <f t="shared" ca="1" si="164"/>
        <v>AbDF</v>
      </c>
      <c r="BE155" s="492" t="str">
        <f t="shared" ca="1" si="165"/>
        <v>LGOO6AbDF</v>
      </c>
      <c r="BF155" s="447" t="s">
        <v>1095</v>
      </c>
      <c r="BG155" s="493">
        <v>36374</v>
      </c>
      <c r="BH155" s="493">
        <v>36374</v>
      </c>
      <c r="BI155" s="447">
        <f t="shared" ca="1" si="166"/>
        <v>26</v>
      </c>
      <c r="BJ155" s="447">
        <f t="shared" ca="1" si="167"/>
        <v>26</v>
      </c>
      <c r="BK155" s="493">
        <v>43518</v>
      </c>
      <c r="BL155" s="447">
        <f t="shared" ca="1" si="168"/>
        <v>7</v>
      </c>
      <c r="BM155" s="447" t="s">
        <v>64</v>
      </c>
      <c r="BN155" s="512" t="s">
        <v>102</v>
      </c>
      <c r="BO155" s="423" t="s">
        <v>2254</v>
      </c>
      <c r="BP155" s="513"/>
      <c r="BQ155" s="514" t="str">
        <f t="shared" si="169"/>
        <v>2FP</v>
      </c>
    </row>
    <row r="156" spans="1:69" ht="19.95" customHeight="1">
      <c r="A156" s="422" t="s">
        <v>1392</v>
      </c>
      <c r="B156" s="423" t="s">
        <v>157</v>
      </c>
      <c r="C156" s="424">
        <v>22</v>
      </c>
      <c r="D156" s="424"/>
      <c r="E156" s="424"/>
      <c r="F156" s="424"/>
      <c r="G156" s="424"/>
      <c r="H156" s="424"/>
      <c r="I156" s="422" t="s">
        <v>2300</v>
      </c>
      <c r="J156" s="421" t="str">
        <f t="shared" si="154"/>
        <v>LGOO6Ab</v>
      </c>
      <c r="K156" s="421" t="str">
        <f t="shared" si="155"/>
        <v>LGOO6AbM</v>
      </c>
      <c r="L156" s="447" t="str">
        <f t="shared" si="156"/>
        <v>AbM</v>
      </c>
      <c r="M156" s="932">
        <v>3</v>
      </c>
      <c r="N156" s="932">
        <v>3</v>
      </c>
      <c r="O156" s="932">
        <v>3</v>
      </c>
      <c r="P156" s="932">
        <v>3</v>
      </c>
      <c r="Q156" s="940"/>
      <c r="R156" s="940"/>
      <c r="S156" s="940"/>
      <c r="T156" s="940"/>
      <c r="U156" s="940"/>
      <c r="V156" s="940"/>
      <c r="W156" s="940"/>
      <c r="X156" s="948"/>
      <c r="Y156" s="948"/>
      <c r="Z156" s="948"/>
      <c r="AA156" s="948"/>
      <c r="AB156" s="948"/>
      <c r="AC156" s="948"/>
      <c r="AD156" s="616"/>
      <c r="AE156" s="616"/>
      <c r="AF156" s="616"/>
      <c r="AG156" s="616"/>
      <c r="AH156" s="448">
        <f t="shared" si="157"/>
        <v>783828</v>
      </c>
      <c r="AI156" s="449">
        <f t="shared" si="158"/>
        <v>783828</v>
      </c>
      <c r="AJ156" s="450">
        <v>1</v>
      </c>
      <c r="AK156" s="452" t="s">
        <v>622</v>
      </c>
      <c r="AL156" s="447" t="s">
        <v>62</v>
      </c>
      <c r="AM156" s="447" t="s">
        <v>158</v>
      </c>
      <c r="AN156" s="447">
        <v>310100100001000</v>
      </c>
      <c r="AO156" s="305" t="s">
        <v>181</v>
      </c>
      <c r="AP156" s="306" t="s">
        <v>2423</v>
      </c>
      <c r="AQ156" s="306" t="s">
        <v>2488</v>
      </c>
      <c r="AR156" s="306" t="s">
        <v>1052</v>
      </c>
      <c r="AS156" s="306" t="s">
        <v>1053</v>
      </c>
      <c r="AT156" s="306" t="s">
        <v>1948</v>
      </c>
      <c r="AU156" s="306" t="str">
        <f t="shared" si="159"/>
        <v>M</v>
      </c>
      <c r="AV156" s="306" t="str">
        <f t="shared" si="160"/>
        <v>Bramie M. Mina</v>
      </c>
      <c r="AW156" s="306" t="str">
        <f t="shared" si="140"/>
        <v>MINA, Bramie Madarcos</v>
      </c>
      <c r="AX156" s="305" t="s">
        <v>408</v>
      </c>
      <c r="AY156" s="447" t="s">
        <v>62</v>
      </c>
      <c r="AZ156" s="472">
        <v>24758</v>
      </c>
      <c r="BA156" s="101">
        <f t="shared" ca="1" si="161"/>
        <v>58</v>
      </c>
      <c r="BB156" s="492" t="str">
        <f t="shared" ca="1" si="162"/>
        <v>D</v>
      </c>
      <c r="BC156" s="492" t="str">
        <f t="shared" ca="1" si="163"/>
        <v>AbD</v>
      </c>
      <c r="BD156" s="492" t="str">
        <f t="shared" ca="1" si="164"/>
        <v>AbDM</v>
      </c>
      <c r="BE156" s="492" t="str">
        <f t="shared" ca="1" si="165"/>
        <v>LGOO6AbDM</v>
      </c>
      <c r="BF156" s="447" t="s">
        <v>1055</v>
      </c>
      <c r="BG156" s="493">
        <v>35234</v>
      </c>
      <c r="BH156" s="493">
        <v>35234</v>
      </c>
      <c r="BI156" s="447">
        <f t="shared" ca="1" si="166"/>
        <v>29</v>
      </c>
      <c r="BJ156" s="447">
        <f t="shared" ca="1" si="167"/>
        <v>29</v>
      </c>
      <c r="BK156" s="493">
        <v>43070</v>
      </c>
      <c r="BL156" s="447">
        <f t="shared" ca="1" si="168"/>
        <v>8</v>
      </c>
      <c r="BM156" s="447" t="s">
        <v>64</v>
      </c>
      <c r="BN156" s="512" t="s">
        <v>102</v>
      </c>
      <c r="BO156" s="423" t="s">
        <v>2751</v>
      </c>
      <c r="BP156" s="513" t="s">
        <v>1207</v>
      </c>
      <c r="BQ156" s="514" t="str">
        <f t="shared" si="169"/>
        <v>2MP</v>
      </c>
    </row>
    <row r="157" spans="1:69" ht="19.95" customHeight="1">
      <c r="A157" s="422" t="s">
        <v>1395</v>
      </c>
      <c r="B157" s="423" t="s">
        <v>157</v>
      </c>
      <c r="C157" s="424">
        <v>22</v>
      </c>
      <c r="D157" s="424"/>
      <c r="E157" s="424"/>
      <c r="F157" s="424"/>
      <c r="G157" s="424"/>
      <c r="H157" s="424"/>
      <c r="I157" s="422" t="s">
        <v>2300</v>
      </c>
      <c r="J157" s="421" t="str">
        <f t="shared" si="154"/>
        <v>LGOO6B</v>
      </c>
      <c r="K157" s="421" t="str">
        <f t="shared" si="155"/>
        <v>LGOO6BF</v>
      </c>
      <c r="L157" s="447" t="str">
        <f t="shared" si="156"/>
        <v>BF</v>
      </c>
      <c r="M157" s="932">
        <v>3</v>
      </c>
      <c r="N157" s="932">
        <v>3</v>
      </c>
      <c r="O157" s="932">
        <v>3</v>
      </c>
      <c r="P157" s="932">
        <v>3</v>
      </c>
      <c r="Q157" s="940"/>
      <c r="R157" s="940"/>
      <c r="S157" s="940"/>
      <c r="T157" s="940"/>
      <c r="U157" s="940"/>
      <c r="V157" s="940"/>
      <c r="W157" s="940"/>
      <c r="X157" s="948"/>
      <c r="Y157" s="948"/>
      <c r="Z157" s="948"/>
      <c r="AA157" s="948"/>
      <c r="AB157" s="948"/>
      <c r="AC157" s="948"/>
      <c r="AD157" s="616"/>
      <c r="AE157" s="616"/>
      <c r="AF157" s="616"/>
      <c r="AG157" s="616"/>
      <c r="AH157" s="448">
        <f t="shared" si="157"/>
        <v>783828</v>
      </c>
      <c r="AI157" s="449">
        <f t="shared" si="158"/>
        <v>783828</v>
      </c>
      <c r="AJ157" s="450">
        <v>1</v>
      </c>
      <c r="AK157" s="452" t="s">
        <v>715</v>
      </c>
      <c r="AL157" s="447" t="s">
        <v>62</v>
      </c>
      <c r="AM157" s="447" t="s">
        <v>158</v>
      </c>
      <c r="AN157" s="447">
        <v>310100100001000</v>
      </c>
      <c r="AO157" s="305" t="s">
        <v>167</v>
      </c>
      <c r="AP157" s="305" t="s">
        <v>2404</v>
      </c>
      <c r="AQ157" s="305" t="s">
        <v>167</v>
      </c>
      <c r="AR157" s="305" t="s">
        <v>728</v>
      </c>
      <c r="AS157" s="305" t="s">
        <v>729</v>
      </c>
      <c r="AT157" s="305" t="s">
        <v>1921</v>
      </c>
      <c r="AU157" s="306" t="str">
        <f t="shared" si="159"/>
        <v>D</v>
      </c>
      <c r="AV157" s="306" t="str">
        <f t="shared" si="160"/>
        <v>Cecilia D. Wagian</v>
      </c>
      <c r="AW157" s="306" t="str">
        <f t="shared" si="140"/>
        <v>WAGIAN, Cecilia Daupan</v>
      </c>
      <c r="AX157" s="305" t="s">
        <v>167</v>
      </c>
      <c r="AY157" s="447" t="s">
        <v>100</v>
      </c>
      <c r="AZ157" s="472">
        <v>23830</v>
      </c>
      <c r="BA157" s="101">
        <f t="shared" ca="1" si="161"/>
        <v>60</v>
      </c>
      <c r="BB157" s="492" t="str">
        <f t="shared" ca="1" si="162"/>
        <v>E</v>
      </c>
      <c r="BC157" s="492" t="str">
        <f t="shared" ca="1" si="163"/>
        <v>BE</v>
      </c>
      <c r="BD157" s="492" t="str">
        <f t="shared" ca="1" si="164"/>
        <v>BEF</v>
      </c>
      <c r="BE157" s="492" t="str">
        <f t="shared" ca="1" si="165"/>
        <v>LGOO6BEF</v>
      </c>
      <c r="BF157" s="447" t="s">
        <v>731</v>
      </c>
      <c r="BG157" s="493">
        <v>33550</v>
      </c>
      <c r="BH157" s="493">
        <v>33550</v>
      </c>
      <c r="BI157" s="447">
        <f t="shared" ca="1" si="166"/>
        <v>34</v>
      </c>
      <c r="BJ157" s="447">
        <f t="shared" ca="1" si="167"/>
        <v>34</v>
      </c>
      <c r="BK157" s="493">
        <v>42597</v>
      </c>
      <c r="BL157" s="447">
        <f t="shared" ca="1" si="168"/>
        <v>9</v>
      </c>
      <c r="BM157" s="447" t="s">
        <v>64</v>
      </c>
      <c r="BN157" s="512" t="s">
        <v>102</v>
      </c>
      <c r="BO157" s="423" t="s">
        <v>3413</v>
      </c>
      <c r="BP157" s="513" t="s">
        <v>2527</v>
      </c>
      <c r="BQ157" s="514" t="str">
        <f t="shared" si="169"/>
        <v>2FP</v>
      </c>
    </row>
    <row r="158" spans="1:69" ht="19.95" customHeight="1">
      <c r="A158" s="422" t="s">
        <v>1396</v>
      </c>
      <c r="B158" s="423" t="s">
        <v>157</v>
      </c>
      <c r="C158" s="424">
        <v>22</v>
      </c>
      <c r="D158" s="424"/>
      <c r="E158" s="424"/>
      <c r="F158" s="424"/>
      <c r="G158" s="424"/>
      <c r="H158" s="424"/>
      <c r="I158" s="422" t="s">
        <v>2300</v>
      </c>
      <c r="J158" s="421" t="str">
        <f t="shared" si="154"/>
        <v>LGOO6MP</v>
      </c>
      <c r="K158" s="421" t="str">
        <f t="shared" si="155"/>
        <v>LGOO6MPM</v>
      </c>
      <c r="L158" s="447" t="str">
        <f t="shared" si="156"/>
        <v>MPM</v>
      </c>
      <c r="M158" s="932">
        <v>3</v>
      </c>
      <c r="N158" s="932">
        <v>3</v>
      </c>
      <c r="O158" s="932">
        <v>3</v>
      </c>
      <c r="P158" s="932">
        <v>3</v>
      </c>
      <c r="Q158" s="940"/>
      <c r="R158" s="940"/>
      <c r="S158" s="940"/>
      <c r="T158" s="940"/>
      <c r="U158" s="940"/>
      <c r="V158" s="940"/>
      <c r="W158" s="940"/>
      <c r="X158" s="948"/>
      <c r="Y158" s="948"/>
      <c r="Z158" s="948"/>
      <c r="AA158" s="948"/>
      <c r="AB158" s="948"/>
      <c r="AC158" s="948"/>
      <c r="AD158" s="616"/>
      <c r="AE158" s="616"/>
      <c r="AF158" s="616"/>
      <c r="AG158" s="616"/>
      <c r="AH158" s="448">
        <f t="shared" si="157"/>
        <v>783828</v>
      </c>
      <c r="AI158" s="449">
        <f t="shared" si="158"/>
        <v>783828</v>
      </c>
      <c r="AJ158" s="450">
        <v>1</v>
      </c>
      <c r="AK158" s="452" t="s">
        <v>352</v>
      </c>
      <c r="AL158" s="447" t="s">
        <v>64</v>
      </c>
      <c r="AM158" s="447" t="s">
        <v>158</v>
      </c>
      <c r="AN158" s="447">
        <v>310100100001000</v>
      </c>
      <c r="AO158" s="305" t="s">
        <v>268</v>
      </c>
      <c r="AP158" s="306" t="s">
        <v>2404</v>
      </c>
      <c r="AQ158" s="306" t="s">
        <v>268</v>
      </c>
      <c r="AR158" s="305" t="s">
        <v>823</v>
      </c>
      <c r="AS158" s="305" t="s">
        <v>824</v>
      </c>
      <c r="AT158" s="305" t="s">
        <v>1960</v>
      </c>
      <c r="AU158" s="306" t="str">
        <f t="shared" si="159"/>
        <v>B</v>
      </c>
      <c r="AV158" s="306" t="str">
        <f t="shared" si="160"/>
        <v>Ray B. Fiar-Od</v>
      </c>
      <c r="AW158" s="306" t="str">
        <f t="shared" si="140"/>
        <v>FIAR-OD, Ray Bomas-ang</v>
      </c>
      <c r="AX158" s="305" t="s">
        <v>268</v>
      </c>
      <c r="AY158" s="447" t="s">
        <v>62</v>
      </c>
      <c r="AZ158" s="472">
        <v>25391</v>
      </c>
      <c r="BA158" s="101">
        <f t="shared" ca="1" si="161"/>
        <v>56</v>
      </c>
      <c r="BB158" s="492" t="str">
        <f t="shared" ca="1" si="162"/>
        <v>D</v>
      </c>
      <c r="BC158" s="492" t="str">
        <f t="shared" ca="1" si="163"/>
        <v>MPD</v>
      </c>
      <c r="BD158" s="492" t="str">
        <f t="shared" ca="1" si="164"/>
        <v>MPDM</v>
      </c>
      <c r="BE158" s="492" t="str">
        <f t="shared" ca="1" si="165"/>
        <v>LGOO6MPDM</v>
      </c>
      <c r="BF158" s="447" t="s">
        <v>826</v>
      </c>
      <c r="BG158" s="493">
        <v>35473</v>
      </c>
      <c r="BH158" s="493">
        <v>35473</v>
      </c>
      <c r="BI158" s="447">
        <f t="shared" ca="1" si="166"/>
        <v>29</v>
      </c>
      <c r="BJ158" s="447">
        <f t="shared" ca="1" si="167"/>
        <v>29</v>
      </c>
      <c r="BK158" s="493">
        <v>43109</v>
      </c>
      <c r="BL158" s="447">
        <f t="shared" ca="1" si="168"/>
        <v>8</v>
      </c>
      <c r="BM158" s="447" t="s">
        <v>64</v>
      </c>
      <c r="BN158" s="512" t="s">
        <v>102</v>
      </c>
      <c r="BO158" s="423" t="s">
        <v>2254</v>
      </c>
      <c r="BP158" s="513" t="s">
        <v>1391</v>
      </c>
      <c r="BQ158" s="514" t="str">
        <f t="shared" si="169"/>
        <v>2MP</v>
      </c>
    </row>
    <row r="159" spans="1:69" ht="19.95" customHeight="1">
      <c r="A159" s="422" t="s">
        <v>2528</v>
      </c>
      <c r="B159" s="423" t="s">
        <v>157</v>
      </c>
      <c r="C159" s="424">
        <v>22</v>
      </c>
      <c r="D159" s="424"/>
      <c r="E159" s="424"/>
      <c r="F159" s="424"/>
      <c r="G159" s="424"/>
      <c r="H159" s="424"/>
      <c r="I159" s="422" t="s">
        <v>2300</v>
      </c>
      <c r="J159" s="421" t="str">
        <f t="shared" si="154"/>
        <v>LGOO6Ap</v>
      </c>
      <c r="K159" s="421" t="str">
        <f t="shared" si="155"/>
        <v>LGOO6ApF</v>
      </c>
      <c r="L159" s="447" t="str">
        <f t="shared" si="156"/>
        <v>ApF</v>
      </c>
      <c r="M159" s="932">
        <v>3</v>
      </c>
      <c r="N159" s="932">
        <v>3</v>
      </c>
      <c r="O159" s="932">
        <v>3</v>
      </c>
      <c r="P159" s="932">
        <v>3</v>
      </c>
      <c r="Q159" s="940"/>
      <c r="R159" s="940"/>
      <c r="S159" s="940"/>
      <c r="T159" s="940"/>
      <c r="U159" s="940"/>
      <c r="V159" s="940"/>
      <c r="W159" s="940"/>
      <c r="X159" s="948"/>
      <c r="Y159" s="948"/>
      <c r="Z159" s="948"/>
      <c r="AA159" s="948"/>
      <c r="AB159" s="948"/>
      <c r="AC159" s="948"/>
      <c r="AD159" s="616"/>
      <c r="AE159" s="616"/>
      <c r="AF159" s="616"/>
      <c r="AG159" s="616"/>
      <c r="AH159" s="448">
        <f t="shared" si="157"/>
        <v>783828</v>
      </c>
      <c r="AI159" s="449">
        <f t="shared" si="158"/>
        <v>796620</v>
      </c>
      <c r="AJ159" s="450">
        <v>2</v>
      </c>
      <c r="AK159" s="452" t="s">
        <v>223</v>
      </c>
      <c r="AL159" s="447" t="s">
        <v>54</v>
      </c>
      <c r="AM159" s="447" t="s">
        <v>55</v>
      </c>
      <c r="AN159" s="447">
        <v>310100100001000</v>
      </c>
      <c r="AO159" s="305" t="s">
        <v>181</v>
      </c>
      <c r="AP159" s="305" t="s">
        <v>2404</v>
      </c>
      <c r="AQ159" s="305" t="s">
        <v>181</v>
      </c>
      <c r="AR159" s="305" t="s">
        <v>235</v>
      </c>
      <c r="AS159" s="305" t="s">
        <v>236</v>
      </c>
      <c r="AT159" s="305" t="s">
        <v>1969</v>
      </c>
      <c r="AU159" s="306" t="str">
        <f t="shared" si="159"/>
        <v>M</v>
      </c>
      <c r="AV159" s="306" t="str">
        <f t="shared" si="160"/>
        <v>Wilnelia M. Aceret</v>
      </c>
      <c r="AW159" s="306" t="str">
        <f t="shared" si="140"/>
        <v>ACERET, Wilnelia Martinez</v>
      </c>
      <c r="AX159" s="305" t="s">
        <v>181</v>
      </c>
      <c r="AY159" s="447" t="s">
        <v>100</v>
      </c>
      <c r="AZ159" s="472">
        <v>28103</v>
      </c>
      <c r="BA159" s="101">
        <f t="shared" ca="1" si="161"/>
        <v>49</v>
      </c>
      <c r="BB159" s="492" t="str">
        <f t="shared" ca="1" si="162"/>
        <v>C</v>
      </c>
      <c r="BC159" s="492" t="str">
        <f t="shared" ca="1" si="163"/>
        <v>ApC</v>
      </c>
      <c r="BD159" s="492" t="str">
        <f t="shared" ca="1" si="164"/>
        <v>ApCF</v>
      </c>
      <c r="BE159" s="492" t="str">
        <f t="shared" ca="1" si="165"/>
        <v>LGOO6ApCF</v>
      </c>
      <c r="BF159" s="447" t="s">
        <v>238</v>
      </c>
      <c r="BG159" s="493">
        <v>36024</v>
      </c>
      <c r="BH159" s="493">
        <v>36024</v>
      </c>
      <c r="BI159" s="447">
        <f t="shared" ca="1" si="166"/>
        <v>27</v>
      </c>
      <c r="BJ159" s="447">
        <f t="shared" ca="1" si="167"/>
        <v>27</v>
      </c>
      <c r="BK159" s="493">
        <v>42354</v>
      </c>
      <c r="BL159" s="447">
        <f t="shared" ca="1" si="168"/>
        <v>10</v>
      </c>
      <c r="BM159" s="447" t="s">
        <v>64</v>
      </c>
      <c r="BN159" s="512" t="s">
        <v>102</v>
      </c>
      <c r="BO159" s="423" t="s">
        <v>2254</v>
      </c>
      <c r="BP159" s="513"/>
      <c r="BQ159" s="514" t="str">
        <f t="shared" si="169"/>
        <v>2FP</v>
      </c>
    </row>
    <row r="160" spans="1:69" ht="19.95" customHeight="1">
      <c r="A160" s="422" t="s">
        <v>2529</v>
      </c>
      <c r="B160" s="423" t="s">
        <v>157</v>
      </c>
      <c r="C160" s="424">
        <v>22</v>
      </c>
      <c r="D160" s="424"/>
      <c r="E160" s="424"/>
      <c r="F160" s="424"/>
      <c r="G160" s="424"/>
      <c r="H160" s="424"/>
      <c r="I160" s="422" t="s">
        <v>2300</v>
      </c>
      <c r="J160" s="421" t="str">
        <f t="shared" si="154"/>
        <v>LGOO6B</v>
      </c>
      <c r="K160" s="421" t="str">
        <f t="shared" si="155"/>
        <v>LGOO6BM</v>
      </c>
      <c r="L160" s="447" t="str">
        <f t="shared" si="156"/>
        <v>BM</v>
      </c>
      <c r="M160" s="932">
        <v>3</v>
      </c>
      <c r="N160" s="932">
        <v>3</v>
      </c>
      <c r="O160" s="932">
        <v>3</v>
      </c>
      <c r="P160" s="932">
        <v>3</v>
      </c>
      <c r="Q160" s="940"/>
      <c r="R160" s="940"/>
      <c r="S160" s="940"/>
      <c r="T160" s="940"/>
      <c r="U160" s="940"/>
      <c r="V160" s="940"/>
      <c r="W160" s="940"/>
      <c r="X160" s="948"/>
      <c r="Y160" s="948"/>
      <c r="Z160" s="948"/>
      <c r="AA160" s="948"/>
      <c r="AB160" s="948"/>
      <c r="AC160" s="948"/>
      <c r="AD160" s="616"/>
      <c r="AE160" s="616"/>
      <c r="AF160" s="616"/>
      <c r="AG160" s="616"/>
      <c r="AH160" s="448">
        <f t="shared" si="157"/>
        <v>783828</v>
      </c>
      <c r="AI160" s="449">
        <f t="shared" si="158"/>
        <v>783828</v>
      </c>
      <c r="AJ160" s="450">
        <v>1</v>
      </c>
      <c r="AK160" s="452" t="s">
        <v>197</v>
      </c>
      <c r="AL160" s="447" t="s">
        <v>64</v>
      </c>
      <c r="AM160" s="447" t="s">
        <v>55</v>
      </c>
      <c r="AN160" s="447">
        <v>310100100001000</v>
      </c>
      <c r="AO160" s="305" t="s">
        <v>167</v>
      </c>
      <c r="AP160" s="305" t="s">
        <v>2404</v>
      </c>
      <c r="AQ160" s="305" t="s">
        <v>167</v>
      </c>
      <c r="AR160" s="305" t="s">
        <v>168</v>
      </c>
      <c r="AS160" s="305" t="s">
        <v>169</v>
      </c>
      <c r="AT160" s="305" t="s">
        <v>1937</v>
      </c>
      <c r="AU160" s="306" t="str">
        <f t="shared" si="159"/>
        <v>I</v>
      </c>
      <c r="AV160" s="306" t="str">
        <f t="shared" si="160"/>
        <v>Rene Vincent I. Ballug</v>
      </c>
      <c r="AW160" s="306" t="str">
        <f t="shared" si="140"/>
        <v>BALLUG, Rene Vincent Ilacad</v>
      </c>
      <c r="AX160" s="305" t="s">
        <v>167</v>
      </c>
      <c r="AY160" s="447" t="s">
        <v>62</v>
      </c>
      <c r="AZ160" s="472">
        <v>25501</v>
      </c>
      <c r="BA160" s="101">
        <f t="shared" ca="1" si="161"/>
        <v>56</v>
      </c>
      <c r="BB160" s="492" t="str">
        <f t="shared" ca="1" si="162"/>
        <v>D</v>
      </c>
      <c r="BC160" s="492" t="str">
        <f t="shared" ca="1" si="163"/>
        <v>BD</v>
      </c>
      <c r="BD160" s="492" t="str">
        <f t="shared" ca="1" si="164"/>
        <v>BDM</v>
      </c>
      <c r="BE160" s="492" t="str">
        <f t="shared" ca="1" si="165"/>
        <v>LGOO6BDM</v>
      </c>
      <c r="BF160" s="447" t="s">
        <v>2304</v>
      </c>
      <c r="BG160" s="493">
        <v>35487</v>
      </c>
      <c r="BH160" s="493">
        <v>35487</v>
      </c>
      <c r="BI160" s="447">
        <f t="shared" ca="1" si="166"/>
        <v>29</v>
      </c>
      <c r="BJ160" s="447">
        <f t="shared" ca="1" si="167"/>
        <v>29</v>
      </c>
      <c r="BK160" s="493">
        <v>43129</v>
      </c>
      <c r="BL160" s="447">
        <f t="shared" ca="1" si="168"/>
        <v>8</v>
      </c>
      <c r="BM160" s="447" t="s">
        <v>64</v>
      </c>
      <c r="BN160" s="512" t="s">
        <v>102</v>
      </c>
      <c r="BO160" s="514" t="s">
        <v>2254</v>
      </c>
      <c r="BP160" s="548" t="s">
        <v>2530</v>
      </c>
      <c r="BQ160" s="514" t="str">
        <f t="shared" si="169"/>
        <v>2MP</v>
      </c>
    </row>
    <row r="161" spans="1:69" ht="19.95" customHeight="1">
      <c r="A161" s="422" t="s">
        <v>2531</v>
      </c>
      <c r="B161" s="423" t="s">
        <v>157</v>
      </c>
      <c r="C161" s="424">
        <v>22</v>
      </c>
      <c r="D161" s="424"/>
      <c r="E161" s="424"/>
      <c r="F161" s="424"/>
      <c r="G161" s="424"/>
      <c r="H161" s="424"/>
      <c r="I161" s="422" t="s">
        <v>2300</v>
      </c>
      <c r="J161" s="421" t="str">
        <f t="shared" si="154"/>
        <v>LGOO6MP</v>
      </c>
      <c r="K161" s="421" t="str">
        <f t="shared" si="155"/>
        <v>LGOO6MPF</v>
      </c>
      <c r="L161" s="447" t="str">
        <f t="shared" si="156"/>
        <v>MPF</v>
      </c>
      <c r="M161" s="932">
        <v>3</v>
      </c>
      <c r="N161" s="932">
        <v>3</v>
      </c>
      <c r="O161" s="932">
        <v>3</v>
      </c>
      <c r="P161" s="932">
        <v>3</v>
      </c>
      <c r="Q161" s="940"/>
      <c r="R161" s="940"/>
      <c r="S161" s="940"/>
      <c r="T161" s="940"/>
      <c r="U161" s="940"/>
      <c r="V161" s="940"/>
      <c r="W161" s="940"/>
      <c r="X161" s="948"/>
      <c r="Y161" s="948"/>
      <c r="Z161" s="948"/>
      <c r="AA161" s="948"/>
      <c r="AB161" s="948"/>
      <c r="AC161" s="948"/>
      <c r="AD161" s="616"/>
      <c r="AE161" s="616"/>
      <c r="AF161" s="616"/>
      <c r="AG161" s="616"/>
      <c r="AH161" s="448">
        <f t="shared" si="157"/>
        <v>783828</v>
      </c>
      <c r="AI161" s="449">
        <f t="shared" si="158"/>
        <v>783828</v>
      </c>
      <c r="AJ161" s="450">
        <v>1</v>
      </c>
      <c r="AK161" s="452" t="s">
        <v>352</v>
      </c>
      <c r="AL161" s="447" t="s">
        <v>62</v>
      </c>
      <c r="AM161" s="447" t="s">
        <v>55</v>
      </c>
      <c r="AN161" s="447">
        <v>310100100001000</v>
      </c>
      <c r="AO161" s="305" t="s">
        <v>268</v>
      </c>
      <c r="AP161" s="305" t="s">
        <v>2404</v>
      </c>
      <c r="AQ161" s="305" t="s">
        <v>268</v>
      </c>
      <c r="AR161" s="305" t="s">
        <v>249</v>
      </c>
      <c r="AS161" s="305" t="s">
        <v>250</v>
      </c>
      <c r="AT161" s="305" t="s">
        <v>1964</v>
      </c>
      <c r="AU161" s="306" t="str">
        <f t="shared" si="159"/>
        <v>J</v>
      </c>
      <c r="AV161" s="306" t="str">
        <f t="shared" si="160"/>
        <v>Mary Ann J. Griba</v>
      </c>
      <c r="AW161" s="306" t="str">
        <f t="shared" ref="AW161:AW162" si="170">CONCATENATE(AR161,", ",AS161," ",AT161)</f>
        <v>GRIBA, Mary Ann Javier</v>
      </c>
      <c r="AX161" s="305" t="s">
        <v>268</v>
      </c>
      <c r="AY161" s="447" t="s">
        <v>100</v>
      </c>
      <c r="AZ161" s="472">
        <v>25230</v>
      </c>
      <c r="BA161" s="101">
        <f t="shared" ca="1" si="161"/>
        <v>57</v>
      </c>
      <c r="BB161" s="492" t="str">
        <f t="shared" ca="1" si="162"/>
        <v>D</v>
      </c>
      <c r="BC161" s="492" t="str">
        <f t="shared" ca="1" si="163"/>
        <v>MPD</v>
      </c>
      <c r="BD161" s="492" t="str">
        <f t="shared" ca="1" si="164"/>
        <v>MPDF</v>
      </c>
      <c r="BE161" s="492" t="str">
        <f t="shared" ca="1" si="165"/>
        <v>LGOO6MPDF</v>
      </c>
      <c r="BF161" s="498" t="s">
        <v>253</v>
      </c>
      <c r="BG161" s="495">
        <v>36074</v>
      </c>
      <c r="BH161" s="495">
        <v>36074</v>
      </c>
      <c r="BI161" s="447">
        <f t="shared" ca="1" si="166"/>
        <v>27</v>
      </c>
      <c r="BJ161" s="447">
        <f t="shared" ca="1" si="167"/>
        <v>27</v>
      </c>
      <c r="BK161" s="495">
        <v>43497</v>
      </c>
      <c r="BL161" s="447">
        <f t="shared" ca="1" si="168"/>
        <v>7</v>
      </c>
      <c r="BM161" s="447" t="s">
        <v>64</v>
      </c>
      <c r="BN161" s="512" t="s">
        <v>709</v>
      </c>
      <c r="BO161" s="423" t="s">
        <v>2273</v>
      </c>
      <c r="BP161" s="513"/>
      <c r="BQ161" s="514" t="str">
        <f t="shared" si="169"/>
        <v>2FP</v>
      </c>
    </row>
    <row r="162" spans="1:69" ht="19.95" customHeight="1">
      <c r="A162" s="422" t="s">
        <v>2532</v>
      </c>
      <c r="B162" s="423" t="s">
        <v>157</v>
      </c>
      <c r="C162" s="424">
        <v>22</v>
      </c>
      <c r="D162" s="424"/>
      <c r="E162" s="424"/>
      <c r="F162" s="424"/>
      <c r="G162" s="424"/>
      <c r="H162" s="424"/>
      <c r="I162" s="422" t="s">
        <v>2300</v>
      </c>
      <c r="J162" s="421" t="str">
        <f t="shared" si="154"/>
        <v>LGOO6K</v>
      </c>
      <c r="K162" s="421" t="str">
        <f t="shared" si="155"/>
        <v>LGOO6KM</v>
      </c>
      <c r="L162" s="447" t="str">
        <f t="shared" si="156"/>
        <v>KM</v>
      </c>
      <c r="M162" s="932">
        <v>3</v>
      </c>
      <c r="N162" s="932">
        <v>3</v>
      </c>
      <c r="O162" s="932">
        <v>3</v>
      </c>
      <c r="P162" s="932">
        <v>3</v>
      </c>
      <c r="Q162" s="940"/>
      <c r="R162" s="940"/>
      <c r="S162" s="940"/>
      <c r="T162" s="940"/>
      <c r="U162" s="940"/>
      <c r="V162" s="940"/>
      <c r="W162" s="940"/>
      <c r="X162" s="948"/>
      <c r="Y162" s="948"/>
      <c r="Z162" s="948"/>
      <c r="AA162" s="948"/>
      <c r="AB162" s="948"/>
      <c r="AC162" s="948"/>
      <c r="AD162" s="616"/>
      <c r="AE162" s="616"/>
      <c r="AF162" s="616"/>
      <c r="AG162" s="616"/>
      <c r="AH162" s="448">
        <f t="shared" si="157"/>
        <v>783828</v>
      </c>
      <c r="AI162" s="449">
        <f t="shared" si="158"/>
        <v>783828</v>
      </c>
      <c r="AJ162" s="450">
        <v>1</v>
      </c>
      <c r="AK162" s="452" t="s">
        <v>494</v>
      </c>
      <c r="AL162" s="447" t="s">
        <v>62</v>
      </c>
      <c r="AM162" s="447" t="s">
        <v>55</v>
      </c>
      <c r="AN162" s="447">
        <v>310100100001000</v>
      </c>
      <c r="AO162" s="305" t="s">
        <v>211</v>
      </c>
      <c r="AP162" s="305" t="s">
        <v>2404</v>
      </c>
      <c r="AQ162" s="305" t="s">
        <v>211</v>
      </c>
      <c r="AR162" s="305" t="s">
        <v>2042</v>
      </c>
      <c r="AS162" s="305" t="s">
        <v>2043</v>
      </c>
      <c r="AT162" s="305" t="s">
        <v>2044</v>
      </c>
      <c r="AU162" s="306" t="str">
        <f t="shared" si="159"/>
        <v>P</v>
      </c>
      <c r="AV162" s="306" t="str">
        <f t="shared" si="160"/>
        <v>Kliene P. Chunanon</v>
      </c>
      <c r="AW162" s="306" t="str">
        <f t="shared" si="170"/>
        <v>CHUNANON, Kliene Pasaraba</v>
      </c>
      <c r="AX162" s="305" t="s">
        <v>211</v>
      </c>
      <c r="AY162" s="447" t="s">
        <v>62</v>
      </c>
      <c r="AZ162" s="472">
        <v>30366</v>
      </c>
      <c r="BA162" s="101">
        <f t="shared" ca="1" si="161"/>
        <v>43</v>
      </c>
      <c r="BB162" s="492" t="str">
        <f t="shared" ca="1" si="162"/>
        <v>C</v>
      </c>
      <c r="BC162" s="492" t="str">
        <f t="shared" ca="1" si="163"/>
        <v>KC</v>
      </c>
      <c r="BD162" s="492" t="str">
        <f t="shared" ca="1" si="164"/>
        <v>KCM</v>
      </c>
      <c r="BE162" s="492" t="str">
        <f ca="1">CONCATENATE(BP120,BD162)</f>
        <v>KCM</v>
      </c>
      <c r="BF162" s="447" t="s">
        <v>2533</v>
      </c>
      <c r="BG162" s="493">
        <v>40735</v>
      </c>
      <c r="BH162" s="494">
        <v>40942</v>
      </c>
      <c r="BI162" s="447">
        <f t="shared" ca="1" si="166"/>
        <v>14</v>
      </c>
      <c r="BJ162" s="447">
        <f t="shared" ca="1" si="167"/>
        <v>14</v>
      </c>
      <c r="BK162" s="493">
        <v>43518</v>
      </c>
      <c r="BL162" s="447">
        <f t="shared" ca="1" si="168"/>
        <v>7</v>
      </c>
      <c r="BM162" s="447" t="s">
        <v>64</v>
      </c>
      <c r="BN162" s="512" t="s">
        <v>709</v>
      </c>
      <c r="BO162" s="423" t="s">
        <v>2254</v>
      </c>
      <c r="BP162" s="513"/>
      <c r="BQ162" s="514" t="str">
        <f t="shared" si="169"/>
        <v>2MP</v>
      </c>
    </row>
    <row r="163" spans="1:69" ht="19.95" customHeight="1">
      <c r="A163" s="422" t="s">
        <v>2534</v>
      </c>
      <c r="B163" s="423" t="s">
        <v>157</v>
      </c>
      <c r="C163" s="424">
        <v>22</v>
      </c>
      <c r="D163" s="424"/>
      <c r="E163" s="424"/>
      <c r="F163" s="424"/>
      <c r="G163" s="424"/>
      <c r="H163" s="424"/>
      <c r="I163" s="422" t="s">
        <v>2302</v>
      </c>
      <c r="J163" s="421" t="str">
        <f t="shared" si="154"/>
        <v>LGOO5B</v>
      </c>
      <c r="K163" s="421" t="str">
        <f t="shared" si="155"/>
        <v>LGOO5BF</v>
      </c>
      <c r="L163" s="447" t="str">
        <f t="shared" si="156"/>
        <v>BF</v>
      </c>
      <c r="M163" s="932">
        <v>3</v>
      </c>
      <c r="N163" s="932">
        <v>3</v>
      </c>
      <c r="O163" s="932">
        <v>3</v>
      </c>
      <c r="P163" s="932">
        <v>3</v>
      </c>
      <c r="Q163" s="940"/>
      <c r="R163" s="940"/>
      <c r="S163" s="940"/>
      <c r="T163" s="940"/>
      <c r="U163" s="940"/>
      <c r="V163" s="940"/>
      <c r="W163" s="940"/>
      <c r="X163" s="948"/>
      <c r="Y163" s="948"/>
      <c r="Z163" s="948"/>
      <c r="AA163" s="948"/>
      <c r="AB163" s="948"/>
      <c r="AC163" s="948"/>
      <c r="AD163" s="616"/>
      <c r="AE163" s="616"/>
      <c r="AF163" s="616"/>
      <c r="AG163" s="616"/>
      <c r="AH163" s="448">
        <f t="shared" si="157"/>
        <v>783828</v>
      </c>
      <c r="AI163" s="449">
        <f t="shared" si="158"/>
        <v>783828</v>
      </c>
      <c r="AJ163" s="450">
        <v>1</v>
      </c>
      <c r="AK163" s="452" t="s">
        <v>197</v>
      </c>
      <c r="AL163" s="447" t="s">
        <v>62</v>
      </c>
      <c r="AM163" s="447" t="s">
        <v>158</v>
      </c>
      <c r="AN163" s="447">
        <v>310100100001000</v>
      </c>
      <c r="AO163" s="305" t="s">
        <v>167</v>
      </c>
      <c r="AP163" s="305" t="s">
        <v>2404</v>
      </c>
      <c r="AQ163" s="305" t="s">
        <v>167</v>
      </c>
      <c r="AR163" s="305" t="s">
        <v>190</v>
      </c>
      <c r="AS163" s="305" t="s">
        <v>191</v>
      </c>
      <c r="AT163" s="305" t="s">
        <v>1942</v>
      </c>
      <c r="AU163" s="306" t="str">
        <f t="shared" si="159"/>
        <v>C</v>
      </c>
      <c r="AV163" s="306" t="str">
        <f t="shared" si="160"/>
        <v>Julie C. Malig</v>
      </c>
      <c r="AW163" s="306" t="str">
        <f t="shared" ref="AW163:AW183" si="171">CONCATENATE(AR163,", ",AS163," ",AT163)</f>
        <v>MALIG, Julie Capiato</v>
      </c>
      <c r="AX163" s="305" t="s">
        <v>167</v>
      </c>
      <c r="AY163" s="447" t="s">
        <v>100</v>
      </c>
      <c r="AZ163" s="472">
        <v>25401</v>
      </c>
      <c r="BA163" s="101">
        <f t="shared" ca="1" si="161"/>
        <v>56</v>
      </c>
      <c r="BB163" s="492" t="str">
        <f t="shared" ca="1" si="162"/>
        <v>D</v>
      </c>
      <c r="BC163" s="492" t="str">
        <f t="shared" ca="1" si="163"/>
        <v>BD</v>
      </c>
      <c r="BD163" s="492" t="str">
        <f t="shared" ca="1" si="164"/>
        <v>BDF</v>
      </c>
      <c r="BE163" s="492" t="str">
        <f t="shared" ca="1" si="165"/>
        <v>LGOO5BDF</v>
      </c>
      <c r="BF163" s="447" t="s">
        <v>2535</v>
      </c>
      <c r="BG163" s="493">
        <v>35107</v>
      </c>
      <c r="BH163" s="493">
        <v>35107</v>
      </c>
      <c r="BI163" s="447">
        <f t="shared" ca="1" si="166"/>
        <v>30</v>
      </c>
      <c r="BJ163" s="447">
        <f t="shared" ca="1" si="167"/>
        <v>30</v>
      </c>
      <c r="BK163" s="493">
        <v>43132</v>
      </c>
      <c r="BL163" s="447">
        <f t="shared" ca="1" si="168"/>
        <v>8</v>
      </c>
      <c r="BM163" s="447" t="s">
        <v>194</v>
      </c>
      <c r="BN163" s="512" t="s">
        <v>102</v>
      </c>
      <c r="BO163" s="423" t="s">
        <v>2721</v>
      </c>
      <c r="BP163" s="513"/>
      <c r="BQ163" s="514" t="str">
        <f t="shared" si="169"/>
        <v xml:space="preserve">2FP </v>
      </c>
    </row>
    <row r="164" spans="1:69" ht="19.95" customHeight="1">
      <c r="A164" s="422" t="s">
        <v>1489</v>
      </c>
      <c r="B164" s="423" t="s">
        <v>165</v>
      </c>
      <c r="C164" s="424">
        <v>20</v>
      </c>
      <c r="D164" s="424"/>
      <c r="E164" s="424"/>
      <c r="F164" s="424"/>
      <c r="G164" s="424"/>
      <c r="H164" s="424"/>
      <c r="I164" s="422" t="s">
        <v>2302</v>
      </c>
      <c r="J164" s="421" t="str">
        <f t="shared" ref="J164:J195" si="172">IF(AX164="Regional Office",CONCATENATE(I164,"R"),IF(AX164="Abra",CONCATENATE(I164,"Ab"),IF(AX164="Apayao",CONCATENATE(I164,"Ap"),IF(AX164="Baguio City",CONCATENATE(I164,"BC"),IF(AX164="Ifugao",CONCATENATE(I164,"I"),IF(AX164="Mt. Province",CONCATENATE(I164,"MP"),IF(AX164="Kalinga",CONCATENATE(I164,"K"),IF(AX164="Benguet",CONCATENATE(I164,"B"),"Vacant"))))))))</f>
        <v>LGOO5MP</v>
      </c>
      <c r="K164" s="421" t="str">
        <f t="shared" ref="K164:K195" si="173">CONCATENATE(J164,AY164)</f>
        <v>LGOO5MPM</v>
      </c>
      <c r="L164" s="447" t="str">
        <f t="shared" ref="L164:L195" si="174">IF(AX164="Regional Office",(IF(AY164="M","RM","RF")),IF(AX164="Abra",(IF(AY164="M","AbM","AbF")),IF(AX164="Baguio City",(IF(AY164="M","BCM","BCF")),IF(AX164="Apayao",(IF(AY164="M","ApM","ApF")),IF(AX164="Benguet",(IF(AY164="M","BM","BF")),IF(AX164="Ifugao",(IF(AY164="M","IM","IF")),IF(AX164="Kalinga",(IF(AY164="M","KM","KF")),IF(AX164="Mt. Province",(IF(AY164="M","MPM","MPF")),"XXX"))))))))</f>
        <v>MPM</v>
      </c>
      <c r="M164" s="932">
        <v>3</v>
      </c>
      <c r="N164" s="932">
        <v>3</v>
      </c>
      <c r="O164" s="932">
        <v>3</v>
      </c>
      <c r="P164" s="932">
        <v>3</v>
      </c>
      <c r="Q164" s="940"/>
      <c r="R164" s="940"/>
      <c r="S164" s="940"/>
      <c r="T164" s="940"/>
      <c r="U164" s="940"/>
      <c r="V164" s="940"/>
      <c r="W164" s="940"/>
      <c r="X164" s="948"/>
      <c r="Y164" s="948"/>
      <c r="Z164" s="948"/>
      <c r="AA164" s="948"/>
      <c r="AB164" s="948"/>
      <c r="AC164" s="948"/>
      <c r="AD164" s="616"/>
      <c r="AE164" s="616"/>
      <c r="AF164" s="616"/>
      <c r="AG164" s="616"/>
      <c r="AH164" s="448">
        <f t="shared" ref="AH164:AH180" si="175">VLOOKUP(C164,idica,2,FALSE)*12</f>
        <v>613860</v>
      </c>
      <c r="AI164" s="449">
        <f t="shared" ref="AI164:AI180" si="176">(SUMPRODUCT((norman=C164)*(grace=AJ164)*(barnachea)))*12</f>
        <v>634056</v>
      </c>
      <c r="AJ164" s="450">
        <v>3</v>
      </c>
      <c r="AK164" s="452" t="s">
        <v>352</v>
      </c>
      <c r="AL164" s="447" t="s">
        <v>54</v>
      </c>
      <c r="AM164" s="447" t="s">
        <v>158</v>
      </c>
      <c r="AN164" s="447">
        <v>310100100001000</v>
      </c>
      <c r="AO164" s="305" t="s">
        <v>268</v>
      </c>
      <c r="AP164" s="305" t="s">
        <v>2404</v>
      </c>
      <c r="AQ164" s="306" t="s">
        <v>268</v>
      </c>
      <c r="AR164" s="306" t="s">
        <v>1132</v>
      </c>
      <c r="AS164" s="306" t="s">
        <v>1133</v>
      </c>
      <c r="AT164" s="306" t="s">
        <v>1990</v>
      </c>
      <c r="AU164" s="306" t="str">
        <f t="shared" si="159"/>
        <v>G</v>
      </c>
      <c r="AV164" s="306" t="str">
        <f t="shared" si="160"/>
        <v>Domingo G. Mabiasan</v>
      </c>
      <c r="AW164" s="306" t="str">
        <f t="shared" si="171"/>
        <v>MABIASAN, Domingo Gaw-i</v>
      </c>
      <c r="AX164" s="305" t="s">
        <v>268</v>
      </c>
      <c r="AY164" s="447" t="s">
        <v>62</v>
      </c>
      <c r="AZ164" s="472">
        <v>26023</v>
      </c>
      <c r="BA164" s="101">
        <f t="shared" ref="BA164:BA182" ca="1" si="177">DATEDIF(AZ164,TODAY(),"Y")</f>
        <v>54</v>
      </c>
      <c r="BB164" s="492" t="str">
        <f t="shared" ref="BB164:BB182" ca="1" si="178">IF(BA164&lt;30,"A",IF(BA164&lt;40,"B",IF(BA164&lt;50,"C",IF(BA164&lt;60,"D",IF(BA164&lt;65,"E","VACANT")))))</f>
        <v>D</v>
      </c>
      <c r="BC164" s="492" t="str">
        <f t="shared" ref="BC164:BC195" ca="1" si="179">+IF(AX164="Regional Office",(IF(BB164="A","RA",(IF(BB164="B","RB",IF(BB164="C","RC",IF(BB164="D","RD",IF(BB164="E","RE","VACANT"))))))),IF(AX164="Abra",(IF(BB164="A","AbA",(IF(BB164="B","AbB",IF(BB164="C","AbC",IF(BB164="D","AbD",IF(BB164="E","AbE","VACANT"))))))),IF(AX164="Baguio City",(IF(BB164="A","BCA",(IF(BB164="B","BCB",IF(BB164="C","BCC",IF(BB164="D","BCD",IF(BB164="E","BCE","VACANT"))))))),IF(AX164="Apayao",(IF(BB164="A","ApA",(IF(BB164="B","ApB",IF(BB164="C","ApC",IF(BB164="D","ApD",IF(BB164="E","ApE","VACANT"))))))),IF(AX164="Benguet",(IF(BB164="A","BA",(IF(BB164="B","BB",IF(BB164="C","BC",IF(BB164="D","BD",IF(BB164="E","BE","VACANT"))))))),IF(AX164="Ifugao",(IF(BB164="A","IA",(IF(BB164="B","IB",IF(BB164="C","IC",IF(BB164="D","ID",IF(BB164="E","IE","VACANT"))))))),IF(AX164="Kalinga",(IF(BB164="A","KA",(IF(BB164="B","KB",IF(BB164="C","KC",IF(BB164="D","KD",IF(BB164="E","KE","VACANT"))))))),IF(AX164="Mt. Province",(IF(BB164="A","MPA",(IF(BB164="B","MPB",IF(BB164="C","MPC",IF(BB164="D","MPD",IF(BB164="E","MPE","VACANT"))))))),"XXX"))))))))</f>
        <v>MPD</v>
      </c>
      <c r="BD164" s="492" t="str">
        <f t="shared" ref="BD164:BD195" ca="1" si="180">CONCATENATE(BC164,AY164)</f>
        <v>MPDM</v>
      </c>
      <c r="BE164" s="492" t="str">
        <f t="shared" ref="BE164:BE178" ca="1" si="181">CONCATENATE(I164,BD164)</f>
        <v>LGOO5MPDM</v>
      </c>
      <c r="BF164" s="447" t="s">
        <v>1135</v>
      </c>
      <c r="BG164" s="493">
        <v>34700</v>
      </c>
      <c r="BH164" s="494">
        <v>37316</v>
      </c>
      <c r="BI164" s="447">
        <f t="shared" ref="BI164:BI182" ca="1" si="182">DATEDIF(BG164,TODAY(),"Y")</f>
        <v>31</v>
      </c>
      <c r="BJ164" s="447">
        <f t="shared" ca="1" si="167"/>
        <v>24</v>
      </c>
      <c r="BK164" s="493">
        <v>40896</v>
      </c>
      <c r="BL164" s="447">
        <f t="shared" ca="1" si="168"/>
        <v>14</v>
      </c>
      <c r="BM164" s="447" t="s">
        <v>64</v>
      </c>
      <c r="BN164" s="512" t="s">
        <v>102</v>
      </c>
      <c r="BO164" s="423" t="s">
        <v>2721</v>
      </c>
      <c r="BP164" s="513"/>
      <c r="BQ164" s="514" t="str">
        <f t="shared" si="169"/>
        <v>2MP</v>
      </c>
    </row>
    <row r="165" spans="1:69" ht="19.95" customHeight="1">
      <c r="A165" s="422" t="s">
        <v>1491</v>
      </c>
      <c r="B165" s="423" t="s">
        <v>165</v>
      </c>
      <c r="C165" s="424">
        <v>20</v>
      </c>
      <c r="D165" s="424"/>
      <c r="E165" s="424"/>
      <c r="F165" s="424"/>
      <c r="G165" s="424"/>
      <c r="H165" s="424"/>
      <c r="I165" s="422" t="s">
        <v>2302</v>
      </c>
      <c r="J165" s="421" t="str">
        <f t="shared" si="172"/>
        <v>Vacant</v>
      </c>
      <c r="K165" s="421" t="str">
        <f t="shared" si="173"/>
        <v>Vacant</v>
      </c>
      <c r="L165" s="447" t="str">
        <f t="shared" si="174"/>
        <v>XXX</v>
      </c>
      <c r="M165" s="932">
        <v>3</v>
      </c>
      <c r="N165" s="932">
        <v>3</v>
      </c>
      <c r="O165" s="932">
        <v>3</v>
      </c>
      <c r="P165" s="932">
        <v>3</v>
      </c>
      <c r="Q165" s="940"/>
      <c r="R165" s="940"/>
      <c r="S165" s="940"/>
      <c r="T165" s="940"/>
      <c r="U165" s="940"/>
      <c r="V165" s="940"/>
      <c r="W165" s="940"/>
      <c r="X165" s="948"/>
      <c r="Y165" s="948"/>
      <c r="Z165" s="948"/>
      <c r="AA165" s="948"/>
      <c r="AB165" s="948"/>
      <c r="AC165" s="948"/>
      <c r="AD165" s="616"/>
      <c r="AE165" s="616"/>
      <c r="AF165" s="616"/>
      <c r="AG165" s="616"/>
      <c r="AH165" s="448">
        <f t="shared" si="175"/>
        <v>613860</v>
      </c>
      <c r="AI165" s="449">
        <f t="shared" si="176"/>
        <v>0</v>
      </c>
      <c r="AJ165" s="450">
        <v>0</v>
      </c>
      <c r="AK165" s="452" t="s">
        <v>2536</v>
      </c>
      <c r="AL165" s="447" t="s">
        <v>62</v>
      </c>
      <c r="AM165" s="447" t="s">
        <v>158</v>
      </c>
      <c r="AN165" s="447">
        <v>310100100001000</v>
      </c>
      <c r="AO165" s="305" t="s">
        <v>1542</v>
      </c>
      <c r="AP165" s="305" t="s">
        <v>2402</v>
      </c>
      <c r="AQ165" s="305" t="s">
        <v>2537</v>
      </c>
      <c r="AR165" s="305" t="s">
        <v>2538</v>
      </c>
      <c r="AS165" s="305"/>
      <c r="AT165" s="305"/>
      <c r="AU165" s="306" t="str">
        <f t="shared" si="159"/>
        <v/>
      </c>
      <c r="AV165" s="306" t="str">
        <f t="shared" si="160"/>
        <v xml:space="preserve"> . Vacant Gano</v>
      </c>
      <c r="AW165" s="306" t="str">
        <f t="shared" si="171"/>
        <v xml:space="preserve">Vacant gano,  </v>
      </c>
      <c r="AX165" s="305"/>
      <c r="AY165" s="447"/>
      <c r="AZ165" s="472"/>
      <c r="BA165" s="101">
        <f t="shared" ca="1" si="177"/>
        <v>126</v>
      </c>
      <c r="BB165" s="492" t="str">
        <f t="shared" ca="1" si="178"/>
        <v>VACANT</v>
      </c>
      <c r="BC165" s="492" t="str">
        <f t="shared" si="179"/>
        <v>XXX</v>
      </c>
      <c r="BD165" s="492" t="str">
        <f t="shared" si="180"/>
        <v>XXX</v>
      </c>
      <c r="BE165" s="492" t="str">
        <f t="shared" si="181"/>
        <v>LGOO5XXX</v>
      </c>
      <c r="BF165" s="447"/>
      <c r="BG165" s="493"/>
      <c r="BH165" s="493"/>
      <c r="BI165" s="447">
        <f t="shared" ca="1" si="182"/>
        <v>126</v>
      </c>
      <c r="BJ165" s="447">
        <f t="shared" ca="1" si="167"/>
        <v>126</v>
      </c>
      <c r="BK165" s="493"/>
      <c r="BL165" s="447">
        <f t="shared" ca="1" si="168"/>
        <v>126</v>
      </c>
      <c r="BM165" s="447"/>
      <c r="BN165" s="512"/>
      <c r="BO165" s="423"/>
      <c r="BP165" s="513"/>
      <c r="BQ165" s="514" t="str">
        <f t="shared" si="169"/>
        <v>2</v>
      </c>
    </row>
    <row r="166" spans="1:69" ht="19.95" customHeight="1">
      <c r="A166" s="422" t="s">
        <v>575</v>
      </c>
      <c r="B166" s="423" t="s">
        <v>165</v>
      </c>
      <c r="C166" s="424">
        <v>20</v>
      </c>
      <c r="D166" s="424"/>
      <c r="E166" s="424"/>
      <c r="F166" s="424"/>
      <c r="G166" s="424"/>
      <c r="H166" s="424"/>
      <c r="I166" s="422" t="s">
        <v>2302</v>
      </c>
      <c r="J166" s="421" t="str">
        <f t="shared" si="172"/>
        <v>LGOO5Ab</v>
      </c>
      <c r="K166" s="421" t="str">
        <f t="shared" si="173"/>
        <v>LGOO5AbF</v>
      </c>
      <c r="L166" s="447" t="str">
        <f t="shared" si="174"/>
        <v>AbF</v>
      </c>
      <c r="M166" s="932">
        <v>3</v>
      </c>
      <c r="N166" s="932">
        <v>3</v>
      </c>
      <c r="O166" s="932">
        <v>3</v>
      </c>
      <c r="P166" s="932">
        <v>3</v>
      </c>
      <c r="Q166" s="940"/>
      <c r="R166" s="940"/>
      <c r="S166" s="940"/>
      <c r="T166" s="940"/>
      <c r="U166" s="940"/>
      <c r="V166" s="940"/>
      <c r="W166" s="940"/>
      <c r="X166" s="948"/>
      <c r="Y166" s="948"/>
      <c r="Z166" s="948"/>
      <c r="AA166" s="948"/>
      <c r="AB166" s="948"/>
      <c r="AC166" s="948"/>
      <c r="AD166" s="616"/>
      <c r="AE166" s="616"/>
      <c r="AF166" s="616"/>
      <c r="AG166" s="616"/>
      <c r="AH166" s="448">
        <f t="shared" si="175"/>
        <v>613860</v>
      </c>
      <c r="AI166" s="449">
        <f t="shared" si="176"/>
        <v>623868</v>
      </c>
      <c r="AJ166" s="450">
        <v>2</v>
      </c>
      <c r="AK166" s="452" t="s">
        <v>576</v>
      </c>
      <c r="AL166" s="447" t="s">
        <v>62</v>
      </c>
      <c r="AM166" s="447" t="s">
        <v>158</v>
      </c>
      <c r="AN166" s="447">
        <v>310100100001000</v>
      </c>
      <c r="AO166" s="305" t="s">
        <v>408</v>
      </c>
      <c r="AP166" s="305" t="s">
        <v>2423</v>
      </c>
      <c r="AQ166" s="305" t="s">
        <v>2524</v>
      </c>
      <c r="AR166" s="305" t="s">
        <v>510</v>
      </c>
      <c r="AS166" s="305" t="s">
        <v>2539</v>
      </c>
      <c r="AT166" s="305" t="s">
        <v>79</v>
      </c>
      <c r="AU166" s="306" t="str">
        <f t="shared" si="159"/>
        <v>T</v>
      </c>
      <c r="AV166" s="306" t="str">
        <f t="shared" si="160"/>
        <v>Sharima  T. Valera</v>
      </c>
      <c r="AW166" s="306" t="str">
        <f t="shared" si="171"/>
        <v>VALERA, Sharima  Tomas</v>
      </c>
      <c r="AX166" s="305" t="s">
        <v>408</v>
      </c>
      <c r="AY166" s="447" t="s">
        <v>100</v>
      </c>
      <c r="AZ166" s="472">
        <v>30896</v>
      </c>
      <c r="BA166" s="101">
        <f t="shared" ca="1" si="177"/>
        <v>41</v>
      </c>
      <c r="BB166" s="492" t="str">
        <f t="shared" ca="1" si="178"/>
        <v>C</v>
      </c>
      <c r="BC166" s="492" t="str">
        <f t="shared" ca="1" si="179"/>
        <v>AbC</v>
      </c>
      <c r="BD166" s="492" t="str">
        <f t="shared" ca="1" si="180"/>
        <v>AbCF</v>
      </c>
      <c r="BE166" s="492" t="str">
        <f t="shared" ca="1" si="181"/>
        <v>LGOO5AbCF</v>
      </c>
      <c r="BF166" s="447" t="s">
        <v>2540</v>
      </c>
      <c r="BG166" s="493">
        <v>40513</v>
      </c>
      <c r="BH166" s="494">
        <v>41372</v>
      </c>
      <c r="BI166" s="447">
        <f t="shared" ca="1" si="182"/>
        <v>15</v>
      </c>
      <c r="BJ166" s="447">
        <f t="shared" ca="1" si="167"/>
        <v>12</v>
      </c>
      <c r="BK166" s="493">
        <v>42289</v>
      </c>
      <c r="BL166" s="447">
        <f t="shared" ca="1" si="168"/>
        <v>10</v>
      </c>
      <c r="BM166" s="447" t="s">
        <v>64</v>
      </c>
      <c r="BN166" s="512" t="s">
        <v>102</v>
      </c>
      <c r="BO166" s="423" t="s">
        <v>3412</v>
      </c>
      <c r="BP166" s="513" t="s">
        <v>1207</v>
      </c>
      <c r="BQ166" s="514" t="str">
        <f t="shared" si="169"/>
        <v>2FP</v>
      </c>
    </row>
    <row r="167" spans="1:69" ht="19.95" customHeight="1">
      <c r="A167" s="422" t="s">
        <v>606</v>
      </c>
      <c r="B167" s="423" t="s">
        <v>165</v>
      </c>
      <c r="C167" s="424">
        <v>20</v>
      </c>
      <c r="D167" s="424"/>
      <c r="E167" s="424"/>
      <c r="F167" s="424"/>
      <c r="G167" s="424"/>
      <c r="H167" s="424"/>
      <c r="I167" s="422" t="s">
        <v>2302</v>
      </c>
      <c r="J167" s="421" t="str">
        <f t="shared" si="172"/>
        <v>LGOO5Ab</v>
      </c>
      <c r="K167" s="421" t="str">
        <f t="shared" si="173"/>
        <v>LGOO5AbF</v>
      </c>
      <c r="L167" s="447" t="str">
        <f t="shared" si="174"/>
        <v>AbF</v>
      </c>
      <c r="M167" s="932">
        <v>3</v>
      </c>
      <c r="N167" s="932">
        <v>3</v>
      </c>
      <c r="O167" s="932">
        <v>3</v>
      </c>
      <c r="P167" s="932">
        <v>3</v>
      </c>
      <c r="Q167" s="940"/>
      <c r="R167" s="940"/>
      <c r="S167" s="940"/>
      <c r="T167" s="940"/>
      <c r="U167" s="940"/>
      <c r="V167" s="940"/>
      <c r="W167" s="940"/>
      <c r="X167" s="948"/>
      <c r="Y167" s="948"/>
      <c r="Z167" s="948"/>
      <c r="AA167" s="948"/>
      <c r="AB167" s="948"/>
      <c r="AC167" s="948"/>
      <c r="AD167" s="616"/>
      <c r="AE167" s="616"/>
      <c r="AF167" s="616"/>
      <c r="AG167" s="616"/>
      <c r="AH167" s="448">
        <f t="shared" si="175"/>
        <v>613860</v>
      </c>
      <c r="AI167" s="449">
        <f t="shared" si="176"/>
        <v>613860</v>
      </c>
      <c r="AJ167" s="450">
        <v>1</v>
      </c>
      <c r="AK167" s="452" t="s">
        <v>465</v>
      </c>
      <c r="AL167" s="447" t="s">
        <v>64</v>
      </c>
      <c r="AM167" s="447" t="s">
        <v>158</v>
      </c>
      <c r="AN167" s="447">
        <v>310100100001000</v>
      </c>
      <c r="AO167" s="305" t="s">
        <v>408</v>
      </c>
      <c r="AP167" s="305" t="s">
        <v>2404</v>
      </c>
      <c r="AQ167" s="306" t="s">
        <v>408</v>
      </c>
      <c r="AR167" s="306" t="s">
        <v>2098</v>
      </c>
      <c r="AS167" s="306" t="s">
        <v>2099</v>
      </c>
      <c r="AT167" s="306" t="s">
        <v>2100</v>
      </c>
      <c r="AU167" s="306" t="str">
        <f t="shared" si="159"/>
        <v>B</v>
      </c>
      <c r="AV167" s="306" t="str">
        <f t="shared" si="160"/>
        <v>Rose-Ann B. Saguiyod</v>
      </c>
      <c r="AW167" s="306" t="str">
        <f t="shared" si="171"/>
        <v>SAGUIYOD, Rose-Ann Ballangan</v>
      </c>
      <c r="AX167" s="305" t="s">
        <v>408</v>
      </c>
      <c r="AY167" s="447" t="s">
        <v>100</v>
      </c>
      <c r="AZ167" s="472">
        <v>33468</v>
      </c>
      <c r="BA167" s="101">
        <f t="shared" ca="1" si="177"/>
        <v>34</v>
      </c>
      <c r="BB167" s="492" t="str">
        <f t="shared" ca="1" si="178"/>
        <v>B</v>
      </c>
      <c r="BC167" s="492" t="str">
        <f t="shared" ca="1" si="179"/>
        <v>AbB</v>
      </c>
      <c r="BD167" s="492" t="str">
        <f t="shared" ca="1" si="180"/>
        <v>AbBF</v>
      </c>
      <c r="BE167" s="492" t="str">
        <f t="shared" ca="1" si="181"/>
        <v>LGOO5AbBF</v>
      </c>
      <c r="BF167" s="927" t="s">
        <v>2542</v>
      </c>
      <c r="BG167" s="493">
        <v>41913</v>
      </c>
      <c r="BH167" s="493">
        <v>41913</v>
      </c>
      <c r="BI167" s="447">
        <f t="shared" ca="1" si="182"/>
        <v>11</v>
      </c>
      <c r="BJ167" s="447">
        <f t="shared" ca="1" si="167"/>
        <v>11</v>
      </c>
      <c r="BK167" s="493">
        <v>43518</v>
      </c>
      <c r="BL167" s="447">
        <f t="shared" ca="1" si="168"/>
        <v>7</v>
      </c>
      <c r="BM167" s="447" t="s">
        <v>64</v>
      </c>
      <c r="BN167" s="512" t="s">
        <v>102</v>
      </c>
      <c r="BO167" s="423" t="s">
        <v>3414</v>
      </c>
      <c r="BP167" s="513"/>
      <c r="BQ167" s="514" t="str">
        <f t="shared" si="169"/>
        <v>2FP</v>
      </c>
    </row>
    <row r="168" spans="1:69" ht="19.95" customHeight="1">
      <c r="A168" s="422" t="s">
        <v>689</v>
      </c>
      <c r="B168" s="423" t="s">
        <v>165</v>
      </c>
      <c r="C168" s="424">
        <v>20</v>
      </c>
      <c r="D168" s="424"/>
      <c r="E168" s="424"/>
      <c r="F168" s="424"/>
      <c r="G168" s="424"/>
      <c r="H168" s="424"/>
      <c r="I168" s="422" t="s">
        <v>2302</v>
      </c>
      <c r="J168" s="421" t="str">
        <f t="shared" si="172"/>
        <v>LGOO5Ab</v>
      </c>
      <c r="K168" s="421" t="str">
        <f t="shared" si="173"/>
        <v>LGOO5AbM</v>
      </c>
      <c r="L168" s="447" t="str">
        <f t="shared" si="174"/>
        <v>AbM</v>
      </c>
      <c r="M168" s="932">
        <v>3</v>
      </c>
      <c r="N168" s="932">
        <v>3</v>
      </c>
      <c r="O168" s="932">
        <v>3</v>
      </c>
      <c r="P168" s="932">
        <v>3</v>
      </c>
      <c r="Q168" s="940"/>
      <c r="R168" s="940"/>
      <c r="S168" s="940"/>
      <c r="T168" s="940"/>
      <c r="U168" s="940"/>
      <c r="V168" s="940"/>
      <c r="W168" s="940"/>
      <c r="X168" s="948"/>
      <c r="Y168" s="948"/>
      <c r="Z168" s="948"/>
      <c r="AA168" s="948"/>
      <c r="AB168" s="948"/>
      <c r="AC168" s="948"/>
      <c r="AD168" s="616"/>
      <c r="AE168" s="616"/>
      <c r="AF168" s="616"/>
      <c r="AG168" s="616"/>
      <c r="AH168" s="448">
        <f t="shared" si="175"/>
        <v>613860</v>
      </c>
      <c r="AI168" s="449">
        <f t="shared" si="176"/>
        <v>613860</v>
      </c>
      <c r="AJ168" s="450">
        <v>1</v>
      </c>
      <c r="AK168" s="452" t="s">
        <v>465</v>
      </c>
      <c r="AL168" s="447" t="s">
        <v>64</v>
      </c>
      <c r="AM168" s="447" t="s">
        <v>158</v>
      </c>
      <c r="AN168" s="447">
        <v>310100100001000</v>
      </c>
      <c r="AO168" s="305" t="s">
        <v>408</v>
      </c>
      <c r="AP168" s="305" t="s">
        <v>2404</v>
      </c>
      <c r="AQ168" s="306" t="s">
        <v>408</v>
      </c>
      <c r="AR168" s="306" t="s">
        <v>483</v>
      </c>
      <c r="AS168" s="306" t="s">
        <v>2072</v>
      </c>
      <c r="AT168" s="306" t="s">
        <v>2073</v>
      </c>
      <c r="AU168" s="306" t="str">
        <f t="shared" si="159"/>
        <v>B</v>
      </c>
      <c r="AV168" s="306" t="str">
        <f t="shared" si="160"/>
        <v>Santos B. Trinidad</v>
      </c>
      <c r="AW168" s="306" t="str">
        <f t="shared" si="171"/>
        <v>TRINIDAD, Santos Beñas</v>
      </c>
      <c r="AX168" s="305" t="s">
        <v>408</v>
      </c>
      <c r="AY168" s="447" t="s">
        <v>62</v>
      </c>
      <c r="AZ168" s="472">
        <v>28775</v>
      </c>
      <c r="BA168" s="101">
        <f t="shared" ca="1" si="177"/>
        <v>47</v>
      </c>
      <c r="BB168" s="492" t="str">
        <f t="shared" ca="1" si="178"/>
        <v>C</v>
      </c>
      <c r="BC168" s="492" t="str">
        <f t="shared" ca="1" si="179"/>
        <v>AbC</v>
      </c>
      <c r="BD168" s="492" t="str">
        <f t="shared" ca="1" si="180"/>
        <v>AbCM</v>
      </c>
      <c r="BE168" s="492" t="str">
        <f t="shared" ca="1" si="181"/>
        <v>LGOO5AbCM</v>
      </c>
      <c r="BF168" s="447" t="s">
        <v>2376</v>
      </c>
      <c r="BG168" s="493">
        <v>38481</v>
      </c>
      <c r="BH168" s="494">
        <v>41176</v>
      </c>
      <c r="BI168" s="447">
        <f t="shared" ca="1" si="182"/>
        <v>20</v>
      </c>
      <c r="BJ168" s="447">
        <f t="shared" ca="1" si="167"/>
        <v>13</v>
      </c>
      <c r="BK168" s="493">
        <v>43129</v>
      </c>
      <c r="BL168" s="447">
        <f t="shared" ca="1" si="168"/>
        <v>8</v>
      </c>
      <c r="BM168" s="447" t="s">
        <v>64</v>
      </c>
      <c r="BN168" s="512" t="s">
        <v>102</v>
      </c>
      <c r="BO168" s="423" t="s">
        <v>2273</v>
      </c>
      <c r="BP168" s="513" t="s">
        <v>408</v>
      </c>
      <c r="BQ168" s="514" t="str">
        <f t="shared" si="169"/>
        <v>2MP</v>
      </c>
    </row>
    <row r="169" spans="1:69" ht="19.95" customHeight="1">
      <c r="A169" s="422" t="s">
        <v>710</v>
      </c>
      <c r="B169" s="423" t="s">
        <v>165</v>
      </c>
      <c r="C169" s="424">
        <v>20</v>
      </c>
      <c r="D169" s="424"/>
      <c r="E169" s="424"/>
      <c r="F169" s="424"/>
      <c r="G169" s="424"/>
      <c r="H169" s="424"/>
      <c r="I169" s="422" t="s">
        <v>2302</v>
      </c>
      <c r="J169" s="421" t="str">
        <f t="shared" si="172"/>
        <v>LGOO5B</v>
      </c>
      <c r="K169" s="421" t="str">
        <f t="shared" si="173"/>
        <v>LGOO5BF</v>
      </c>
      <c r="L169" s="447" t="str">
        <f t="shared" si="174"/>
        <v>BF</v>
      </c>
      <c r="M169" s="932">
        <v>3</v>
      </c>
      <c r="N169" s="932">
        <v>3</v>
      </c>
      <c r="O169" s="932">
        <v>3</v>
      </c>
      <c r="P169" s="932">
        <v>3</v>
      </c>
      <c r="Q169" s="940"/>
      <c r="R169" s="940"/>
      <c r="S169" s="940"/>
      <c r="T169" s="940"/>
      <c r="U169" s="940"/>
      <c r="V169" s="940"/>
      <c r="W169" s="940"/>
      <c r="X169" s="948"/>
      <c r="Y169" s="948"/>
      <c r="Z169" s="948"/>
      <c r="AA169" s="948"/>
      <c r="AB169" s="948"/>
      <c r="AC169" s="948"/>
      <c r="AD169" s="616"/>
      <c r="AE169" s="616"/>
      <c r="AF169" s="616"/>
      <c r="AG169" s="616"/>
      <c r="AH169" s="448">
        <f t="shared" si="175"/>
        <v>613860</v>
      </c>
      <c r="AI169" s="449">
        <f t="shared" si="176"/>
        <v>634056</v>
      </c>
      <c r="AJ169" s="450">
        <v>3</v>
      </c>
      <c r="AK169" s="452" t="s">
        <v>53</v>
      </c>
      <c r="AL169" s="447" t="s">
        <v>54</v>
      </c>
      <c r="AM169" s="447" t="s">
        <v>158</v>
      </c>
      <c r="AN169" s="447">
        <v>310100100001000</v>
      </c>
      <c r="AO169" s="306" t="s">
        <v>167</v>
      </c>
      <c r="AP169" s="306" t="s">
        <v>2404</v>
      </c>
      <c r="AQ169" s="306" t="s">
        <v>2543</v>
      </c>
      <c r="AR169" s="306" t="s">
        <v>69</v>
      </c>
      <c r="AS169" s="306" t="s">
        <v>1161</v>
      </c>
      <c r="AT169" s="306" t="s">
        <v>1973</v>
      </c>
      <c r="AU169" s="306" t="str">
        <f t="shared" si="159"/>
        <v>A</v>
      </c>
      <c r="AV169" s="306" t="str">
        <f t="shared" si="160"/>
        <v>Ma. Teresa A. Mangangey</v>
      </c>
      <c r="AW169" s="306" t="str">
        <f t="shared" si="171"/>
        <v>MANGANGEY, Ma. Teresa Ancheta</v>
      </c>
      <c r="AX169" s="305" t="s">
        <v>167</v>
      </c>
      <c r="AY169" s="447" t="s">
        <v>100</v>
      </c>
      <c r="AZ169" s="472">
        <v>25727</v>
      </c>
      <c r="BA169" s="101">
        <f t="shared" ca="1" si="177"/>
        <v>55</v>
      </c>
      <c r="BB169" s="492" t="str">
        <f t="shared" ca="1" si="178"/>
        <v>D</v>
      </c>
      <c r="BC169" s="492" t="str">
        <f t="shared" ca="1" si="179"/>
        <v>BD</v>
      </c>
      <c r="BD169" s="492" t="str">
        <f t="shared" ca="1" si="180"/>
        <v>BDF</v>
      </c>
      <c r="BE169" s="492" t="str">
        <f t="shared" ca="1" si="181"/>
        <v>LGOO5BDF</v>
      </c>
      <c r="BF169" s="447" t="s">
        <v>1163</v>
      </c>
      <c r="BG169" s="493">
        <v>36069</v>
      </c>
      <c r="BH169" s="493">
        <v>36069</v>
      </c>
      <c r="BI169" s="447">
        <f t="shared" ca="1" si="182"/>
        <v>27</v>
      </c>
      <c r="BJ169" s="447">
        <f t="shared" ca="1" si="167"/>
        <v>27</v>
      </c>
      <c r="BK169" s="493">
        <v>41138</v>
      </c>
      <c r="BL169" s="447">
        <f t="shared" ref="BL169:BL182" ca="1" si="183">DATEDIF(BK169,TODAY(),"Y")</f>
        <v>13</v>
      </c>
      <c r="BM169" s="447" t="s">
        <v>64</v>
      </c>
      <c r="BN169" s="512" t="s">
        <v>102</v>
      </c>
      <c r="BO169" s="423" t="s">
        <v>2669</v>
      </c>
      <c r="BP169" s="513"/>
      <c r="BQ169" s="514" t="str">
        <f t="shared" si="169"/>
        <v>2FP</v>
      </c>
    </row>
    <row r="170" spans="1:69" ht="19.95" customHeight="1">
      <c r="A170" s="422" t="s">
        <v>754</v>
      </c>
      <c r="B170" s="423" t="s">
        <v>165</v>
      </c>
      <c r="C170" s="424">
        <v>20</v>
      </c>
      <c r="D170" s="424"/>
      <c r="E170" s="424"/>
      <c r="F170" s="424"/>
      <c r="G170" s="424"/>
      <c r="H170" s="424"/>
      <c r="I170" s="422" t="s">
        <v>2302</v>
      </c>
      <c r="J170" s="421" t="str">
        <f t="shared" si="172"/>
        <v>LGOO5B</v>
      </c>
      <c r="K170" s="421" t="str">
        <f t="shared" si="173"/>
        <v>LGOO5BF</v>
      </c>
      <c r="L170" s="447" t="str">
        <f t="shared" si="174"/>
        <v>BF</v>
      </c>
      <c r="M170" s="932">
        <v>3</v>
      </c>
      <c r="N170" s="932">
        <v>3</v>
      </c>
      <c r="O170" s="932">
        <v>3</v>
      </c>
      <c r="P170" s="932">
        <v>3</v>
      </c>
      <c r="Q170" s="940"/>
      <c r="R170" s="940"/>
      <c r="S170" s="940"/>
      <c r="T170" s="940"/>
      <c r="U170" s="940"/>
      <c r="V170" s="940"/>
      <c r="W170" s="940"/>
      <c r="X170" s="948"/>
      <c r="Y170" s="948"/>
      <c r="Z170" s="948"/>
      <c r="AA170" s="948"/>
      <c r="AB170" s="948"/>
      <c r="AC170" s="948"/>
      <c r="AD170" s="616"/>
      <c r="AE170" s="616"/>
      <c r="AF170" s="616"/>
      <c r="AG170" s="616"/>
      <c r="AH170" s="448">
        <f t="shared" si="175"/>
        <v>613860</v>
      </c>
      <c r="AI170" s="449">
        <f t="shared" si="176"/>
        <v>665616</v>
      </c>
      <c r="AJ170" s="450">
        <v>6</v>
      </c>
      <c r="AK170" s="452" t="s">
        <v>53</v>
      </c>
      <c r="AL170" s="447" t="s">
        <v>54</v>
      </c>
      <c r="AM170" s="447" t="s">
        <v>158</v>
      </c>
      <c r="AN170" s="447">
        <v>310100100001000</v>
      </c>
      <c r="AO170" s="306" t="s">
        <v>167</v>
      </c>
      <c r="AP170" s="306" t="s">
        <v>2423</v>
      </c>
      <c r="AQ170" s="306" t="s">
        <v>2543</v>
      </c>
      <c r="AR170" s="306" t="s">
        <v>1057</v>
      </c>
      <c r="AS170" s="306" t="s">
        <v>847</v>
      </c>
      <c r="AT170" s="306" t="s">
        <v>1929</v>
      </c>
      <c r="AU170" s="306" t="str">
        <f t="shared" si="159"/>
        <v>S</v>
      </c>
      <c r="AV170" s="306" t="str">
        <f t="shared" si="160"/>
        <v>Elizabeth S. Olangcay</v>
      </c>
      <c r="AW170" s="306" t="str">
        <f t="shared" si="171"/>
        <v>OLANGCAY, Elizabeth Saguid</v>
      </c>
      <c r="AX170" s="305" t="s">
        <v>167</v>
      </c>
      <c r="AY170" s="447" t="s">
        <v>100</v>
      </c>
      <c r="AZ170" s="472">
        <v>24279</v>
      </c>
      <c r="BA170" s="101">
        <f t="shared" ca="1" si="177"/>
        <v>59</v>
      </c>
      <c r="BB170" s="492" t="str">
        <f t="shared" ca="1" si="178"/>
        <v>D</v>
      </c>
      <c r="BC170" s="492" t="str">
        <f t="shared" ca="1" si="179"/>
        <v>BD</v>
      </c>
      <c r="BD170" s="492" t="str">
        <f t="shared" ca="1" si="180"/>
        <v>BDF</v>
      </c>
      <c r="BE170" s="492" t="str">
        <f t="shared" ca="1" si="181"/>
        <v>LGOO5BDF</v>
      </c>
      <c r="BF170" s="447" t="s">
        <v>1059</v>
      </c>
      <c r="BG170" s="493">
        <v>32615</v>
      </c>
      <c r="BH170" s="493">
        <v>32615</v>
      </c>
      <c r="BI170" s="447">
        <f t="shared" ca="1" si="182"/>
        <v>36</v>
      </c>
      <c r="BJ170" s="447">
        <f t="shared" ca="1" si="167"/>
        <v>36</v>
      </c>
      <c r="BK170" s="493">
        <v>37453</v>
      </c>
      <c r="BL170" s="447">
        <f t="shared" ca="1" si="183"/>
        <v>23</v>
      </c>
      <c r="BM170" s="447" t="s">
        <v>64</v>
      </c>
      <c r="BN170" s="512" t="s">
        <v>102</v>
      </c>
      <c r="BO170" s="423" t="s">
        <v>2254</v>
      </c>
      <c r="BP170" s="513" t="s">
        <v>1207</v>
      </c>
      <c r="BQ170" s="514" t="str">
        <f t="shared" si="169"/>
        <v>2FP</v>
      </c>
    </row>
    <row r="171" spans="1:69" ht="19.95" customHeight="1">
      <c r="A171" s="422" t="s">
        <v>798</v>
      </c>
      <c r="B171" s="423" t="s">
        <v>165</v>
      </c>
      <c r="C171" s="424">
        <v>20</v>
      </c>
      <c r="D171" s="424"/>
      <c r="E171" s="424"/>
      <c r="F171" s="424"/>
      <c r="G171" s="424"/>
      <c r="H171" s="424"/>
      <c r="I171" s="422" t="s">
        <v>2302</v>
      </c>
      <c r="J171" s="421" t="str">
        <f t="shared" si="172"/>
        <v>LGOO5MP</v>
      </c>
      <c r="K171" s="421" t="str">
        <f t="shared" si="173"/>
        <v>LGOO5MPM</v>
      </c>
      <c r="L171" s="447" t="str">
        <f t="shared" si="174"/>
        <v>MPM</v>
      </c>
      <c r="M171" s="932">
        <v>3</v>
      </c>
      <c r="N171" s="932">
        <v>3</v>
      </c>
      <c r="O171" s="932">
        <v>3</v>
      </c>
      <c r="P171" s="932">
        <v>3</v>
      </c>
      <c r="Q171" s="940"/>
      <c r="R171" s="940"/>
      <c r="S171" s="940"/>
      <c r="T171" s="940"/>
      <c r="U171" s="940"/>
      <c r="V171" s="940"/>
      <c r="W171" s="940"/>
      <c r="X171" s="948"/>
      <c r="Y171" s="948"/>
      <c r="Z171" s="948"/>
      <c r="AA171" s="948"/>
      <c r="AB171" s="948"/>
      <c r="AC171" s="948"/>
      <c r="AD171" s="616"/>
      <c r="AE171" s="616"/>
      <c r="AF171" s="616"/>
      <c r="AG171" s="616"/>
      <c r="AH171" s="448">
        <f t="shared" si="175"/>
        <v>613860</v>
      </c>
      <c r="AI171" s="449">
        <f t="shared" si="176"/>
        <v>613860</v>
      </c>
      <c r="AJ171" s="450">
        <v>1</v>
      </c>
      <c r="AK171" s="452" t="s">
        <v>352</v>
      </c>
      <c r="AL171" s="447" t="s">
        <v>64</v>
      </c>
      <c r="AM171" s="447" t="s">
        <v>158</v>
      </c>
      <c r="AN171" s="447">
        <v>310100100001000</v>
      </c>
      <c r="AO171" s="305" t="s">
        <v>268</v>
      </c>
      <c r="AP171" s="306" t="s">
        <v>2404</v>
      </c>
      <c r="AQ171" s="306" t="s">
        <v>268</v>
      </c>
      <c r="AR171" s="305" t="s">
        <v>805</v>
      </c>
      <c r="AS171" s="305" t="s">
        <v>2545</v>
      </c>
      <c r="AT171" s="305" t="s">
        <v>2017</v>
      </c>
      <c r="AU171" s="306" t="str">
        <f t="shared" si="159"/>
        <v>D</v>
      </c>
      <c r="AV171" s="306" t="str">
        <f t="shared" si="160"/>
        <v>Perry  D. Bacwaden</v>
      </c>
      <c r="AW171" s="306" t="str">
        <f t="shared" si="171"/>
        <v>BACWADEN, Perry  Daoas</v>
      </c>
      <c r="AX171" s="305" t="s">
        <v>268</v>
      </c>
      <c r="AY171" s="447" t="s">
        <v>62</v>
      </c>
      <c r="AZ171" s="472">
        <v>30584</v>
      </c>
      <c r="BA171" s="101">
        <f t="shared" ca="1" si="177"/>
        <v>42</v>
      </c>
      <c r="BB171" s="492" t="str">
        <f t="shared" ca="1" si="178"/>
        <v>C</v>
      </c>
      <c r="BC171" s="492" t="str">
        <f t="shared" ca="1" si="179"/>
        <v>MPC</v>
      </c>
      <c r="BD171" s="492" t="str">
        <f t="shared" ca="1" si="180"/>
        <v>MPCM</v>
      </c>
      <c r="BE171" s="492" t="str">
        <f t="shared" ca="1" si="181"/>
        <v>LGOO5MPCM</v>
      </c>
      <c r="BF171" s="498" t="s">
        <v>2546</v>
      </c>
      <c r="BG171" s="493">
        <v>40910</v>
      </c>
      <c r="BH171" s="493">
        <v>40910</v>
      </c>
      <c r="BI171" s="447">
        <f t="shared" ca="1" si="182"/>
        <v>14</v>
      </c>
      <c r="BJ171" s="447">
        <f t="shared" ca="1" si="167"/>
        <v>14</v>
      </c>
      <c r="BK171" s="493">
        <v>43283</v>
      </c>
      <c r="BL171" s="447">
        <f t="shared" ca="1" si="183"/>
        <v>7</v>
      </c>
      <c r="BM171" s="447" t="s">
        <v>64</v>
      </c>
      <c r="BN171" s="512" t="s">
        <v>102</v>
      </c>
      <c r="BO171" s="423" t="s">
        <v>2730</v>
      </c>
      <c r="BP171" s="513"/>
      <c r="BQ171" s="514" t="str">
        <f t="shared" ref="BQ171:BQ178" si="184">CONCATENATE(2,AY171,BM171)</f>
        <v>2MP</v>
      </c>
    </row>
    <row r="172" spans="1:69" ht="19.95" customHeight="1">
      <c r="A172" s="422" t="s">
        <v>822</v>
      </c>
      <c r="B172" s="423" t="s">
        <v>165</v>
      </c>
      <c r="C172" s="424">
        <v>20</v>
      </c>
      <c r="D172" s="424"/>
      <c r="E172" s="424"/>
      <c r="F172" s="424"/>
      <c r="G172" s="424"/>
      <c r="H172" s="424"/>
      <c r="I172" s="422" t="s">
        <v>2302</v>
      </c>
      <c r="J172" s="421" t="str">
        <f t="shared" si="172"/>
        <v>LGOO5MP</v>
      </c>
      <c r="K172" s="421" t="str">
        <f t="shared" si="173"/>
        <v>LGOO5MPF</v>
      </c>
      <c r="L172" s="447" t="str">
        <f t="shared" si="174"/>
        <v>MPF</v>
      </c>
      <c r="M172" s="932">
        <v>3</v>
      </c>
      <c r="N172" s="932">
        <v>3</v>
      </c>
      <c r="O172" s="932">
        <v>3</v>
      </c>
      <c r="P172" s="932">
        <v>3</v>
      </c>
      <c r="Q172" s="940"/>
      <c r="R172" s="940"/>
      <c r="S172" s="940"/>
      <c r="T172" s="940"/>
      <c r="U172" s="940"/>
      <c r="V172" s="940"/>
      <c r="W172" s="940"/>
      <c r="X172" s="948"/>
      <c r="Y172" s="948"/>
      <c r="Z172" s="948"/>
      <c r="AA172" s="948"/>
      <c r="AB172" s="948"/>
      <c r="AC172" s="948"/>
      <c r="AD172" s="616"/>
      <c r="AE172" s="616"/>
      <c r="AF172" s="616"/>
      <c r="AG172" s="616"/>
      <c r="AH172" s="448">
        <f t="shared" si="175"/>
        <v>613860</v>
      </c>
      <c r="AI172" s="449">
        <f t="shared" si="176"/>
        <v>613860</v>
      </c>
      <c r="AJ172" s="450">
        <v>1</v>
      </c>
      <c r="AK172" s="452" t="s">
        <v>352</v>
      </c>
      <c r="AL172" s="447" t="s">
        <v>64</v>
      </c>
      <c r="AM172" s="447" t="s">
        <v>158</v>
      </c>
      <c r="AN172" s="447">
        <v>310100100001000</v>
      </c>
      <c r="AO172" s="305" t="s">
        <v>268</v>
      </c>
      <c r="AP172" s="306" t="s">
        <v>2404</v>
      </c>
      <c r="AQ172" s="306" t="s">
        <v>268</v>
      </c>
      <c r="AR172" s="306" t="s">
        <v>2021</v>
      </c>
      <c r="AS172" s="306" t="s">
        <v>295</v>
      </c>
      <c r="AT172" s="306" t="s">
        <v>2022</v>
      </c>
      <c r="AU172" s="306" t="str">
        <f t="shared" si="159"/>
        <v>L</v>
      </c>
      <c r="AV172" s="306" t="str">
        <f t="shared" si="160"/>
        <v>Jennifer L. Licyayo</v>
      </c>
      <c r="AW172" s="306" t="str">
        <f t="shared" si="171"/>
        <v>LICYAYO, Jennifer Lablabong</v>
      </c>
      <c r="AX172" s="305" t="s">
        <v>268</v>
      </c>
      <c r="AY172" s="447" t="s">
        <v>100</v>
      </c>
      <c r="AZ172" s="472">
        <v>31174</v>
      </c>
      <c r="BA172" s="101">
        <f t="shared" ca="1" si="177"/>
        <v>40</v>
      </c>
      <c r="BB172" s="492" t="str">
        <f t="shared" ca="1" si="178"/>
        <v>C</v>
      </c>
      <c r="BC172" s="492" t="str">
        <f t="shared" ca="1" si="179"/>
        <v>MPC</v>
      </c>
      <c r="BD172" s="492" t="str">
        <f t="shared" ca="1" si="180"/>
        <v>MPCF</v>
      </c>
      <c r="BE172" s="492" t="str">
        <f t="shared" ca="1" si="181"/>
        <v>LGOO5MPCF</v>
      </c>
      <c r="BF172" s="447" t="s">
        <v>2547</v>
      </c>
      <c r="BG172" s="493">
        <v>40910</v>
      </c>
      <c r="BH172" s="493">
        <v>40910</v>
      </c>
      <c r="BI172" s="447">
        <f t="shared" ca="1" si="182"/>
        <v>14</v>
      </c>
      <c r="BJ172" s="447">
        <f t="shared" ca="1" si="167"/>
        <v>14</v>
      </c>
      <c r="BK172" s="493">
        <v>43129</v>
      </c>
      <c r="BL172" s="447">
        <f t="shared" ca="1" si="183"/>
        <v>8</v>
      </c>
      <c r="BM172" s="447" t="s">
        <v>64</v>
      </c>
      <c r="BN172" s="512" t="s">
        <v>84</v>
      </c>
      <c r="BO172" s="423" t="s">
        <v>2254</v>
      </c>
      <c r="BP172" s="513" t="s">
        <v>2548</v>
      </c>
      <c r="BQ172" s="514" t="str">
        <f t="shared" si="184"/>
        <v>2FP</v>
      </c>
    </row>
    <row r="173" spans="1:69" ht="19.95" customHeight="1">
      <c r="A173" s="422" t="s">
        <v>850</v>
      </c>
      <c r="B173" s="423" t="s">
        <v>165</v>
      </c>
      <c r="C173" s="424">
        <v>20</v>
      </c>
      <c r="D173" s="424"/>
      <c r="E173" s="424"/>
      <c r="F173" s="424"/>
      <c r="G173" s="424"/>
      <c r="H173" s="424"/>
      <c r="I173" s="422" t="s">
        <v>2302</v>
      </c>
      <c r="J173" s="421" t="str">
        <f t="shared" si="172"/>
        <v>LGOO5I</v>
      </c>
      <c r="K173" s="421" t="str">
        <f t="shared" si="173"/>
        <v>LGOO5IM</v>
      </c>
      <c r="L173" s="447" t="str">
        <f t="shared" si="174"/>
        <v>IM</v>
      </c>
      <c r="M173" s="932">
        <v>3</v>
      </c>
      <c r="N173" s="932">
        <v>3</v>
      </c>
      <c r="O173" s="932">
        <v>3</v>
      </c>
      <c r="P173" s="932">
        <v>3</v>
      </c>
      <c r="Q173" s="940"/>
      <c r="R173" s="940"/>
      <c r="S173" s="940"/>
      <c r="T173" s="940"/>
      <c r="U173" s="940"/>
      <c r="V173" s="940"/>
      <c r="W173" s="940"/>
      <c r="X173" s="948"/>
      <c r="Y173" s="948"/>
      <c r="Z173" s="948"/>
      <c r="AA173" s="948"/>
      <c r="AB173" s="948"/>
      <c r="AC173" s="948"/>
      <c r="AD173" s="616"/>
      <c r="AE173" s="616"/>
      <c r="AF173" s="616"/>
      <c r="AG173" s="616"/>
      <c r="AH173" s="448">
        <f t="shared" si="175"/>
        <v>613860</v>
      </c>
      <c r="AI173" s="449">
        <f t="shared" si="176"/>
        <v>613860</v>
      </c>
      <c r="AJ173" s="450">
        <v>1</v>
      </c>
      <c r="AK173" s="452" t="s">
        <v>487</v>
      </c>
      <c r="AL173" s="447" t="s">
        <v>64</v>
      </c>
      <c r="AM173" s="447" t="s">
        <v>158</v>
      </c>
      <c r="AN173" s="447">
        <v>310100100001000</v>
      </c>
      <c r="AO173" s="306" t="s">
        <v>174</v>
      </c>
      <c r="AP173" s="306" t="s">
        <v>2404</v>
      </c>
      <c r="AQ173" s="306" t="s">
        <v>174</v>
      </c>
      <c r="AR173" s="305" t="s">
        <v>2048</v>
      </c>
      <c r="AS173" s="305" t="s">
        <v>2049</v>
      </c>
      <c r="AT173" s="305" t="s">
        <v>1133</v>
      </c>
      <c r="AU173" s="306" t="str">
        <f t="shared" si="159"/>
        <v>D</v>
      </c>
      <c r="AV173" s="306" t="str">
        <f t="shared" si="160"/>
        <v>Mario Jr. D. Anggadna</v>
      </c>
      <c r="AW173" s="306" t="str">
        <f t="shared" si="171"/>
        <v>ANGGADNA, Mario Jr. Domingo</v>
      </c>
      <c r="AX173" s="305" t="s">
        <v>174</v>
      </c>
      <c r="AY173" s="447" t="s">
        <v>62</v>
      </c>
      <c r="AZ173" s="472">
        <v>33575</v>
      </c>
      <c r="BA173" s="101">
        <f t="shared" ca="1" si="177"/>
        <v>34</v>
      </c>
      <c r="BB173" s="492" t="str">
        <f t="shared" ca="1" si="178"/>
        <v>B</v>
      </c>
      <c r="BC173" s="492" t="str">
        <f t="shared" ca="1" si="179"/>
        <v>IB</v>
      </c>
      <c r="BD173" s="492" t="str">
        <f t="shared" ca="1" si="180"/>
        <v>IBM</v>
      </c>
      <c r="BE173" s="492" t="str">
        <f t="shared" ca="1" si="181"/>
        <v>LGOO5IBM</v>
      </c>
      <c r="BF173" s="447" t="s">
        <v>2549</v>
      </c>
      <c r="BG173" s="493">
        <v>41157</v>
      </c>
      <c r="BH173" s="494">
        <v>41157</v>
      </c>
      <c r="BI173" s="447">
        <f t="shared" ca="1" si="182"/>
        <v>13</v>
      </c>
      <c r="BJ173" s="447">
        <f t="shared" ca="1" si="167"/>
        <v>13</v>
      </c>
      <c r="BK173" s="493">
        <v>43129</v>
      </c>
      <c r="BL173" s="447">
        <f t="shared" ca="1" si="183"/>
        <v>8</v>
      </c>
      <c r="BM173" s="447" t="s">
        <v>64</v>
      </c>
      <c r="BN173" s="512" t="s">
        <v>102</v>
      </c>
      <c r="BO173" s="423" t="s">
        <v>2729</v>
      </c>
      <c r="BP173" s="513" t="s">
        <v>1207</v>
      </c>
      <c r="BQ173" s="514" t="str">
        <f t="shared" si="184"/>
        <v>2MP</v>
      </c>
    </row>
    <row r="174" spans="1:69" ht="19.95" customHeight="1">
      <c r="A174" s="422" t="s">
        <v>874</v>
      </c>
      <c r="B174" s="423" t="s">
        <v>165</v>
      </c>
      <c r="C174" s="424">
        <v>20</v>
      </c>
      <c r="D174" s="424"/>
      <c r="E174" s="424"/>
      <c r="F174" s="424"/>
      <c r="G174" s="424"/>
      <c r="H174" s="424"/>
      <c r="I174" s="422" t="s">
        <v>2302</v>
      </c>
      <c r="J174" s="421" t="str">
        <f t="shared" si="172"/>
        <v>LGOO5I</v>
      </c>
      <c r="K174" s="421" t="str">
        <f t="shared" si="173"/>
        <v>LGOO5IF</v>
      </c>
      <c r="L174" s="447" t="str">
        <f t="shared" si="174"/>
        <v>IF</v>
      </c>
      <c r="M174" s="932">
        <v>3</v>
      </c>
      <c r="N174" s="932">
        <v>3</v>
      </c>
      <c r="O174" s="932">
        <v>3</v>
      </c>
      <c r="P174" s="932">
        <v>3</v>
      </c>
      <c r="Q174" s="940"/>
      <c r="R174" s="940"/>
      <c r="S174" s="940"/>
      <c r="T174" s="940"/>
      <c r="U174" s="940"/>
      <c r="V174" s="940"/>
      <c r="W174" s="940"/>
      <c r="X174" s="948"/>
      <c r="Y174" s="948"/>
      <c r="Z174" s="948"/>
      <c r="AA174" s="948"/>
      <c r="AB174" s="948"/>
      <c r="AC174" s="948"/>
      <c r="AD174" s="616"/>
      <c r="AE174" s="616"/>
      <c r="AF174" s="616"/>
      <c r="AG174" s="616"/>
      <c r="AH174" s="448">
        <f t="shared" si="175"/>
        <v>613860</v>
      </c>
      <c r="AI174" s="449">
        <f t="shared" si="176"/>
        <v>665616</v>
      </c>
      <c r="AJ174" s="450">
        <v>6</v>
      </c>
      <c r="AK174" s="452" t="s">
        <v>487</v>
      </c>
      <c r="AL174" s="447" t="s">
        <v>64</v>
      </c>
      <c r="AM174" s="447" t="s">
        <v>158</v>
      </c>
      <c r="AN174" s="447">
        <v>310100100001000</v>
      </c>
      <c r="AO174" s="306" t="s">
        <v>174</v>
      </c>
      <c r="AP174" s="306" t="s">
        <v>2404</v>
      </c>
      <c r="AQ174" s="306" t="s">
        <v>174</v>
      </c>
      <c r="AR174" s="306" t="s">
        <v>577</v>
      </c>
      <c r="AS174" s="306" t="s">
        <v>578</v>
      </c>
      <c r="AT174" s="306" t="s">
        <v>1904</v>
      </c>
      <c r="AU174" s="306" t="str">
        <f t="shared" si="159"/>
        <v>G</v>
      </c>
      <c r="AV174" s="306" t="str">
        <f t="shared" si="160"/>
        <v>Florita G. Narciza</v>
      </c>
      <c r="AW174" s="306" t="str">
        <f t="shared" si="171"/>
        <v>NARCIZA, Florita Garcia</v>
      </c>
      <c r="AX174" s="305" t="s">
        <v>174</v>
      </c>
      <c r="AY174" s="447" t="s">
        <v>100</v>
      </c>
      <c r="AZ174" s="472">
        <v>23092</v>
      </c>
      <c r="BA174" s="101">
        <f t="shared" ca="1" si="177"/>
        <v>63</v>
      </c>
      <c r="BB174" s="492" t="str">
        <f t="shared" ca="1" si="178"/>
        <v>E</v>
      </c>
      <c r="BC174" s="492" t="str">
        <f t="shared" ca="1" si="179"/>
        <v>IE</v>
      </c>
      <c r="BD174" s="492" t="str">
        <f t="shared" ca="1" si="180"/>
        <v>IEF</v>
      </c>
      <c r="BE174" s="492" t="str">
        <f t="shared" ca="1" si="181"/>
        <v>LGOO5IEF</v>
      </c>
      <c r="BF174" s="447" t="s">
        <v>2541</v>
      </c>
      <c r="BG174" s="493">
        <v>31188</v>
      </c>
      <c r="BH174" s="493">
        <v>31188</v>
      </c>
      <c r="BI174" s="447">
        <f t="shared" ca="1" si="182"/>
        <v>40</v>
      </c>
      <c r="BJ174" s="447">
        <f t="shared" ca="1" si="167"/>
        <v>40</v>
      </c>
      <c r="BK174" s="493">
        <v>36951</v>
      </c>
      <c r="BL174" s="447">
        <f t="shared" ca="1" si="183"/>
        <v>25</v>
      </c>
      <c r="BM174" s="447" t="s">
        <v>64</v>
      </c>
      <c r="BN174" s="512" t="s">
        <v>102</v>
      </c>
      <c r="BO174" s="423" t="s">
        <v>2299</v>
      </c>
      <c r="BP174" s="513" t="s">
        <v>1207</v>
      </c>
      <c r="BQ174" s="514" t="str">
        <f t="shared" si="184"/>
        <v>2FP</v>
      </c>
    </row>
    <row r="175" spans="1:69" ht="19.95" customHeight="1">
      <c r="A175" s="422" t="s">
        <v>910</v>
      </c>
      <c r="B175" s="423" t="s">
        <v>165</v>
      </c>
      <c r="C175" s="424">
        <v>20</v>
      </c>
      <c r="D175" s="424"/>
      <c r="E175" s="424"/>
      <c r="F175" s="424"/>
      <c r="G175" s="424"/>
      <c r="H175" s="424"/>
      <c r="I175" s="422" t="s">
        <v>2302</v>
      </c>
      <c r="J175" s="421" t="str">
        <f t="shared" si="172"/>
        <v>LGOO5K</v>
      </c>
      <c r="K175" s="421" t="str">
        <f t="shared" si="173"/>
        <v>LGOO5KF</v>
      </c>
      <c r="L175" s="447" t="str">
        <f t="shared" si="174"/>
        <v>KF</v>
      </c>
      <c r="M175" s="932">
        <v>3</v>
      </c>
      <c r="N175" s="932">
        <v>3</v>
      </c>
      <c r="O175" s="932">
        <v>3</v>
      </c>
      <c r="P175" s="932">
        <v>3</v>
      </c>
      <c r="Q175" s="940"/>
      <c r="R175" s="940"/>
      <c r="S175" s="940"/>
      <c r="T175" s="940"/>
      <c r="U175" s="940"/>
      <c r="V175" s="940"/>
      <c r="W175" s="940"/>
      <c r="X175" s="948"/>
      <c r="Y175" s="948"/>
      <c r="Z175" s="948"/>
      <c r="AA175" s="948"/>
      <c r="AB175" s="948"/>
      <c r="AC175" s="948"/>
      <c r="AD175" s="616"/>
      <c r="AE175" s="616"/>
      <c r="AF175" s="616"/>
      <c r="AG175" s="616"/>
      <c r="AH175" s="448">
        <f t="shared" si="175"/>
        <v>613860</v>
      </c>
      <c r="AI175" s="449">
        <f t="shared" si="176"/>
        <v>613860</v>
      </c>
      <c r="AJ175" s="450">
        <v>1</v>
      </c>
      <c r="AK175" s="452" t="s">
        <v>494</v>
      </c>
      <c r="AL175" s="447" t="s">
        <v>64</v>
      </c>
      <c r="AM175" s="447" t="s">
        <v>158</v>
      </c>
      <c r="AN175" s="447">
        <v>310100100001000</v>
      </c>
      <c r="AO175" s="305" t="s">
        <v>211</v>
      </c>
      <c r="AP175" s="306" t="s">
        <v>2404</v>
      </c>
      <c r="AQ175" s="306" t="s">
        <v>211</v>
      </c>
      <c r="AR175" s="305" t="s">
        <v>2052</v>
      </c>
      <c r="AS175" s="305" t="s">
        <v>2053</v>
      </c>
      <c r="AT175" s="305" t="s">
        <v>2054</v>
      </c>
      <c r="AU175" s="306" t="str">
        <f t="shared" si="159"/>
        <v>G</v>
      </c>
      <c r="AV175" s="306" t="str">
        <f t="shared" si="160"/>
        <v>Hanna Lynel G. Elveña</v>
      </c>
      <c r="AW175" s="306" t="str">
        <f t="shared" si="171"/>
        <v>ELVEÑA, Hanna Lynel Gullayan</v>
      </c>
      <c r="AX175" s="305" t="s">
        <v>211</v>
      </c>
      <c r="AY175" s="447" t="s">
        <v>100</v>
      </c>
      <c r="AZ175" s="472">
        <v>33917</v>
      </c>
      <c r="BA175" s="101">
        <f t="shared" ca="1" si="177"/>
        <v>33</v>
      </c>
      <c r="BB175" s="492" t="str">
        <f t="shared" ca="1" si="178"/>
        <v>B</v>
      </c>
      <c r="BC175" s="492" t="str">
        <f t="shared" ca="1" si="179"/>
        <v>KB</v>
      </c>
      <c r="BD175" s="492" t="str">
        <f t="shared" ca="1" si="180"/>
        <v>KBF</v>
      </c>
      <c r="BE175" s="492" t="str">
        <f t="shared" ca="1" si="181"/>
        <v>LGOO5KBF</v>
      </c>
      <c r="BF175" s="447" t="s">
        <v>2550</v>
      </c>
      <c r="BG175" s="493">
        <v>41157</v>
      </c>
      <c r="BH175" s="494">
        <v>41157</v>
      </c>
      <c r="BI175" s="447">
        <f t="shared" ca="1" si="182"/>
        <v>13</v>
      </c>
      <c r="BJ175" s="447">
        <f t="shared" ca="1" si="167"/>
        <v>13</v>
      </c>
      <c r="BK175" s="493">
        <v>43131</v>
      </c>
      <c r="BL175" s="447">
        <f t="shared" ca="1" si="183"/>
        <v>8</v>
      </c>
      <c r="BM175" s="447" t="s">
        <v>64</v>
      </c>
      <c r="BN175" s="512" t="s">
        <v>102</v>
      </c>
      <c r="BO175" s="423" t="s">
        <v>2254</v>
      </c>
      <c r="BP175" s="513" t="s">
        <v>211</v>
      </c>
      <c r="BQ175" s="514" t="str">
        <f t="shared" si="184"/>
        <v>2FP</v>
      </c>
    </row>
    <row r="176" spans="1:69" ht="19.95" customHeight="1">
      <c r="A176" s="422" t="s">
        <v>951</v>
      </c>
      <c r="B176" s="423" t="s">
        <v>165</v>
      </c>
      <c r="C176" s="424">
        <v>20</v>
      </c>
      <c r="D176" s="424"/>
      <c r="E176" s="424"/>
      <c r="F176" s="424"/>
      <c r="G176" s="424"/>
      <c r="H176" s="424"/>
      <c r="I176" s="422" t="s">
        <v>2302</v>
      </c>
      <c r="J176" s="421" t="str">
        <f t="shared" si="172"/>
        <v>LGOO5Ap</v>
      </c>
      <c r="K176" s="421" t="str">
        <f t="shared" si="173"/>
        <v>LGOO5ApF</v>
      </c>
      <c r="L176" s="447" t="str">
        <f t="shared" si="174"/>
        <v>ApF</v>
      </c>
      <c r="M176" s="932">
        <v>3</v>
      </c>
      <c r="N176" s="932">
        <v>3</v>
      </c>
      <c r="O176" s="932">
        <v>3</v>
      </c>
      <c r="P176" s="932">
        <v>3</v>
      </c>
      <c r="Q176" s="940"/>
      <c r="R176" s="940"/>
      <c r="S176" s="940"/>
      <c r="T176" s="940"/>
      <c r="U176" s="940"/>
      <c r="V176" s="940"/>
      <c r="W176" s="940"/>
      <c r="X176" s="948"/>
      <c r="Y176" s="948"/>
      <c r="Z176" s="948"/>
      <c r="AA176" s="948"/>
      <c r="AB176" s="948"/>
      <c r="AC176" s="948"/>
      <c r="AD176" s="616"/>
      <c r="AE176" s="616"/>
      <c r="AF176" s="616"/>
      <c r="AG176" s="616"/>
      <c r="AH176" s="448">
        <f t="shared" si="175"/>
        <v>613860</v>
      </c>
      <c r="AI176" s="449">
        <f t="shared" si="176"/>
        <v>613860</v>
      </c>
      <c r="AJ176" s="450">
        <v>1</v>
      </c>
      <c r="AK176" s="452" t="s">
        <v>223</v>
      </c>
      <c r="AL176" s="447" t="s">
        <v>64</v>
      </c>
      <c r="AM176" s="447" t="s">
        <v>158</v>
      </c>
      <c r="AN176" s="447">
        <v>310100100001000</v>
      </c>
      <c r="AO176" s="305" t="s">
        <v>181</v>
      </c>
      <c r="AP176" s="306" t="s">
        <v>2404</v>
      </c>
      <c r="AQ176" s="306" t="s">
        <v>181</v>
      </c>
      <c r="AR176" s="305" t="s">
        <v>2055</v>
      </c>
      <c r="AS176" s="305" t="s">
        <v>2056</v>
      </c>
      <c r="AT176" s="305" t="s">
        <v>2057</v>
      </c>
      <c r="AU176" s="306" t="str">
        <f t="shared" si="159"/>
        <v>D</v>
      </c>
      <c r="AV176" s="306" t="str">
        <f t="shared" si="160"/>
        <v>Juvy Jane D. Estelon</v>
      </c>
      <c r="AW176" s="306" t="str">
        <f t="shared" si="171"/>
        <v>ESTELON, Juvy Jane Dumapay</v>
      </c>
      <c r="AX176" s="305" t="s">
        <v>181</v>
      </c>
      <c r="AY176" s="447" t="s">
        <v>100</v>
      </c>
      <c r="AZ176" s="472">
        <v>32660</v>
      </c>
      <c r="BA176" s="101">
        <f t="shared" ca="1" si="177"/>
        <v>36</v>
      </c>
      <c r="BB176" s="492" t="str">
        <f t="shared" ca="1" si="178"/>
        <v>B</v>
      </c>
      <c r="BC176" s="492" t="str">
        <f t="shared" ca="1" si="179"/>
        <v>ApB</v>
      </c>
      <c r="BD176" s="492" t="str">
        <f t="shared" ca="1" si="180"/>
        <v>ApBF</v>
      </c>
      <c r="BE176" s="492" t="str">
        <f t="shared" ca="1" si="181"/>
        <v>LGOO5ApBF</v>
      </c>
      <c r="BF176" s="447" t="s">
        <v>2321</v>
      </c>
      <c r="BG176" s="493">
        <v>41157</v>
      </c>
      <c r="BH176" s="494">
        <v>41157</v>
      </c>
      <c r="BI176" s="447">
        <f t="shared" ca="1" si="182"/>
        <v>13</v>
      </c>
      <c r="BJ176" s="447">
        <f t="shared" ca="1" si="167"/>
        <v>13</v>
      </c>
      <c r="BK176" s="493">
        <v>42430</v>
      </c>
      <c r="BL176" s="447">
        <f t="shared" ca="1" si="183"/>
        <v>10</v>
      </c>
      <c r="BM176" s="447" t="s">
        <v>64</v>
      </c>
      <c r="BN176" s="512" t="s">
        <v>102</v>
      </c>
      <c r="BO176" s="423" t="s">
        <v>2744</v>
      </c>
      <c r="BP176" s="513" t="s">
        <v>1207</v>
      </c>
      <c r="BQ176" s="514" t="str">
        <f t="shared" si="184"/>
        <v>2FP</v>
      </c>
    </row>
    <row r="177" spans="1:69" ht="19.95" customHeight="1">
      <c r="A177" s="422" t="s">
        <v>967</v>
      </c>
      <c r="B177" s="423" t="s">
        <v>165</v>
      </c>
      <c r="C177" s="424">
        <v>20</v>
      </c>
      <c r="D177" s="424"/>
      <c r="E177" s="424"/>
      <c r="F177" s="424"/>
      <c r="G177" s="424"/>
      <c r="H177" s="424"/>
      <c r="I177" s="422" t="s">
        <v>2302</v>
      </c>
      <c r="J177" s="421" t="str">
        <f t="shared" si="172"/>
        <v>LGOO5I</v>
      </c>
      <c r="K177" s="421" t="str">
        <f t="shared" si="173"/>
        <v>LGOO5IM</v>
      </c>
      <c r="L177" s="447" t="str">
        <f t="shared" si="174"/>
        <v>IM</v>
      </c>
      <c r="M177" s="932">
        <v>3</v>
      </c>
      <c r="N177" s="932">
        <v>3</v>
      </c>
      <c r="O177" s="932">
        <v>3</v>
      </c>
      <c r="P177" s="932">
        <v>3</v>
      </c>
      <c r="Q177" s="940"/>
      <c r="R177" s="940"/>
      <c r="S177" s="940"/>
      <c r="T177" s="940"/>
      <c r="U177" s="940"/>
      <c r="V177" s="940"/>
      <c r="W177" s="940"/>
      <c r="X177" s="948"/>
      <c r="Y177" s="948"/>
      <c r="Z177" s="948"/>
      <c r="AA177" s="948"/>
      <c r="AB177" s="948"/>
      <c r="AC177" s="948"/>
      <c r="AD177" s="616"/>
      <c r="AE177" s="616"/>
      <c r="AF177" s="616"/>
      <c r="AG177" s="616"/>
      <c r="AH177" s="448">
        <f t="shared" si="175"/>
        <v>613860</v>
      </c>
      <c r="AI177" s="449">
        <f t="shared" si="176"/>
        <v>644400</v>
      </c>
      <c r="AJ177" s="450">
        <v>4</v>
      </c>
      <c r="AK177" s="452" t="s">
        <v>223</v>
      </c>
      <c r="AL177" s="447" t="s">
        <v>64</v>
      </c>
      <c r="AM177" s="447" t="s">
        <v>158</v>
      </c>
      <c r="AN177" s="447">
        <v>310100100001000</v>
      </c>
      <c r="AO177" s="305" t="s">
        <v>174</v>
      </c>
      <c r="AP177" s="306" t="s">
        <v>2404</v>
      </c>
      <c r="AQ177" s="306" t="s">
        <v>2467</v>
      </c>
      <c r="AR177" s="306" t="s">
        <v>968</v>
      </c>
      <c r="AS177" s="306" t="s">
        <v>969</v>
      </c>
      <c r="AT177" s="306" t="s">
        <v>1944</v>
      </c>
      <c r="AU177" s="306" t="str">
        <f t="shared" si="159"/>
        <v>L</v>
      </c>
      <c r="AV177" s="306" t="str">
        <f t="shared" si="160"/>
        <v>Arellano L. Nehyeban</v>
      </c>
      <c r="AW177" s="306" t="str">
        <f t="shared" si="171"/>
        <v>NEHYEBAN, Arellano Lestino</v>
      </c>
      <c r="AX177" s="305" t="s">
        <v>174</v>
      </c>
      <c r="AY177" s="447" t="s">
        <v>62</v>
      </c>
      <c r="AZ177" s="472">
        <v>26176</v>
      </c>
      <c r="BA177" s="101">
        <f t="shared" ca="1" si="177"/>
        <v>54</v>
      </c>
      <c r="BB177" s="492" t="str">
        <f t="shared" ca="1" si="178"/>
        <v>D</v>
      </c>
      <c r="BC177" s="492" t="str">
        <f t="shared" ca="1" si="179"/>
        <v>ID</v>
      </c>
      <c r="BD177" s="492" t="str">
        <f t="shared" ca="1" si="180"/>
        <v>IDM</v>
      </c>
      <c r="BE177" s="492" t="str">
        <f t="shared" ca="1" si="181"/>
        <v>LGOO5IDM</v>
      </c>
      <c r="BF177" s="447" t="s">
        <v>971</v>
      </c>
      <c r="BG177" s="493">
        <v>34213</v>
      </c>
      <c r="BH177" s="493">
        <v>34213</v>
      </c>
      <c r="BI177" s="447">
        <f t="shared" ca="1" si="182"/>
        <v>32</v>
      </c>
      <c r="BJ177" s="447">
        <f t="shared" ca="1" si="167"/>
        <v>32</v>
      </c>
      <c r="BK177" s="493">
        <v>39170</v>
      </c>
      <c r="BL177" s="447">
        <f t="shared" ca="1" si="183"/>
        <v>18</v>
      </c>
      <c r="BM177" s="447" t="s">
        <v>64</v>
      </c>
      <c r="BN177" s="512" t="s">
        <v>102</v>
      </c>
      <c r="BO177" s="423" t="s">
        <v>2254</v>
      </c>
      <c r="BP177" s="513"/>
      <c r="BQ177" s="514" t="str">
        <f t="shared" si="184"/>
        <v>2MP</v>
      </c>
    </row>
    <row r="178" spans="1:69" ht="19.95" customHeight="1">
      <c r="A178" s="422" t="s">
        <v>1006</v>
      </c>
      <c r="B178" s="423" t="s">
        <v>165</v>
      </c>
      <c r="C178" s="424">
        <v>20</v>
      </c>
      <c r="D178" s="424"/>
      <c r="E178" s="424"/>
      <c r="F178" s="424"/>
      <c r="G178" s="424"/>
      <c r="H178" s="424"/>
      <c r="I178" s="422" t="s">
        <v>2302</v>
      </c>
      <c r="J178" s="421" t="str">
        <f t="shared" si="172"/>
        <v>LGOO5B</v>
      </c>
      <c r="K178" s="421" t="str">
        <f t="shared" si="173"/>
        <v>LGOO5BF</v>
      </c>
      <c r="L178" s="447" t="str">
        <f t="shared" si="174"/>
        <v>BF</v>
      </c>
      <c r="M178" s="932">
        <v>3</v>
      </c>
      <c r="N178" s="932">
        <v>3</v>
      </c>
      <c r="O178" s="932">
        <v>3</v>
      </c>
      <c r="P178" s="932">
        <v>3</v>
      </c>
      <c r="Q178" s="940"/>
      <c r="R178" s="940"/>
      <c r="S178" s="940"/>
      <c r="T178" s="940"/>
      <c r="U178" s="940"/>
      <c r="V178" s="940"/>
      <c r="W178" s="940"/>
      <c r="X178" s="948"/>
      <c r="Y178" s="948"/>
      <c r="Z178" s="948"/>
      <c r="AA178" s="948"/>
      <c r="AB178" s="948"/>
      <c r="AC178" s="948"/>
      <c r="AD178" s="616"/>
      <c r="AE178" s="616"/>
      <c r="AF178" s="616"/>
      <c r="AG178" s="616"/>
      <c r="AH178" s="448">
        <f t="shared" si="175"/>
        <v>613860</v>
      </c>
      <c r="AI178" s="449">
        <f t="shared" si="176"/>
        <v>623868</v>
      </c>
      <c r="AJ178" s="450">
        <v>2</v>
      </c>
      <c r="AK178" s="452" t="s">
        <v>197</v>
      </c>
      <c r="AL178" s="447" t="s">
        <v>64</v>
      </c>
      <c r="AM178" s="447" t="s">
        <v>158</v>
      </c>
      <c r="AN178" s="447">
        <v>310100100001000</v>
      </c>
      <c r="AO178" s="305" t="s">
        <v>167</v>
      </c>
      <c r="AP178" s="306" t="s">
        <v>2404</v>
      </c>
      <c r="AQ178" s="305" t="s">
        <v>167</v>
      </c>
      <c r="AR178" s="305" t="s">
        <v>1143</v>
      </c>
      <c r="AS178" s="305" t="s">
        <v>1144</v>
      </c>
      <c r="AT178" s="305" t="s">
        <v>1993</v>
      </c>
      <c r="AU178" s="306" t="str">
        <f t="shared" si="159"/>
        <v>B</v>
      </c>
      <c r="AV178" s="306" t="str">
        <f t="shared" si="160"/>
        <v>Juliet B. Gumangan</v>
      </c>
      <c r="AW178" s="306" t="str">
        <f t="shared" si="171"/>
        <v>GUMANGAN, Juliet Bugagon</v>
      </c>
      <c r="AX178" s="305" t="s">
        <v>167</v>
      </c>
      <c r="AY178" s="447" t="s">
        <v>100</v>
      </c>
      <c r="AZ178" s="472">
        <v>29362</v>
      </c>
      <c r="BA178" s="101">
        <f t="shared" ca="1" si="177"/>
        <v>45</v>
      </c>
      <c r="BB178" s="492" t="str">
        <f t="shared" ca="1" si="178"/>
        <v>C</v>
      </c>
      <c r="BC178" s="492" t="str">
        <f t="shared" ca="1" si="179"/>
        <v>BC</v>
      </c>
      <c r="BD178" s="492" t="str">
        <f t="shared" ca="1" si="180"/>
        <v>BCF</v>
      </c>
      <c r="BE178" s="492" t="str">
        <f t="shared" ca="1" si="181"/>
        <v>LGOO5BCF</v>
      </c>
      <c r="BF178" s="447" t="s">
        <v>1146</v>
      </c>
      <c r="BG178" s="493">
        <v>37600</v>
      </c>
      <c r="BH178" s="493">
        <v>37600</v>
      </c>
      <c r="BI178" s="447">
        <f t="shared" ca="1" si="182"/>
        <v>23</v>
      </c>
      <c r="BJ178" s="447">
        <f t="shared" ca="1" si="167"/>
        <v>23</v>
      </c>
      <c r="BK178" s="493">
        <v>41487</v>
      </c>
      <c r="BL178" s="447">
        <f t="shared" ca="1" si="183"/>
        <v>12</v>
      </c>
      <c r="BM178" s="447" t="s">
        <v>64</v>
      </c>
      <c r="BN178" s="512" t="s">
        <v>102</v>
      </c>
      <c r="BO178" s="423" t="s">
        <v>2746</v>
      </c>
      <c r="BP178" s="513"/>
      <c r="BQ178" s="514" t="str">
        <f t="shared" si="184"/>
        <v>2FP</v>
      </c>
    </row>
    <row r="179" spans="1:69" ht="19.95" customHeight="1">
      <c r="A179" s="422" t="s">
        <v>1046</v>
      </c>
      <c r="B179" s="423" t="s">
        <v>165</v>
      </c>
      <c r="C179" s="424">
        <v>20</v>
      </c>
      <c r="D179" s="424"/>
      <c r="E179" s="424"/>
      <c r="F179" s="424"/>
      <c r="G179" s="424"/>
      <c r="H179" s="424"/>
      <c r="I179" s="422" t="s">
        <v>2302</v>
      </c>
      <c r="J179" s="421" t="str">
        <f t="shared" si="172"/>
        <v>Vacant</v>
      </c>
      <c r="K179" s="421" t="str">
        <f t="shared" si="173"/>
        <v>Vacant</v>
      </c>
      <c r="L179" s="447" t="str">
        <f t="shared" si="174"/>
        <v>XXX</v>
      </c>
      <c r="M179" s="932">
        <v>3</v>
      </c>
      <c r="N179" s="932">
        <v>3</v>
      </c>
      <c r="O179" s="932">
        <v>3</v>
      </c>
      <c r="P179" s="932">
        <v>3</v>
      </c>
      <c r="Q179" s="940"/>
      <c r="R179" s="940"/>
      <c r="S179" s="940"/>
      <c r="T179" s="940"/>
      <c r="U179" s="940"/>
      <c r="V179" s="940"/>
      <c r="W179" s="940"/>
      <c r="X179" s="948"/>
      <c r="Y179" s="948"/>
      <c r="Z179" s="948"/>
      <c r="AA179" s="948"/>
      <c r="AB179" s="948"/>
      <c r="AC179" s="948"/>
      <c r="AD179" s="616"/>
      <c r="AE179" s="616"/>
      <c r="AF179" s="616"/>
      <c r="AG179" s="616"/>
      <c r="AH179" s="448">
        <f t="shared" si="175"/>
        <v>613860</v>
      </c>
      <c r="AI179" s="449">
        <f t="shared" si="176"/>
        <v>0</v>
      </c>
      <c r="AJ179" s="450">
        <v>0</v>
      </c>
      <c r="AK179" s="452" t="s">
        <v>494</v>
      </c>
      <c r="AL179" s="447" t="s">
        <v>64</v>
      </c>
      <c r="AM179" s="447" t="s">
        <v>158</v>
      </c>
      <c r="AN179" s="447">
        <v>310100100001000</v>
      </c>
      <c r="AO179" s="305" t="s">
        <v>211</v>
      </c>
      <c r="AP179" s="306" t="s">
        <v>2404</v>
      </c>
      <c r="AQ179" s="306" t="s">
        <v>2551</v>
      </c>
      <c r="AR179" s="305" t="s">
        <v>2552</v>
      </c>
      <c r="AS179" s="305"/>
      <c r="AT179" s="305"/>
      <c r="AU179" s="306" t="str">
        <f t="shared" si="159"/>
        <v/>
      </c>
      <c r="AV179" s="306" t="str">
        <f t="shared" si="160"/>
        <v xml:space="preserve"> . Vacant Chunanon</v>
      </c>
      <c r="AW179" s="306" t="str">
        <f t="shared" si="171"/>
        <v xml:space="preserve">Vacant CHUNANON,  </v>
      </c>
      <c r="AX179" s="305"/>
      <c r="AY179" s="447"/>
      <c r="AZ179" s="472"/>
      <c r="BA179" s="101">
        <f t="shared" ca="1" si="177"/>
        <v>126</v>
      </c>
      <c r="BB179" s="492" t="str">
        <f t="shared" ca="1" si="178"/>
        <v>VACANT</v>
      </c>
      <c r="BC179" s="492" t="str">
        <f t="shared" si="179"/>
        <v>XXX</v>
      </c>
      <c r="BD179" s="492" t="str">
        <f t="shared" si="180"/>
        <v>XXX</v>
      </c>
      <c r="BE179" s="492" t="str">
        <f>CONCATENATE(BP137,BD179)</f>
        <v>XXX</v>
      </c>
      <c r="BF179" s="447"/>
      <c r="BG179" s="493"/>
      <c r="BH179" s="494"/>
      <c r="BI179" s="447">
        <f t="shared" ca="1" si="182"/>
        <v>126</v>
      </c>
      <c r="BJ179" s="447">
        <f t="shared" ca="1" si="167"/>
        <v>126</v>
      </c>
      <c r="BK179" s="493"/>
      <c r="BL179" s="447">
        <f t="shared" ca="1" si="183"/>
        <v>126</v>
      </c>
      <c r="BM179" s="447"/>
      <c r="BN179" s="512"/>
      <c r="BO179" s="423"/>
      <c r="BP179" s="513"/>
      <c r="BQ179" s="514" t="e">
        <f>CONCATENATE(2,#REF!,#REF!)</f>
        <v>#REF!</v>
      </c>
    </row>
    <row r="180" spans="1:69" ht="19.95" customHeight="1">
      <c r="A180" s="422" t="s">
        <v>1056</v>
      </c>
      <c r="B180" s="423" t="s">
        <v>165</v>
      </c>
      <c r="C180" s="424">
        <v>20</v>
      </c>
      <c r="D180" s="424"/>
      <c r="E180" s="424"/>
      <c r="F180" s="424"/>
      <c r="G180" s="424"/>
      <c r="H180" s="424"/>
      <c r="I180" s="422" t="s">
        <v>2302</v>
      </c>
      <c r="J180" s="421" t="str">
        <f t="shared" si="172"/>
        <v>LGOO5Ap</v>
      </c>
      <c r="K180" s="421" t="str">
        <f t="shared" si="173"/>
        <v>LGOO5ApM</v>
      </c>
      <c r="L180" s="447" t="str">
        <f t="shared" si="174"/>
        <v>ApM</v>
      </c>
      <c r="M180" s="932">
        <v>3</v>
      </c>
      <c r="N180" s="932">
        <v>3</v>
      </c>
      <c r="O180" s="932">
        <v>3</v>
      </c>
      <c r="P180" s="932">
        <v>3</v>
      </c>
      <c r="Q180" s="940"/>
      <c r="R180" s="940"/>
      <c r="S180" s="940"/>
      <c r="T180" s="940"/>
      <c r="U180" s="940"/>
      <c r="V180" s="940"/>
      <c r="W180" s="940"/>
      <c r="X180" s="948"/>
      <c r="Y180" s="948"/>
      <c r="Z180" s="948"/>
      <c r="AA180" s="948"/>
      <c r="AB180" s="948"/>
      <c r="AC180" s="948"/>
      <c r="AD180" s="616"/>
      <c r="AE180" s="616"/>
      <c r="AF180" s="616"/>
      <c r="AG180" s="616"/>
      <c r="AH180" s="448">
        <f t="shared" si="175"/>
        <v>613860</v>
      </c>
      <c r="AI180" s="449">
        <f t="shared" si="176"/>
        <v>623868</v>
      </c>
      <c r="AJ180" s="450">
        <v>2</v>
      </c>
      <c r="AK180" s="452" t="s">
        <v>223</v>
      </c>
      <c r="AL180" s="447" t="s">
        <v>64</v>
      </c>
      <c r="AM180" s="447" t="s">
        <v>158</v>
      </c>
      <c r="AN180" s="447">
        <v>310100100001000</v>
      </c>
      <c r="AO180" s="305" t="s">
        <v>181</v>
      </c>
      <c r="AP180" s="306" t="s">
        <v>2404</v>
      </c>
      <c r="AQ180" s="306" t="s">
        <v>181</v>
      </c>
      <c r="AR180" s="305" t="s">
        <v>2031</v>
      </c>
      <c r="AS180" s="305" t="s">
        <v>2032</v>
      </c>
      <c r="AT180" s="305" t="s">
        <v>2033</v>
      </c>
      <c r="AU180" s="306" t="str">
        <f t="shared" si="159"/>
        <v>R</v>
      </c>
      <c r="AV180" s="306" t="str">
        <f t="shared" si="160"/>
        <v>Kristoffer Dave R. Alvarez</v>
      </c>
      <c r="AW180" s="306" t="str">
        <f t="shared" si="171"/>
        <v>ALVAREZ, Kristoffer Dave Rigonan</v>
      </c>
      <c r="AX180" s="305" t="s">
        <v>181</v>
      </c>
      <c r="AY180" s="447" t="s">
        <v>62</v>
      </c>
      <c r="AZ180" s="472">
        <v>32741</v>
      </c>
      <c r="BA180" s="101">
        <f t="shared" ca="1" si="177"/>
        <v>36</v>
      </c>
      <c r="BB180" s="492" t="str">
        <f t="shared" ca="1" si="178"/>
        <v>B</v>
      </c>
      <c r="BC180" s="492" t="str">
        <f t="shared" ca="1" si="179"/>
        <v>ApB</v>
      </c>
      <c r="BD180" s="492" t="str">
        <f t="shared" ca="1" si="180"/>
        <v>ApBM</v>
      </c>
      <c r="BE180" s="492" t="str">
        <f t="shared" ref="BE180:BE211" ca="1" si="185">CONCATENATE(I180,BD180)</f>
        <v>LGOO5ApBM</v>
      </c>
      <c r="BF180" s="447" t="s">
        <v>2553</v>
      </c>
      <c r="BG180" s="493">
        <v>40927</v>
      </c>
      <c r="BH180" s="494">
        <v>40927</v>
      </c>
      <c r="BI180" s="447">
        <f t="shared" ca="1" si="182"/>
        <v>14</v>
      </c>
      <c r="BJ180" s="447">
        <f t="shared" ca="1" si="167"/>
        <v>14</v>
      </c>
      <c r="BK180" s="493">
        <v>41869</v>
      </c>
      <c r="BL180" s="447">
        <f t="shared" ca="1" si="183"/>
        <v>11</v>
      </c>
      <c r="BM180" s="447" t="s">
        <v>64</v>
      </c>
      <c r="BN180" s="512" t="s">
        <v>709</v>
      </c>
      <c r="BO180" s="423" t="s">
        <v>2725</v>
      </c>
      <c r="BP180" s="513" t="s">
        <v>1207</v>
      </c>
      <c r="BQ180" s="514" t="str">
        <f t="shared" ref="BQ180:BQ204" si="186">CONCATENATE(2,AY180,BM180)</f>
        <v>2MP</v>
      </c>
    </row>
    <row r="181" spans="1:69" ht="19.95" customHeight="1">
      <c r="A181" s="422" t="s">
        <v>1065</v>
      </c>
      <c r="B181" s="423" t="s">
        <v>1066</v>
      </c>
      <c r="C181" s="424">
        <v>15</v>
      </c>
      <c r="D181" s="546" t="s">
        <v>2554</v>
      </c>
      <c r="E181" s="547" t="s">
        <v>2555</v>
      </c>
      <c r="F181" s="546" t="s">
        <v>2556</v>
      </c>
      <c r="G181" s="546" t="s">
        <v>2266</v>
      </c>
      <c r="H181" s="974" t="s">
        <v>2557</v>
      </c>
      <c r="I181" s="974"/>
      <c r="J181" s="421" t="str">
        <f t="shared" si="172"/>
        <v>BC</v>
      </c>
      <c r="K181" s="421" t="str">
        <f t="shared" si="173"/>
        <v>BCF</v>
      </c>
      <c r="L181" s="447" t="str">
        <f t="shared" si="174"/>
        <v>BCF</v>
      </c>
      <c r="M181" s="932">
        <v>2</v>
      </c>
      <c r="N181" s="932">
        <v>2</v>
      </c>
      <c r="O181" s="932">
        <v>2</v>
      </c>
      <c r="P181" s="932">
        <v>2</v>
      </c>
      <c r="Q181" s="940"/>
      <c r="R181" s="940"/>
      <c r="S181" s="940"/>
      <c r="T181" s="940"/>
      <c r="U181" s="940"/>
      <c r="V181" s="940"/>
      <c r="W181" s="940"/>
      <c r="X181" s="948"/>
      <c r="Y181" s="948"/>
      <c r="Z181" s="948"/>
      <c r="AA181" s="948"/>
      <c r="AB181" s="948"/>
      <c r="AC181" s="948"/>
      <c r="AD181" s="616"/>
      <c r="AE181" s="616"/>
      <c r="AF181" s="616"/>
      <c r="AG181" s="616"/>
      <c r="AH181" s="448">
        <f t="shared" ref="AH181:AH212" si="187">VLOOKUP(C181,idica,2,FALSE)*12</f>
        <v>366372</v>
      </c>
      <c r="AI181" s="449">
        <f t="shared" ref="AI181:AI212" si="188">(SUMPRODUCT((norman=C181)*(grace=AJ181)*(barnachea)))*12</f>
        <v>366372</v>
      </c>
      <c r="AJ181" s="450">
        <v>1</v>
      </c>
      <c r="AK181" s="452" t="s">
        <v>53</v>
      </c>
      <c r="AL181" s="447" t="s">
        <v>54</v>
      </c>
      <c r="AM181" s="447" t="s">
        <v>158</v>
      </c>
      <c r="AN181" s="447">
        <v>310100100001000</v>
      </c>
      <c r="AO181" s="306" t="s">
        <v>1542</v>
      </c>
      <c r="AP181" s="306" t="s">
        <v>2402</v>
      </c>
      <c r="AQ181" s="306" t="s">
        <v>2558</v>
      </c>
      <c r="AR181" s="305" t="s">
        <v>1214</v>
      </c>
      <c r="AS181" s="305" t="s">
        <v>2088</v>
      </c>
      <c r="AT181" s="305" t="s">
        <v>1529</v>
      </c>
      <c r="AU181" s="306" t="str">
        <f t="shared" si="159"/>
        <v>J</v>
      </c>
      <c r="AV181" s="306" t="str">
        <f t="shared" si="160"/>
        <v>Joan-Ana J. Dumalsin</v>
      </c>
      <c r="AW181" s="306" t="str">
        <f t="shared" si="171"/>
        <v>DUMALSIN, Joan-Ana Jacinto</v>
      </c>
      <c r="AX181" s="305" t="s">
        <v>189</v>
      </c>
      <c r="AY181" s="447" t="s">
        <v>100</v>
      </c>
      <c r="AZ181" s="472">
        <v>30558</v>
      </c>
      <c r="BA181" s="101">
        <f t="shared" ca="1" si="177"/>
        <v>42</v>
      </c>
      <c r="BB181" s="492" t="str">
        <f t="shared" ca="1" si="178"/>
        <v>C</v>
      </c>
      <c r="BC181" s="492" t="str">
        <f t="shared" ca="1" si="179"/>
        <v>BCC</v>
      </c>
      <c r="BD181" s="492" t="str">
        <f t="shared" ca="1" si="180"/>
        <v>BCCF</v>
      </c>
      <c r="BE181" s="492" t="str">
        <f t="shared" ca="1" si="185"/>
        <v>BCCF</v>
      </c>
      <c r="BF181" s="447" t="s">
        <v>2559</v>
      </c>
      <c r="BG181" s="493">
        <v>41487</v>
      </c>
      <c r="BH181" s="494">
        <v>41487</v>
      </c>
      <c r="BI181" s="447">
        <f t="shared" ca="1" si="182"/>
        <v>12</v>
      </c>
      <c r="BJ181" s="447">
        <f t="shared" ca="1" si="167"/>
        <v>12</v>
      </c>
      <c r="BK181" s="493">
        <v>43168</v>
      </c>
      <c r="BL181" s="447">
        <f t="shared" ca="1" si="183"/>
        <v>8</v>
      </c>
      <c r="BM181" s="447" t="s">
        <v>64</v>
      </c>
      <c r="BN181" s="512" t="s">
        <v>102</v>
      </c>
      <c r="BO181" s="423" t="s">
        <v>2743</v>
      </c>
      <c r="BP181" s="513"/>
      <c r="BQ181" s="514" t="str">
        <f t="shared" si="186"/>
        <v>2FP</v>
      </c>
    </row>
    <row r="182" spans="1:69" ht="19.95" customHeight="1">
      <c r="A182" s="422" t="s">
        <v>1067</v>
      </c>
      <c r="B182" s="423" t="s">
        <v>1066</v>
      </c>
      <c r="C182" s="424">
        <v>15</v>
      </c>
      <c r="D182" s="546" t="s">
        <v>2554</v>
      </c>
      <c r="E182" s="547" t="s">
        <v>2555</v>
      </c>
      <c r="F182" s="546" t="s">
        <v>2556</v>
      </c>
      <c r="G182" s="546" t="s">
        <v>2266</v>
      </c>
      <c r="H182" s="974" t="s">
        <v>2557</v>
      </c>
      <c r="I182" s="974"/>
      <c r="J182" s="421" t="str">
        <f t="shared" si="172"/>
        <v>BC</v>
      </c>
      <c r="K182" s="421" t="str">
        <f t="shared" si="173"/>
        <v>BCM</v>
      </c>
      <c r="L182" s="447" t="str">
        <f t="shared" si="174"/>
        <v>BCM</v>
      </c>
      <c r="M182" s="932">
        <v>2</v>
      </c>
      <c r="N182" s="932">
        <v>2</v>
      </c>
      <c r="O182" s="932">
        <v>2</v>
      </c>
      <c r="P182" s="932">
        <v>2</v>
      </c>
      <c r="Q182" s="940"/>
      <c r="R182" s="940"/>
      <c r="S182" s="940"/>
      <c r="T182" s="940"/>
      <c r="U182" s="940"/>
      <c r="V182" s="940"/>
      <c r="W182" s="940"/>
      <c r="X182" s="948"/>
      <c r="Y182" s="948"/>
      <c r="Z182" s="948"/>
      <c r="AA182" s="948"/>
      <c r="AB182" s="948"/>
      <c r="AC182" s="948"/>
      <c r="AD182" s="616"/>
      <c r="AE182" s="616"/>
      <c r="AF182" s="616"/>
      <c r="AG182" s="616"/>
      <c r="AH182" s="448">
        <f t="shared" si="187"/>
        <v>366372</v>
      </c>
      <c r="AI182" s="449">
        <f t="shared" si="188"/>
        <v>366372</v>
      </c>
      <c r="AJ182" s="450">
        <v>1</v>
      </c>
      <c r="AK182" s="452" t="s">
        <v>53</v>
      </c>
      <c r="AL182" s="447" t="s">
        <v>54</v>
      </c>
      <c r="AM182" s="447" t="s">
        <v>158</v>
      </c>
      <c r="AN182" s="447">
        <v>310100100001000</v>
      </c>
      <c r="AO182" s="306" t="s">
        <v>1542</v>
      </c>
      <c r="AP182" s="306" t="s">
        <v>2402</v>
      </c>
      <c r="AQ182" s="306" t="s">
        <v>2558</v>
      </c>
      <c r="AR182" s="305" t="s">
        <v>768</v>
      </c>
      <c r="AS182" s="305" t="s">
        <v>2074</v>
      </c>
      <c r="AT182" s="305" t="s">
        <v>2075</v>
      </c>
      <c r="AU182" s="306" t="str">
        <f t="shared" si="159"/>
        <v>D</v>
      </c>
      <c r="AV182" s="306" t="str">
        <f t="shared" si="160"/>
        <v>Jereille D. Gayaso</v>
      </c>
      <c r="AW182" s="306" t="str">
        <f t="shared" si="171"/>
        <v>GAYASO, Jereille Decoran</v>
      </c>
      <c r="AX182" s="305" t="s">
        <v>189</v>
      </c>
      <c r="AY182" s="447" t="s">
        <v>62</v>
      </c>
      <c r="AZ182" s="472">
        <v>30795</v>
      </c>
      <c r="BA182" s="101">
        <f t="shared" ca="1" si="177"/>
        <v>41</v>
      </c>
      <c r="BB182" s="492" t="str">
        <f t="shared" ca="1" si="178"/>
        <v>C</v>
      </c>
      <c r="BC182" s="492" t="str">
        <f t="shared" ca="1" si="179"/>
        <v>BCC</v>
      </c>
      <c r="BD182" s="492" t="str">
        <f t="shared" ca="1" si="180"/>
        <v>BCCM</v>
      </c>
      <c r="BE182" s="492" t="str">
        <f t="shared" ref="BE182" ca="1" si="189">CONCATENATE(I182,BD182)</f>
        <v>BCCM</v>
      </c>
      <c r="BF182" s="447" t="s">
        <v>2338</v>
      </c>
      <c r="BG182" s="493">
        <v>41276</v>
      </c>
      <c r="BH182" s="493">
        <v>41276</v>
      </c>
      <c r="BI182" s="447">
        <f t="shared" ca="1" si="182"/>
        <v>13</v>
      </c>
      <c r="BJ182" s="447">
        <f t="shared" ca="1" si="167"/>
        <v>13</v>
      </c>
      <c r="BK182" s="493">
        <v>43497</v>
      </c>
      <c r="BL182" s="447">
        <f t="shared" ca="1" si="183"/>
        <v>7</v>
      </c>
      <c r="BM182" s="447" t="s">
        <v>64</v>
      </c>
      <c r="BN182" s="512" t="s">
        <v>102</v>
      </c>
      <c r="BO182" s="423" t="s">
        <v>2745</v>
      </c>
      <c r="BP182" s="513"/>
      <c r="BQ182" s="514" t="str">
        <f t="shared" si="186"/>
        <v>2MP</v>
      </c>
    </row>
    <row r="183" spans="1:69" ht="19.95" customHeight="1">
      <c r="A183" s="422" t="s">
        <v>1068</v>
      </c>
      <c r="B183" s="423" t="s">
        <v>1066</v>
      </c>
      <c r="C183" s="424">
        <v>15</v>
      </c>
      <c r="D183" s="546" t="s">
        <v>2554</v>
      </c>
      <c r="E183" s="547" t="s">
        <v>2555</v>
      </c>
      <c r="F183" s="546" t="s">
        <v>2556</v>
      </c>
      <c r="G183" s="546" t="s">
        <v>2266</v>
      </c>
      <c r="H183" s="974" t="s">
        <v>2557</v>
      </c>
      <c r="I183" s="974"/>
      <c r="J183" s="421" t="str">
        <f t="shared" si="172"/>
        <v>BC</v>
      </c>
      <c r="K183" s="421" t="str">
        <f t="shared" si="173"/>
        <v>BCM</v>
      </c>
      <c r="L183" s="447" t="str">
        <f t="shared" si="174"/>
        <v>BCM</v>
      </c>
      <c r="M183" s="932">
        <v>2</v>
      </c>
      <c r="N183" s="932">
        <v>2</v>
      </c>
      <c r="O183" s="932">
        <v>2</v>
      </c>
      <c r="P183" s="932">
        <v>2</v>
      </c>
      <c r="Q183" s="940"/>
      <c r="R183" s="940"/>
      <c r="S183" s="940"/>
      <c r="T183" s="940"/>
      <c r="U183" s="940"/>
      <c r="V183" s="940"/>
      <c r="W183" s="940"/>
      <c r="X183" s="948"/>
      <c r="Y183" s="948"/>
      <c r="Z183" s="948"/>
      <c r="AA183" s="948"/>
      <c r="AB183" s="948"/>
      <c r="AC183" s="948"/>
      <c r="AD183" s="616"/>
      <c r="AE183" s="616"/>
      <c r="AF183" s="616"/>
      <c r="AG183" s="616"/>
      <c r="AH183" s="448">
        <f t="shared" si="187"/>
        <v>366372</v>
      </c>
      <c r="AI183" s="449">
        <f t="shared" si="188"/>
        <v>366372</v>
      </c>
      <c r="AJ183" s="450">
        <v>1</v>
      </c>
      <c r="AK183" s="452" t="s">
        <v>1069</v>
      </c>
      <c r="AL183" s="447" t="s">
        <v>62</v>
      </c>
      <c r="AM183" s="447" t="s">
        <v>158</v>
      </c>
      <c r="AN183" s="447">
        <v>310100100001000</v>
      </c>
      <c r="AO183" s="305" t="s">
        <v>1542</v>
      </c>
      <c r="AP183" s="306" t="s">
        <v>2423</v>
      </c>
      <c r="AQ183" s="306" t="s">
        <v>2563</v>
      </c>
      <c r="AR183" s="306" t="s">
        <v>2564</v>
      </c>
      <c r="AS183" s="306" t="s">
        <v>2565</v>
      </c>
      <c r="AT183" s="306" t="s">
        <v>2566</v>
      </c>
      <c r="AU183" s="306" t="str">
        <f t="shared" si="159"/>
        <v>L</v>
      </c>
      <c r="AV183" s="306" t="str">
        <f t="shared" si="160"/>
        <v>Shaquile L. Buraga</v>
      </c>
      <c r="AW183" s="306" t="str">
        <f t="shared" si="171"/>
        <v>BURAGA, Shaquile Laniog</v>
      </c>
      <c r="AX183" s="305" t="s">
        <v>189</v>
      </c>
      <c r="AY183" s="447" t="s">
        <v>62</v>
      </c>
      <c r="AZ183" s="472">
        <v>34695</v>
      </c>
      <c r="BA183" s="101">
        <f t="shared" ref="BA183:BA212" ca="1" si="190">DATEDIF(AZ183,TODAY(),"Y")</f>
        <v>31</v>
      </c>
      <c r="BB183" s="492" t="str">
        <f t="shared" ref="BB183:BB212" ca="1" si="191">IF(BA183&lt;30,"A",IF(BA183&lt;40,"B",IF(BA183&lt;50,"C",IF(BA183&lt;60,"D",IF(BA183&lt;65,"E","VACANT")))))</f>
        <v>B</v>
      </c>
      <c r="BC183" s="492" t="str">
        <f t="shared" ca="1" si="179"/>
        <v>BCB</v>
      </c>
      <c r="BD183" s="492" t="str">
        <f t="shared" ca="1" si="180"/>
        <v>BCBM</v>
      </c>
      <c r="BE183" s="492" t="str">
        <f t="shared" ca="1" si="185"/>
        <v>BCBM</v>
      </c>
      <c r="BF183" s="447" t="s">
        <v>2567</v>
      </c>
      <c r="BG183" s="493">
        <v>43153</v>
      </c>
      <c r="BH183" s="494"/>
      <c r="BI183" s="447">
        <f t="shared" ref="BI183:BI212" ca="1" si="192">DATEDIF(BG183,TODAY(),"Y")</f>
        <v>8</v>
      </c>
      <c r="BJ183" s="447">
        <f t="shared" ca="1" si="167"/>
        <v>126</v>
      </c>
      <c r="BK183" s="493">
        <v>43515</v>
      </c>
      <c r="BL183" s="447">
        <f t="shared" ref="BL183:BL212" ca="1" si="193">DATEDIF(BK183,TODAY(),"Y")</f>
        <v>7</v>
      </c>
      <c r="BM183" s="447" t="s">
        <v>64</v>
      </c>
      <c r="BN183" s="512" t="s">
        <v>102</v>
      </c>
      <c r="BO183" s="423" t="s">
        <v>3415</v>
      </c>
      <c r="BP183" s="513"/>
      <c r="BQ183" s="514" t="str">
        <f t="shared" si="186"/>
        <v>2MP</v>
      </c>
    </row>
    <row r="184" spans="1:69" ht="19.95" customHeight="1">
      <c r="A184" s="422" t="s">
        <v>2568</v>
      </c>
      <c r="B184" s="423" t="s">
        <v>1066</v>
      </c>
      <c r="C184" s="424">
        <v>15</v>
      </c>
      <c r="D184" s="546" t="s">
        <v>2554</v>
      </c>
      <c r="E184" s="547" t="s">
        <v>2555</v>
      </c>
      <c r="F184" s="546" t="s">
        <v>2556</v>
      </c>
      <c r="G184" s="546" t="s">
        <v>2266</v>
      </c>
      <c r="H184" s="974" t="s">
        <v>2557</v>
      </c>
      <c r="I184" s="974"/>
      <c r="J184" s="421" t="str">
        <f t="shared" si="172"/>
        <v>K</v>
      </c>
      <c r="K184" s="421" t="str">
        <f t="shared" si="173"/>
        <v>KF</v>
      </c>
      <c r="L184" s="447" t="str">
        <f t="shared" si="174"/>
        <v>KF</v>
      </c>
      <c r="M184" s="932">
        <v>2</v>
      </c>
      <c r="N184" s="932">
        <v>2</v>
      </c>
      <c r="O184" s="932">
        <v>2</v>
      </c>
      <c r="P184" s="932">
        <v>2</v>
      </c>
      <c r="Q184" s="940"/>
      <c r="R184" s="940"/>
      <c r="S184" s="940"/>
      <c r="T184" s="940"/>
      <c r="U184" s="940"/>
      <c r="V184" s="940"/>
      <c r="W184" s="940"/>
      <c r="X184" s="948"/>
      <c r="Y184" s="948"/>
      <c r="Z184" s="948"/>
      <c r="AA184" s="948"/>
      <c r="AB184" s="948"/>
      <c r="AC184" s="948"/>
      <c r="AD184" s="616"/>
      <c r="AE184" s="616"/>
      <c r="AF184" s="616"/>
      <c r="AG184" s="616"/>
      <c r="AH184" s="448">
        <f t="shared" si="187"/>
        <v>366372</v>
      </c>
      <c r="AI184" s="449">
        <f t="shared" si="188"/>
        <v>366372</v>
      </c>
      <c r="AJ184" s="450">
        <v>1</v>
      </c>
      <c r="AK184" s="452" t="s">
        <v>53</v>
      </c>
      <c r="AL184" s="447" t="s">
        <v>54</v>
      </c>
      <c r="AM184" s="447" t="s">
        <v>158</v>
      </c>
      <c r="AN184" s="447">
        <v>310100100001000</v>
      </c>
      <c r="AO184" s="306" t="s">
        <v>211</v>
      </c>
      <c r="AP184" s="306" t="s">
        <v>2439</v>
      </c>
      <c r="AQ184" s="306" t="s">
        <v>2569</v>
      </c>
      <c r="AR184" s="305" t="s">
        <v>2076</v>
      </c>
      <c r="AS184" s="305" t="s">
        <v>2077</v>
      </c>
      <c r="AT184" s="305" t="s">
        <v>2078</v>
      </c>
      <c r="AU184" s="306" t="str">
        <f t="shared" si="159"/>
        <v>L</v>
      </c>
      <c r="AV184" s="306" t="str">
        <f t="shared" si="160"/>
        <v>Thyrza Shoey L. Dogui-Is</v>
      </c>
      <c r="AW184" s="306" t="str">
        <f t="shared" ref="AW184:AW186" si="194">CONCATENATE(AR184,", ",AS184," ",AT184)</f>
        <v>DOGUI-IS, Thyrza Shoey Leusen</v>
      </c>
      <c r="AX184" s="305" t="s">
        <v>211</v>
      </c>
      <c r="AY184" s="447" t="s">
        <v>100</v>
      </c>
      <c r="AZ184" s="472">
        <v>29299</v>
      </c>
      <c r="BA184" s="101">
        <f t="shared" ref="BA184" ca="1" si="195">DATEDIF(AZ184,TODAY(),"Y")</f>
        <v>46</v>
      </c>
      <c r="BB184" s="492" t="str">
        <f t="shared" ref="BB184" ca="1" si="196">IF(BA184&lt;30,"A",IF(BA184&lt;40,"B",IF(BA184&lt;50,"C",IF(BA184&lt;60,"D",IF(BA184&lt;65,"E","VACANT")))))</f>
        <v>C</v>
      </c>
      <c r="BC184" s="492" t="str">
        <f t="shared" ca="1" si="179"/>
        <v>KC</v>
      </c>
      <c r="BD184" s="492" t="str">
        <f t="shared" ca="1" si="180"/>
        <v>KCF</v>
      </c>
      <c r="BE184" s="492" t="str">
        <f t="shared" ca="1" si="185"/>
        <v>KCF</v>
      </c>
      <c r="BF184" s="447" t="s">
        <v>2570</v>
      </c>
      <c r="BG184" s="493">
        <v>41281</v>
      </c>
      <c r="BH184" s="493">
        <v>41281</v>
      </c>
      <c r="BI184" s="447">
        <f t="shared" ref="BI184" ca="1" si="197">DATEDIF(BG184,TODAY(),"Y")</f>
        <v>13</v>
      </c>
      <c r="BJ184" s="447">
        <f t="shared" ca="1" si="167"/>
        <v>13</v>
      </c>
      <c r="BK184" s="493">
        <v>43168</v>
      </c>
      <c r="BL184" s="447">
        <f t="shared" ref="BL184" ca="1" si="198">DATEDIF(BK184,TODAY(),"Y")</f>
        <v>8</v>
      </c>
      <c r="BM184" s="447" t="s">
        <v>64</v>
      </c>
      <c r="BN184" s="512" t="s">
        <v>102</v>
      </c>
      <c r="BO184" s="423" t="s">
        <v>2254</v>
      </c>
      <c r="BP184" s="513"/>
      <c r="BQ184" s="514" t="str">
        <f t="shared" si="186"/>
        <v>2FP</v>
      </c>
    </row>
    <row r="185" spans="1:69" ht="19.95" customHeight="1">
      <c r="A185" s="422" t="s">
        <v>1073</v>
      </c>
      <c r="B185" s="423" t="s">
        <v>1074</v>
      </c>
      <c r="C185" s="424">
        <v>13</v>
      </c>
      <c r="D185" s="424" t="s">
        <v>2242</v>
      </c>
      <c r="E185" s="424" t="s">
        <v>265</v>
      </c>
      <c r="F185" s="424" t="s">
        <v>265</v>
      </c>
      <c r="G185" s="424" t="s">
        <v>2266</v>
      </c>
      <c r="H185" s="305" t="s">
        <v>2573</v>
      </c>
      <c r="I185" s="422" t="s">
        <v>2574</v>
      </c>
      <c r="J185" s="421" t="str">
        <f t="shared" si="172"/>
        <v>LGOO2Ab</v>
      </c>
      <c r="K185" s="421" t="str">
        <f t="shared" si="173"/>
        <v>LGOO2AbF</v>
      </c>
      <c r="L185" s="447" t="str">
        <f t="shared" si="174"/>
        <v>AbF</v>
      </c>
      <c r="M185" s="932">
        <v>2</v>
      </c>
      <c r="N185" s="932">
        <v>2</v>
      </c>
      <c r="O185" s="932">
        <v>2</v>
      </c>
      <c r="P185" s="932">
        <v>2</v>
      </c>
      <c r="Q185" s="940"/>
      <c r="R185" s="940"/>
      <c r="S185" s="940"/>
      <c r="T185" s="940"/>
      <c r="U185" s="940"/>
      <c r="V185" s="940"/>
      <c r="W185" s="940"/>
      <c r="X185" s="948"/>
      <c r="Y185" s="948"/>
      <c r="Z185" s="948"/>
      <c r="AA185" s="948"/>
      <c r="AB185" s="948"/>
      <c r="AC185" s="948"/>
      <c r="AD185" s="616"/>
      <c r="AE185" s="616"/>
      <c r="AF185" s="616"/>
      <c r="AG185" s="616"/>
      <c r="AH185" s="448">
        <f t="shared" si="187"/>
        <v>302784</v>
      </c>
      <c r="AI185" s="449">
        <f t="shared" si="188"/>
        <v>306540</v>
      </c>
      <c r="AJ185" s="450">
        <v>2</v>
      </c>
      <c r="AK185" s="452" t="s">
        <v>53</v>
      </c>
      <c r="AL185" s="447" t="s">
        <v>54</v>
      </c>
      <c r="AM185" s="447" t="s">
        <v>158</v>
      </c>
      <c r="AN185" s="447">
        <v>310100100001000</v>
      </c>
      <c r="AO185" s="306" t="s">
        <v>181</v>
      </c>
      <c r="AP185" s="306" t="s">
        <v>2404</v>
      </c>
      <c r="AQ185" s="306" t="s">
        <v>2575</v>
      </c>
      <c r="AR185" s="306" t="s">
        <v>2101</v>
      </c>
      <c r="AS185" s="306" t="s">
        <v>847</v>
      </c>
      <c r="AT185" s="306" t="s">
        <v>2102</v>
      </c>
      <c r="AU185" s="306" t="str">
        <f t="shared" si="159"/>
        <v>B</v>
      </c>
      <c r="AV185" s="306" t="str">
        <f t="shared" si="160"/>
        <v>Elizabeth B. Layugan</v>
      </c>
      <c r="AW185" s="306" t="str">
        <f t="shared" si="194"/>
        <v>LAYUGAN, Elizabeth Barros</v>
      </c>
      <c r="AX185" s="305" t="s">
        <v>408</v>
      </c>
      <c r="AY185" s="447" t="s">
        <v>100</v>
      </c>
      <c r="AZ185" s="472">
        <v>32193</v>
      </c>
      <c r="BA185" s="101">
        <f t="shared" ca="1" si="190"/>
        <v>38</v>
      </c>
      <c r="BB185" s="492" t="str">
        <f t="shared" ca="1" si="191"/>
        <v>B</v>
      </c>
      <c r="BC185" s="492" t="str">
        <f t="shared" ca="1" si="179"/>
        <v>AbB</v>
      </c>
      <c r="BD185" s="492" t="str">
        <f t="shared" ca="1" si="180"/>
        <v>AbBF</v>
      </c>
      <c r="BE185" s="492" t="str">
        <f t="shared" ca="1" si="185"/>
        <v>LGOO2AbBF</v>
      </c>
      <c r="BF185" s="447" t="s">
        <v>2576</v>
      </c>
      <c r="BG185" s="493">
        <v>41927</v>
      </c>
      <c r="BH185" s="493">
        <v>41927</v>
      </c>
      <c r="BI185" s="447">
        <f t="shared" ca="1" si="192"/>
        <v>11</v>
      </c>
      <c r="BJ185" s="447">
        <f t="shared" ca="1" si="167"/>
        <v>11</v>
      </c>
      <c r="BK185" s="493">
        <v>41927</v>
      </c>
      <c r="BL185" s="447">
        <f t="shared" ca="1" si="193"/>
        <v>11</v>
      </c>
      <c r="BM185" s="447" t="s">
        <v>64</v>
      </c>
      <c r="BN185" s="512" t="s">
        <v>102</v>
      </c>
      <c r="BO185" s="423" t="s">
        <v>2254</v>
      </c>
      <c r="BP185" s="513"/>
      <c r="BQ185" s="514" t="str">
        <f t="shared" si="186"/>
        <v>2FP</v>
      </c>
    </row>
    <row r="186" spans="1:69" ht="19.95" customHeight="1">
      <c r="A186" s="422" t="s">
        <v>1078</v>
      </c>
      <c r="B186" s="423" t="s">
        <v>1074</v>
      </c>
      <c r="C186" s="424">
        <v>13</v>
      </c>
      <c r="D186" s="424" t="s">
        <v>2242</v>
      </c>
      <c r="E186" s="424" t="s">
        <v>265</v>
      </c>
      <c r="F186" s="424" t="s">
        <v>265</v>
      </c>
      <c r="G186" s="424" t="s">
        <v>2266</v>
      </c>
      <c r="H186" s="305" t="s">
        <v>2573</v>
      </c>
      <c r="I186" s="422" t="s">
        <v>2574</v>
      </c>
      <c r="J186" s="421" t="str">
        <f t="shared" si="172"/>
        <v>LGOO2I</v>
      </c>
      <c r="K186" s="421" t="str">
        <f t="shared" si="173"/>
        <v>LGOO2IM</v>
      </c>
      <c r="L186" s="447" t="str">
        <f t="shared" si="174"/>
        <v>IM</v>
      </c>
      <c r="M186" s="932">
        <v>2</v>
      </c>
      <c r="N186" s="932">
        <v>2</v>
      </c>
      <c r="O186" s="932">
        <v>2</v>
      </c>
      <c r="P186" s="932">
        <v>2</v>
      </c>
      <c r="Q186" s="940"/>
      <c r="R186" s="940"/>
      <c r="S186" s="940"/>
      <c r="T186" s="940"/>
      <c r="U186" s="940"/>
      <c r="V186" s="940"/>
      <c r="W186" s="940"/>
      <c r="X186" s="948"/>
      <c r="Y186" s="948"/>
      <c r="Z186" s="948"/>
      <c r="AA186" s="948"/>
      <c r="AB186" s="948"/>
      <c r="AC186" s="948"/>
      <c r="AD186" s="616"/>
      <c r="AE186" s="616"/>
      <c r="AF186" s="616"/>
      <c r="AG186" s="616"/>
      <c r="AH186" s="448">
        <f t="shared" si="187"/>
        <v>302784</v>
      </c>
      <c r="AI186" s="449">
        <f t="shared" si="188"/>
        <v>302784</v>
      </c>
      <c r="AJ186" s="450">
        <v>1</v>
      </c>
      <c r="AK186" s="452" t="s">
        <v>553</v>
      </c>
      <c r="AL186" s="447" t="s">
        <v>62</v>
      </c>
      <c r="AM186" s="447" t="s">
        <v>158</v>
      </c>
      <c r="AN186" s="447">
        <v>310100100001000</v>
      </c>
      <c r="AO186" s="305" t="s">
        <v>408</v>
      </c>
      <c r="AP186" s="305" t="s">
        <v>2423</v>
      </c>
      <c r="AQ186" s="306" t="s">
        <v>2424</v>
      </c>
      <c r="AR186" s="305" t="s">
        <v>2124</v>
      </c>
      <c r="AS186" s="305" t="s">
        <v>2125</v>
      </c>
      <c r="AT186" s="305" t="s">
        <v>2126</v>
      </c>
      <c r="AU186" s="306" t="str">
        <f t="shared" si="159"/>
        <v>L</v>
      </c>
      <c r="AV186" s="306" t="str">
        <f t="shared" si="160"/>
        <v>Valentine L. Atuan</v>
      </c>
      <c r="AW186" s="306" t="str">
        <f t="shared" si="194"/>
        <v>ATUAN, Valentine Lugawe</v>
      </c>
      <c r="AX186" s="305" t="s">
        <v>174</v>
      </c>
      <c r="AY186" s="447" t="s">
        <v>62</v>
      </c>
      <c r="AZ186" s="472">
        <v>31457</v>
      </c>
      <c r="BA186" s="101">
        <f t="shared" ref="BA186" ca="1" si="199">DATEDIF(AZ186,TODAY(),"Y")</f>
        <v>40</v>
      </c>
      <c r="BB186" s="492" t="str">
        <f t="shared" ref="BB186" ca="1" si="200">IF(BA186&lt;30,"A",IF(BA186&lt;40,"B",IF(BA186&lt;50,"C",IF(BA186&lt;60,"D",IF(BA186&lt;65,"E","VACANT")))))</f>
        <v>C</v>
      </c>
      <c r="BC186" s="492" t="str">
        <f t="shared" ca="1" si="179"/>
        <v>IC</v>
      </c>
      <c r="BD186" s="492" t="str">
        <f t="shared" ca="1" si="180"/>
        <v>ICM</v>
      </c>
      <c r="BE186" s="492" t="str">
        <f t="shared" ref="BE186" ca="1" si="201">CONCATENATE(I186,BD186)</f>
        <v>LGOO2ICM</v>
      </c>
      <c r="BF186" s="498" t="s">
        <v>2577</v>
      </c>
      <c r="BG186" s="493">
        <v>42171</v>
      </c>
      <c r="BH186" s="493">
        <v>42186</v>
      </c>
      <c r="BI186" s="447">
        <f t="shared" ref="BI186" ca="1" si="202">DATEDIF(BG186,TODAY(),"Y")</f>
        <v>10</v>
      </c>
      <c r="BJ186" s="447">
        <f t="shared" ca="1" si="167"/>
        <v>10</v>
      </c>
      <c r="BK186" s="493">
        <v>43395</v>
      </c>
      <c r="BL186" s="447">
        <f t="shared" ref="BL186" ca="1" si="203">DATEDIF(BK186,TODAY(),"Y")</f>
        <v>7</v>
      </c>
      <c r="BM186" s="447" t="s">
        <v>64</v>
      </c>
      <c r="BN186" s="512" t="s">
        <v>2578</v>
      </c>
      <c r="BO186" s="423" t="s">
        <v>2254</v>
      </c>
      <c r="BP186" s="513"/>
      <c r="BQ186" s="514" t="str">
        <f t="shared" si="186"/>
        <v>2MP</v>
      </c>
    </row>
    <row r="187" spans="1:69" ht="19.95" customHeight="1">
      <c r="A187" s="422" t="s">
        <v>1082</v>
      </c>
      <c r="B187" s="423" t="s">
        <v>1074</v>
      </c>
      <c r="C187" s="424">
        <v>13</v>
      </c>
      <c r="D187" s="424" t="s">
        <v>2242</v>
      </c>
      <c r="E187" s="424" t="s">
        <v>265</v>
      </c>
      <c r="F187" s="424" t="s">
        <v>265</v>
      </c>
      <c r="G187" s="424" t="s">
        <v>2266</v>
      </c>
      <c r="H187" s="305" t="s">
        <v>2573</v>
      </c>
      <c r="I187" s="422" t="s">
        <v>2574</v>
      </c>
      <c r="J187" s="421" t="str">
        <f t="shared" si="172"/>
        <v>LGOO2Ab</v>
      </c>
      <c r="K187" s="421" t="str">
        <f t="shared" si="173"/>
        <v>LGOO2AbM</v>
      </c>
      <c r="L187" s="447" t="str">
        <f t="shared" si="174"/>
        <v>AbM</v>
      </c>
      <c r="M187" s="932">
        <v>2</v>
      </c>
      <c r="N187" s="932">
        <v>2</v>
      </c>
      <c r="O187" s="932">
        <v>2</v>
      </c>
      <c r="P187" s="932">
        <v>2</v>
      </c>
      <c r="Q187" s="940"/>
      <c r="R187" s="940"/>
      <c r="S187" s="940"/>
      <c r="T187" s="940"/>
      <c r="U187" s="940"/>
      <c r="V187" s="940"/>
      <c r="W187" s="940"/>
      <c r="X187" s="948"/>
      <c r="Y187" s="948"/>
      <c r="Z187" s="948"/>
      <c r="AA187" s="948"/>
      <c r="AB187" s="948"/>
      <c r="AC187" s="948"/>
      <c r="AD187" s="616"/>
      <c r="AE187" s="616"/>
      <c r="AF187" s="616"/>
      <c r="AG187" s="616"/>
      <c r="AH187" s="448">
        <f t="shared" si="187"/>
        <v>302784</v>
      </c>
      <c r="AI187" s="449">
        <f t="shared" si="188"/>
        <v>306540</v>
      </c>
      <c r="AJ187" s="450">
        <v>2</v>
      </c>
      <c r="AK187" s="452" t="s">
        <v>465</v>
      </c>
      <c r="AL187" s="447" t="s">
        <v>64</v>
      </c>
      <c r="AM187" s="447" t="s">
        <v>158</v>
      </c>
      <c r="AN187" s="447">
        <v>310100100001000</v>
      </c>
      <c r="AO187" s="305" t="s">
        <v>408</v>
      </c>
      <c r="AP187" s="305" t="s">
        <v>2404</v>
      </c>
      <c r="AQ187" s="306" t="s">
        <v>408</v>
      </c>
      <c r="AR187" s="306" t="s">
        <v>2106</v>
      </c>
      <c r="AS187" s="306" t="s">
        <v>2107</v>
      </c>
      <c r="AT187" s="306" t="s">
        <v>2108</v>
      </c>
      <c r="AU187" s="306" t="str">
        <f t="shared" si="159"/>
        <v>A</v>
      </c>
      <c r="AV187" s="306" t="str">
        <f t="shared" si="160"/>
        <v>Jr A. Tenebro</v>
      </c>
      <c r="AW187" s="306" t="str">
        <f t="shared" ref="AW187:AW190" si="204">CONCATENATE(AR187,", ",AS187," ",AT187)</f>
        <v>TENEBRO, JR Adame</v>
      </c>
      <c r="AX187" s="305" t="s">
        <v>408</v>
      </c>
      <c r="AY187" s="447" t="s">
        <v>62</v>
      </c>
      <c r="AZ187" s="472">
        <v>32692</v>
      </c>
      <c r="BA187" s="101">
        <f t="shared" ca="1" si="190"/>
        <v>36</v>
      </c>
      <c r="BB187" s="492" t="str">
        <f t="shared" ca="1" si="191"/>
        <v>B</v>
      </c>
      <c r="BC187" s="492" t="str">
        <f t="shared" ca="1" si="179"/>
        <v>AbB</v>
      </c>
      <c r="BD187" s="492" t="str">
        <f t="shared" ca="1" si="180"/>
        <v>AbBM</v>
      </c>
      <c r="BE187" s="492" t="str">
        <f t="shared" ca="1" si="185"/>
        <v>LGOO2AbBM</v>
      </c>
      <c r="BF187" s="447" t="s">
        <v>2580</v>
      </c>
      <c r="BG187" s="493">
        <v>41925</v>
      </c>
      <c r="BH187" s="493">
        <v>41925</v>
      </c>
      <c r="BI187" s="447">
        <f t="shared" ca="1" si="192"/>
        <v>11</v>
      </c>
      <c r="BJ187" s="447">
        <f t="shared" ca="1" si="167"/>
        <v>11</v>
      </c>
      <c r="BK187" s="493">
        <v>42293</v>
      </c>
      <c r="BL187" s="447">
        <f t="shared" ca="1" si="193"/>
        <v>10</v>
      </c>
      <c r="BM187" s="447" t="s">
        <v>64</v>
      </c>
      <c r="BN187" s="512" t="s">
        <v>102</v>
      </c>
      <c r="BO187" s="423" t="s">
        <v>3416</v>
      </c>
      <c r="BP187" s="513"/>
      <c r="BQ187" s="514" t="str">
        <f t="shared" si="186"/>
        <v>2MP</v>
      </c>
    </row>
    <row r="188" spans="1:69" ht="19.95" customHeight="1">
      <c r="A188" s="422" t="s">
        <v>1084</v>
      </c>
      <c r="B188" s="423" t="s">
        <v>1074</v>
      </c>
      <c r="C188" s="424">
        <v>13</v>
      </c>
      <c r="D188" s="424" t="s">
        <v>2242</v>
      </c>
      <c r="E188" s="424" t="s">
        <v>265</v>
      </c>
      <c r="F188" s="424" t="s">
        <v>265</v>
      </c>
      <c r="G188" s="424" t="s">
        <v>2266</v>
      </c>
      <c r="H188" s="305" t="s">
        <v>2573</v>
      </c>
      <c r="I188" s="422" t="s">
        <v>2574</v>
      </c>
      <c r="J188" s="421" t="str">
        <f t="shared" si="172"/>
        <v>LGOO2Ab</v>
      </c>
      <c r="K188" s="421" t="str">
        <f t="shared" si="173"/>
        <v>LGOO2AbM</v>
      </c>
      <c r="L188" s="447" t="str">
        <f t="shared" si="174"/>
        <v>AbM</v>
      </c>
      <c r="M188" s="932">
        <v>2</v>
      </c>
      <c r="N188" s="932">
        <v>2</v>
      </c>
      <c r="O188" s="932">
        <v>2</v>
      </c>
      <c r="P188" s="932">
        <v>2</v>
      </c>
      <c r="Q188" s="940"/>
      <c r="R188" s="940"/>
      <c r="S188" s="940"/>
      <c r="T188" s="940"/>
      <c r="U188" s="940"/>
      <c r="V188" s="940"/>
      <c r="W188" s="940"/>
      <c r="X188" s="948"/>
      <c r="Y188" s="948"/>
      <c r="Z188" s="948"/>
      <c r="AA188" s="948"/>
      <c r="AB188" s="948"/>
      <c r="AC188" s="948"/>
      <c r="AD188" s="616"/>
      <c r="AE188" s="616"/>
      <c r="AF188" s="616"/>
      <c r="AG188" s="616"/>
      <c r="AH188" s="448">
        <f t="shared" si="187"/>
        <v>302784</v>
      </c>
      <c r="AI188" s="449">
        <f t="shared" si="188"/>
        <v>306540</v>
      </c>
      <c r="AJ188" s="450">
        <v>2</v>
      </c>
      <c r="AK188" s="452" t="s">
        <v>537</v>
      </c>
      <c r="AL188" s="447" t="s">
        <v>62</v>
      </c>
      <c r="AM188" s="447" t="s">
        <v>158</v>
      </c>
      <c r="AN188" s="447">
        <v>310100100001000</v>
      </c>
      <c r="AO188" s="305" t="s">
        <v>408</v>
      </c>
      <c r="AP188" s="305" t="s">
        <v>2423</v>
      </c>
      <c r="AQ188" s="306" t="s">
        <v>2581</v>
      </c>
      <c r="AR188" s="306" t="s">
        <v>2095</v>
      </c>
      <c r="AS188" s="306" t="s">
        <v>2096</v>
      </c>
      <c r="AT188" s="306" t="s">
        <v>2097</v>
      </c>
      <c r="AU188" s="306" t="str">
        <f t="shared" si="159"/>
        <v>F</v>
      </c>
      <c r="AV188" s="306" t="str">
        <f t="shared" si="160"/>
        <v>Alfrainer F. Partido</v>
      </c>
      <c r="AW188" s="306" t="str">
        <f t="shared" si="204"/>
        <v>PARTIDO, Alfrainer Ferras</v>
      </c>
      <c r="AX188" s="305" t="s">
        <v>408</v>
      </c>
      <c r="AY188" s="447" t="s">
        <v>62</v>
      </c>
      <c r="AZ188" s="472">
        <v>32529</v>
      </c>
      <c r="BA188" s="101">
        <f t="shared" ca="1" si="190"/>
        <v>37</v>
      </c>
      <c r="BB188" s="492" t="str">
        <f t="shared" ca="1" si="191"/>
        <v>B</v>
      </c>
      <c r="BC188" s="492" t="str">
        <f t="shared" ca="1" si="179"/>
        <v>AbB</v>
      </c>
      <c r="BD188" s="492" t="str">
        <f t="shared" ca="1" si="180"/>
        <v>AbBM</v>
      </c>
      <c r="BE188" s="492" t="str">
        <f t="shared" ca="1" si="185"/>
        <v>LGOO2AbBM</v>
      </c>
      <c r="BF188" s="447" t="s">
        <v>2582</v>
      </c>
      <c r="BG188" s="493">
        <v>41704</v>
      </c>
      <c r="BH188" s="493">
        <v>41704</v>
      </c>
      <c r="BI188" s="447">
        <f t="shared" ca="1" si="192"/>
        <v>12</v>
      </c>
      <c r="BJ188" s="447">
        <f t="shared" ca="1" si="167"/>
        <v>12</v>
      </c>
      <c r="BK188" s="493">
        <v>42186</v>
      </c>
      <c r="BL188" s="447">
        <f t="shared" ca="1" si="193"/>
        <v>10</v>
      </c>
      <c r="BM188" s="447" t="s">
        <v>64</v>
      </c>
      <c r="BN188" s="512" t="s">
        <v>102</v>
      </c>
      <c r="BO188" s="423" t="s">
        <v>3417</v>
      </c>
      <c r="BP188" s="513"/>
      <c r="BQ188" s="514" t="str">
        <f t="shared" si="186"/>
        <v>2MP</v>
      </c>
    </row>
    <row r="189" spans="1:69" ht="19.95" customHeight="1">
      <c r="A189" s="422" t="s">
        <v>1085</v>
      </c>
      <c r="B189" s="423" t="s">
        <v>1074</v>
      </c>
      <c r="C189" s="424">
        <v>13</v>
      </c>
      <c r="D189" s="424" t="s">
        <v>2242</v>
      </c>
      <c r="E189" s="424" t="s">
        <v>265</v>
      </c>
      <c r="F189" s="424" t="s">
        <v>265</v>
      </c>
      <c r="G189" s="424" t="s">
        <v>2266</v>
      </c>
      <c r="H189" s="305" t="s">
        <v>2573</v>
      </c>
      <c r="I189" s="422" t="s">
        <v>2574</v>
      </c>
      <c r="J189" s="421" t="str">
        <f t="shared" si="172"/>
        <v>Vacant</v>
      </c>
      <c r="K189" s="421" t="str">
        <f t="shared" si="173"/>
        <v>Vacant</v>
      </c>
      <c r="L189" s="447" t="str">
        <f t="shared" si="174"/>
        <v>XXX</v>
      </c>
      <c r="M189" s="932">
        <v>2</v>
      </c>
      <c r="N189" s="932">
        <v>2</v>
      </c>
      <c r="O189" s="932">
        <v>2</v>
      </c>
      <c r="P189" s="932">
        <v>2</v>
      </c>
      <c r="Q189" s="940"/>
      <c r="R189" s="940"/>
      <c r="S189" s="940"/>
      <c r="T189" s="940"/>
      <c r="U189" s="940"/>
      <c r="V189" s="940"/>
      <c r="W189" s="940"/>
      <c r="X189" s="948"/>
      <c r="Y189" s="948"/>
      <c r="Z189" s="948"/>
      <c r="AA189" s="948"/>
      <c r="AB189" s="948"/>
      <c r="AC189" s="948"/>
      <c r="AD189" s="616"/>
      <c r="AE189" s="616"/>
      <c r="AF189" s="616"/>
      <c r="AG189" s="616"/>
      <c r="AH189" s="448">
        <f t="shared" si="187"/>
        <v>302784</v>
      </c>
      <c r="AI189" s="449">
        <f t="shared" si="188"/>
        <v>0</v>
      </c>
      <c r="AJ189" s="450">
        <v>0</v>
      </c>
      <c r="AK189" s="452" t="s">
        <v>600</v>
      </c>
      <c r="AL189" s="447" t="s">
        <v>62</v>
      </c>
      <c r="AM189" s="447" t="s">
        <v>158</v>
      </c>
      <c r="AN189" s="447">
        <v>310100100001000</v>
      </c>
      <c r="AO189" s="305" t="s">
        <v>408</v>
      </c>
      <c r="AP189" s="305" t="s">
        <v>2423</v>
      </c>
      <c r="AQ189" s="306" t="s">
        <v>2430</v>
      </c>
      <c r="AR189" s="306" t="s">
        <v>2583</v>
      </c>
      <c r="AS189" s="306"/>
      <c r="AT189" s="306"/>
      <c r="AU189" s="306" t="str">
        <f t="shared" si="159"/>
        <v/>
      </c>
      <c r="AV189" s="306" t="str">
        <f t="shared" si="160"/>
        <v xml:space="preserve"> . Vacant Saguiyod</v>
      </c>
      <c r="AW189" s="306" t="str">
        <f t="shared" si="204"/>
        <v xml:space="preserve">Vacant SAGUIYOD,  </v>
      </c>
      <c r="AX189" s="305"/>
      <c r="AY189" s="447"/>
      <c r="AZ189" s="472"/>
      <c r="BA189" s="101">
        <f t="shared" ca="1" si="190"/>
        <v>126</v>
      </c>
      <c r="BB189" s="492" t="str">
        <f t="shared" ca="1" si="191"/>
        <v>VACANT</v>
      </c>
      <c r="BC189" s="492" t="str">
        <f t="shared" si="179"/>
        <v>XXX</v>
      </c>
      <c r="BD189" s="492" t="str">
        <f t="shared" si="180"/>
        <v>XXX</v>
      </c>
      <c r="BE189" s="492" t="str">
        <f t="shared" si="185"/>
        <v>LGOO2XXX</v>
      </c>
      <c r="BF189" s="447"/>
      <c r="BG189" s="493"/>
      <c r="BH189" s="493"/>
      <c r="BI189" s="447">
        <f t="shared" ca="1" si="192"/>
        <v>126</v>
      </c>
      <c r="BJ189" s="447">
        <f t="shared" ca="1" si="167"/>
        <v>126</v>
      </c>
      <c r="BK189" s="493"/>
      <c r="BL189" s="447">
        <f t="shared" ca="1" si="193"/>
        <v>126</v>
      </c>
      <c r="BM189" s="447"/>
      <c r="BN189" s="512"/>
      <c r="BO189" s="423"/>
      <c r="BP189" s="513"/>
      <c r="BQ189" s="514" t="str">
        <f t="shared" si="186"/>
        <v>2</v>
      </c>
    </row>
    <row r="190" spans="1:69" ht="19.95" customHeight="1">
      <c r="A190" s="422" t="s">
        <v>1086</v>
      </c>
      <c r="B190" s="423" t="s">
        <v>1074</v>
      </c>
      <c r="C190" s="424">
        <v>13</v>
      </c>
      <c r="D190" s="424" t="s">
        <v>2242</v>
      </c>
      <c r="E190" s="424" t="s">
        <v>265</v>
      </c>
      <c r="F190" s="424" t="s">
        <v>265</v>
      </c>
      <c r="G190" s="424" t="s">
        <v>2266</v>
      </c>
      <c r="H190" s="305" t="s">
        <v>2573</v>
      </c>
      <c r="I190" s="422" t="s">
        <v>2574</v>
      </c>
      <c r="J190" s="421" t="str">
        <f t="shared" si="172"/>
        <v>LGOO2Ap</v>
      </c>
      <c r="K190" s="421" t="str">
        <f t="shared" si="173"/>
        <v>LGOO2ApF</v>
      </c>
      <c r="L190" s="447" t="str">
        <f t="shared" si="174"/>
        <v>ApF</v>
      </c>
      <c r="M190" s="932">
        <v>2</v>
      </c>
      <c r="N190" s="932">
        <v>2</v>
      </c>
      <c r="O190" s="932">
        <v>2</v>
      </c>
      <c r="P190" s="932">
        <v>2</v>
      </c>
      <c r="Q190" s="940"/>
      <c r="R190" s="940"/>
      <c r="S190" s="940"/>
      <c r="T190" s="940"/>
      <c r="U190" s="940"/>
      <c r="V190" s="940"/>
      <c r="W190" s="940"/>
      <c r="X190" s="948"/>
      <c r="Y190" s="948"/>
      <c r="Z190" s="948"/>
      <c r="AA190" s="948"/>
      <c r="AB190" s="948"/>
      <c r="AC190" s="948"/>
      <c r="AD190" s="616"/>
      <c r="AE190" s="616"/>
      <c r="AF190" s="616"/>
      <c r="AG190" s="616"/>
      <c r="AH190" s="448">
        <f t="shared" si="187"/>
        <v>302784</v>
      </c>
      <c r="AI190" s="449">
        <f t="shared" si="188"/>
        <v>302784</v>
      </c>
      <c r="AJ190" s="450">
        <v>1</v>
      </c>
      <c r="AK190" s="452" t="s">
        <v>1087</v>
      </c>
      <c r="AL190" s="447" t="s">
        <v>62</v>
      </c>
      <c r="AM190" s="447" t="s">
        <v>158</v>
      </c>
      <c r="AN190" s="447">
        <v>310100100001000</v>
      </c>
      <c r="AO190" s="305" t="s">
        <v>408</v>
      </c>
      <c r="AP190" s="305" t="s">
        <v>2423</v>
      </c>
      <c r="AQ190" s="306" t="s">
        <v>2584</v>
      </c>
      <c r="AR190" s="305" t="s">
        <v>2121</v>
      </c>
      <c r="AS190" s="305" t="s">
        <v>2122</v>
      </c>
      <c r="AT190" s="305" t="s">
        <v>2123</v>
      </c>
      <c r="AU190" s="306" t="str">
        <f t="shared" si="159"/>
        <v>F</v>
      </c>
      <c r="AV190" s="306" t="str">
        <f t="shared" si="160"/>
        <v>Rochelle F. Anua</v>
      </c>
      <c r="AW190" s="306" t="str">
        <f t="shared" si="204"/>
        <v>ANUA, Rochelle Foronda</v>
      </c>
      <c r="AX190" s="305" t="s">
        <v>181</v>
      </c>
      <c r="AY190" s="447" t="s">
        <v>100</v>
      </c>
      <c r="AZ190" s="472">
        <v>34385</v>
      </c>
      <c r="BA190" s="101">
        <f t="shared" ca="1" si="190"/>
        <v>32</v>
      </c>
      <c r="BB190" s="492" t="str">
        <f t="shared" ca="1" si="191"/>
        <v>B</v>
      </c>
      <c r="BC190" s="492" t="str">
        <f t="shared" ca="1" si="179"/>
        <v>ApB</v>
      </c>
      <c r="BD190" s="492" t="str">
        <f t="shared" ca="1" si="180"/>
        <v>ApBF</v>
      </c>
      <c r="BE190" s="492" t="str">
        <f t="shared" ca="1" si="185"/>
        <v>LGOO2ApBF</v>
      </c>
      <c r="BF190" s="447" t="s">
        <v>2585</v>
      </c>
      <c r="BG190" s="493">
        <v>42170</v>
      </c>
      <c r="BH190" s="493">
        <v>42170</v>
      </c>
      <c r="BI190" s="447">
        <f t="shared" ca="1" si="192"/>
        <v>10</v>
      </c>
      <c r="BJ190" s="447">
        <f t="shared" ca="1" si="167"/>
        <v>10</v>
      </c>
      <c r="BK190" s="493">
        <v>43367</v>
      </c>
      <c r="BL190" s="447">
        <f t="shared" ca="1" si="193"/>
        <v>7</v>
      </c>
      <c r="BM190" s="447" t="s">
        <v>64</v>
      </c>
      <c r="BN190" s="512" t="s">
        <v>102</v>
      </c>
      <c r="BO190" s="423" t="s">
        <v>3417</v>
      </c>
      <c r="BP190" s="513"/>
      <c r="BQ190" s="514" t="str">
        <f t="shared" si="186"/>
        <v>2FP</v>
      </c>
    </row>
    <row r="191" spans="1:69" ht="19.95" customHeight="1">
      <c r="A191" s="422" t="s">
        <v>1096</v>
      </c>
      <c r="B191" s="423" t="s">
        <v>1074</v>
      </c>
      <c r="C191" s="424">
        <v>13</v>
      </c>
      <c r="D191" s="424" t="s">
        <v>2242</v>
      </c>
      <c r="E191" s="424" t="s">
        <v>265</v>
      </c>
      <c r="F191" s="424" t="s">
        <v>265</v>
      </c>
      <c r="G191" s="424" t="s">
        <v>2266</v>
      </c>
      <c r="H191" s="305" t="s">
        <v>2573</v>
      </c>
      <c r="I191" s="422" t="s">
        <v>2574</v>
      </c>
      <c r="J191" s="421" t="str">
        <f t="shared" si="172"/>
        <v>LGOO2MP</v>
      </c>
      <c r="K191" s="421" t="str">
        <f t="shared" si="173"/>
        <v>LGOO2MPF</v>
      </c>
      <c r="L191" s="447" t="str">
        <f t="shared" si="174"/>
        <v>MPF</v>
      </c>
      <c r="M191" s="932">
        <v>2</v>
      </c>
      <c r="N191" s="932">
        <v>2</v>
      </c>
      <c r="O191" s="932">
        <v>2</v>
      </c>
      <c r="P191" s="932">
        <v>2</v>
      </c>
      <c r="Q191" s="940"/>
      <c r="R191" s="940"/>
      <c r="S191" s="940"/>
      <c r="T191" s="940"/>
      <c r="U191" s="940"/>
      <c r="V191" s="940"/>
      <c r="W191" s="940"/>
      <c r="X191" s="948"/>
      <c r="Y191" s="948"/>
      <c r="Z191" s="948"/>
      <c r="AA191" s="948"/>
      <c r="AB191" s="948"/>
      <c r="AC191" s="948"/>
      <c r="AD191" s="616"/>
      <c r="AE191" s="616"/>
      <c r="AF191" s="616"/>
      <c r="AG191" s="616"/>
      <c r="AH191" s="448">
        <f t="shared" si="187"/>
        <v>302784</v>
      </c>
      <c r="AI191" s="449">
        <f t="shared" si="188"/>
        <v>306540</v>
      </c>
      <c r="AJ191" s="450">
        <v>2</v>
      </c>
      <c r="AK191" s="928" t="s">
        <v>352</v>
      </c>
      <c r="AL191" s="447" t="s">
        <v>54</v>
      </c>
      <c r="AM191" s="447" t="s">
        <v>158</v>
      </c>
      <c r="AN191" s="447">
        <v>310100100001000</v>
      </c>
      <c r="AO191" s="306" t="s">
        <v>211</v>
      </c>
      <c r="AP191" s="306" t="s">
        <v>2404</v>
      </c>
      <c r="AQ191" s="306" t="s">
        <v>2587</v>
      </c>
      <c r="AR191" s="305" t="s">
        <v>2112</v>
      </c>
      <c r="AS191" s="305" t="s">
        <v>2113</v>
      </c>
      <c r="AT191" s="305" t="s">
        <v>2114</v>
      </c>
      <c r="AU191" s="306" t="str">
        <f t="shared" si="159"/>
        <v>A</v>
      </c>
      <c r="AV191" s="306" t="str">
        <f t="shared" si="160"/>
        <v>Trisha Marie A. Dogup</v>
      </c>
      <c r="AW191" s="306" t="str">
        <f t="shared" ref="AW191:AW201" si="205">CONCATENATE(AR191,", ",AS191," ",AT191)</f>
        <v>DOGUP, Trisha Marie Alangsab</v>
      </c>
      <c r="AX191" s="305" t="s">
        <v>268</v>
      </c>
      <c r="AY191" s="447" t="s">
        <v>100</v>
      </c>
      <c r="AZ191" s="472">
        <v>34298</v>
      </c>
      <c r="BA191" s="101">
        <f t="shared" ca="1" si="190"/>
        <v>32</v>
      </c>
      <c r="BB191" s="492" t="str">
        <f t="shared" ca="1" si="191"/>
        <v>B</v>
      </c>
      <c r="BC191" s="492" t="str">
        <f t="shared" ca="1" si="179"/>
        <v>MPB</v>
      </c>
      <c r="BD191" s="492" t="str">
        <f t="shared" ca="1" si="180"/>
        <v>MPBF</v>
      </c>
      <c r="BE191" s="492" t="str">
        <f t="shared" ca="1" si="185"/>
        <v>LGOO2MPBF</v>
      </c>
      <c r="BF191" s="927" t="s">
        <v>2588</v>
      </c>
      <c r="BG191" s="493">
        <v>41927</v>
      </c>
      <c r="BH191" s="493">
        <v>41927</v>
      </c>
      <c r="BI191" s="447">
        <f t="shared" ca="1" si="192"/>
        <v>11</v>
      </c>
      <c r="BJ191" s="447">
        <f t="shared" ca="1" si="167"/>
        <v>11</v>
      </c>
      <c r="BK191" s="493">
        <v>41932</v>
      </c>
      <c r="BL191" s="447">
        <f t="shared" ca="1" si="193"/>
        <v>11</v>
      </c>
      <c r="BM191" s="447" t="s">
        <v>64</v>
      </c>
      <c r="BN191" s="512" t="s">
        <v>102</v>
      </c>
      <c r="BO191" s="423" t="s">
        <v>2254</v>
      </c>
      <c r="BP191" s="513"/>
      <c r="BQ191" s="514" t="str">
        <f t="shared" si="186"/>
        <v>2FP</v>
      </c>
    </row>
    <row r="192" spans="1:69" ht="19.95" customHeight="1">
      <c r="A192" s="422" t="s">
        <v>1098</v>
      </c>
      <c r="B192" s="423" t="s">
        <v>1074</v>
      </c>
      <c r="C192" s="424">
        <v>13</v>
      </c>
      <c r="D192" s="424" t="s">
        <v>2242</v>
      </c>
      <c r="E192" s="424" t="s">
        <v>265</v>
      </c>
      <c r="F192" s="424" t="s">
        <v>265</v>
      </c>
      <c r="G192" s="424" t="s">
        <v>2266</v>
      </c>
      <c r="H192" s="305" t="s">
        <v>2573</v>
      </c>
      <c r="I192" s="422" t="s">
        <v>2574</v>
      </c>
      <c r="J192" s="421" t="str">
        <f t="shared" si="172"/>
        <v>LGOO2B</v>
      </c>
      <c r="K192" s="421" t="str">
        <f t="shared" si="173"/>
        <v>LGOO2BF</v>
      </c>
      <c r="L192" s="447" t="str">
        <f t="shared" si="174"/>
        <v>BF</v>
      </c>
      <c r="M192" s="932">
        <v>2</v>
      </c>
      <c r="N192" s="932">
        <v>2</v>
      </c>
      <c r="O192" s="932">
        <v>2</v>
      </c>
      <c r="P192" s="932">
        <v>2</v>
      </c>
      <c r="Q192" s="940"/>
      <c r="R192" s="940"/>
      <c r="S192" s="940"/>
      <c r="T192" s="940"/>
      <c r="U192" s="940"/>
      <c r="V192" s="940"/>
      <c r="W192" s="940"/>
      <c r="X192" s="948"/>
      <c r="Y192" s="948"/>
      <c r="Z192" s="948"/>
      <c r="AA192" s="948"/>
      <c r="AB192" s="948"/>
      <c r="AC192" s="948"/>
      <c r="AD192" s="616"/>
      <c r="AE192" s="616"/>
      <c r="AF192" s="616"/>
      <c r="AG192" s="616"/>
      <c r="AH192" s="448">
        <f t="shared" si="187"/>
        <v>302784</v>
      </c>
      <c r="AI192" s="449">
        <f t="shared" si="188"/>
        <v>302784</v>
      </c>
      <c r="AJ192" s="450">
        <v>1</v>
      </c>
      <c r="AK192" s="452" t="s">
        <v>53</v>
      </c>
      <c r="AL192" s="447" t="s">
        <v>54</v>
      </c>
      <c r="AM192" s="447" t="s">
        <v>158</v>
      </c>
      <c r="AN192" s="447">
        <v>310100100001000</v>
      </c>
      <c r="AO192" s="306" t="s">
        <v>181</v>
      </c>
      <c r="AP192" s="306" t="s">
        <v>2404</v>
      </c>
      <c r="AQ192" s="306" t="s">
        <v>2442</v>
      </c>
      <c r="AR192" s="306" t="s">
        <v>2089</v>
      </c>
      <c r="AS192" s="306" t="s">
        <v>2090</v>
      </c>
      <c r="AT192" s="306" t="s">
        <v>2091</v>
      </c>
      <c r="AU192" s="306" t="str">
        <f t="shared" si="159"/>
        <v>V</v>
      </c>
      <c r="AV192" s="306" t="str">
        <f t="shared" si="160"/>
        <v>Laura V. Escad</v>
      </c>
      <c r="AW192" s="306" t="str">
        <f t="shared" si="205"/>
        <v>ESCAD, Laura Valencia</v>
      </c>
      <c r="AX192" s="305" t="s">
        <v>167</v>
      </c>
      <c r="AY192" s="447" t="s">
        <v>100</v>
      </c>
      <c r="AZ192" s="472">
        <v>31987</v>
      </c>
      <c r="BA192" s="101">
        <f t="shared" ca="1" si="190"/>
        <v>38</v>
      </c>
      <c r="BB192" s="492" t="str">
        <f t="shared" ca="1" si="191"/>
        <v>B</v>
      </c>
      <c r="BC192" s="492" t="str">
        <f t="shared" ca="1" si="179"/>
        <v>BB</v>
      </c>
      <c r="BD192" s="492" t="str">
        <f t="shared" ca="1" si="180"/>
        <v>BBF</v>
      </c>
      <c r="BE192" s="492" t="str">
        <f t="shared" ca="1" si="185"/>
        <v>LGOO2BBF</v>
      </c>
      <c r="BF192" s="447" t="s">
        <v>2391</v>
      </c>
      <c r="BG192" s="493">
        <v>41519</v>
      </c>
      <c r="BH192" s="493">
        <v>41519</v>
      </c>
      <c r="BI192" s="447">
        <f t="shared" ca="1" si="192"/>
        <v>12</v>
      </c>
      <c r="BJ192" s="447">
        <f t="shared" ca="1" si="167"/>
        <v>12</v>
      </c>
      <c r="BK192" s="493">
        <v>43497</v>
      </c>
      <c r="BL192" s="447">
        <f t="shared" ca="1" si="193"/>
        <v>7</v>
      </c>
      <c r="BM192" s="447" t="s">
        <v>64</v>
      </c>
      <c r="BN192" s="512" t="s">
        <v>102</v>
      </c>
      <c r="BO192" s="423" t="s">
        <v>2742</v>
      </c>
      <c r="BP192" s="513"/>
      <c r="BQ192" s="514" t="str">
        <f t="shared" si="186"/>
        <v>2FP</v>
      </c>
    </row>
    <row r="193" spans="1:69" ht="19.95" customHeight="1">
      <c r="A193" s="422" t="s">
        <v>1104</v>
      </c>
      <c r="B193" s="423" t="s">
        <v>1074</v>
      </c>
      <c r="C193" s="424">
        <v>13</v>
      </c>
      <c r="D193" s="424" t="s">
        <v>2242</v>
      </c>
      <c r="E193" s="424" t="s">
        <v>265</v>
      </c>
      <c r="F193" s="424" t="s">
        <v>265</v>
      </c>
      <c r="G193" s="424" t="s">
        <v>2266</v>
      </c>
      <c r="H193" s="305" t="s">
        <v>2573</v>
      </c>
      <c r="I193" s="422" t="s">
        <v>2574</v>
      </c>
      <c r="J193" s="421" t="str">
        <f t="shared" si="172"/>
        <v>LGOO2K</v>
      </c>
      <c r="K193" s="421" t="str">
        <f t="shared" si="173"/>
        <v>LGOO2KF</v>
      </c>
      <c r="L193" s="447" t="str">
        <f t="shared" si="174"/>
        <v>KF</v>
      </c>
      <c r="M193" s="932">
        <v>2</v>
      </c>
      <c r="N193" s="932">
        <v>2</v>
      </c>
      <c r="O193" s="932">
        <v>2</v>
      </c>
      <c r="P193" s="932">
        <v>2</v>
      </c>
      <c r="Q193" s="940"/>
      <c r="R193" s="940"/>
      <c r="S193" s="940"/>
      <c r="T193" s="940"/>
      <c r="U193" s="940"/>
      <c r="V193" s="940"/>
      <c r="W193" s="940"/>
      <c r="X193" s="948"/>
      <c r="Y193" s="948"/>
      <c r="Z193" s="948"/>
      <c r="AA193" s="948"/>
      <c r="AB193" s="948"/>
      <c r="AC193" s="948"/>
      <c r="AD193" s="616"/>
      <c r="AE193" s="616"/>
      <c r="AF193" s="616"/>
      <c r="AG193" s="616"/>
      <c r="AH193" s="448">
        <f t="shared" si="187"/>
        <v>302784</v>
      </c>
      <c r="AI193" s="449">
        <f t="shared" si="188"/>
        <v>302784</v>
      </c>
      <c r="AJ193" s="450">
        <v>1</v>
      </c>
      <c r="AK193" s="452" t="s">
        <v>1105</v>
      </c>
      <c r="AL193" s="447" t="s">
        <v>62</v>
      </c>
      <c r="AM193" s="447" t="s">
        <v>158</v>
      </c>
      <c r="AN193" s="447">
        <v>310100100001000</v>
      </c>
      <c r="AO193" s="305" t="s">
        <v>167</v>
      </c>
      <c r="AP193" s="306" t="s">
        <v>2423</v>
      </c>
      <c r="AQ193" s="306" t="s">
        <v>2589</v>
      </c>
      <c r="AR193" s="306" t="s">
        <v>2135</v>
      </c>
      <c r="AS193" s="306" t="s">
        <v>2136</v>
      </c>
      <c r="AT193" s="306" t="s">
        <v>2137</v>
      </c>
      <c r="AU193" s="306" t="str">
        <f t="shared" si="159"/>
        <v>U</v>
      </c>
      <c r="AV193" s="306" t="str">
        <f t="shared" si="160"/>
        <v>Faith U. Ladyong</v>
      </c>
      <c r="AW193" s="306" t="str">
        <f t="shared" si="205"/>
        <v>LADYONG, Faith Urbino</v>
      </c>
      <c r="AX193" s="305" t="s">
        <v>211</v>
      </c>
      <c r="AY193" s="447" t="s">
        <v>100</v>
      </c>
      <c r="AZ193" s="472">
        <v>33779</v>
      </c>
      <c r="BA193" s="101">
        <f t="shared" ca="1" si="190"/>
        <v>33</v>
      </c>
      <c r="BB193" s="492" t="str">
        <f t="shared" ca="1" si="191"/>
        <v>B</v>
      </c>
      <c r="BC193" s="492" t="str">
        <f t="shared" ca="1" si="179"/>
        <v>KB</v>
      </c>
      <c r="BD193" s="492" t="str">
        <f t="shared" ca="1" si="180"/>
        <v>KBF</v>
      </c>
      <c r="BE193" s="492" t="str">
        <f t="shared" ca="1" si="185"/>
        <v>LGOO2KBF</v>
      </c>
      <c r="BF193" s="447" t="s">
        <v>2590</v>
      </c>
      <c r="BG193" s="493">
        <v>42289</v>
      </c>
      <c r="BH193" s="494">
        <v>42289</v>
      </c>
      <c r="BI193" s="447">
        <f t="shared" ca="1" si="192"/>
        <v>10</v>
      </c>
      <c r="BJ193" s="447">
        <f t="shared" ca="1" si="167"/>
        <v>10</v>
      </c>
      <c r="BK193" s="493">
        <v>43367</v>
      </c>
      <c r="BL193" s="447">
        <f t="shared" ca="1" si="193"/>
        <v>7</v>
      </c>
      <c r="BM193" s="447" t="s">
        <v>64</v>
      </c>
      <c r="BN193" s="512" t="s">
        <v>102</v>
      </c>
      <c r="BO193" s="423" t="s">
        <v>3407</v>
      </c>
      <c r="BP193" s="513"/>
      <c r="BQ193" s="514" t="str">
        <f t="shared" si="186"/>
        <v>2FP</v>
      </c>
    </row>
    <row r="194" spans="1:69" ht="19.95" customHeight="1">
      <c r="A194" s="422" t="s">
        <v>1110</v>
      </c>
      <c r="B194" s="423" t="s">
        <v>1074</v>
      </c>
      <c r="C194" s="424">
        <v>13</v>
      </c>
      <c r="D194" s="424" t="s">
        <v>2242</v>
      </c>
      <c r="E194" s="424" t="s">
        <v>265</v>
      </c>
      <c r="F194" s="424" t="s">
        <v>265</v>
      </c>
      <c r="G194" s="424" t="s">
        <v>2266</v>
      </c>
      <c r="H194" s="305" t="s">
        <v>2573</v>
      </c>
      <c r="I194" s="422" t="s">
        <v>2574</v>
      </c>
      <c r="J194" s="421" t="str">
        <f t="shared" si="172"/>
        <v>LGOO2Ab</v>
      </c>
      <c r="K194" s="421" t="str">
        <f t="shared" si="173"/>
        <v>LGOO2AbF</v>
      </c>
      <c r="L194" s="447" t="str">
        <f t="shared" si="174"/>
        <v>AbF</v>
      </c>
      <c r="M194" s="932">
        <v>2</v>
      </c>
      <c r="N194" s="932">
        <v>2</v>
      </c>
      <c r="O194" s="932">
        <v>2</v>
      </c>
      <c r="P194" s="932">
        <v>2</v>
      </c>
      <c r="Q194" s="940"/>
      <c r="R194" s="940"/>
      <c r="S194" s="940"/>
      <c r="T194" s="940"/>
      <c r="U194" s="940"/>
      <c r="V194" s="940"/>
      <c r="W194" s="940"/>
      <c r="X194" s="948"/>
      <c r="Y194" s="948"/>
      <c r="Z194" s="948"/>
      <c r="AA194" s="948"/>
      <c r="AB194" s="948"/>
      <c r="AC194" s="948"/>
      <c r="AD194" s="616"/>
      <c r="AE194" s="616"/>
      <c r="AF194" s="616"/>
      <c r="AG194" s="616"/>
      <c r="AH194" s="448">
        <f t="shared" si="187"/>
        <v>302784</v>
      </c>
      <c r="AI194" s="449">
        <f t="shared" si="188"/>
        <v>302784</v>
      </c>
      <c r="AJ194" s="450">
        <v>1</v>
      </c>
      <c r="AK194" s="452" t="s">
        <v>352</v>
      </c>
      <c r="AL194" s="447" t="s">
        <v>64</v>
      </c>
      <c r="AM194" s="447" t="s">
        <v>158</v>
      </c>
      <c r="AN194" s="447">
        <v>310100100001000</v>
      </c>
      <c r="AO194" s="305" t="s">
        <v>268</v>
      </c>
      <c r="AP194" s="306" t="s">
        <v>2404</v>
      </c>
      <c r="AQ194" s="306" t="s">
        <v>268</v>
      </c>
      <c r="AR194" s="305" t="s">
        <v>2146</v>
      </c>
      <c r="AS194" s="305" t="s">
        <v>2147</v>
      </c>
      <c r="AT194" s="305" t="s">
        <v>2148</v>
      </c>
      <c r="AU194" s="306" t="str">
        <f t="shared" si="159"/>
        <v>B</v>
      </c>
      <c r="AV194" s="306" t="str">
        <f t="shared" si="160"/>
        <v>Jaleemar B. Andanan</v>
      </c>
      <c r="AW194" s="306" t="str">
        <f t="shared" si="205"/>
        <v>ANDANAN, Jaleemar Bosque</v>
      </c>
      <c r="AX194" s="305" t="s">
        <v>408</v>
      </c>
      <c r="AY194" s="447" t="s">
        <v>100</v>
      </c>
      <c r="AZ194" s="472">
        <v>33630</v>
      </c>
      <c r="BA194" s="101">
        <f t="shared" ca="1" si="190"/>
        <v>34</v>
      </c>
      <c r="BB194" s="492" t="str">
        <f t="shared" ca="1" si="191"/>
        <v>B</v>
      </c>
      <c r="BC194" s="492" t="str">
        <f t="shared" ca="1" si="179"/>
        <v>AbB</v>
      </c>
      <c r="BD194" s="492" t="str">
        <f t="shared" ca="1" si="180"/>
        <v>AbBF</v>
      </c>
      <c r="BE194" s="492" t="str">
        <f t="shared" ca="1" si="185"/>
        <v>LGOO2AbBF</v>
      </c>
      <c r="BF194" s="447" t="s">
        <v>2592</v>
      </c>
      <c r="BG194" s="493">
        <v>42452</v>
      </c>
      <c r="BH194" s="493">
        <v>42452</v>
      </c>
      <c r="BI194" s="447">
        <f t="shared" ca="1" si="192"/>
        <v>10</v>
      </c>
      <c r="BJ194" s="447">
        <f t="shared" ca="1" si="167"/>
        <v>10</v>
      </c>
      <c r="BK194" s="493">
        <v>42452</v>
      </c>
      <c r="BL194" s="447">
        <f t="shared" ca="1" si="193"/>
        <v>10</v>
      </c>
      <c r="BM194" s="447" t="s">
        <v>64</v>
      </c>
      <c r="BN194" s="512" t="s">
        <v>102</v>
      </c>
      <c r="BO194" s="423" t="s">
        <v>2727</v>
      </c>
      <c r="BP194" s="513"/>
      <c r="BQ194" s="514" t="str">
        <f t="shared" si="186"/>
        <v>2FP</v>
      </c>
    </row>
    <row r="195" spans="1:69" ht="19.95" customHeight="1">
      <c r="A195" s="422" t="s">
        <v>1111</v>
      </c>
      <c r="B195" s="423" t="s">
        <v>1074</v>
      </c>
      <c r="C195" s="424">
        <v>13</v>
      </c>
      <c r="D195" s="424" t="s">
        <v>2242</v>
      </c>
      <c r="E195" s="424" t="s">
        <v>265</v>
      </c>
      <c r="F195" s="424" t="s">
        <v>265</v>
      </c>
      <c r="G195" s="424" t="s">
        <v>2266</v>
      </c>
      <c r="H195" s="305" t="s">
        <v>2573</v>
      </c>
      <c r="I195" s="422" t="s">
        <v>2574</v>
      </c>
      <c r="J195" s="421" t="str">
        <f t="shared" si="172"/>
        <v>LGOO2Ap</v>
      </c>
      <c r="K195" s="421" t="str">
        <f t="shared" si="173"/>
        <v>LGOO2ApM</v>
      </c>
      <c r="L195" s="447" t="str">
        <f t="shared" si="174"/>
        <v>ApM</v>
      </c>
      <c r="M195" s="932">
        <v>2</v>
      </c>
      <c r="N195" s="932">
        <v>2</v>
      </c>
      <c r="O195" s="932">
        <v>2</v>
      </c>
      <c r="P195" s="932">
        <v>2</v>
      </c>
      <c r="Q195" s="940"/>
      <c r="R195" s="940"/>
      <c r="S195" s="940"/>
      <c r="T195" s="940"/>
      <c r="U195" s="940"/>
      <c r="V195" s="940"/>
      <c r="W195" s="940"/>
      <c r="X195" s="948"/>
      <c r="Y195" s="948"/>
      <c r="Z195" s="948"/>
      <c r="AA195" s="948"/>
      <c r="AB195" s="948"/>
      <c r="AC195" s="948"/>
      <c r="AD195" s="616"/>
      <c r="AE195" s="616"/>
      <c r="AF195" s="616"/>
      <c r="AG195" s="616"/>
      <c r="AH195" s="448">
        <f t="shared" si="187"/>
        <v>302784</v>
      </c>
      <c r="AI195" s="449">
        <f t="shared" si="188"/>
        <v>306540</v>
      </c>
      <c r="AJ195" s="450">
        <v>2</v>
      </c>
      <c r="AK195" s="452" t="s">
        <v>760</v>
      </c>
      <c r="AL195" s="447" t="s">
        <v>62</v>
      </c>
      <c r="AM195" s="447" t="s">
        <v>158</v>
      </c>
      <c r="AN195" s="447">
        <v>310100100001000</v>
      </c>
      <c r="AO195" s="305" t="s">
        <v>268</v>
      </c>
      <c r="AP195" s="306" t="s">
        <v>2423</v>
      </c>
      <c r="AQ195" s="306" t="s">
        <v>2593</v>
      </c>
      <c r="AR195" s="305" t="s">
        <v>1241</v>
      </c>
      <c r="AS195" s="305" t="s">
        <v>1242</v>
      </c>
      <c r="AT195" s="306" t="s">
        <v>1991</v>
      </c>
      <c r="AU195" s="306" t="str">
        <f t="shared" si="159"/>
        <v>B</v>
      </c>
      <c r="AV195" s="306" t="str">
        <f t="shared" si="160"/>
        <v>Joey Paul B. Alcantara</v>
      </c>
      <c r="AW195" s="306" t="str">
        <f t="shared" si="205"/>
        <v>ALCANTARA, Joey Paul Bistayan</v>
      </c>
      <c r="AX195" s="305" t="s">
        <v>181</v>
      </c>
      <c r="AY195" s="447" t="s">
        <v>62</v>
      </c>
      <c r="AZ195" s="472">
        <v>28909</v>
      </c>
      <c r="BA195" s="101">
        <f t="shared" ca="1" si="190"/>
        <v>47</v>
      </c>
      <c r="BB195" s="492" t="str">
        <f t="shared" ca="1" si="191"/>
        <v>C</v>
      </c>
      <c r="BC195" s="492" t="str">
        <f t="shared" ca="1" si="179"/>
        <v>ApC</v>
      </c>
      <c r="BD195" s="492" t="str">
        <f t="shared" ca="1" si="180"/>
        <v>ApCM</v>
      </c>
      <c r="BE195" s="492" t="str">
        <f t="shared" ca="1" si="185"/>
        <v>LGOO2ApCM</v>
      </c>
      <c r="BF195" s="447" t="s">
        <v>1244</v>
      </c>
      <c r="BG195" s="493">
        <v>37392</v>
      </c>
      <c r="BH195" s="493">
        <v>37392</v>
      </c>
      <c r="BI195" s="447">
        <f t="shared" ca="1" si="192"/>
        <v>23</v>
      </c>
      <c r="BJ195" s="447">
        <f t="shared" ca="1" si="167"/>
        <v>23</v>
      </c>
      <c r="BK195" s="493">
        <v>41913</v>
      </c>
      <c r="BL195" s="447">
        <f t="shared" ca="1" si="193"/>
        <v>11</v>
      </c>
      <c r="BM195" s="447" t="s">
        <v>64</v>
      </c>
      <c r="BN195" s="512" t="s">
        <v>102</v>
      </c>
      <c r="BO195" s="423" t="s">
        <v>3418</v>
      </c>
      <c r="BP195" s="513"/>
      <c r="BQ195" s="514" t="str">
        <f t="shared" si="186"/>
        <v>2MP</v>
      </c>
    </row>
    <row r="196" spans="1:69" ht="19.95" customHeight="1">
      <c r="A196" s="422" t="s">
        <v>1117</v>
      </c>
      <c r="B196" s="423" t="s">
        <v>1074</v>
      </c>
      <c r="C196" s="424">
        <v>13</v>
      </c>
      <c r="D196" s="424" t="s">
        <v>2242</v>
      </c>
      <c r="E196" s="424" t="s">
        <v>265</v>
      </c>
      <c r="F196" s="424" t="s">
        <v>265</v>
      </c>
      <c r="G196" s="424" t="s">
        <v>2266</v>
      </c>
      <c r="H196" s="305" t="s">
        <v>2573</v>
      </c>
      <c r="I196" s="422" t="s">
        <v>2574</v>
      </c>
      <c r="J196" s="421" t="str">
        <f t="shared" ref="J196:J226" si="206">IF(AX196="Regional Office",CONCATENATE(I196,"R"),IF(AX196="Abra",CONCATENATE(I196,"Ab"),IF(AX196="Apayao",CONCATENATE(I196,"Ap"),IF(AX196="Baguio City",CONCATENATE(I196,"BC"),IF(AX196="Ifugao",CONCATENATE(I196,"I"),IF(AX196="Mt. Province",CONCATENATE(I196,"MP"),IF(AX196="Kalinga",CONCATENATE(I196,"K"),IF(AX196="Benguet",CONCATENATE(I196,"B"),"Vacant"))))))))</f>
        <v>Vacant</v>
      </c>
      <c r="K196" s="421" t="str">
        <f t="shared" ref="K196:K226" si="207">CONCATENATE(J196,AY196)</f>
        <v>Vacant</v>
      </c>
      <c r="L196" s="447" t="str">
        <f t="shared" ref="L196:L226" si="208">IF(AX196="Regional Office",(IF(AY196="M","RM","RF")),IF(AX196="Abra",(IF(AY196="M","AbM","AbF")),IF(AX196="Baguio City",(IF(AY196="M","BCM","BCF")),IF(AX196="Apayao",(IF(AY196="M","ApM","ApF")),IF(AX196="Benguet",(IF(AY196="M","BM","BF")),IF(AX196="Ifugao",(IF(AY196="M","IM","IF")),IF(AX196="Kalinga",(IF(AY196="M","KM","KF")),IF(AX196="Mt. Province",(IF(AY196="M","MPM","MPF")),"XXX"))))))))</f>
        <v>XXX</v>
      </c>
      <c r="M196" s="932">
        <v>2</v>
      </c>
      <c r="N196" s="932">
        <v>2</v>
      </c>
      <c r="O196" s="932">
        <v>2</v>
      </c>
      <c r="P196" s="932">
        <v>2</v>
      </c>
      <c r="Q196" s="940"/>
      <c r="R196" s="940"/>
      <c r="S196" s="940"/>
      <c r="T196" s="940"/>
      <c r="U196" s="940"/>
      <c r="V196" s="940"/>
      <c r="W196" s="940"/>
      <c r="X196" s="948"/>
      <c r="Y196" s="948"/>
      <c r="Z196" s="948"/>
      <c r="AA196" s="948"/>
      <c r="AB196" s="948"/>
      <c r="AC196" s="948"/>
      <c r="AD196" s="616"/>
      <c r="AE196" s="616"/>
      <c r="AF196" s="616"/>
      <c r="AG196" s="616"/>
      <c r="AH196" s="448">
        <f t="shared" si="187"/>
        <v>302784</v>
      </c>
      <c r="AI196" s="449">
        <f t="shared" si="188"/>
        <v>0</v>
      </c>
      <c r="AJ196" s="450">
        <v>0</v>
      </c>
      <c r="AK196" s="452" t="s">
        <v>576</v>
      </c>
      <c r="AL196" s="447" t="s">
        <v>62</v>
      </c>
      <c r="AM196" s="447" t="s">
        <v>158</v>
      </c>
      <c r="AN196" s="447">
        <v>310100100001000</v>
      </c>
      <c r="AO196" s="305" t="s">
        <v>268</v>
      </c>
      <c r="AP196" s="306" t="s">
        <v>2423</v>
      </c>
      <c r="AQ196" s="306" t="s">
        <v>2524</v>
      </c>
      <c r="AR196" s="305" t="s">
        <v>2594</v>
      </c>
      <c r="AS196" s="305"/>
      <c r="AT196" s="305"/>
      <c r="AU196" s="306" t="str">
        <f t="shared" ref="AU196:AU240" si="209">LEFT(AT196)&amp;IF(ISNUMBER(FIND(" ",AT196)),MID(AT196,FIND(" ",AT196)+1,1),"")&amp;IF(ISNUMBER(FIND(" ",AT196,FIND(" ",AT196)+1)),MID(AT196,FIND(" ",AT196,FIND(" ",AT196)+1)+1,1),"")</f>
        <v/>
      </c>
      <c r="AV196" s="306" t="str">
        <f t="shared" ref="AV196:AV240" si="210">PROPER(CONCATENATE(AS196," ",AU196,". ",AR196))</f>
        <v xml:space="preserve"> . Vacant Gayaso</v>
      </c>
      <c r="AW196" s="306" t="str">
        <f t="shared" si="205"/>
        <v xml:space="preserve">vacant GAYASO,  </v>
      </c>
      <c r="AX196" s="305"/>
      <c r="AY196" s="447"/>
      <c r="AZ196" s="472"/>
      <c r="BA196" s="101">
        <f t="shared" ca="1" si="190"/>
        <v>126</v>
      </c>
      <c r="BB196" s="492" t="str">
        <f t="shared" ca="1" si="191"/>
        <v>VACANT</v>
      </c>
      <c r="BC196" s="492" t="str">
        <f t="shared" ref="BC196:BC226" si="211">+IF(AX196="Regional Office",(IF(BB196="A","RA",(IF(BB196="B","RB",IF(BB196="C","RC",IF(BB196="D","RD",IF(BB196="E","RE","VACANT"))))))),IF(AX196="Abra",(IF(BB196="A","AbA",(IF(BB196="B","AbB",IF(BB196="C","AbC",IF(BB196="D","AbD",IF(BB196="E","AbE","VACANT"))))))),IF(AX196="Baguio City",(IF(BB196="A","BCA",(IF(BB196="B","BCB",IF(BB196="C","BCC",IF(BB196="D","BCD",IF(BB196="E","BCE","VACANT"))))))),IF(AX196="Apayao",(IF(BB196="A","ApA",(IF(BB196="B","ApB",IF(BB196="C","ApC",IF(BB196="D","ApD",IF(BB196="E","ApE","VACANT"))))))),IF(AX196="Benguet",(IF(BB196="A","BA",(IF(BB196="B","BB",IF(BB196="C","BC",IF(BB196="D","BD",IF(BB196="E","BE","VACANT"))))))),IF(AX196="Ifugao",(IF(BB196="A","IA",(IF(BB196="B","IB",IF(BB196="C","IC",IF(BB196="D","ID",IF(BB196="E","IE","VACANT"))))))),IF(AX196="Kalinga",(IF(BB196="A","KA",(IF(BB196="B","KB",IF(BB196="C","KC",IF(BB196="D","KD",IF(BB196="E","KE","VACANT"))))))),IF(AX196="Mt. Province",(IF(BB196="A","MPA",(IF(BB196="B","MPB",IF(BB196="C","MPC",IF(BB196="D","MPD",IF(BB196="E","MPE","VACANT"))))))),"XXX"))))))))</f>
        <v>XXX</v>
      </c>
      <c r="BD196" s="492" t="str">
        <f t="shared" ref="BD196:BD226" si="212">CONCATENATE(BC196,AY196)</f>
        <v>XXX</v>
      </c>
      <c r="BE196" s="492" t="str">
        <f t="shared" si="185"/>
        <v>LGOO2XXX</v>
      </c>
      <c r="BF196" s="447"/>
      <c r="BG196" s="493"/>
      <c r="BH196" s="493"/>
      <c r="BI196" s="447">
        <f t="shared" ca="1" si="192"/>
        <v>126</v>
      </c>
      <c r="BJ196" s="447">
        <f t="shared" ref="BJ196:BJ234" ca="1" si="213">DATEDIF(BH196,TODAY(),"Y")</f>
        <v>126</v>
      </c>
      <c r="BK196" s="493"/>
      <c r="BL196" s="447">
        <f t="shared" ca="1" si="193"/>
        <v>126</v>
      </c>
      <c r="BM196" s="447"/>
      <c r="BN196" s="512"/>
      <c r="BO196" s="423"/>
      <c r="BP196" s="513"/>
      <c r="BQ196" s="514" t="str">
        <f t="shared" si="186"/>
        <v>2</v>
      </c>
    </row>
    <row r="197" spans="1:69" ht="19.95" customHeight="1">
      <c r="A197" s="422" t="s">
        <v>1124</v>
      </c>
      <c r="B197" s="423" t="s">
        <v>1074</v>
      </c>
      <c r="C197" s="424">
        <v>13</v>
      </c>
      <c r="D197" s="424" t="s">
        <v>2242</v>
      </c>
      <c r="E197" s="424" t="s">
        <v>265</v>
      </c>
      <c r="F197" s="424" t="s">
        <v>265</v>
      </c>
      <c r="G197" s="424" t="s">
        <v>2266</v>
      </c>
      <c r="H197" s="305" t="s">
        <v>2573</v>
      </c>
      <c r="I197" s="422" t="s">
        <v>2574</v>
      </c>
      <c r="J197" s="421" t="str">
        <f t="shared" si="206"/>
        <v>LGOO2K</v>
      </c>
      <c r="K197" s="421" t="str">
        <f t="shared" si="207"/>
        <v>LGOO2KM</v>
      </c>
      <c r="L197" s="447" t="str">
        <f t="shared" si="208"/>
        <v>KM</v>
      </c>
      <c r="M197" s="932">
        <v>2</v>
      </c>
      <c r="N197" s="932">
        <v>2</v>
      </c>
      <c r="O197" s="932">
        <v>2</v>
      </c>
      <c r="P197" s="932">
        <v>2</v>
      </c>
      <c r="Q197" s="940"/>
      <c r="R197" s="940"/>
      <c r="S197" s="940"/>
      <c r="T197" s="940"/>
      <c r="U197" s="940"/>
      <c r="V197" s="940"/>
      <c r="W197" s="940"/>
      <c r="X197" s="948"/>
      <c r="Y197" s="948"/>
      <c r="Z197" s="948"/>
      <c r="AA197" s="948"/>
      <c r="AB197" s="948"/>
      <c r="AC197" s="948"/>
      <c r="AD197" s="616"/>
      <c r="AE197" s="616"/>
      <c r="AF197" s="616"/>
      <c r="AG197" s="616"/>
      <c r="AH197" s="448">
        <f t="shared" si="187"/>
        <v>302784</v>
      </c>
      <c r="AI197" s="449">
        <f t="shared" si="188"/>
        <v>302784</v>
      </c>
      <c r="AJ197" s="450">
        <v>1</v>
      </c>
      <c r="AK197" s="452" t="s">
        <v>1027</v>
      </c>
      <c r="AL197" s="447" t="s">
        <v>62</v>
      </c>
      <c r="AM197" s="447" t="s">
        <v>158</v>
      </c>
      <c r="AN197" s="447">
        <v>310100100001000</v>
      </c>
      <c r="AO197" s="306" t="s">
        <v>174</v>
      </c>
      <c r="AP197" s="306" t="s">
        <v>2423</v>
      </c>
      <c r="AQ197" s="306" t="s">
        <v>2501</v>
      </c>
      <c r="AR197" s="305" t="s">
        <v>2168</v>
      </c>
      <c r="AS197" s="305" t="s">
        <v>2169</v>
      </c>
      <c r="AT197" s="305" t="s">
        <v>2170</v>
      </c>
      <c r="AU197" s="306" t="str">
        <f t="shared" si="209"/>
        <v>N</v>
      </c>
      <c r="AV197" s="306" t="str">
        <f t="shared" si="210"/>
        <v>Baldo Jr N. Garnace</v>
      </c>
      <c r="AW197" s="306" t="str">
        <f t="shared" si="205"/>
        <v>GARNACE, Baldo Jr Nolasco</v>
      </c>
      <c r="AX197" s="305" t="s">
        <v>211</v>
      </c>
      <c r="AY197" s="447" t="s">
        <v>62</v>
      </c>
      <c r="AZ197" s="472">
        <v>30883</v>
      </c>
      <c r="BA197" s="101">
        <f t="shared" ca="1" si="190"/>
        <v>41</v>
      </c>
      <c r="BB197" s="492" t="str">
        <f t="shared" ca="1" si="191"/>
        <v>C</v>
      </c>
      <c r="BC197" s="492" t="str">
        <f t="shared" ca="1" si="211"/>
        <v>KC</v>
      </c>
      <c r="BD197" s="492" t="str">
        <f t="shared" ca="1" si="212"/>
        <v>KCM</v>
      </c>
      <c r="BE197" s="492" t="str">
        <f t="shared" ca="1" si="185"/>
        <v>LGOO2KCM</v>
      </c>
      <c r="BF197" s="498" t="s">
        <v>2595</v>
      </c>
      <c r="BG197" s="493">
        <v>40896</v>
      </c>
      <c r="BH197" s="493"/>
      <c r="BI197" s="447">
        <f t="shared" ca="1" si="192"/>
        <v>14</v>
      </c>
      <c r="BJ197" s="447">
        <f t="shared" ca="1" si="213"/>
        <v>126</v>
      </c>
      <c r="BK197" s="493">
        <v>43497</v>
      </c>
      <c r="BL197" s="447">
        <f t="shared" ca="1" si="193"/>
        <v>7</v>
      </c>
      <c r="BM197" s="447" t="s">
        <v>64</v>
      </c>
      <c r="BN197" s="512" t="s">
        <v>102</v>
      </c>
      <c r="BO197" s="423" t="s">
        <v>3407</v>
      </c>
      <c r="BP197" s="513"/>
      <c r="BQ197" s="514" t="str">
        <f t="shared" si="186"/>
        <v>2MP</v>
      </c>
    </row>
    <row r="198" spans="1:69" ht="19.95" customHeight="1">
      <c r="A198" s="422" t="s">
        <v>1129</v>
      </c>
      <c r="B198" s="423" t="s">
        <v>1074</v>
      </c>
      <c r="C198" s="424">
        <v>13</v>
      </c>
      <c r="D198" s="424" t="s">
        <v>2242</v>
      </c>
      <c r="E198" s="424" t="s">
        <v>265</v>
      </c>
      <c r="F198" s="424" t="s">
        <v>265</v>
      </c>
      <c r="G198" s="424" t="s">
        <v>2266</v>
      </c>
      <c r="H198" s="305" t="s">
        <v>2573</v>
      </c>
      <c r="I198" s="422" t="s">
        <v>2574</v>
      </c>
      <c r="J198" s="421" t="str">
        <f t="shared" si="206"/>
        <v>LGOO2MP</v>
      </c>
      <c r="K198" s="421" t="str">
        <f t="shared" si="207"/>
        <v>LGOO2MPF</v>
      </c>
      <c r="L198" s="447" t="str">
        <f t="shared" si="208"/>
        <v>MPF</v>
      </c>
      <c r="M198" s="932">
        <v>2</v>
      </c>
      <c r="N198" s="932">
        <v>2</v>
      </c>
      <c r="O198" s="932">
        <v>2</v>
      </c>
      <c r="P198" s="932">
        <v>2</v>
      </c>
      <c r="Q198" s="940"/>
      <c r="R198" s="940"/>
      <c r="S198" s="940"/>
      <c r="T198" s="940"/>
      <c r="U198" s="940"/>
      <c r="V198" s="940"/>
      <c r="W198" s="940"/>
      <c r="X198" s="948"/>
      <c r="Y198" s="948"/>
      <c r="Z198" s="948"/>
      <c r="AA198" s="948"/>
      <c r="AB198" s="948"/>
      <c r="AC198" s="948"/>
      <c r="AD198" s="616"/>
      <c r="AE198" s="616"/>
      <c r="AF198" s="616"/>
      <c r="AG198" s="616"/>
      <c r="AH198" s="448">
        <f t="shared" si="187"/>
        <v>302784</v>
      </c>
      <c r="AI198" s="449">
        <f t="shared" si="188"/>
        <v>302784</v>
      </c>
      <c r="AJ198" s="450">
        <v>1</v>
      </c>
      <c r="AK198" s="452" t="s">
        <v>487</v>
      </c>
      <c r="AL198" s="447" t="s">
        <v>54</v>
      </c>
      <c r="AM198" s="447" t="s">
        <v>158</v>
      </c>
      <c r="AN198" s="447">
        <v>310100100001000</v>
      </c>
      <c r="AO198" s="306" t="s">
        <v>167</v>
      </c>
      <c r="AP198" s="306" t="s">
        <v>2404</v>
      </c>
      <c r="AQ198" s="306" t="s">
        <v>2447</v>
      </c>
      <c r="AR198" s="305" t="s">
        <v>2092</v>
      </c>
      <c r="AS198" s="305" t="s">
        <v>2093</v>
      </c>
      <c r="AT198" s="305" t="s">
        <v>2094</v>
      </c>
      <c r="AU198" s="306" t="str">
        <f t="shared" si="209"/>
        <v>F</v>
      </c>
      <c r="AV198" s="306" t="str">
        <f t="shared" si="210"/>
        <v>Imelda F. Banganan</v>
      </c>
      <c r="AW198" s="306" t="str">
        <f t="shared" si="205"/>
        <v>BANGANAN, Imelda Farnigan</v>
      </c>
      <c r="AX198" s="305" t="s">
        <v>268</v>
      </c>
      <c r="AY198" s="447" t="s">
        <v>100</v>
      </c>
      <c r="AZ198" s="472">
        <v>31846</v>
      </c>
      <c r="BA198" s="101">
        <f t="shared" ca="1" si="190"/>
        <v>39</v>
      </c>
      <c r="BB198" s="492" t="str">
        <f t="shared" ca="1" si="191"/>
        <v>B</v>
      </c>
      <c r="BC198" s="492" t="str">
        <f t="shared" ca="1" si="211"/>
        <v>MPB</v>
      </c>
      <c r="BD198" s="492" t="str">
        <f t="shared" ca="1" si="212"/>
        <v>MPBF</v>
      </c>
      <c r="BE198" s="492" t="str">
        <f t="shared" ca="1" si="185"/>
        <v>LGOO2MPBF</v>
      </c>
      <c r="BF198" s="498" t="s">
        <v>2597</v>
      </c>
      <c r="BG198" s="493">
        <v>41708</v>
      </c>
      <c r="BH198" s="493">
        <v>41708</v>
      </c>
      <c r="BI198" s="447">
        <f t="shared" ca="1" si="192"/>
        <v>12</v>
      </c>
      <c r="BJ198" s="447">
        <f t="shared" ca="1" si="213"/>
        <v>12</v>
      </c>
      <c r="BK198" s="493">
        <v>42851</v>
      </c>
      <c r="BL198" s="447">
        <f t="shared" ca="1" si="193"/>
        <v>8</v>
      </c>
      <c r="BM198" s="447" t="s">
        <v>64</v>
      </c>
      <c r="BN198" s="512" t="s">
        <v>102</v>
      </c>
      <c r="BO198" s="423" t="s">
        <v>2737</v>
      </c>
      <c r="BP198" s="513"/>
      <c r="BQ198" s="514" t="str">
        <f t="shared" si="186"/>
        <v>2FP</v>
      </c>
    </row>
    <row r="199" spans="1:69" ht="19.95" customHeight="1">
      <c r="A199" s="422" t="s">
        <v>1131</v>
      </c>
      <c r="B199" s="423" t="s">
        <v>1074</v>
      </c>
      <c r="C199" s="424">
        <v>13</v>
      </c>
      <c r="D199" s="424" t="s">
        <v>2242</v>
      </c>
      <c r="E199" s="424" t="s">
        <v>265</v>
      </c>
      <c r="F199" s="424" t="s">
        <v>265</v>
      </c>
      <c r="G199" s="424" t="s">
        <v>2266</v>
      </c>
      <c r="H199" s="305" t="s">
        <v>2573</v>
      </c>
      <c r="I199" s="422" t="s">
        <v>2574</v>
      </c>
      <c r="J199" s="421" t="str">
        <f t="shared" si="206"/>
        <v>LGOO2I</v>
      </c>
      <c r="K199" s="421" t="str">
        <f t="shared" si="207"/>
        <v>LGOO2IF</v>
      </c>
      <c r="L199" s="447" t="str">
        <f t="shared" si="208"/>
        <v>IF</v>
      </c>
      <c r="M199" s="932">
        <v>2</v>
      </c>
      <c r="N199" s="932">
        <v>2</v>
      </c>
      <c r="O199" s="932">
        <v>2</v>
      </c>
      <c r="P199" s="932">
        <v>2</v>
      </c>
      <c r="Q199" s="940"/>
      <c r="R199" s="940"/>
      <c r="S199" s="940"/>
      <c r="T199" s="940"/>
      <c r="U199" s="940"/>
      <c r="V199" s="940"/>
      <c r="W199" s="940"/>
      <c r="X199" s="948"/>
      <c r="Y199" s="948"/>
      <c r="Z199" s="948"/>
      <c r="AA199" s="948"/>
      <c r="AB199" s="948"/>
      <c r="AC199" s="948"/>
      <c r="AD199" s="616"/>
      <c r="AE199" s="616"/>
      <c r="AF199" s="616"/>
      <c r="AG199" s="616"/>
      <c r="AH199" s="448">
        <f t="shared" si="187"/>
        <v>302784</v>
      </c>
      <c r="AI199" s="449">
        <f t="shared" si="188"/>
        <v>306540</v>
      </c>
      <c r="AJ199" s="450">
        <v>2</v>
      </c>
      <c r="AK199" s="452" t="s">
        <v>487</v>
      </c>
      <c r="AL199" s="447" t="s">
        <v>64</v>
      </c>
      <c r="AM199" s="447" t="s">
        <v>158</v>
      </c>
      <c r="AN199" s="447">
        <v>310100100001000</v>
      </c>
      <c r="AO199" s="306" t="s">
        <v>174</v>
      </c>
      <c r="AP199" s="306" t="s">
        <v>2404</v>
      </c>
      <c r="AQ199" s="306" t="s">
        <v>174</v>
      </c>
      <c r="AR199" s="306" t="s">
        <v>2045</v>
      </c>
      <c r="AS199" s="306" t="s">
        <v>2046</v>
      </c>
      <c r="AT199" s="306" t="s">
        <v>2047</v>
      </c>
      <c r="AU199" s="306" t="str">
        <f t="shared" si="209"/>
        <v>H</v>
      </c>
      <c r="AV199" s="306" t="str">
        <f t="shared" si="210"/>
        <v>Gyda H. Namingit</v>
      </c>
      <c r="AW199" s="306" t="str">
        <f t="shared" si="205"/>
        <v>NAMINGIT, Gyda Hoggang</v>
      </c>
      <c r="AX199" s="305" t="s">
        <v>174</v>
      </c>
      <c r="AY199" s="447" t="s">
        <v>100</v>
      </c>
      <c r="AZ199" s="472">
        <v>28909</v>
      </c>
      <c r="BA199" s="101">
        <f t="shared" ca="1" si="190"/>
        <v>47</v>
      </c>
      <c r="BB199" s="492" t="str">
        <f t="shared" ca="1" si="191"/>
        <v>C</v>
      </c>
      <c r="BC199" s="492" t="str">
        <f t="shared" ca="1" si="211"/>
        <v>IC</v>
      </c>
      <c r="BD199" s="492" t="str">
        <f t="shared" ca="1" si="212"/>
        <v>ICF</v>
      </c>
      <c r="BE199" s="492" t="str">
        <f t="shared" ca="1" si="185"/>
        <v>LGOO2ICF</v>
      </c>
      <c r="BF199" s="447" t="s">
        <v>2343</v>
      </c>
      <c r="BG199" s="493">
        <v>41134</v>
      </c>
      <c r="BH199" s="493">
        <v>41134</v>
      </c>
      <c r="BI199" s="447">
        <f t="shared" ca="1" si="192"/>
        <v>13</v>
      </c>
      <c r="BJ199" s="447">
        <f t="shared" ca="1" si="213"/>
        <v>13</v>
      </c>
      <c r="BK199" s="493">
        <v>41913</v>
      </c>
      <c r="BL199" s="447">
        <f t="shared" ca="1" si="193"/>
        <v>11</v>
      </c>
      <c r="BM199" s="447" t="s">
        <v>64</v>
      </c>
      <c r="BN199" s="512" t="s">
        <v>102</v>
      </c>
      <c r="BO199" s="423" t="s">
        <v>2254</v>
      </c>
      <c r="BP199" s="513"/>
      <c r="BQ199" s="514" t="str">
        <f t="shared" si="186"/>
        <v>2FP</v>
      </c>
    </row>
    <row r="200" spans="1:69" ht="19.95" customHeight="1">
      <c r="A200" s="422" t="s">
        <v>1137</v>
      </c>
      <c r="B200" s="423" t="s">
        <v>1074</v>
      </c>
      <c r="C200" s="424">
        <v>13</v>
      </c>
      <c r="D200" s="424" t="s">
        <v>2242</v>
      </c>
      <c r="E200" s="424" t="s">
        <v>265</v>
      </c>
      <c r="F200" s="424" t="s">
        <v>265</v>
      </c>
      <c r="G200" s="424" t="s">
        <v>2266</v>
      </c>
      <c r="H200" s="305" t="s">
        <v>2573</v>
      </c>
      <c r="I200" s="422" t="s">
        <v>2574</v>
      </c>
      <c r="J200" s="421" t="str">
        <f t="shared" si="206"/>
        <v>LGOO2Ab</v>
      </c>
      <c r="K200" s="421" t="str">
        <f t="shared" si="207"/>
        <v>LGOO2AbM</v>
      </c>
      <c r="L200" s="447" t="str">
        <f t="shared" si="208"/>
        <v>AbM</v>
      </c>
      <c r="M200" s="932">
        <v>2</v>
      </c>
      <c r="N200" s="932">
        <v>2</v>
      </c>
      <c r="O200" s="932">
        <v>2</v>
      </c>
      <c r="P200" s="932">
        <v>2</v>
      </c>
      <c r="Q200" s="940"/>
      <c r="R200" s="940"/>
      <c r="S200" s="940"/>
      <c r="T200" s="940"/>
      <c r="U200" s="940"/>
      <c r="V200" s="940"/>
      <c r="W200" s="940"/>
      <c r="X200" s="948"/>
      <c r="Y200" s="948"/>
      <c r="Z200" s="948"/>
      <c r="AA200" s="948"/>
      <c r="AB200" s="948"/>
      <c r="AC200" s="948"/>
      <c r="AD200" s="616"/>
      <c r="AE200" s="616"/>
      <c r="AF200" s="616"/>
      <c r="AG200" s="616"/>
      <c r="AH200" s="448">
        <f t="shared" si="187"/>
        <v>302784</v>
      </c>
      <c r="AI200" s="449">
        <f t="shared" si="188"/>
        <v>302784</v>
      </c>
      <c r="AJ200" s="450">
        <v>1</v>
      </c>
      <c r="AK200" s="452" t="s">
        <v>494</v>
      </c>
      <c r="AL200" s="447" t="s">
        <v>64</v>
      </c>
      <c r="AM200" s="447" t="s">
        <v>158</v>
      </c>
      <c r="AN200" s="447">
        <v>310100100001000</v>
      </c>
      <c r="AO200" s="305" t="s">
        <v>211</v>
      </c>
      <c r="AP200" s="306" t="s">
        <v>2404</v>
      </c>
      <c r="AQ200" s="306" t="s">
        <v>211</v>
      </c>
      <c r="AR200" s="306" t="s">
        <v>2151</v>
      </c>
      <c r="AS200" s="306" t="s">
        <v>135</v>
      </c>
      <c r="AT200" s="306" t="s">
        <v>2152</v>
      </c>
      <c r="AU200" s="306" t="str">
        <f t="shared" si="209"/>
        <v>G</v>
      </c>
      <c r="AV200" s="306" t="str">
        <f t="shared" si="210"/>
        <v>Mark Anthony G. Balanay</v>
      </c>
      <c r="AW200" s="306" t="str">
        <f t="shared" si="205"/>
        <v>BALANAY, Mark Anthony Gumabay</v>
      </c>
      <c r="AX200" s="305" t="s">
        <v>408</v>
      </c>
      <c r="AY200" s="447" t="s">
        <v>62</v>
      </c>
      <c r="AZ200" s="472">
        <v>32742</v>
      </c>
      <c r="BA200" s="101">
        <f t="shared" ca="1" si="190"/>
        <v>36</v>
      </c>
      <c r="BB200" s="492" t="str">
        <f t="shared" ca="1" si="191"/>
        <v>B</v>
      </c>
      <c r="BC200" s="492" t="str">
        <f t="shared" ca="1" si="211"/>
        <v>AbB</v>
      </c>
      <c r="BD200" s="492" t="str">
        <f t="shared" ca="1" si="212"/>
        <v>AbBM</v>
      </c>
      <c r="BE200" s="492" t="str">
        <f t="shared" ca="1" si="185"/>
        <v>LGOO2AbBM</v>
      </c>
      <c r="BF200" s="447" t="s">
        <v>2598</v>
      </c>
      <c r="BG200" s="493">
        <v>42662</v>
      </c>
      <c r="BH200" s="494">
        <v>42662</v>
      </c>
      <c r="BI200" s="447">
        <f t="shared" ca="1" si="192"/>
        <v>9</v>
      </c>
      <c r="BJ200" s="447">
        <f t="shared" ca="1" si="213"/>
        <v>9</v>
      </c>
      <c r="BK200" s="493">
        <v>42662</v>
      </c>
      <c r="BL200" s="447">
        <f t="shared" ca="1" si="193"/>
        <v>9</v>
      </c>
      <c r="BM200" s="447" t="s">
        <v>64</v>
      </c>
      <c r="BN200" s="512" t="s">
        <v>102</v>
      </c>
      <c r="BO200" s="423" t="s">
        <v>3407</v>
      </c>
      <c r="BP200" s="513"/>
      <c r="BQ200" s="514" t="str">
        <f t="shared" si="186"/>
        <v>2MP</v>
      </c>
    </row>
    <row r="201" spans="1:69" ht="19.95" customHeight="1">
      <c r="A201" s="422" t="s">
        <v>1142</v>
      </c>
      <c r="B201" s="423" t="s">
        <v>1074</v>
      </c>
      <c r="C201" s="424">
        <v>13</v>
      </c>
      <c r="D201" s="424" t="s">
        <v>2242</v>
      </c>
      <c r="E201" s="424" t="s">
        <v>265</v>
      </c>
      <c r="F201" s="424" t="s">
        <v>265</v>
      </c>
      <c r="G201" s="424" t="s">
        <v>2266</v>
      </c>
      <c r="H201" s="305" t="s">
        <v>2573</v>
      </c>
      <c r="I201" s="422" t="s">
        <v>2574</v>
      </c>
      <c r="J201" s="421" t="str">
        <f t="shared" si="206"/>
        <v>LGOO2I</v>
      </c>
      <c r="K201" s="421" t="str">
        <f t="shared" si="207"/>
        <v>LGOO2IM</v>
      </c>
      <c r="L201" s="447" t="str">
        <f t="shared" si="208"/>
        <v>IM</v>
      </c>
      <c r="M201" s="932">
        <v>2</v>
      </c>
      <c r="N201" s="932">
        <v>2</v>
      </c>
      <c r="O201" s="932">
        <v>2</v>
      </c>
      <c r="P201" s="932">
        <v>2</v>
      </c>
      <c r="Q201" s="940"/>
      <c r="R201" s="940"/>
      <c r="S201" s="940"/>
      <c r="T201" s="940"/>
      <c r="U201" s="940"/>
      <c r="V201" s="940"/>
      <c r="W201" s="940"/>
      <c r="X201" s="948"/>
      <c r="Y201" s="948"/>
      <c r="Z201" s="948"/>
      <c r="AA201" s="948"/>
      <c r="AB201" s="948"/>
      <c r="AC201" s="948"/>
      <c r="AD201" s="616"/>
      <c r="AE201" s="616"/>
      <c r="AF201" s="616"/>
      <c r="AG201" s="616"/>
      <c r="AH201" s="448">
        <f t="shared" si="187"/>
        <v>302784</v>
      </c>
      <c r="AI201" s="449">
        <f t="shared" si="188"/>
        <v>302784</v>
      </c>
      <c r="AJ201" s="450">
        <v>1</v>
      </c>
      <c r="AK201" s="452" t="s">
        <v>465</v>
      </c>
      <c r="AL201" s="447" t="s">
        <v>64</v>
      </c>
      <c r="AM201" s="447" t="s">
        <v>158</v>
      </c>
      <c r="AN201" s="447">
        <v>310100100001000</v>
      </c>
      <c r="AO201" s="305" t="s">
        <v>408</v>
      </c>
      <c r="AP201" s="305" t="s">
        <v>2423</v>
      </c>
      <c r="AQ201" s="306" t="s">
        <v>2599</v>
      </c>
      <c r="AR201" s="305" t="s">
        <v>2130</v>
      </c>
      <c r="AS201" s="305" t="s">
        <v>2131</v>
      </c>
      <c r="AT201" s="305" t="s">
        <v>2132</v>
      </c>
      <c r="AU201" s="306" t="str">
        <f t="shared" si="209"/>
        <v>D</v>
      </c>
      <c r="AV201" s="306" t="str">
        <f t="shared" si="210"/>
        <v>Humphrey D. Anapen</v>
      </c>
      <c r="AW201" s="306" t="str">
        <f t="shared" si="205"/>
        <v>ANAPEN, Humphrey Dumayas</v>
      </c>
      <c r="AX201" s="305" t="s">
        <v>174</v>
      </c>
      <c r="AY201" s="447" t="s">
        <v>62</v>
      </c>
      <c r="AZ201" s="472">
        <v>33954</v>
      </c>
      <c r="BA201" s="101">
        <f t="shared" ref="BA201" ca="1" si="214">DATEDIF(AZ201,TODAY(),"Y")</f>
        <v>33</v>
      </c>
      <c r="BB201" s="492" t="str">
        <f t="shared" ref="BB201" ca="1" si="215">IF(BA201&lt;30,"A",IF(BA201&lt;40,"B",IF(BA201&lt;50,"C",IF(BA201&lt;60,"D",IF(BA201&lt;65,"E","VACANT")))))</f>
        <v>B</v>
      </c>
      <c r="BC201" s="492" t="str">
        <f t="shared" ref="BC201" ca="1" si="216">+IF(AX201="Regional Office",(IF(BB201="A","RA",(IF(BB201="B","RB",IF(BB201="C","RC",IF(BB201="D","RD",IF(BB201="E","RE","VACANT"))))))),IF(AX201="Abra",(IF(BB201="A","AbA",(IF(BB201="B","AbB",IF(BB201="C","AbC",IF(BB201="D","AbD",IF(BB201="E","AbE","VACANT"))))))),IF(AX201="Baguio City",(IF(BB201="A","BCA",(IF(BB201="B","BCB",IF(BB201="C","BCC",IF(BB201="D","BCD",IF(BB201="E","BCE","VACANT"))))))),IF(AX201="Apayao",(IF(BB201="A","ApA",(IF(BB201="B","ApB",IF(BB201="C","ApC",IF(BB201="D","ApD",IF(BB201="E","ApE","VACANT"))))))),IF(AX201="Benguet",(IF(BB201="A","BA",(IF(BB201="B","BB",IF(BB201="C","BC",IF(BB201="D","BD",IF(BB201="E","BE","VACANT"))))))),IF(AX201="Ifugao",(IF(BB201="A","IA",(IF(BB201="B","IB",IF(BB201="C","IC",IF(BB201="D","ID",IF(BB201="E","IE","VACANT"))))))),IF(AX201="Kalinga",(IF(BB201="A","KA",(IF(BB201="B","KB",IF(BB201="C","KC",IF(BB201="D","KD",IF(BB201="E","KE","VACANT"))))))),IF(AX201="Mt. Province",(IF(BB201="A","MPA",(IF(BB201="B","MPB",IF(BB201="C","MPC",IF(BB201="D","MPD",IF(BB201="E","MPE","VACANT"))))))),"XXX"))))))))</f>
        <v>IB</v>
      </c>
      <c r="BD201" s="492" t="str">
        <f t="shared" ref="BD201" ca="1" si="217">CONCATENATE(BC201,AY201)</f>
        <v>IBM</v>
      </c>
      <c r="BE201" s="492" t="str">
        <f t="shared" ref="BE201" ca="1" si="218">CONCATENATE(I201,BD201)</f>
        <v>LGOO2IBM</v>
      </c>
      <c r="BF201" s="447" t="s">
        <v>2600</v>
      </c>
      <c r="BG201" s="493">
        <v>42289</v>
      </c>
      <c r="BH201" s="494">
        <v>42289</v>
      </c>
      <c r="BI201" s="447">
        <f t="shared" ref="BI201" ca="1" si="219">DATEDIF(BG201,TODAY(),"Y")</f>
        <v>10</v>
      </c>
      <c r="BJ201" s="447">
        <f t="shared" ca="1" si="213"/>
        <v>10</v>
      </c>
      <c r="BK201" s="493">
        <v>43397</v>
      </c>
      <c r="BL201" s="447">
        <f t="shared" ref="BL201" ca="1" si="220">DATEDIF(BK201,TODAY(),"Y")</f>
        <v>7</v>
      </c>
      <c r="BM201" s="447" t="s">
        <v>64</v>
      </c>
      <c r="BN201" s="512" t="s">
        <v>102</v>
      </c>
      <c r="BO201" s="423" t="s">
        <v>3419</v>
      </c>
      <c r="BP201" s="513"/>
      <c r="BQ201" s="514" t="str">
        <f t="shared" si="186"/>
        <v>2MP</v>
      </c>
    </row>
    <row r="202" spans="1:69" ht="19.95" customHeight="1">
      <c r="A202" s="422" t="s">
        <v>1149</v>
      </c>
      <c r="B202" s="423" t="s">
        <v>1074</v>
      </c>
      <c r="C202" s="424">
        <v>13</v>
      </c>
      <c r="D202" s="424" t="s">
        <v>2242</v>
      </c>
      <c r="E202" s="424" t="s">
        <v>265</v>
      </c>
      <c r="F202" s="424" t="s">
        <v>265</v>
      </c>
      <c r="G202" s="424" t="s">
        <v>2266</v>
      </c>
      <c r="H202" s="305" t="s">
        <v>2573</v>
      </c>
      <c r="I202" s="422" t="s">
        <v>2574</v>
      </c>
      <c r="J202" s="421" t="str">
        <f t="shared" si="206"/>
        <v>LGOO2Ap</v>
      </c>
      <c r="K202" s="421" t="str">
        <f t="shared" si="207"/>
        <v>LGOO2ApM</v>
      </c>
      <c r="L202" s="447" t="str">
        <f t="shared" si="208"/>
        <v>ApM</v>
      </c>
      <c r="M202" s="932">
        <v>2</v>
      </c>
      <c r="N202" s="932">
        <v>2</v>
      </c>
      <c r="O202" s="932">
        <v>2</v>
      </c>
      <c r="P202" s="932">
        <v>2</v>
      </c>
      <c r="Q202" s="940"/>
      <c r="R202" s="940"/>
      <c r="S202" s="940"/>
      <c r="T202" s="940"/>
      <c r="U202" s="940"/>
      <c r="V202" s="940"/>
      <c r="W202" s="940"/>
      <c r="X202" s="948"/>
      <c r="Y202" s="948"/>
      <c r="Z202" s="948"/>
      <c r="AA202" s="948"/>
      <c r="AB202" s="948"/>
      <c r="AC202" s="948"/>
      <c r="AD202" s="616"/>
      <c r="AE202" s="616"/>
      <c r="AF202" s="616"/>
      <c r="AG202" s="616"/>
      <c r="AH202" s="448">
        <f t="shared" si="187"/>
        <v>302784</v>
      </c>
      <c r="AI202" s="449">
        <f t="shared" si="188"/>
        <v>306540</v>
      </c>
      <c r="AJ202" s="450">
        <v>2</v>
      </c>
      <c r="AK202" s="452" t="s">
        <v>1150</v>
      </c>
      <c r="AL202" s="447" t="s">
        <v>62</v>
      </c>
      <c r="AM202" s="447" t="s">
        <v>158</v>
      </c>
      <c r="AN202" s="447">
        <v>310100100001000</v>
      </c>
      <c r="AO202" s="305" t="s">
        <v>181</v>
      </c>
      <c r="AP202" s="306" t="s">
        <v>2423</v>
      </c>
      <c r="AQ202" s="306" t="s">
        <v>2603</v>
      </c>
      <c r="AR202" s="306" t="s">
        <v>2026</v>
      </c>
      <c r="AS202" s="306" t="s">
        <v>2027</v>
      </c>
      <c r="AT202" s="306" t="s">
        <v>2028</v>
      </c>
      <c r="AU202" s="306" t="str">
        <f t="shared" si="209"/>
        <v>B</v>
      </c>
      <c r="AV202" s="306" t="str">
        <f t="shared" si="210"/>
        <v>Edward Errol B. Ucol</v>
      </c>
      <c r="AW202" s="306" t="str">
        <f t="shared" ref="AW202:AW231" si="221">CONCATENATE(AR202,", ",AS202," ",AT202)</f>
        <v>UCOL, Edward Errol Bumanglag</v>
      </c>
      <c r="AX202" s="305" t="s">
        <v>181</v>
      </c>
      <c r="AY202" s="447" t="s">
        <v>62</v>
      </c>
      <c r="AZ202" s="472">
        <v>30703</v>
      </c>
      <c r="BA202" s="101">
        <f t="shared" ca="1" si="190"/>
        <v>42</v>
      </c>
      <c r="BB202" s="492" t="str">
        <f t="shared" ca="1" si="191"/>
        <v>C</v>
      </c>
      <c r="BC202" s="492" t="str">
        <f t="shared" ca="1" si="211"/>
        <v>ApC</v>
      </c>
      <c r="BD202" s="492" t="str">
        <f t="shared" ca="1" si="212"/>
        <v>ApCM</v>
      </c>
      <c r="BE202" s="492" t="str">
        <f t="shared" ca="1" si="185"/>
        <v>LGOO2ApCM</v>
      </c>
      <c r="BF202" s="447" t="s">
        <v>2604</v>
      </c>
      <c r="BG202" s="493">
        <v>40910</v>
      </c>
      <c r="BH202" s="493">
        <v>40910</v>
      </c>
      <c r="BI202" s="447">
        <f t="shared" ca="1" si="192"/>
        <v>14</v>
      </c>
      <c r="BJ202" s="447">
        <f t="shared" ca="1" si="213"/>
        <v>14</v>
      </c>
      <c r="BK202" s="493">
        <v>41913</v>
      </c>
      <c r="BL202" s="447">
        <f t="shared" ca="1" si="193"/>
        <v>11</v>
      </c>
      <c r="BM202" s="447" t="s">
        <v>64</v>
      </c>
      <c r="BN202" s="512" t="s">
        <v>102</v>
      </c>
      <c r="BO202" s="423" t="s">
        <v>2744</v>
      </c>
      <c r="BP202" s="513"/>
      <c r="BQ202" s="514" t="str">
        <f t="shared" si="186"/>
        <v>2MP</v>
      </c>
    </row>
    <row r="203" spans="1:69" ht="19.95" customHeight="1">
      <c r="A203" s="422" t="s">
        <v>1155</v>
      </c>
      <c r="B203" s="423" t="s">
        <v>1074</v>
      </c>
      <c r="C203" s="424">
        <v>13</v>
      </c>
      <c r="D203" s="424" t="s">
        <v>2242</v>
      </c>
      <c r="E203" s="424" t="s">
        <v>265</v>
      </c>
      <c r="F203" s="424" t="s">
        <v>265</v>
      </c>
      <c r="G203" s="424" t="s">
        <v>2266</v>
      </c>
      <c r="H203" s="305" t="s">
        <v>2573</v>
      </c>
      <c r="I203" s="422" t="s">
        <v>2574</v>
      </c>
      <c r="J203" s="421" t="str">
        <f t="shared" si="206"/>
        <v>LGOO2MP</v>
      </c>
      <c r="K203" s="421" t="str">
        <f t="shared" si="207"/>
        <v>LGOO2MPF</v>
      </c>
      <c r="L203" s="447" t="str">
        <f t="shared" si="208"/>
        <v>MPF</v>
      </c>
      <c r="M203" s="932">
        <v>2</v>
      </c>
      <c r="N203" s="932">
        <v>2</v>
      </c>
      <c r="O203" s="932">
        <v>2</v>
      </c>
      <c r="P203" s="932">
        <v>2</v>
      </c>
      <c r="Q203" s="940"/>
      <c r="R203" s="940"/>
      <c r="S203" s="940"/>
      <c r="T203" s="940"/>
      <c r="U203" s="940"/>
      <c r="V203" s="940"/>
      <c r="W203" s="940"/>
      <c r="X203" s="948"/>
      <c r="Y203" s="948"/>
      <c r="Z203" s="948"/>
      <c r="AA203" s="948"/>
      <c r="AB203" s="948"/>
      <c r="AC203" s="948"/>
      <c r="AD203" s="616"/>
      <c r="AE203" s="616"/>
      <c r="AF203" s="616"/>
      <c r="AG203" s="616"/>
      <c r="AH203" s="448">
        <f t="shared" si="187"/>
        <v>302784</v>
      </c>
      <c r="AI203" s="449">
        <f t="shared" si="188"/>
        <v>302784</v>
      </c>
      <c r="AJ203" s="450">
        <v>1</v>
      </c>
      <c r="AK203" s="452" t="s">
        <v>197</v>
      </c>
      <c r="AL203" s="447" t="s">
        <v>64</v>
      </c>
      <c r="AM203" s="447" t="s">
        <v>158</v>
      </c>
      <c r="AN203" s="447">
        <v>310100100001000</v>
      </c>
      <c r="AO203" s="305" t="s">
        <v>167</v>
      </c>
      <c r="AP203" s="306" t="s">
        <v>2404</v>
      </c>
      <c r="AQ203" s="306" t="s">
        <v>2605</v>
      </c>
      <c r="AR203" s="305" t="s">
        <v>2103</v>
      </c>
      <c r="AS203" s="305" t="s">
        <v>2104</v>
      </c>
      <c r="AT203" s="305" t="s">
        <v>2105</v>
      </c>
      <c r="AU203" s="306" t="str">
        <f t="shared" ref="AU203" si="222">LEFT(AT203)&amp;IF(ISNUMBER(FIND(" ",AT203)),MID(AT203,FIND(" ",AT203)+1,1),"")&amp;IF(ISNUMBER(FIND(" ",AT203,FIND(" ",AT203)+1)),MID(AT203,FIND(" ",AT203,FIND(" ",AT203)+1)+1,1),"")</f>
        <v>S</v>
      </c>
      <c r="AV203" s="306" t="str">
        <f t="shared" ref="AV203" si="223">PROPER(CONCATENATE(AS203," ",AU203,". ",AR203))</f>
        <v>Sheren S. Fabag</v>
      </c>
      <c r="AW203" s="306" t="str">
        <f t="shared" ref="AW203" si="224">CONCATENATE(AR203,", ",AS203," ",AT203)</f>
        <v>FABAG, Sheren Sagsago</v>
      </c>
      <c r="AX203" s="305" t="s">
        <v>268</v>
      </c>
      <c r="AY203" s="447" t="s">
        <v>100</v>
      </c>
      <c r="AZ203" s="472">
        <v>32189</v>
      </c>
      <c r="BA203" s="101">
        <f t="shared" ca="1" si="190"/>
        <v>38</v>
      </c>
      <c r="BB203" s="492" t="str">
        <f t="shared" ca="1" si="191"/>
        <v>B</v>
      </c>
      <c r="BC203" s="492" t="str">
        <f t="shared" ref="BC203" ca="1" si="225">+IF(AX203="Regional Office",(IF(BB203="A","RA",(IF(BB203="B","RB",IF(BB203="C","RC",IF(BB203="D","RD",IF(BB203="E","RE","VACANT"))))))),IF(AX203="Abra",(IF(BB203="A","AbA",(IF(BB203="B","AbB",IF(BB203="C","AbC",IF(BB203="D","AbD",IF(BB203="E","AbE","VACANT"))))))),IF(AX203="Baguio City",(IF(BB203="A","BCA",(IF(BB203="B","BCB",IF(BB203="C","BCC",IF(BB203="D","BCD",IF(BB203="E","BCE","VACANT"))))))),IF(AX203="Apayao",(IF(BB203="A","ApA",(IF(BB203="B","ApB",IF(BB203="C","ApC",IF(BB203="D","ApD",IF(BB203="E","ApE","VACANT"))))))),IF(AX203="Benguet",(IF(BB203="A","BA",(IF(BB203="B","BB",IF(BB203="C","BC",IF(BB203="D","BD",IF(BB203="E","BE","VACANT"))))))),IF(AX203="Ifugao",(IF(BB203="A","IA",(IF(BB203="B","IB",IF(BB203="C","IC",IF(BB203="D","ID",IF(BB203="E","IE","VACANT"))))))),IF(AX203="Kalinga",(IF(BB203="A","KA",(IF(BB203="B","KB",IF(BB203="C","KC",IF(BB203="D","KD",IF(BB203="E","KE","VACANT"))))))),IF(AX203="Mt. Province",(IF(BB203="A","MPA",(IF(BB203="B","MPB",IF(BB203="C","MPC",IF(BB203="D","MPD",IF(BB203="E","MPE","VACANT"))))))),"XXX"))))))))</f>
        <v>MPB</v>
      </c>
      <c r="BD203" s="492" t="str">
        <f t="shared" ref="BD203" ca="1" si="226">CONCATENATE(BC203,AY203)</f>
        <v>MPBF</v>
      </c>
      <c r="BE203" s="492" t="str">
        <f t="shared" ca="1" si="185"/>
        <v>LGOO2MPBF</v>
      </c>
      <c r="BF203" s="447" t="s">
        <v>2606</v>
      </c>
      <c r="BG203" s="493">
        <v>41913</v>
      </c>
      <c r="BH203" s="493">
        <v>41913</v>
      </c>
      <c r="BI203" s="447">
        <f t="shared" ca="1" si="192"/>
        <v>11</v>
      </c>
      <c r="BJ203" s="447">
        <f t="shared" ca="1" si="213"/>
        <v>11</v>
      </c>
      <c r="BK203" s="493">
        <v>43497</v>
      </c>
      <c r="BL203" s="447">
        <f t="shared" ca="1" si="193"/>
        <v>7</v>
      </c>
      <c r="BM203" s="447" t="s">
        <v>64</v>
      </c>
      <c r="BN203" s="512" t="s">
        <v>102</v>
      </c>
      <c r="BO203" s="423" t="s">
        <v>2254</v>
      </c>
      <c r="BP203" s="513"/>
      <c r="BQ203" s="514" t="str">
        <f t="shared" si="186"/>
        <v>2FP</v>
      </c>
    </row>
    <row r="204" spans="1:69" ht="19.95" customHeight="1">
      <c r="A204" s="422" t="s">
        <v>1165</v>
      </c>
      <c r="B204" s="423" t="s">
        <v>1074</v>
      </c>
      <c r="C204" s="424">
        <v>13</v>
      </c>
      <c r="D204" s="424" t="s">
        <v>2242</v>
      </c>
      <c r="E204" s="424" t="s">
        <v>265</v>
      </c>
      <c r="F204" s="424" t="s">
        <v>265</v>
      </c>
      <c r="G204" s="424" t="s">
        <v>2266</v>
      </c>
      <c r="H204" s="305" t="s">
        <v>2573</v>
      </c>
      <c r="I204" s="422" t="s">
        <v>2574</v>
      </c>
      <c r="J204" s="421" t="str">
        <f t="shared" si="206"/>
        <v>LGOO2B</v>
      </c>
      <c r="K204" s="421" t="str">
        <f t="shared" si="207"/>
        <v>LGOO2BM</v>
      </c>
      <c r="L204" s="447" t="str">
        <f t="shared" si="208"/>
        <v>BM</v>
      </c>
      <c r="M204" s="932">
        <v>2</v>
      </c>
      <c r="N204" s="932">
        <v>2</v>
      </c>
      <c r="O204" s="932">
        <v>2</v>
      </c>
      <c r="P204" s="932">
        <v>2</v>
      </c>
      <c r="Q204" s="940"/>
      <c r="R204" s="940"/>
      <c r="S204" s="940"/>
      <c r="T204" s="940"/>
      <c r="U204" s="940"/>
      <c r="V204" s="940"/>
      <c r="W204" s="940"/>
      <c r="X204" s="948"/>
      <c r="Y204" s="948"/>
      <c r="Z204" s="948"/>
      <c r="AA204" s="948"/>
      <c r="AB204" s="948"/>
      <c r="AC204" s="948"/>
      <c r="AD204" s="616"/>
      <c r="AE204" s="616"/>
      <c r="AF204" s="616"/>
      <c r="AG204" s="616"/>
      <c r="AH204" s="448">
        <f t="shared" si="187"/>
        <v>302784</v>
      </c>
      <c r="AI204" s="449">
        <f t="shared" si="188"/>
        <v>302784</v>
      </c>
      <c r="AJ204" s="450">
        <v>1</v>
      </c>
      <c r="AK204" s="452" t="s">
        <v>487</v>
      </c>
      <c r="AL204" s="447" t="s">
        <v>64</v>
      </c>
      <c r="AM204" s="447" t="s">
        <v>158</v>
      </c>
      <c r="AN204" s="447">
        <v>310100100001000</v>
      </c>
      <c r="AO204" s="306" t="s">
        <v>174</v>
      </c>
      <c r="AP204" s="306" t="s">
        <v>2404</v>
      </c>
      <c r="AQ204" s="306" t="s">
        <v>174</v>
      </c>
      <c r="AR204" s="306" t="s">
        <v>2138</v>
      </c>
      <c r="AS204" s="306" t="s">
        <v>2139</v>
      </c>
      <c r="AT204" s="306" t="s">
        <v>2140</v>
      </c>
      <c r="AU204" s="306" t="str">
        <f t="shared" si="209"/>
        <v>L</v>
      </c>
      <c r="AV204" s="306" t="str">
        <f t="shared" si="210"/>
        <v>Randolph L. Ligligon</v>
      </c>
      <c r="AW204" s="306" t="str">
        <f t="shared" si="221"/>
        <v>LIGLIGON, Randolph Lacamang</v>
      </c>
      <c r="AX204" s="305" t="s">
        <v>167</v>
      </c>
      <c r="AY204" s="447" t="s">
        <v>62</v>
      </c>
      <c r="AZ204" s="472">
        <v>34328</v>
      </c>
      <c r="BA204" s="101">
        <f t="shared" ca="1" si="190"/>
        <v>32</v>
      </c>
      <c r="BB204" s="492" t="str">
        <f t="shared" ca="1" si="191"/>
        <v>B</v>
      </c>
      <c r="BC204" s="492" t="str">
        <f t="shared" ca="1" si="211"/>
        <v>BB</v>
      </c>
      <c r="BD204" s="492" t="str">
        <f t="shared" ca="1" si="212"/>
        <v>BBM</v>
      </c>
      <c r="BE204" s="492" t="str">
        <f t="shared" ca="1" si="185"/>
        <v>LGOO2BBM</v>
      </c>
      <c r="BF204" s="447" t="s">
        <v>2607</v>
      </c>
      <c r="BG204" s="493">
        <v>42289</v>
      </c>
      <c r="BH204" s="493">
        <v>42289</v>
      </c>
      <c r="BI204" s="447">
        <f t="shared" ca="1" si="192"/>
        <v>10</v>
      </c>
      <c r="BJ204" s="447">
        <f t="shared" ca="1" si="213"/>
        <v>10</v>
      </c>
      <c r="BK204" s="493">
        <v>42863</v>
      </c>
      <c r="BL204" s="447">
        <f t="shared" ca="1" si="193"/>
        <v>8</v>
      </c>
      <c r="BM204" s="447" t="s">
        <v>64</v>
      </c>
      <c r="BN204" s="512" t="s">
        <v>102</v>
      </c>
      <c r="BO204" s="423" t="s">
        <v>3419</v>
      </c>
      <c r="BP204" s="513"/>
      <c r="BQ204" s="514" t="str">
        <f t="shared" si="186"/>
        <v>2MP</v>
      </c>
    </row>
    <row r="205" spans="1:69" ht="19.95" customHeight="1">
      <c r="A205" s="422" t="s">
        <v>377</v>
      </c>
      <c r="B205" s="423" t="s">
        <v>1170</v>
      </c>
      <c r="C205" s="424">
        <v>8</v>
      </c>
      <c r="D205" s="424" t="s">
        <v>2276</v>
      </c>
      <c r="E205" s="424" t="s">
        <v>2277</v>
      </c>
      <c r="F205" s="424" t="s">
        <v>2278</v>
      </c>
      <c r="G205" s="424" t="s">
        <v>2279</v>
      </c>
      <c r="H205" s="305" t="s">
        <v>2382</v>
      </c>
      <c r="I205" s="422" t="s">
        <v>2383</v>
      </c>
      <c r="J205" s="421" t="str">
        <f t="shared" si="206"/>
        <v>ADAS2Ap</v>
      </c>
      <c r="K205" s="421" t="str">
        <f t="shared" si="207"/>
        <v>ADAS2ApF</v>
      </c>
      <c r="L205" s="447" t="str">
        <f t="shared" si="208"/>
        <v>ApF</v>
      </c>
      <c r="M205" s="932">
        <v>1</v>
      </c>
      <c r="N205" s="932">
        <v>1</v>
      </c>
      <c r="O205" s="932">
        <v>1</v>
      </c>
      <c r="P205" s="932">
        <v>1</v>
      </c>
      <c r="Q205" s="940"/>
      <c r="R205" s="940"/>
      <c r="S205" s="940"/>
      <c r="T205" s="940"/>
      <c r="U205" s="940"/>
      <c r="V205" s="940"/>
      <c r="W205" s="940"/>
      <c r="X205" s="948"/>
      <c r="Y205" s="948"/>
      <c r="Z205" s="948"/>
      <c r="AA205" s="948"/>
      <c r="AB205" s="948"/>
      <c r="AC205" s="948"/>
      <c r="AD205" s="616"/>
      <c r="AE205" s="616"/>
      <c r="AF205" s="616"/>
      <c r="AG205" s="616"/>
      <c r="AH205" s="448">
        <f t="shared" si="187"/>
        <v>201096</v>
      </c>
      <c r="AI205" s="449">
        <f t="shared" si="188"/>
        <v>201096</v>
      </c>
      <c r="AJ205" s="450">
        <v>1</v>
      </c>
      <c r="AK205" s="452" t="s">
        <v>53</v>
      </c>
      <c r="AL205" s="447" t="s">
        <v>54</v>
      </c>
      <c r="AM205" s="447" t="s">
        <v>81</v>
      </c>
      <c r="AN205" s="447">
        <v>310100100001000</v>
      </c>
      <c r="AO205" s="306" t="s">
        <v>181</v>
      </c>
      <c r="AP205" s="306" t="s">
        <v>2404</v>
      </c>
      <c r="AQ205" s="306" t="s">
        <v>2442</v>
      </c>
      <c r="AR205" s="305" t="s">
        <v>2171</v>
      </c>
      <c r="AS205" s="305" t="s">
        <v>1619</v>
      </c>
      <c r="AT205" s="305" t="s">
        <v>2172</v>
      </c>
      <c r="AU205" s="306" t="str">
        <f t="shared" si="209"/>
        <v>D</v>
      </c>
      <c r="AV205" s="306" t="str">
        <f t="shared" si="210"/>
        <v>Giezzel D. Macli-Ing</v>
      </c>
      <c r="AW205" s="306" t="str">
        <f t="shared" si="221"/>
        <v>MACLI-ING, Giezzel Danglipen</v>
      </c>
      <c r="AX205" s="305" t="s">
        <v>181</v>
      </c>
      <c r="AY205" s="447" t="s">
        <v>100</v>
      </c>
      <c r="AZ205" s="472">
        <v>35092</v>
      </c>
      <c r="BA205" s="101">
        <f t="shared" ca="1" si="190"/>
        <v>30</v>
      </c>
      <c r="BB205" s="492" t="str">
        <f t="shared" ca="1" si="191"/>
        <v>B</v>
      </c>
      <c r="BC205" s="492" t="str">
        <f t="shared" ca="1" si="211"/>
        <v>ApB</v>
      </c>
      <c r="BD205" s="492" t="str">
        <f t="shared" ca="1" si="212"/>
        <v>ApBF</v>
      </c>
      <c r="BE205" s="492" t="str">
        <f t="shared" ca="1" si="185"/>
        <v>ADAS2ApBF</v>
      </c>
      <c r="BF205" s="493" t="s">
        <v>2608</v>
      </c>
      <c r="BG205" s="493">
        <v>43544</v>
      </c>
      <c r="BH205" s="494"/>
      <c r="BI205" s="447">
        <f t="shared" ca="1" si="192"/>
        <v>7</v>
      </c>
      <c r="BJ205" s="447">
        <f t="shared" ca="1" si="213"/>
        <v>126</v>
      </c>
      <c r="BK205" s="493">
        <v>43544</v>
      </c>
      <c r="BL205" s="447">
        <f t="shared" ca="1" si="193"/>
        <v>7</v>
      </c>
      <c r="BM205" s="447" t="s">
        <v>64</v>
      </c>
      <c r="BN205" s="512" t="s">
        <v>102</v>
      </c>
      <c r="BO205" s="423" t="s">
        <v>2747</v>
      </c>
      <c r="BP205" s="513"/>
      <c r="BQ205" s="514" t="str">
        <f t="shared" ref="BQ205:BQ240" si="227">CONCATENATE(1,AY205,BM205)</f>
        <v>1FP</v>
      </c>
    </row>
    <row r="206" spans="1:69" ht="19.95" customHeight="1">
      <c r="A206" s="422" t="s">
        <v>1171</v>
      </c>
      <c r="B206" s="423" t="s">
        <v>1170</v>
      </c>
      <c r="C206" s="424">
        <v>8</v>
      </c>
      <c r="D206" s="424" t="s">
        <v>2276</v>
      </c>
      <c r="E206" s="424" t="s">
        <v>2277</v>
      </c>
      <c r="F206" s="424" t="s">
        <v>2278</v>
      </c>
      <c r="G206" s="424" t="s">
        <v>2279</v>
      </c>
      <c r="H206" s="305" t="s">
        <v>2382</v>
      </c>
      <c r="I206" s="422" t="s">
        <v>2383</v>
      </c>
      <c r="J206" s="421" t="str">
        <f t="shared" si="206"/>
        <v>Vacant</v>
      </c>
      <c r="K206" s="421" t="str">
        <f t="shared" si="207"/>
        <v>Vacant</v>
      </c>
      <c r="L206" s="447" t="str">
        <f t="shared" si="208"/>
        <v>XXX</v>
      </c>
      <c r="M206" s="932">
        <v>1</v>
      </c>
      <c r="N206" s="932">
        <v>1</v>
      </c>
      <c r="O206" s="932">
        <v>1</v>
      </c>
      <c r="P206" s="932">
        <v>1</v>
      </c>
      <c r="Q206" s="940"/>
      <c r="R206" s="940"/>
      <c r="S206" s="940"/>
      <c r="T206" s="940"/>
      <c r="U206" s="940"/>
      <c r="V206" s="940"/>
      <c r="W206" s="940"/>
      <c r="X206" s="948"/>
      <c r="Y206" s="948"/>
      <c r="Z206" s="948"/>
      <c r="AA206" s="948"/>
      <c r="AB206" s="948"/>
      <c r="AC206" s="948"/>
      <c r="AD206" s="616"/>
      <c r="AE206" s="616"/>
      <c r="AF206" s="616"/>
      <c r="AG206" s="616"/>
      <c r="AH206" s="448">
        <f t="shared" si="187"/>
        <v>201096</v>
      </c>
      <c r="AI206" s="449">
        <f t="shared" si="188"/>
        <v>0</v>
      </c>
      <c r="AJ206" s="450">
        <v>0</v>
      </c>
      <c r="AK206" s="452" t="s">
        <v>465</v>
      </c>
      <c r="AL206" s="447" t="s">
        <v>64</v>
      </c>
      <c r="AM206" s="447" t="s">
        <v>81</v>
      </c>
      <c r="AN206" s="447">
        <v>310100100001000</v>
      </c>
      <c r="AO206" s="305" t="s">
        <v>408</v>
      </c>
      <c r="AP206" s="305" t="s">
        <v>2404</v>
      </c>
      <c r="AQ206" s="306" t="s">
        <v>408</v>
      </c>
      <c r="AR206" s="305" t="s">
        <v>2610</v>
      </c>
      <c r="AS206" s="305"/>
      <c r="AT206" s="305"/>
      <c r="AU206" s="306" t="str">
        <f t="shared" si="209"/>
        <v/>
      </c>
      <c r="AV206" s="306" t="str">
        <f t="shared" si="210"/>
        <v xml:space="preserve"> . Vacant Domasing</v>
      </c>
      <c r="AW206" s="306" t="str">
        <f t="shared" si="221"/>
        <v xml:space="preserve">Vacant DOMASING,  </v>
      </c>
      <c r="AX206" s="305"/>
      <c r="AY206" s="447"/>
      <c r="AZ206" s="472"/>
      <c r="BA206" s="101">
        <f t="shared" ca="1" si="190"/>
        <v>126</v>
      </c>
      <c r="BB206" s="492" t="str">
        <f t="shared" ca="1" si="191"/>
        <v>VACANT</v>
      </c>
      <c r="BC206" s="492" t="str">
        <f t="shared" si="211"/>
        <v>XXX</v>
      </c>
      <c r="BD206" s="492" t="str">
        <f t="shared" si="212"/>
        <v>XXX</v>
      </c>
      <c r="BE206" s="492" t="str">
        <f t="shared" si="185"/>
        <v>ADAS2XXX</v>
      </c>
      <c r="BF206" s="447"/>
      <c r="BG206" s="493"/>
      <c r="BH206" s="493"/>
      <c r="BI206" s="447">
        <f t="shared" ca="1" si="192"/>
        <v>126</v>
      </c>
      <c r="BJ206" s="447">
        <f t="shared" ca="1" si="213"/>
        <v>126</v>
      </c>
      <c r="BK206" s="493"/>
      <c r="BL206" s="447">
        <f t="shared" ca="1" si="193"/>
        <v>126</v>
      </c>
      <c r="BM206" s="447"/>
      <c r="BN206" s="512"/>
      <c r="BO206" s="423"/>
      <c r="BP206" s="513"/>
      <c r="BQ206" s="514" t="str">
        <f t="shared" si="227"/>
        <v>1</v>
      </c>
    </row>
    <row r="207" spans="1:69" ht="19.95" customHeight="1">
      <c r="A207" s="422" t="s">
        <v>1175</v>
      </c>
      <c r="B207" s="423" t="s">
        <v>1170</v>
      </c>
      <c r="C207" s="424">
        <v>8</v>
      </c>
      <c r="D207" s="424" t="s">
        <v>2276</v>
      </c>
      <c r="E207" s="424" t="s">
        <v>2277</v>
      </c>
      <c r="F207" s="424" t="s">
        <v>2278</v>
      </c>
      <c r="G207" s="424" t="s">
        <v>2279</v>
      </c>
      <c r="H207" s="305" t="s">
        <v>2382</v>
      </c>
      <c r="I207" s="422" t="s">
        <v>2383</v>
      </c>
      <c r="J207" s="421" t="str">
        <f t="shared" si="206"/>
        <v>ADAS2B</v>
      </c>
      <c r="K207" s="421" t="str">
        <f t="shared" si="207"/>
        <v>ADAS2BF</v>
      </c>
      <c r="L207" s="447" t="str">
        <f t="shared" si="208"/>
        <v>BF</v>
      </c>
      <c r="M207" s="932">
        <v>1</v>
      </c>
      <c r="N207" s="932">
        <v>1</v>
      </c>
      <c r="O207" s="932">
        <v>1</v>
      </c>
      <c r="P207" s="932">
        <v>1</v>
      </c>
      <c r="Q207" s="940"/>
      <c r="R207" s="940"/>
      <c r="S207" s="940"/>
      <c r="T207" s="940"/>
      <c r="U207" s="940"/>
      <c r="V207" s="940"/>
      <c r="W207" s="940"/>
      <c r="X207" s="948"/>
      <c r="Y207" s="948"/>
      <c r="Z207" s="948"/>
      <c r="AA207" s="948"/>
      <c r="AB207" s="948"/>
      <c r="AC207" s="948"/>
      <c r="AD207" s="616"/>
      <c r="AE207" s="616"/>
      <c r="AF207" s="616"/>
      <c r="AG207" s="616"/>
      <c r="AH207" s="448">
        <f t="shared" si="187"/>
        <v>201096</v>
      </c>
      <c r="AI207" s="449">
        <f t="shared" si="188"/>
        <v>210348</v>
      </c>
      <c r="AJ207" s="450">
        <v>6</v>
      </c>
      <c r="AK207" s="452" t="s">
        <v>197</v>
      </c>
      <c r="AL207" s="447" t="s">
        <v>64</v>
      </c>
      <c r="AM207" s="447" t="s">
        <v>81</v>
      </c>
      <c r="AN207" s="447">
        <v>310100100001000</v>
      </c>
      <c r="AO207" s="305" t="s">
        <v>167</v>
      </c>
      <c r="AP207" s="306" t="s">
        <v>2404</v>
      </c>
      <c r="AQ207" s="306" t="s">
        <v>167</v>
      </c>
      <c r="AR207" s="306" t="s">
        <v>359</v>
      </c>
      <c r="AS207" s="306" t="s">
        <v>1971</v>
      </c>
      <c r="AT207" s="306" t="s">
        <v>1972</v>
      </c>
      <c r="AU207" s="306" t="str">
        <f t="shared" si="209"/>
        <v>K</v>
      </c>
      <c r="AV207" s="306" t="str">
        <f t="shared" si="210"/>
        <v>Prescilla K. Tomas</v>
      </c>
      <c r="AW207" s="306" t="str">
        <f t="shared" si="221"/>
        <v>TOMAS, Prescilla Kitan</v>
      </c>
      <c r="AX207" s="305" t="s">
        <v>167</v>
      </c>
      <c r="AY207" s="447" t="s">
        <v>100</v>
      </c>
      <c r="AZ207" s="472">
        <v>24329</v>
      </c>
      <c r="BA207" s="101">
        <f t="shared" ca="1" si="190"/>
        <v>59</v>
      </c>
      <c r="BB207" s="492" t="str">
        <f t="shared" ca="1" si="191"/>
        <v>D</v>
      </c>
      <c r="BC207" s="492" t="str">
        <f t="shared" ca="1" si="211"/>
        <v>BD</v>
      </c>
      <c r="BD207" s="492" t="str">
        <f t="shared" ca="1" si="212"/>
        <v>BDF</v>
      </c>
      <c r="BE207" s="492" t="str">
        <f t="shared" ca="1" si="185"/>
        <v>ADAS2BDF</v>
      </c>
      <c r="BF207" s="447" t="s">
        <v>362</v>
      </c>
      <c r="BG207" s="493">
        <v>36145</v>
      </c>
      <c r="BH207" s="493">
        <v>36145</v>
      </c>
      <c r="BI207" s="447">
        <f t="shared" ca="1" si="192"/>
        <v>27</v>
      </c>
      <c r="BJ207" s="447">
        <f t="shared" ca="1" si="213"/>
        <v>27</v>
      </c>
      <c r="BK207" s="493">
        <v>37655</v>
      </c>
      <c r="BL207" s="447">
        <f t="shared" ca="1" si="193"/>
        <v>23</v>
      </c>
      <c r="BM207" s="447" t="s">
        <v>64</v>
      </c>
      <c r="BN207" s="512" t="s">
        <v>215</v>
      </c>
      <c r="BO207" s="423" t="s">
        <v>2273</v>
      </c>
      <c r="BP207" s="513" t="s">
        <v>2385</v>
      </c>
      <c r="BQ207" s="514" t="str">
        <f t="shared" si="227"/>
        <v>1FP</v>
      </c>
    </row>
    <row r="208" spans="1:69" ht="19.95" customHeight="1">
      <c r="A208" s="422" t="s">
        <v>1180</v>
      </c>
      <c r="B208" s="423" t="s">
        <v>1170</v>
      </c>
      <c r="C208" s="424">
        <v>8</v>
      </c>
      <c r="D208" s="424" t="s">
        <v>2276</v>
      </c>
      <c r="E208" s="424" t="s">
        <v>2277</v>
      </c>
      <c r="F208" s="424" t="s">
        <v>2278</v>
      </c>
      <c r="G208" s="424" t="s">
        <v>2279</v>
      </c>
      <c r="H208" s="305" t="s">
        <v>2382</v>
      </c>
      <c r="I208" s="422" t="s">
        <v>2383</v>
      </c>
      <c r="J208" s="421" t="str">
        <f t="shared" si="206"/>
        <v>ADAS2MP</v>
      </c>
      <c r="K208" s="421" t="str">
        <f t="shared" si="207"/>
        <v>ADAS2MPF</v>
      </c>
      <c r="L208" s="447" t="str">
        <f t="shared" si="208"/>
        <v>MPF</v>
      </c>
      <c r="M208" s="932">
        <v>1</v>
      </c>
      <c r="N208" s="932">
        <v>1</v>
      </c>
      <c r="O208" s="932">
        <v>1</v>
      </c>
      <c r="P208" s="932">
        <v>1</v>
      </c>
      <c r="Q208" s="940"/>
      <c r="R208" s="940"/>
      <c r="S208" s="940"/>
      <c r="T208" s="940"/>
      <c r="U208" s="940"/>
      <c r="V208" s="940"/>
      <c r="W208" s="940"/>
      <c r="X208" s="948"/>
      <c r="Y208" s="948"/>
      <c r="Z208" s="948"/>
      <c r="AA208" s="948"/>
      <c r="AB208" s="948"/>
      <c r="AC208" s="948"/>
      <c r="AD208" s="616"/>
      <c r="AE208" s="616"/>
      <c r="AF208" s="616"/>
      <c r="AG208" s="616"/>
      <c r="AH208" s="448">
        <f t="shared" si="187"/>
        <v>201096</v>
      </c>
      <c r="AI208" s="449">
        <f t="shared" si="188"/>
        <v>201096</v>
      </c>
      <c r="AJ208" s="450">
        <v>1</v>
      </c>
      <c r="AK208" s="452" t="s">
        <v>352</v>
      </c>
      <c r="AL208" s="447" t="s">
        <v>64</v>
      </c>
      <c r="AM208" s="447" t="s">
        <v>81</v>
      </c>
      <c r="AN208" s="447">
        <v>310100100001000</v>
      </c>
      <c r="AO208" s="305" t="s">
        <v>268</v>
      </c>
      <c r="AP208" s="306" t="s">
        <v>2404</v>
      </c>
      <c r="AQ208" s="306" t="s">
        <v>268</v>
      </c>
      <c r="AR208" s="305" t="s">
        <v>2175</v>
      </c>
      <c r="AS208" s="305" t="s">
        <v>2176</v>
      </c>
      <c r="AT208" s="305" t="s">
        <v>2177</v>
      </c>
      <c r="AU208" s="306" t="str">
        <f t="shared" si="209"/>
        <v>B</v>
      </c>
      <c r="AV208" s="306" t="str">
        <f t="shared" si="210"/>
        <v>Kharla Lhyn B. Depalog</v>
      </c>
      <c r="AW208" s="306" t="str">
        <f t="shared" si="221"/>
        <v>DEPALOG, Kharla Lhyn Bagwan</v>
      </c>
      <c r="AX208" s="305" t="s">
        <v>268</v>
      </c>
      <c r="AY208" s="447" t="s">
        <v>100</v>
      </c>
      <c r="AZ208" s="472">
        <v>33976</v>
      </c>
      <c r="BA208" s="101">
        <f t="shared" ca="1" si="190"/>
        <v>33</v>
      </c>
      <c r="BB208" s="492" t="str">
        <f t="shared" ca="1" si="191"/>
        <v>B</v>
      </c>
      <c r="BC208" s="492" t="str">
        <f t="shared" ca="1" si="211"/>
        <v>MPB</v>
      </c>
      <c r="BD208" s="492" t="str">
        <f t="shared" ca="1" si="212"/>
        <v>MPBF</v>
      </c>
      <c r="BE208" s="492" t="str">
        <f t="shared" ca="1" si="185"/>
        <v>ADAS2MPBF</v>
      </c>
      <c r="BF208" s="498" t="s">
        <v>2611</v>
      </c>
      <c r="BG208" s="493">
        <v>43556</v>
      </c>
      <c r="BH208" s="493"/>
      <c r="BI208" s="447">
        <f t="shared" ca="1" si="192"/>
        <v>6</v>
      </c>
      <c r="BJ208" s="447">
        <f t="shared" ca="1" si="213"/>
        <v>126</v>
      </c>
      <c r="BK208" s="493">
        <v>43556</v>
      </c>
      <c r="BL208" s="447">
        <f t="shared" ca="1" si="193"/>
        <v>6</v>
      </c>
      <c r="BM208" s="447" t="s">
        <v>64</v>
      </c>
      <c r="BN208" s="512" t="s">
        <v>102</v>
      </c>
      <c r="BO208" s="423" t="s">
        <v>2747</v>
      </c>
      <c r="BP208" s="513"/>
      <c r="BQ208" s="514" t="str">
        <f t="shared" si="227"/>
        <v>1FP</v>
      </c>
    </row>
    <row r="209" spans="1:69" ht="19.95" customHeight="1">
      <c r="A209" s="422" t="s">
        <v>1191</v>
      </c>
      <c r="B209" s="423" t="s">
        <v>1170</v>
      </c>
      <c r="C209" s="424">
        <v>8</v>
      </c>
      <c r="D209" s="424" t="s">
        <v>2276</v>
      </c>
      <c r="E209" s="424" t="s">
        <v>2277</v>
      </c>
      <c r="F209" s="424" t="s">
        <v>2278</v>
      </c>
      <c r="G209" s="424" t="s">
        <v>2279</v>
      </c>
      <c r="H209" s="305" t="s">
        <v>2382</v>
      </c>
      <c r="I209" s="422" t="s">
        <v>2383</v>
      </c>
      <c r="J209" s="421" t="str">
        <f t="shared" si="206"/>
        <v>ADAS2I</v>
      </c>
      <c r="K209" s="421" t="str">
        <f t="shared" si="207"/>
        <v>ADAS2IM</v>
      </c>
      <c r="L209" s="447" t="str">
        <f t="shared" si="208"/>
        <v>IM</v>
      </c>
      <c r="M209" s="932">
        <v>1</v>
      </c>
      <c r="N209" s="932">
        <v>1</v>
      </c>
      <c r="O209" s="932">
        <v>1</v>
      </c>
      <c r="P209" s="932">
        <v>1</v>
      </c>
      <c r="Q209" s="940"/>
      <c r="R209" s="940"/>
      <c r="S209" s="940"/>
      <c r="T209" s="940"/>
      <c r="U209" s="940"/>
      <c r="V209" s="940"/>
      <c r="W209" s="940"/>
      <c r="X209" s="948"/>
      <c r="Y209" s="948"/>
      <c r="Z209" s="948"/>
      <c r="AA209" s="948"/>
      <c r="AB209" s="948"/>
      <c r="AC209" s="948"/>
      <c r="AD209" s="616"/>
      <c r="AE209" s="616"/>
      <c r="AF209" s="616"/>
      <c r="AG209" s="616"/>
      <c r="AH209" s="448">
        <f t="shared" si="187"/>
        <v>201096</v>
      </c>
      <c r="AI209" s="449">
        <f t="shared" si="188"/>
        <v>214176</v>
      </c>
      <c r="AJ209" s="450">
        <v>8</v>
      </c>
      <c r="AK209" s="452" t="s">
        <v>53</v>
      </c>
      <c r="AL209" s="447" t="s">
        <v>54</v>
      </c>
      <c r="AM209" s="447" t="s">
        <v>81</v>
      </c>
      <c r="AN209" s="447">
        <v>310100100001000</v>
      </c>
      <c r="AO209" s="306" t="s">
        <v>174</v>
      </c>
      <c r="AP209" s="306" t="s">
        <v>2404</v>
      </c>
      <c r="AQ209" s="306" t="s">
        <v>2447</v>
      </c>
      <c r="AR209" s="305" t="s">
        <v>1186</v>
      </c>
      <c r="AS209" s="305" t="s">
        <v>1187</v>
      </c>
      <c r="AT209" s="305" t="s">
        <v>1908</v>
      </c>
      <c r="AU209" s="306" t="str">
        <f t="shared" si="209"/>
        <v>B</v>
      </c>
      <c r="AV209" s="306" t="str">
        <f t="shared" si="210"/>
        <v>Dennis B. Alcayna</v>
      </c>
      <c r="AW209" s="306" t="str">
        <f t="shared" si="221"/>
        <v>ALCAYNA, Dennis Bantiyan</v>
      </c>
      <c r="AX209" s="305" t="s">
        <v>174</v>
      </c>
      <c r="AY209" s="424" t="s">
        <v>62</v>
      </c>
      <c r="AZ209" s="472">
        <v>22725</v>
      </c>
      <c r="BA209" s="101">
        <f t="shared" ca="1" si="190"/>
        <v>64</v>
      </c>
      <c r="BB209" s="492" t="str">
        <f t="shared" ca="1" si="191"/>
        <v>E</v>
      </c>
      <c r="BC209" s="492" t="str">
        <f t="shared" ca="1" si="211"/>
        <v>IE</v>
      </c>
      <c r="BD209" s="492" t="str">
        <f t="shared" ca="1" si="212"/>
        <v>IEM</v>
      </c>
      <c r="BE209" s="492" t="str">
        <f t="shared" ca="1" si="185"/>
        <v>ADAS2IEM</v>
      </c>
      <c r="BF209" s="424" t="s">
        <v>1189</v>
      </c>
      <c r="BG209" s="495">
        <v>31049</v>
      </c>
      <c r="BH209" s="535">
        <v>32580</v>
      </c>
      <c r="BI209" s="447">
        <f t="shared" ca="1" si="192"/>
        <v>41</v>
      </c>
      <c r="BJ209" s="447">
        <f t="shared" ca="1" si="213"/>
        <v>37</v>
      </c>
      <c r="BK209" s="495">
        <v>32580</v>
      </c>
      <c r="BL209" s="447">
        <f t="shared" ca="1" si="193"/>
        <v>37</v>
      </c>
      <c r="BM209" s="424" t="s">
        <v>64</v>
      </c>
      <c r="BN209" s="516" t="s">
        <v>215</v>
      </c>
      <c r="BO209" s="423" t="s">
        <v>2724</v>
      </c>
      <c r="BP209" s="513"/>
      <c r="BQ209" s="514" t="str">
        <f t="shared" si="227"/>
        <v>1MP</v>
      </c>
    </row>
    <row r="210" spans="1:69" ht="19.95" customHeight="1">
      <c r="A210" s="422" t="s">
        <v>1194</v>
      </c>
      <c r="B210" s="423" t="s">
        <v>1170</v>
      </c>
      <c r="C210" s="424">
        <v>8</v>
      </c>
      <c r="D210" s="424" t="s">
        <v>2276</v>
      </c>
      <c r="E210" s="424" t="s">
        <v>2277</v>
      </c>
      <c r="F210" s="424" t="s">
        <v>2278</v>
      </c>
      <c r="G210" s="424" t="s">
        <v>2279</v>
      </c>
      <c r="H210" s="305" t="s">
        <v>2386</v>
      </c>
      <c r="I210" s="422" t="s">
        <v>2383</v>
      </c>
      <c r="J210" s="421" t="str">
        <f t="shared" si="206"/>
        <v>ADAS2MP</v>
      </c>
      <c r="K210" s="421" t="str">
        <f t="shared" si="207"/>
        <v>ADAS2MPF</v>
      </c>
      <c r="L210" s="447" t="str">
        <f t="shared" si="208"/>
        <v>MPF</v>
      </c>
      <c r="M210" s="932">
        <v>1</v>
      </c>
      <c r="N210" s="932">
        <v>1</v>
      </c>
      <c r="O210" s="932">
        <v>1</v>
      </c>
      <c r="P210" s="932">
        <v>1</v>
      </c>
      <c r="Q210" s="940"/>
      <c r="R210" s="940"/>
      <c r="S210" s="940"/>
      <c r="T210" s="940"/>
      <c r="U210" s="940"/>
      <c r="V210" s="940"/>
      <c r="W210" s="940"/>
      <c r="X210" s="948"/>
      <c r="Y210" s="948"/>
      <c r="Z210" s="948"/>
      <c r="AA210" s="948"/>
      <c r="AB210" s="948"/>
      <c r="AC210" s="948"/>
      <c r="AD210" s="616"/>
      <c r="AE210" s="616"/>
      <c r="AF210" s="616"/>
      <c r="AG210" s="616"/>
      <c r="AH210" s="448">
        <f t="shared" si="187"/>
        <v>201096</v>
      </c>
      <c r="AI210" s="449">
        <f t="shared" si="188"/>
        <v>212256</v>
      </c>
      <c r="AJ210" s="450">
        <v>7</v>
      </c>
      <c r="AK210" s="452" t="s">
        <v>197</v>
      </c>
      <c r="AL210" s="447" t="s">
        <v>64</v>
      </c>
      <c r="AM210" s="447" t="s">
        <v>81</v>
      </c>
      <c r="AN210" s="447">
        <v>310100100001000</v>
      </c>
      <c r="AO210" s="305" t="s">
        <v>268</v>
      </c>
      <c r="AP210" s="306" t="s">
        <v>2404</v>
      </c>
      <c r="AQ210" s="306" t="s">
        <v>2613</v>
      </c>
      <c r="AR210" s="306" t="s">
        <v>1195</v>
      </c>
      <c r="AS210" s="306" t="s">
        <v>1196</v>
      </c>
      <c r="AT210" s="306" t="s">
        <v>1951</v>
      </c>
      <c r="AU210" s="306" t="str">
        <f t="shared" si="209"/>
        <v>K</v>
      </c>
      <c r="AV210" s="306" t="str">
        <f t="shared" si="210"/>
        <v>Marilyn K. Tami-Ing</v>
      </c>
      <c r="AW210" s="306" t="str">
        <f t="shared" si="221"/>
        <v>TAMI-ING, Marilyn Kilayon</v>
      </c>
      <c r="AX210" s="305" t="s">
        <v>268</v>
      </c>
      <c r="AY210" s="447" t="s">
        <v>100</v>
      </c>
      <c r="AZ210" s="472">
        <v>23642</v>
      </c>
      <c r="BA210" s="101">
        <f t="shared" ca="1" si="190"/>
        <v>61</v>
      </c>
      <c r="BB210" s="492" t="str">
        <f t="shared" ca="1" si="191"/>
        <v>E</v>
      </c>
      <c r="BC210" s="492" t="str">
        <f t="shared" ca="1" si="211"/>
        <v>MPE</v>
      </c>
      <c r="BD210" s="492" t="str">
        <f t="shared" ca="1" si="212"/>
        <v>MPEF</v>
      </c>
      <c r="BE210" s="492" t="str">
        <f t="shared" ca="1" si="185"/>
        <v>ADAS2MPEF</v>
      </c>
      <c r="BF210" s="447" t="s">
        <v>2614</v>
      </c>
      <c r="BG210" s="493">
        <v>35066</v>
      </c>
      <c r="BH210" s="493">
        <v>35066</v>
      </c>
      <c r="BI210" s="447">
        <f t="shared" ca="1" si="192"/>
        <v>30</v>
      </c>
      <c r="BJ210" s="447">
        <f t="shared" ca="1" si="213"/>
        <v>30</v>
      </c>
      <c r="BK210" s="493">
        <v>36084</v>
      </c>
      <c r="BL210" s="447">
        <f t="shared" ca="1" si="193"/>
        <v>27</v>
      </c>
      <c r="BM210" s="447" t="s">
        <v>64</v>
      </c>
      <c r="BN210" s="512" t="s">
        <v>215</v>
      </c>
      <c r="BO210" s="423" t="s">
        <v>2273</v>
      </c>
      <c r="BP210" s="513"/>
      <c r="BQ210" s="514" t="str">
        <f t="shared" si="227"/>
        <v>1FP</v>
      </c>
    </row>
    <row r="211" spans="1:69" ht="19.95" customHeight="1">
      <c r="A211" s="422" t="s">
        <v>1201</v>
      </c>
      <c r="B211" s="423" t="s">
        <v>1170</v>
      </c>
      <c r="C211" s="424">
        <v>8</v>
      </c>
      <c r="D211" s="424" t="s">
        <v>2276</v>
      </c>
      <c r="E211" s="424" t="s">
        <v>2277</v>
      </c>
      <c r="F211" s="424" t="s">
        <v>2278</v>
      </c>
      <c r="G211" s="424" t="s">
        <v>2279</v>
      </c>
      <c r="H211" s="305" t="s">
        <v>2386</v>
      </c>
      <c r="I211" s="422" t="s">
        <v>2383</v>
      </c>
      <c r="J211" s="421" t="str">
        <f t="shared" si="206"/>
        <v>ADAS2Ab</v>
      </c>
      <c r="K211" s="421" t="str">
        <f t="shared" si="207"/>
        <v>ADAS2AbF</v>
      </c>
      <c r="L211" s="447" t="str">
        <f t="shared" si="208"/>
        <v>AbF</v>
      </c>
      <c r="M211" s="932">
        <v>1</v>
      </c>
      <c r="N211" s="932">
        <v>1</v>
      </c>
      <c r="O211" s="932">
        <v>1</v>
      </c>
      <c r="P211" s="932">
        <v>1</v>
      </c>
      <c r="Q211" s="940"/>
      <c r="R211" s="940"/>
      <c r="S211" s="940"/>
      <c r="T211" s="940"/>
      <c r="U211" s="940"/>
      <c r="V211" s="940"/>
      <c r="W211" s="940"/>
      <c r="X211" s="948"/>
      <c r="Y211" s="948"/>
      <c r="Z211" s="948"/>
      <c r="AA211" s="948"/>
      <c r="AB211" s="948"/>
      <c r="AC211" s="948"/>
      <c r="AD211" s="616"/>
      <c r="AE211" s="616"/>
      <c r="AF211" s="616"/>
      <c r="AG211" s="616"/>
      <c r="AH211" s="448">
        <f t="shared" si="187"/>
        <v>201096</v>
      </c>
      <c r="AI211" s="449">
        <f t="shared" si="188"/>
        <v>214176</v>
      </c>
      <c r="AJ211" s="450">
        <v>8</v>
      </c>
      <c r="AK211" s="452" t="s">
        <v>465</v>
      </c>
      <c r="AL211" s="447" t="s">
        <v>64</v>
      </c>
      <c r="AM211" s="447" t="s">
        <v>81</v>
      </c>
      <c r="AN211" s="447">
        <v>310100100001000</v>
      </c>
      <c r="AO211" s="305" t="s">
        <v>408</v>
      </c>
      <c r="AP211" s="305" t="s">
        <v>2404</v>
      </c>
      <c r="AQ211" s="306" t="s">
        <v>408</v>
      </c>
      <c r="AR211" s="306" t="s">
        <v>1202</v>
      </c>
      <c r="AS211" s="306" t="s">
        <v>1203</v>
      </c>
      <c r="AT211" s="306" t="s">
        <v>1917</v>
      </c>
      <c r="AU211" s="306" t="str">
        <f t="shared" si="209"/>
        <v>Q</v>
      </c>
      <c r="AV211" s="306" t="str">
        <f t="shared" si="210"/>
        <v>Ruby Q. Pacamo</v>
      </c>
      <c r="AW211" s="306" t="str">
        <f t="shared" si="221"/>
        <v>PACAMO, Ruby Quemerista</v>
      </c>
      <c r="AX211" s="305" t="s">
        <v>408</v>
      </c>
      <c r="AY211" s="447" t="s">
        <v>100</v>
      </c>
      <c r="AZ211" s="472">
        <v>23478</v>
      </c>
      <c r="BA211" s="101">
        <f t="shared" ca="1" si="190"/>
        <v>61</v>
      </c>
      <c r="BB211" s="492" t="str">
        <f t="shared" ca="1" si="191"/>
        <v>E</v>
      </c>
      <c r="BC211" s="492" t="str">
        <f t="shared" ca="1" si="211"/>
        <v>AbE</v>
      </c>
      <c r="BD211" s="492" t="str">
        <f t="shared" ca="1" si="212"/>
        <v>AbEF</v>
      </c>
      <c r="BE211" s="492" t="str">
        <f t="shared" ca="1" si="185"/>
        <v>ADAS2AbEF</v>
      </c>
      <c r="BF211" s="447" t="s">
        <v>1206</v>
      </c>
      <c r="BG211" s="493">
        <v>33484</v>
      </c>
      <c r="BH211" s="493">
        <v>33484</v>
      </c>
      <c r="BI211" s="447">
        <f t="shared" ca="1" si="192"/>
        <v>34</v>
      </c>
      <c r="BJ211" s="447">
        <f t="shared" ca="1" si="213"/>
        <v>34</v>
      </c>
      <c r="BK211" s="493">
        <v>33484</v>
      </c>
      <c r="BL211" s="447">
        <f t="shared" ca="1" si="193"/>
        <v>34</v>
      </c>
      <c r="BM211" s="447" t="s">
        <v>64</v>
      </c>
      <c r="BN211" s="512" t="s">
        <v>215</v>
      </c>
      <c r="BO211" s="423" t="s">
        <v>2730</v>
      </c>
      <c r="BP211" s="513"/>
      <c r="BQ211" s="514" t="str">
        <f t="shared" si="227"/>
        <v>1FP</v>
      </c>
    </row>
    <row r="212" spans="1:69" ht="19.95" customHeight="1">
      <c r="A212" s="422" t="s">
        <v>1208</v>
      </c>
      <c r="B212" s="423" t="s">
        <v>1170</v>
      </c>
      <c r="C212" s="424">
        <v>8</v>
      </c>
      <c r="D212" s="424" t="s">
        <v>2276</v>
      </c>
      <c r="E212" s="424" t="s">
        <v>2277</v>
      </c>
      <c r="F212" s="424" t="s">
        <v>2278</v>
      </c>
      <c r="G212" s="424" t="s">
        <v>2279</v>
      </c>
      <c r="H212" s="305" t="s">
        <v>2386</v>
      </c>
      <c r="I212" s="422" t="s">
        <v>2383</v>
      </c>
      <c r="J212" s="421" t="str">
        <f t="shared" si="206"/>
        <v>ADAS2B</v>
      </c>
      <c r="K212" s="421" t="str">
        <f t="shared" si="207"/>
        <v>ADAS2BF</v>
      </c>
      <c r="L212" s="447" t="str">
        <f t="shared" si="208"/>
        <v>BF</v>
      </c>
      <c r="M212" s="932">
        <v>1</v>
      </c>
      <c r="N212" s="932">
        <v>1</v>
      </c>
      <c r="O212" s="932">
        <v>1</v>
      </c>
      <c r="P212" s="932">
        <v>1</v>
      </c>
      <c r="Q212" s="940"/>
      <c r="R212" s="940"/>
      <c r="S212" s="940"/>
      <c r="T212" s="940"/>
      <c r="U212" s="940"/>
      <c r="V212" s="940"/>
      <c r="W212" s="940"/>
      <c r="X212" s="948"/>
      <c r="Y212" s="948"/>
      <c r="Z212" s="948"/>
      <c r="AA212" s="948"/>
      <c r="AB212" s="948"/>
      <c r="AC212" s="948"/>
      <c r="AD212" s="616"/>
      <c r="AE212" s="616"/>
      <c r="AF212" s="616"/>
      <c r="AG212" s="616"/>
      <c r="AH212" s="448">
        <f t="shared" si="187"/>
        <v>201096</v>
      </c>
      <c r="AI212" s="449">
        <f t="shared" si="188"/>
        <v>214176</v>
      </c>
      <c r="AJ212" s="450">
        <v>8</v>
      </c>
      <c r="AK212" s="452" t="s">
        <v>197</v>
      </c>
      <c r="AL212" s="447" t="s">
        <v>64</v>
      </c>
      <c r="AM212" s="447" t="s">
        <v>81</v>
      </c>
      <c r="AN212" s="447">
        <v>310100100001000</v>
      </c>
      <c r="AO212" s="305" t="s">
        <v>167</v>
      </c>
      <c r="AP212" s="306" t="s">
        <v>2404</v>
      </c>
      <c r="AQ212" s="306" t="s">
        <v>167</v>
      </c>
      <c r="AR212" s="306" t="s">
        <v>1209</v>
      </c>
      <c r="AS212" s="306" t="s">
        <v>1210</v>
      </c>
      <c r="AT212" s="306" t="s">
        <v>1920</v>
      </c>
      <c r="AU212" s="306" t="str">
        <f t="shared" si="209"/>
        <v>A</v>
      </c>
      <c r="AV212" s="306" t="str">
        <f t="shared" si="210"/>
        <v>Dominga A. Vicente</v>
      </c>
      <c r="AW212" s="306" t="str">
        <f t="shared" si="221"/>
        <v>VICENTE, Dominga Aglano</v>
      </c>
      <c r="AX212" s="305" t="s">
        <v>167</v>
      </c>
      <c r="AY212" s="447" t="s">
        <v>100</v>
      </c>
      <c r="AZ212" s="472">
        <v>25047</v>
      </c>
      <c r="BA212" s="101">
        <f t="shared" ca="1" si="190"/>
        <v>57</v>
      </c>
      <c r="BB212" s="492" t="str">
        <f t="shared" ca="1" si="191"/>
        <v>D</v>
      </c>
      <c r="BC212" s="492" t="str">
        <f t="shared" ca="1" si="211"/>
        <v>BD</v>
      </c>
      <c r="BD212" s="492" t="str">
        <f t="shared" ca="1" si="212"/>
        <v>BDF</v>
      </c>
      <c r="BE212" s="492" t="str">
        <f t="shared" ref="BE212:BE240" ca="1" si="228">CONCATENATE(I212,BD212)</f>
        <v>ADAS2BDF</v>
      </c>
      <c r="BF212" s="447" t="s">
        <v>1212</v>
      </c>
      <c r="BG212" s="493">
        <v>33039</v>
      </c>
      <c r="BH212" s="493">
        <v>33039</v>
      </c>
      <c r="BI212" s="447">
        <f t="shared" ca="1" si="192"/>
        <v>35</v>
      </c>
      <c r="BJ212" s="447">
        <f t="shared" ca="1" si="213"/>
        <v>35</v>
      </c>
      <c r="BK212" s="493">
        <v>35096</v>
      </c>
      <c r="BL212" s="447">
        <f t="shared" ca="1" si="193"/>
        <v>30</v>
      </c>
      <c r="BM212" s="447" t="s">
        <v>64</v>
      </c>
      <c r="BN212" s="512" t="s">
        <v>102</v>
      </c>
      <c r="BO212" s="423" t="s">
        <v>2758</v>
      </c>
      <c r="BP212" s="513"/>
      <c r="BQ212" s="514" t="str">
        <f t="shared" si="227"/>
        <v>1FP</v>
      </c>
    </row>
    <row r="213" spans="1:69" ht="19.95" customHeight="1">
      <c r="A213" s="422" t="s">
        <v>1213</v>
      </c>
      <c r="B213" s="423" t="s">
        <v>1170</v>
      </c>
      <c r="C213" s="424">
        <v>8</v>
      </c>
      <c r="D213" s="424" t="s">
        <v>2276</v>
      </c>
      <c r="E213" s="424" t="s">
        <v>2277</v>
      </c>
      <c r="F213" s="424" t="s">
        <v>2278</v>
      </c>
      <c r="G213" s="424" t="s">
        <v>2279</v>
      </c>
      <c r="H213" s="305" t="s">
        <v>2382</v>
      </c>
      <c r="I213" s="422" t="s">
        <v>2383</v>
      </c>
      <c r="J213" s="421" t="str">
        <f t="shared" si="206"/>
        <v>ADAS2K</v>
      </c>
      <c r="K213" s="421" t="str">
        <f t="shared" si="207"/>
        <v>ADAS2KF</v>
      </c>
      <c r="L213" s="447" t="str">
        <f t="shared" si="208"/>
        <v>KF</v>
      </c>
      <c r="M213" s="932">
        <v>1</v>
      </c>
      <c r="N213" s="932">
        <v>1</v>
      </c>
      <c r="O213" s="932">
        <v>1</v>
      </c>
      <c r="P213" s="932">
        <v>1</v>
      </c>
      <c r="Q213" s="940"/>
      <c r="R213" s="940"/>
      <c r="S213" s="940"/>
      <c r="T213" s="940"/>
      <c r="U213" s="940"/>
      <c r="V213" s="940"/>
      <c r="W213" s="940"/>
      <c r="X213" s="948"/>
      <c r="Y213" s="948"/>
      <c r="Z213" s="948"/>
      <c r="AA213" s="948"/>
      <c r="AB213" s="948"/>
      <c r="AC213" s="948"/>
      <c r="AD213" s="616"/>
      <c r="AE213" s="616"/>
      <c r="AF213" s="616"/>
      <c r="AG213" s="616"/>
      <c r="AH213" s="448">
        <f t="shared" ref="AH213:AH231" si="229">VLOOKUP(C213,idica,2,FALSE)*12</f>
        <v>201096</v>
      </c>
      <c r="AI213" s="449">
        <f t="shared" ref="AI213:AI231" si="230">(SUMPRODUCT((norman=C213)*(grace=AJ213)*(barnachea)))*12</f>
        <v>201096</v>
      </c>
      <c r="AJ213" s="450">
        <v>1</v>
      </c>
      <c r="AK213" s="452" t="s">
        <v>352</v>
      </c>
      <c r="AL213" s="447" t="s">
        <v>64</v>
      </c>
      <c r="AM213" s="447" t="s">
        <v>81</v>
      </c>
      <c r="AN213" s="447">
        <v>310100100001000</v>
      </c>
      <c r="AO213" s="305" t="s">
        <v>211</v>
      </c>
      <c r="AP213" s="306" t="s">
        <v>2404</v>
      </c>
      <c r="AQ213" s="306" t="s">
        <v>268</v>
      </c>
      <c r="AR213" s="306" t="s">
        <v>2173</v>
      </c>
      <c r="AS213" s="306" t="s">
        <v>2615</v>
      </c>
      <c r="AT213" s="306" t="s">
        <v>2174</v>
      </c>
      <c r="AU213" s="306" t="str">
        <f t="shared" si="209"/>
        <v>L</v>
      </c>
      <c r="AV213" s="306" t="str">
        <f t="shared" si="210"/>
        <v>Unice L. Killia-En</v>
      </c>
      <c r="AW213" s="306" t="str">
        <f t="shared" si="221"/>
        <v>KILLIA-EN, Unice Lipawen</v>
      </c>
      <c r="AX213" s="305" t="s">
        <v>211</v>
      </c>
      <c r="AY213" s="447" t="s">
        <v>100</v>
      </c>
      <c r="AZ213" s="472">
        <v>34570</v>
      </c>
      <c r="BA213" s="101">
        <f t="shared" ref="BA213:BA231" ca="1" si="231">DATEDIF(AZ213,TODAY(),"Y")</f>
        <v>31</v>
      </c>
      <c r="BB213" s="492" t="str">
        <f t="shared" ref="BB213:BB231" ca="1" si="232">IF(BA213&lt;30,"A",IF(BA213&lt;40,"B",IF(BA213&lt;50,"C",IF(BA213&lt;60,"D",IF(BA213&lt;65,"E","VACANT")))))</f>
        <v>B</v>
      </c>
      <c r="BC213" s="492" t="str">
        <f t="shared" ca="1" si="211"/>
        <v>KB</v>
      </c>
      <c r="BD213" s="492" t="str">
        <f t="shared" ca="1" si="212"/>
        <v>KBF</v>
      </c>
      <c r="BE213" s="492" t="str">
        <f t="shared" ca="1" si="228"/>
        <v>ADAS2KBF</v>
      </c>
      <c r="BF213" s="447" t="s">
        <v>2616</v>
      </c>
      <c r="BG213" s="493">
        <v>43544</v>
      </c>
      <c r="BH213" s="494"/>
      <c r="BI213" s="447">
        <f t="shared" ref="BI213:BI231" ca="1" si="233">DATEDIF(BG213,TODAY(),"Y")</f>
        <v>7</v>
      </c>
      <c r="BJ213" s="447">
        <f t="shared" ca="1" si="213"/>
        <v>126</v>
      </c>
      <c r="BK213" s="493">
        <v>43544</v>
      </c>
      <c r="BL213" s="447">
        <f t="shared" ref="BL213:BL231" ca="1" si="234">DATEDIF(BK213,TODAY(),"Y")</f>
        <v>7</v>
      </c>
      <c r="BM213" s="447" t="s">
        <v>64</v>
      </c>
      <c r="BN213" s="512" t="s">
        <v>2617</v>
      </c>
      <c r="BO213" s="423" t="s">
        <v>3391</v>
      </c>
      <c r="BP213" s="513"/>
      <c r="BQ213" s="514" t="str">
        <f t="shared" si="227"/>
        <v>1FP</v>
      </c>
    </row>
    <row r="214" spans="1:69" ht="19.95" customHeight="1">
      <c r="A214" s="422" t="s">
        <v>1218</v>
      </c>
      <c r="B214" s="423" t="s">
        <v>1170</v>
      </c>
      <c r="C214" s="424">
        <v>8</v>
      </c>
      <c r="D214" s="424" t="s">
        <v>2276</v>
      </c>
      <c r="E214" s="424" t="s">
        <v>2277</v>
      </c>
      <c r="F214" s="424" t="s">
        <v>2278</v>
      </c>
      <c r="G214" s="424" t="s">
        <v>2279</v>
      </c>
      <c r="H214" s="305" t="s">
        <v>2386</v>
      </c>
      <c r="I214" s="422" t="s">
        <v>2383</v>
      </c>
      <c r="J214" s="421" t="str">
        <f t="shared" si="206"/>
        <v>ADAS2I</v>
      </c>
      <c r="K214" s="421" t="str">
        <f t="shared" si="207"/>
        <v>ADAS2IF</v>
      </c>
      <c r="L214" s="447" t="str">
        <f t="shared" si="208"/>
        <v>IF</v>
      </c>
      <c r="M214" s="932">
        <v>1</v>
      </c>
      <c r="N214" s="932">
        <v>1</v>
      </c>
      <c r="O214" s="932">
        <v>1</v>
      </c>
      <c r="P214" s="932">
        <v>1</v>
      </c>
      <c r="Q214" s="940"/>
      <c r="R214" s="940"/>
      <c r="S214" s="940"/>
      <c r="T214" s="940"/>
      <c r="U214" s="940"/>
      <c r="V214" s="940"/>
      <c r="W214" s="940"/>
      <c r="X214" s="948"/>
      <c r="Y214" s="948"/>
      <c r="Z214" s="948"/>
      <c r="AA214" s="948"/>
      <c r="AB214" s="948"/>
      <c r="AC214" s="948"/>
      <c r="AD214" s="616"/>
      <c r="AE214" s="616"/>
      <c r="AF214" s="616"/>
      <c r="AG214" s="616"/>
      <c r="AH214" s="448">
        <f t="shared" si="229"/>
        <v>201096</v>
      </c>
      <c r="AI214" s="449">
        <f t="shared" si="230"/>
        <v>214176</v>
      </c>
      <c r="AJ214" s="450">
        <v>8</v>
      </c>
      <c r="AK214" s="452" t="s">
        <v>487</v>
      </c>
      <c r="AL214" s="447" t="s">
        <v>64</v>
      </c>
      <c r="AM214" s="447" t="s">
        <v>81</v>
      </c>
      <c r="AN214" s="447">
        <v>310100100001000</v>
      </c>
      <c r="AO214" s="306" t="s">
        <v>174</v>
      </c>
      <c r="AP214" s="306" t="s">
        <v>2404</v>
      </c>
      <c r="AQ214" s="306" t="s">
        <v>174</v>
      </c>
      <c r="AR214" s="305" t="s">
        <v>1219</v>
      </c>
      <c r="AS214" s="305" t="s">
        <v>1220</v>
      </c>
      <c r="AT214" s="305" t="s">
        <v>1911</v>
      </c>
      <c r="AU214" s="306" t="str">
        <f t="shared" si="209"/>
        <v>B</v>
      </c>
      <c r="AV214" s="306" t="str">
        <f t="shared" si="210"/>
        <v>Rosemarie B. Bintudan</v>
      </c>
      <c r="AW214" s="306" t="str">
        <f t="shared" si="221"/>
        <v>BINTUDAN, Rosemarie Bumidang</v>
      </c>
      <c r="AX214" s="305" t="s">
        <v>174</v>
      </c>
      <c r="AY214" s="447" t="s">
        <v>100</v>
      </c>
      <c r="AZ214" s="472">
        <v>22138</v>
      </c>
      <c r="BA214" s="101">
        <f t="shared" ca="1" si="231"/>
        <v>65</v>
      </c>
      <c r="BB214" s="492" t="str">
        <f t="shared" ca="1" si="232"/>
        <v>VACANT</v>
      </c>
      <c r="BC214" s="492" t="str">
        <f t="shared" ca="1" si="211"/>
        <v>VACANT</v>
      </c>
      <c r="BD214" s="492" t="str">
        <f t="shared" ca="1" si="212"/>
        <v>VACANTF</v>
      </c>
      <c r="BE214" s="492" t="str">
        <f t="shared" ca="1" si="228"/>
        <v>ADAS2VACANTF</v>
      </c>
      <c r="BF214" s="447" t="s">
        <v>1222</v>
      </c>
      <c r="BG214" s="493">
        <v>30926</v>
      </c>
      <c r="BH214" s="494">
        <v>32567</v>
      </c>
      <c r="BI214" s="447">
        <f t="shared" ca="1" si="233"/>
        <v>41</v>
      </c>
      <c r="BJ214" s="447">
        <f t="shared" ca="1" si="213"/>
        <v>37</v>
      </c>
      <c r="BK214" s="493">
        <v>35643</v>
      </c>
      <c r="BL214" s="447">
        <f t="shared" ca="1" si="234"/>
        <v>28</v>
      </c>
      <c r="BM214" s="447" t="s">
        <v>64</v>
      </c>
      <c r="BN214" s="512" t="s">
        <v>215</v>
      </c>
      <c r="BO214" s="423" t="s">
        <v>2758</v>
      </c>
      <c r="BP214" s="513"/>
      <c r="BQ214" s="514" t="str">
        <f t="shared" si="227"/>
        <v>1FP</v>
      </c>
    </row>
    <row r="215" spans="1:69" ht="19.95" customHeight="1">
      <c r="A215" s="422" t="s">
        <v>1223</v>
      </c>
      <c r="B215" s="423" t="s">
        <v>1170</v>
      </c>
      <c r="C215" s="424">
        <v>8</v>
      </c>
      <c r="D215" s="424" t="s">
        <v>2276</v>
      </c>
      <c r="E215" s="424" t="s">
        <v>2277</v>
      </c>
      <c r="F215" s="424" t="s">
        <v>2278</v>
      </c>
      <c r="G215" s="424" t="s">
        <v>2279</v>
      </c>
      <c r="H215" s="305" t="s">
        <v>2386</v>
      </c>
      <c r="I215" s="422" t="s">
        <v>2383</v>
      </c>
      <c r="J215" s="421" t="str">
        <f t="shared" si="206"/>
        <v>ADAS2K</v>
      </c>
      <c r="K215" s="421" t="str">
        <f t="shared" si="207"/>
        <v>ADAS2KF</v>
      </c>
      <c r="L215" s="447" t="str">
        <f t="shared" si="208"/>
        <v>KF</v>
      </c>
      <c r="M215" s="932">
        <v>1</v>
      </c>
      <c r="N215" s="932">
        <v>1</v>
      </c>
      <c r="O215" s="932">
        <v>1</v>
      </c>
      <c r="P215" s="932">
        <v>1</v>
      </c>
      <c r="Q215" s="940"/>
      <c r="R215" s="940"/>
      <c r="S215" s="940"/>
      <c r="T215" s="940"/>
      <c r="U215" s="940"/>
      <c r="V215" s="940"/>
      <c r="W215" s="940"/>
      <c r="X215" s="948"/>
      <c r="Y215" s="948"/>
      <c r="Z215" s="948"/>
      <c r="AA215" s="948"/>
      <c r="AB215" s="948"/>
      <c r="AC215" s="948"/>
      <c r="AD215" s="616"/>
      <c r="AE215" s="616"/>
      <c r="AF215" s="616"/>
      <c r="AG215" s="616"/>
      <c r="AH215" s="448">
        <f t="shared" si="229"/>
        <v>201096</v>
      </c>
      <c r="AI215" s="449">
        <f t="shared" si="230"/>
        <v>202920</v>
      </c>
      <c r="AJ215" s="450">
        <v>2</v>
      </c>
      <c r="AK215" s="452" t="s">
        <v>494</v>
      </c>
      <c r="AL215" s="447" t="s">
        <v>64</v>
      </c>
      <c r="AM215" s="447" t="s">
        <v>81</v>
      </c>
      <c r="AN215" s="447">
        <v>310100100001000</v>
      </c>
      <c r="AO215" s="305" t="s">
        <v>211</v>
      </c>
      <c r="AP215" s="306" t="s">
        <v>2404</v>
      </c>
      <c r="AQ215" s="306" t="s">
        <v>211</v>
      </c>
      <c r="AR215" s="305" t="s">
        <v>2133</v>
      </c>
      <c r="AS215" s="305" t="s">
        <v>2618</v>
      </c>
      <c r="AT215" s="305" t="s">
        <v>2134</v>
      </c>
      <c r="AU215" s="306" t="str">
        <f t="shared" si="209"/>
        <v>I</v>
      </c>
      <c r="AV215" s="306" t="str">
        <f t="shared" si="210"/>
        <v>Michelle  I. Gallema</v>
      </c>
      <c r="AW215" s="306" t="str">
        <f t="shared" si="221"/>
        <v>GALLEMA, Michelle  Ignacio</v>
      </c>
      <c r="AX215" s="305" t="s">
        <v>211</v>
      </c>
      <c r="AY215" s="447" t="s">
        <v>100</v>
      </c>
      <c r="AZ215" s="472">
        <v>33442</v>
      </c>
      <c r="BA215" s="101">
        <f t="shared" ca="1" si="231"/>
        <v>34</v>
      </c>
      <c r="BB215" s="492" t="str">
        <f t="shared" ca="1" si="232"/>
        <v>B</v>
      </c>
      <c r="BC215" s="492" t="str">
        <f t="shared" ca="1" si="211"/>
        <v>KB</v>
      </c>
      <c r="BD215" s="492" t="str">
        <f t="shared" ca="1" si="212"/>
        <v>KBF</v>
      </c>
      <c r="BE215" s="492" t="str">
        <f t="shared" ca="1" si="228"/>
        <v>ADAS2KBF</v>
      </c>
      <c r="BF215" s="447" t="s">
        <v>2619</v>
      </c>
      <c r="BG215" s="493">
        <v>42289</v>
      </c>
      <c r="BH215" s="494">
        <v>42289</v>
      </c>
      <c r="BI215" s="447">
        <f t="shared" ca="1" si="233"/>
        <v>10</v>
      </c>
      <c r="BJ215" s="447">
        <f t="shared" ca="1" si="213"/>
        <v>10</v>
      </c>
      <c r="BK215" s="493">
        <v>42289</v>
      </c>
      <c r="BL215" s="447">
        <f t="shared" ca="1" si="234"/>
        <v>10</v>
      </c>
      <c r="BM215" s="447" t="s">
        <v>64</v>
      </c>
      <c r="BN215" s="512" t="s">
        <v>102</v>
      </c>
      <c r="BO215" s="423" t="s">
        <v>2312</v>
      </c>
      <c r="BP215" s="513"/>
      <c r="BQ215" s="514" t="str">
        <f t="shared" si="227"/>
        <v>1FP</v>
      </c>
    </row>
    <row r="216" spans="1:69" ht="19.95" customHeight="1">
      <c r="A216" s="422" t="s">
        <v>1228</v>
      </c>
      <c r="B216" s="423" t="s">
        <v>1170</v>
      </c>
      <c r="C216" s="424">
        <v>8</v>
      </c>
      <c r="D216" s="424" t="s">
        <v>2276</v>
      </c>
      <c r="E216" s="424" t="s">
        <v>2277</v>
      </c>
      <c r="F216" s="424" t="s">
        <v>2278</v>
      </c>
      <c r="G216" s="424" t="s">
        <v>2279</v>
      </c>
      <c r="H216" s="305" t="s">
        <v>2386</v>
      </c>
      <c r="I216" s="422" t="s">
        <v>2383</v>
      </c>
      <c r="J216" s="421" t="str">
        <f t="shared" si="206"/>
        <v>ADAS2Ap</v>
      </c>
      <c r="K216" s="421" t="str">
        <f t="shared" si="207"/>
        <v>ADAS2ApF</v>
      </c>
      <c r="L216" s="447" t="str">
        <f t="shared" si="208"/>
        <v>ApF</v>
      </c>
      <c r="M216" s="932">
        <v>1</v>
      </c>
      <c r="N216" s="932">
        <v>1</v>
      </c>
      <c r="O216" s="932">
        <v>1</v>
      </c>
      <c r="P216" s="932">
        <v>1</v>
      </c>
      <c r="Q216" s="940"/>
      <c r="R216" s="940"/>
      <c r="S216" s="940"/>
      <c r="T216" s="940"/>
      <c r="U216" s="940"/>
      <c r="V216" s="940"/>
      <c r="W216" s="940"/>
      <c r="X216" s="948"/>
      <c r="Y216" s="948"/>
      <c r="Z216" s="948"/>
      <c r="AA216" s="948"/>
      <c r="AB216" s="948"/>
      <c r="AC216" s="948"/>
      <c r="AD216" s="616"/>
      <c r="AE216" s="616"/>
      <c r="AF216" s="616"/>
      <c r="AG216" s="616"/>
      <c r="AH216" s="448">
        <f t="shared" si="229"/>
        <v>201096</v>
      </c>
      <c r="AI216" s="449">
        <f t="shared" si="230"/>
        <v>214176</v>
      </c>
      <c r="AJ216" s="450">
        <v>8</v>
      </c>
      <c r="AK216" s="452" t="s">
        <v>197</v>
      </c>
      <c r="AL216" s="447" t="s">
        <v>64</v>
      </c>
      <c r="AM216" s="447" t="s">
        <v>81</v>
      </c>
      <c r="AN216" s="447">
        <v>310100100001000</v>
      </c>
      <c r="AO216" s="305" t="s">
        <v>181</v>
      </c>
      <c r="AP216" s="306" t="s">
        <v>2404</v>
      </c>
      <c r="AQ216" s="306" t="s">
        <v>2605</v>
      </c>
      <c r="AR216" s="306" t="s">
        <v>1235</v>
      </c>
      <c r="AS216" s="306" t="s">
        <v>1236</v>
      </c>
      <c r="AT216" s="306" t="s">
        <v>1954</v>
      </c>
      <c r="AU216" s="306" t="str">
        <f t="shared" si="209"/>
        <v>B</v>
      </c>
      <c r="AV216" s="306" t="str">
        <f t="shared" si="210"/>
        <v>Judith B. Tamot</v>
      </c>
      <c r="AW216" s="306" t="str">
        <f t="shared" si="221"/>
        <v>TAMOT, Judith Bermejo</v>
      </c>
      <c r="AX216" s="305" t="s">
        <v>181</v>
      </c>
      <c r="AY216" s="447" t="s">
        <v>100</v>
      </c>
      <c r="AZ216" s="472">
        <v>23473</v>
      </c>
      <c r="BA216" s="101">
        <f t="shared" ca="1" si="231"/>
        <v>61</v>
      </c>
      <c r="BB216" s="492" t="str">
        <f t="shared" ca="1" si="232"/>
        <v>E</v>
      </c>
      <c r="BC216" s="492" t="str">
        <f t="shared" ca="1" si="211"/>
        <v>ApE</v>
      </c>
      <c r="BD216" s="492" t="str">
        <f t="shared" ca="1" si="212"/>
        <v>ApEF</v>
      </c>
      <c r="BE216" s="492" t="str">
        <f t="shared" ca="1" si="228"/>
        <v>ADAS2ApEF</v>
      </c>
      <c r="BF216" s="447" t="s">
        <v>2620</v>
      </c>
      <c r="BG216" s="493">
        <v>35254</v>
      </c>
      <c r="BH216" s="493">
        <v>35254</v>
      </c>
      <c r="BI216" s="447">
        <f t="shared" ca="1" si="233"/>
        <v>29</v>
      </c>
      <c r="BJ216" s="447">
        <f t="shared" ca="1" si="213"/>
        <v>29</v>
      </c>
      <c r="BK216" s="493">
        <v>35254</v>
      </c>
      <c r="BL216" s="447">
        <f t="shared" ca="1" si="234"/>
        <v>29</v>
      </c>
      <c r="BM216" s="447" t="s">
        <v>64</v>
      </c>
      <c r="BN216" s="512" t="s">
        <v>215</v>
      </c>
      <c r="BO216" s="423" t="s">
        <v>3420</v>
      </c>
      <c r="BP216" s="513"/>
      <c r="BQ216" s="514" t="str">
        <f t="shared" si="227"/>
        <v>1FP</v>
      </c>
    </row>
    <row r="217" spans="1:69" ht="19.95" customHeight="1">
      <c r="A217" s="422" t="s">
        <v>390</v>
      </c>
      <c r="B217" s="423" t="s">
        <v>273</v>
      </c>
      <c r="C217" s="424">
        <v>6</v>
      </c>
      <c r="D217" s="424" t="s">
        <v>2276</v>
      </c>
      <c r="E217" s="424" t="s">
        <v>265</v>
      </c>
      <c r="F217" s="424" t="s">
        <v>265</v>
      </c>
      <c r="G217" s="424" t="s">
        <v>2279</v>
      </c>
      <c r="H217" s="431" t="s">
        <v>2315</v>
      </c>
      <c r="I217" s="422" t="s">
        <v>2316</v>
      </c>
      <c r="J217" s="421" t="str">
        <f t="shared" si="206"/>
        <v>ADA6R</v>
      </c>
      <c r="K217" s="421" t="str">
        <f t="shared" si="207"/>
        <v>ADA6RF</v>
      </c>
      <c r="L217" s="447" t="str">
        <f t="shared" si="208"/>
        <v>RF</v>
      </c>
      <c r="M217" s="932">
        <v>1</v>
      </c>
      <c r="N217" s="932">
        <v>1</v>
      </c>
      <c r="O217" s="932">
        <v>1</v>
      </c>
      <c r="P217" s="932">
        <v>1</v>
      </c>
      <c r="Q217" s="940"/>
      <c r="R217" s="940"/>
      <c r="S217" s="940"/>
      <c r="T217" s="940"/>
      <c r="U217" s="940"/>
      <c r="V217" s="940"/>
      <c r="W217" s="940"/>
      <c r="X217" s="948"/>
      <c r="Y217" s="948"/>
      <c r="Z217" s="948"/>
      <c r="AA217" s="948"/>
      <c r="AB217" s="948"/>
      <c r="AC217" s="948"/>
      <c r="AD217" s="616"/>
      <c r="AE217" s="616"/>
      <c r="AF217" s="616"/>
      <c r="AG217" s="616"/>
      <c r="AH217" s="448">
        <f t="shared" si="229"/>
        <v>178164</v>
      </c>
      <c r="AI217" s="449">
        <f t="shared" si="230"/>
        <v>187968</v>
      </c>
      <c r="AJ217" s="450">
        <v>8</v>
      </c>
      <c r="AK217" s="452" t="s">
        <v>53</v>
      </c>
      <c r="AL217" s="447" t="s">
        <v>54</v>
      </c>
      <c r="AM217" s="447" t="s">
        <v>81</v>
      </c>
      <c r="AN217" s="447">
        <v>310100100001000</v>
      </c>
      <c r="AO217" s="306" t="s">
        <v>174</v>
      </c>
      <c r="AP217" s="306" t="s">
        <v>2404</v>
      </c>
      <c r="AQ217" s="306" t="s">
        <v>2442</v>
      </c>
      <c r="AR217" s="305" t="s">
        <v>385</v>
      </c>
      <c r="AS217" s="305" t="s">
        <v>2621</v>
      </c>
      <c r="AT217" s="305" t="s">
        <v>756</v>
      </c>
      <c r="AU217" s="306" t="str">
        <f t="shared" si="209"/>
        <v>P</v>
      </c>
      <c r="AV217" s="306" t="str">
        <f t="shared" si="210"/>
        <v>Katherine  P. Deduque</v>
      </c>
      <c r="AW217" s="306" t="str">
        <f t="shared" si="221"/>
        <v>DEDUQUE, Katherine  Pablo</v>
      </c>
      <c r="AX217" s="314" t="s">
        <v>57</v>
      </c>
      <c r="AY217" s="447" t="s">
        <v>100</v>
      </c>
      <c r="AZ217" s="472">
        <v>20640</v>
      </c>
      <c r="BA217" s="101">
        <f t="shared" ca="1" si="231"/>
        <v>69</v>
      </c>
      <c r="BB217" s="492" t="str">
        <f t="shared" ca="1" si="232"/>
        <v>VACANT</v>
      </c>
      <c r="BC217" s="492" t="str">
        <f t="shared" ca="1" si="211"/>
        <v>VACANT</v>
      </c>
      <c r="BD217" s="492" t="str">
        <f t="shared" ca="1" si="212"/>
        <v>VACANTF</v>
      </c>
      <c r="BE217" s="492" t="str">
        <f t="shared" ca="1" si="228"/>
        <v>ADA6VACANTF</v>
      </c>
      <c r="BF217" s="447" t="s">
        <v>388</v>
      </c>
      <c r="BG217" s="493">
        <v>27442</v>
      </c>
      <c r="BH217" s="493">
        <v>27442</v>
      </c>
      <c r="BI217" s="447">
        <f t="shared" ca="1" si="233"/>
        <v>51</v>
      </c>
      <c r="BJ217" s="447">
        <f t="shared" ca="1" si="213"/>
        <v>51</v>
      </c>
      <c r="BK217" s="493">
        <v>27442</v>
      </c>
      <c r="BL217" s="447">
        <f t="shared" ca="1" si="234"/>
        <v>51</v>
      </c>
      <c r="BM217" s="447" t="s">
        <v>64</v>
      </c>
      <c r="BN217" s="512" t="s">
        <v>138</v>
      </c>
      <c r="BO217" s="423" t="s">
        <v>2741</v>
      </c>
      <c r="BP217" s="513"/>
      <c r="BQ217" s="514" t="str">
        <f t="shared" si="227"/>
        <v>1FP</v>
      </c>
    </row>
    <row r="218" spans="1:69" ht="19.95" customHeight="1">
      <c r="A218" s="422" t="s">
        <v>1251</v>
      </c>
      <c r="B218" s="423" t="s">
        <v>273</v>
      </c>
      <c r="C218" s="424">
        <v>6</v>
      </c>
      <c r="D218" s="424" t="s">
        <v>2276</v>
      </c>
      <c r="E218" s="424" t="s">
        <v>265</v>
      </c>
      <c r="F218" s="424" t="s">
        <v>265</v>
      </c>
      <c r="G218" s="424" t="s">
        <v>2279</v>
      </c>
      <c r="H218" s="431" t="s">
        <v>2315</v>
      </c>
      <c r="I218" s="422" t="s">
        <v>2316</v>
      </c>
      <c r="J218" s="421" t="str">
        <f t="shared" si="206"/>
        <v>ADA6Ab</v>
      </c>
      <c r="K218" s="421" t="str">
        <f t="shared" si="207"/>
        <v>ADA6AbF</v>
      </c>
      <c r="L218" s="447" t="str">
        <f t="shared" si="208"/>
        <v>AbF</v>
      </c>
      <c r="M218" s="932">
        <v>1</v>
      </c>
      <c r="N218" s="932">
        <v>1</v>
      </c>
      <c r="O218" s="932">
        <v>1</v>
      </c>
      <c r="P218" s="932">
        <v>1</v>
      </c>
      <c r="Q218" s="940"/>
      <c r="R218" s="940"/>
      <c r="S218" s="940"/>
      <c r="T218" s="940"/>
      <c r="U218" s="940"/>
      <c r="V218" s="940"/>
      <c r="W218" s="940"/>
      <c r="X218" s="948"/>
      <c r="Y218" s="948"/>
      <c r="Z218" s="948"/>
      <c r="AA218" s="948"/>
      <c r="AB218" s="948"/>
      <c r="AC218" s="948"/>
      <c r="AD218" s="616"/>
      <c r="AE218" s="616"/>
      <c r="AF218" s="616"/>
      <c r="AG218" s="616"/>
      <c r="AH218" s="448">
        <f t="shared" si="229"/>
        <v>178164</v>
      </c>
      <c r="AI218" s="449">
        <f t="shared" si="230"/>
        <v>179532</v>
      </c>
      <c r="AJ218" s="450">
        <v>2</v>
      </c>
      <c r="AK218" s="452" t="s">
        <v>465</v>
      </c>
      <c r="AL218" s="447" t="s">
        <v>64</v>
      </c>
      <c r="AM218" s="447" t="s">
        <v>81</v>
      </c>
      <c r="AN218" s="447">
        <v>310100100001000</v>
      </c>
      <c r="AO218" s="305" t="s">
        <v>408</v>
      </c>
      <c r="AP218" s="305" t="s">
        <v>2404</v>
      </c>
      <c r="AQ218" s="306" t="s">
        <v>408</v>
      </c>
      <c r="AR218" s="306" t="s">
        <v>2143</v>
      </c>
      <c r="AS218" s="306" t="s">
        <v>2144</v>
      </c>
      <c r="AT218" s="306" t="s">
        <v>2145</v>
      </c>
      <c r="AU218" s="306" t="str">
        <f t="shared" si="209"/>
        <v>E</v>
      </c>
      <c r="AV218" s="306" t="str">
        <f t="shared" si="210"/>
        <v>Corinne Marie Pauline E. Tan</v>
      </c>
      <c r="AW218" s="306" t="str">
        <f t="shared" si="221"/>
        <v>TAN, Corinne Marie Pauline Elveña</v>
      </c>
      <c r="AX218" s="305" t="s">
        <v>408</v>
      </c>
      <c r="AY218" s="447" t="s">
        <v>100</v>
      </c>
      <c r="AZ218" s="472">
        <v>33046</v>
      </c>
      <c r="BA218" s="101">
        <f t="shared" ca="1" si="231"/>
        <v>35</v>
      </c>
      <c r="BB218" s="492" t="str">
        <f t="shared" ca="1" si="232"/>
        <v>B</v>
      </c>
      <c r="BC218" s="492" t="str">
        <f t="shared" ca="1" si="211"/>
        <v>AbB</v>
      </c>
      <c r="BD218" s="492" t="str">
        <f t="shared" ca="1" si="212"/>
        <v>AbBF</v>
      </c>
      <c r="BE218" s="492" t="str">
        <f t="shared" ca="1" si="228"/>
        <v>ADA6AbBF</v>
      </c>
      <c r="BF218" s="447" t="s">
        <v>2622</v>
      </c>
      <c r="BG218" s="493">
        <v>41543</v>
      </c>
      <c r="BH218" s="494">
        <v>42318</v>
      </c>
      <c r="BI218" s="447">
        <f t="shared" ca="1" si="233"/>
        <v>12</v>
      </c>
      <c r="BJ218" s="447">
        <f t="shared" ca="1" si="213"/>
        <v>10</v>
      </c>
      <c r="BK218" s="607">
        <v>42357</v>
      </c>
      <c r="BL218" s="447">
        <f t="shared" ca="1" si="234"/>
        <v>10</v>
      </c>
      <c r="BM218" s="447" t="s">
        <v>64</v>
      </c>
      <c r="BN218" s="512" t="s">
        <v>102</v>
      </c>
      <c r="BO218" s="423" t="s">
        <v>2273</v>
      </c>
      <c r="BP218" s="513"/>
      <c r="BQ218" s="514" t="str">
        <f t="shared" si="227"/>
        <v>1FP</v>
      </c>
    </row>
    <row r="219" spans="1:69" ht="19.95" customHeight="1">
      <c r="A219" s="422" t="s">
        <v>1256</v>
      </c>
      <c r="B219" s="423" t="s">
        <v>273</v>
      </c>
      <c r="C219" s="424">
        <v>6</v>
      </c>
      <c r="D219" s="424" t="s">
        <v>2276</v>
      </c>
      <c r="E219" s="424" t="s">
        <v>265</v>
      </c>
      <c r="F219" s="424" t="s">
        <v>265</v>
      </c>
      <c r="G219" s="424" t="s">
        <v>2279</v>
      </c>
      <c r="H219" s="431" t="s">
        <v>2315</v>
      </c>
      <c r="I219" s="422" t="s">
        <v>2316</v>
      </c>
      <c r="J219" s="421" t="str">
        <f t="shared" si="206"/>
        <v>ADA6B</v>
      </c>
      <c r="K219" s="421" t="str">
        <f t="shared" si="207"/>
        <v>ADA6BM</v>
      </c>
      <c r="L219" s="447" t="str">
        <f t="shared" si="208"/>
        <v>BM</v>
      </c>
      <c r="M219" s="932">
        <v>1</v>
      </c>
      <c r="N219" s="932">
        <v>1</v>
      </c>
      <c r="O219" s="932">
        <v>1</v>
      </c>
      <c r="P219" s="932">
        <v>1</v>
      </c>
      <c r="Q219" s="940"/>
      <c r="R219" s="940"/>
      <c r="S219" s="940"/>
      <c r="T219" s="940"/>
      <c r="U219" s="940"/>
      <c r="V219" s="940"/>
      <c r="W219" s="940"/>
      <c r="X219" s="948"/>
      <c r="Y219" s="948"/>
      <c r="Z219" s="948"/>
      <c r="AA219" s="948"/>
      <c r="AB219" s="948"/>
      <c r="AC219" s="948"/>
      <c r="AD219" s="616"/>
      <c r="AE219" s="616"/>
      <c r="AF219" s="616"/>
      <c r="AG219" s="616"/>
      <c r="AH219" s="448">
        <f t="shared" si="229"/>
        <v>178164</v>
      </c>
      <c r="AI219" s="449">
        <f t="shared" si="230"/>
        <v>187968</v>
      </c>
      <c r="AJ219" s="450">
        <v>8</v>
      </c>
      <c r="AK219" s="452" t="s">
        <v>53</v>
      </c>
      <c r="AL219" s="447" t="s">
        <v>54</v>
      </c>
      <c r="AM219" s="447" t="s">
        <v>81</v>
      </c>
      <c r="AN219" s="447">
        <v>310100100001000</v>
      </c>
      <c r="AO219" s="306" t="s">
        <v>167</v>
      </c>
      <c r="AP219" s="306" t="s">
        <v>2404</v>
      </c>
      <c r="AQ219" s="306" t="s">
        <v>2543</v>
      </c>
      <c r="AR219" s="306" t="s">
        <v>1257</v>
      </c>
      <c r="AS219" s="306" t="s">
        <v>930</v>
      </c>
      <c r="AT219" s="306" t="s">
        <v>1976</v>
      </c>
      <c r="AU219" s="306" t="str">
        <f t="shared" si="209"/>
        <v>A</v>
      </c>
      <c r="AV219" s="306" t="str">
        <f t="shared" si="210"/>
        <v>Arthur A. Lucio</v>
      </c>
      <c r="AW219" s="306" t="str">
        <f t="shared" si="221"/>
        <v>LUCIO, Arthur Ambros</v>
      </c>
      <c r="AX219" s="305" t="s">
        <v>167</v>
      </c>
      <c r="AY219" s="447" t="s">
        <v>62</v>
      </c>
      <c r="AZ219" s="472">
        <v>23278</v>
      </c>
      <c r="BA219" s="101">
        <f t="shared" ca="1" si="231"/>
        <v>62</v>
      </c>
      <c r="BB219" s="492" t="str">
        <f t="shared" ca="1" si="232"/>
        <v>E</v>
      </c>
      <c r="BC219" s="492" t="str">
        <f t="shared" ca="1" si="211"/>
        <v>BE</v>
      </c>
      <c r="BD219" s="492" t="str">
        <f t="shared" ca="1" si="212"/>
        <v>BEM</v>
      </c>
      <c r="BE219" s="492" t="str">
        <f t="shared" ca="1" si="228"/>
        <v>ADA6BEM</v>
      </c>
      <c r="BF219" s="447" t="s">
        <v>1259</v>
      </c>
      <c r="BG219" s="493">
        <v>34151</v>
      </c>
      <c r="BH219" s="493">
        <v>34151</v>
      </c>
      <c r="BI219" s="447">
        <f t="shared" ca="1" si="233"/>
        <v>32</v>
      </c>
      <c r="BJ219" s="447">
        <f t="shared" ca="1" si="213"/>
        <v>32</v>
      </c>
      <c r="BK219" s="493">
        <v>34151</v>
      </c>
      <c r="BL219" s="447">
        <f t="shared" ca="1" si="234"/>
        <v>32</v>
      </c>
      <c r="BM219" s="447" t="s">
        <v>64</v>
      </c>
      <c r="BN219" s="512" t="s">
        <v>138</v>
      </c>
      <c r="BO219" s="423" t="s">
        <v>2750</v>
      </c>
      <c r="BP219" s="513"/>
      <c r="BQ219" s="514" t="str">
        <f t="shared" si="227"/>
        <v>1MP</v>
      </c>
    </row>
    <row r="220" spans="1:69" ht="19.95" customHeight="1">
      <c r="A220" s="422" t="s">
        <v>1260</v>
      </c>
      <c r="B220" s="423" t="s">
        <v>273</v>
      </c>
      <c r="C220" s="424">
        <v>6</v>
      </c>
      <c r="D220" s="424" t="s">
        <v>2276</v>
      </c>
      <c r="E220" s="424" t="s">
        <v>265</v>
      </c>
      <c r="F220" s="424" t="s">
        <v>265</v>
      </c>
      <c r="G220" s="424" t="s">
        <v>2279</v>
      </c>
      <c r="H220" s="431" t="s">
        <v>2315</v>
      </c>
      <c r="I220" s="422" t="s">
        <v>2316</v>
      </c>
      <c r="J220" s="421" t="str">
        <f t="shared" si="206"/>
        <v>Vacant</v>
      </c>
      <c r="K220" s="421" t="str">
        <f t="shared" si="207"/>
        <v>Vacant</v>
      </c>
      <c r="L220" s="447" t="str">
        <f t="shared" si="208"/>
        <v>XXX</v>
      </c>
      <c r="M220" s="932">
        <v>1</v>
      </c>
      <c r="N220" s="932">
        <v>1</v>
      </c>
      <c r="O220" s="932">
        <v>1</v>
      </c>
      <c r="P220" s="932">
        <v>1</v>
      </c>
      <c r="Q220" s="940"/>
      <c r="R220" s="940"/>
      <c r="S220" s="940"/>
      <c r="T220" s="940"/>
      <c r="U220" s="940"/>
      <c r="V220" s="940"/>
      <c r="W220" s="940"/>
      <c r="X220" s="948"/>
      <c r="Y220" s="948"/>
      <c r="Z220" s="948"/>
      <c r="AA220" s="948"/>
      <c r="AB220" s="948"/>
      <c r="AC220" s="948"/>
      <c r="AD220" s="616"/>
      <c r="AE220" s="616"/>
      <c r="AF220" s="616"/>
      <c r="AG220" s="616"/>
      <c r="AH220" s="448">
        <f t="shared" si="229"/>
        <v>178164</v>
      </c>
      <c r="AI220" s="449">
        <f t="shared" si="230"/>
        <v>0</v>
      </c>
      <c r="AJ220" s="450">
        <v>0</v>
      </c>
      <c r="AK220" s="452" t="s">
        <v>352</v>
      </c>
      <c r="AL220" s="447" t="s">
        <v>64</v>
      </c>
      <c r="AM220" s="447" t="s">
        <v>81</v>
      </c>
      <c r="AN220" s="447">
        <v>310100100001000</v>
      </c>
      <c r="AO220" s="305" t="s">
        <v>268</v>
      </c>
      <c r="AP220" s="306" t="s">
        <v>2404</v>
      </c>
      <c r="AQ220" s="306" t="s">
        <v>268</v>
      </c>
      <c r="AR220" s="305" t="s">
        <v>2624</v>
      </c>
      <c r="AS220" s="305"/>
      <c r="AT220" s="305"/>
      <c r="AU220" s="306"/>
      <c r="AV220" s="306" t="str">
        <f t="shared" si="210"/>
        <v xml:space="preserve"> . Vacant Fabag</v>
      </c>
      <c r="AW220" s="306" t="str">
        <f t="shared" si="221"/>
        <v xml:space="preserve">vacant FABAG,  </v>
      </c>
      <c r="AX220" s="305"/>
      <c r="AY220" s="447"/>
      <c r="AZ220" s="472"/>
      <c r="BA220" s="101">
        <f t="shared" ca="1" si="231"/>
        <v>126</v>
      </c>
      <c r="BB220" s="492" t="str">
        <f t="shared" ca="1" si="232"/>
        <v>VACANT</v>
      </c>
      <c r="BC220" s="492" t="str">
        <f t="shared" si="211"/>
        <v>XXX</v>
      </c>
      <c r="BD220" s="492" t="str">
        <f t="shared" si="212"/>
        <v>XXX</v>
      </c>
      <c r="BE220" s="492" t="str">
        <f t="shared" si="228"/>
        <v>ADA6XXX</v>
      </c>
      <c r="BF220" s="447"/>
      <c r="BG220" s="493"/>
      <c r="BH220" s="493"/>
      <c r="BI220" s="447">
        <f t="shared" ca="1" si="233"/>
        <v>126</v>
      </c>
      <c r="BJ220" s="447">
        <f t="shared" ca="1" si="213"/>
        <v>126</v>
      </c>
      <c r="BK220" s="493"/>
      <c r="BL220" s="447">
        <f t="shared" ca="1" si="234"/>
        <v>126</v>
      </c>
      <c r="BM220" s="447"/>
      <c r="BN220" s="512"/>
      <c r="BO220" s="423"/>
      <c r="BP220" s="513"/>
      <c r="BQ220" s="514" t="str">
        <f t="shared" si="227"/>
        <v>1</v>
      </c>
    </row>
    <row r="221" spans="1:69" ht="19.95" customHeight="1">
      <c r="A221" s="422" t="s">
        <v>1266</v>
      </c>
      <c r="B221" s="423" t="s">
        <v>273</v>
      </c>
      <c r="C221" s="424">
        <v>6</v>
      </c>
      <c r="D221" s="424" t="s">
        <v>2276</v>
      </c>
      <c r="E221" s="424" t="s">
        <v>265</v>
      </c>
      <c r="F221" s="424" t="s">
        <v>265</v>
      </c>
      <c r="G221" s="424" t="s">
        <v>2279</v>
      </c>
      <c r="H221" s="431" t="s">
        <v>2315</v>
      </c>
      <c r="I221" s="422" t="s">
        <v>2316</v>
      </c>
      <c r="J221" s="421" t="str">
        <f t="shared" si="206"/>
        <v>ADA6R</v>
      </c>
      <c r="K221" s="421" t="str">
        <f t="shared" si="207"/>
        <v>ADA6RF</v>
      </c>
      <c r="L221" s="447" t="str">
        <f t="shared" si="208"/>
        <v>RF</v>
      </c>
      <c r="M221" s="932">
        <v>1</v>
      </c>
      <c r="N221" s="932">
        <v>1</v>
      </c>
      <c r="O221" s="932">
        <v>1</v>
      </c>
      <c r="P221" s="932">
        <v>1</v>
      </c>
      <c r="Q221" s="940"/>
      <c r="R221" s="940"/>
      <c r="S221" s="940"/>
      <c r="T221" s="940"/>
      <c r="U221" s="940"/>
      <c r="V221" s="940"/>
      <c r="W221" s="940"/>
      <c r="X221" s="948"/>
      <c r="Y221" s="948"/>
      <c r="Z221" s="948"/>
      <c r="AA221" s="948"/>
      <c r="AB221" s="948"/>
      <c r="AC221" s="948"/>
      <c r="AD221" s="616"/>
      <c r="AE221" s="616"/>
      <c r="AF221" s="616"/>
      <c r="AG221" s="616"/>
      <c r="AH221" s="448">
        <f t="shared" si="229"/>
        <v>178164</v>
      </c>
      <c r="AI221" s="449">
        <f t="shared" si="230"/>
        <v>187968</v>
      </c>
      <c r="AJ221" s="450">
        <v>8</v>
      </c>
      <c r="AK221" s="452" t="s">
        <v>487</v>
      </c>
      <c r="AL221" s="447" t="s">
        <v>64</v>
      </c>
      <c r="AM221" s="447" t="s">
        <v>81</v>
      </c>
      <c r="AN221" s="447">
        <v>310100100001000</v>
      </c>
      <c r="AO221" s="306" t="s">
        <v>181</v>
      </c>
      <c r="AP221" s="306" t="s">
        <v>2404</v>
      </c>
      <c r="AQ221" s="306" t="s">
        <v>181</v>
      </c>
      <c r="AR221" s="305" t="s">
        <v>120</v>
      </c>
      <c r="AS221" s="305" t="s">
        <v>121</v>
      </c>
      <c r="AT221" s="305" t="s">
        <v>1560</v>
      </c>
      <c r="AU221" s="306" t="str">
        <f t="shared" si="209"/>
        <v>C</v>
      </c>
      <c r="AV221" s="306" t="str">
        <f t="shared" si="210"/>
        <v>Marlene C. Gonzales</v>
      </c>
      <c r="AW221" s="306" t="str">
        <f t="shared" si="221"/>
        <v>GONZALES, Marlene Castro</v>
      </c>
      <c r="AX221" s="307" t="s">
        <v>57</v>
      </c>
      <c r="AY221" s="447" t="s">
        <v>100</v>
      </c>
      <c r="AZ221" s="472">
        <v>25348</v>
      </c>
      <c r="BA221" s="101">
        <f t="shared" ca="1" si="231"/>
        <v>56</v>
      </c>
      <c r="BB221" s="492" t="str">
        <f t="shared" ca="1" si="232"/>
        <v>D</v>
      </c>
      <c r="BC221" s="492" t="str">
        <f t="shared" ca="1" si="211"/>
        <v>RD</v>
      </c>
      <c r="BD221" s="492" t="str">
        <f t="shared" ca="1" si="212"/>
        <v>RDF</v>
      </c>
      <c r="BE221" s="492" t="str">
        <f t="shared" ca="1" si="228"/>
        <v>ADA6RDF</v>
      </c>
      <c r="BF221" s="447" t="s">
        <v>124</v>
      </c>
      <c r="BG221" s="493">
        <v>32672</v>
      </c>
      <c r="BH221" s="493">
        <v>32672</v>
      </c>
      <c r="BI221" s="447">
        <f t="shared" ca="1" si="233"/>
        <v>36</v>
      </c>
      <c r="BJ221" s="447">
        <f t="shared" ca="1" si="213"/>
        <v>36</v>
      </c>
      <c r="BK221" s="493">
        <v>32672</v>
      </c>
      <c r="BL221" s="447">
        <f t="shared" ca="1" si="234"/>
        <v>36</v>
      </c>
      <c r="BM221" s="447" t="s">
        <v>64</v>
      </c>
      <c r="BN221" s="512" t="s">
        <v>125</v>
      </c>
      <c r="BO221" s="423" t="s">
        <v>2732</v>
      </c>
      <c r="BP221" s="513"/>
      <c r="BQ221" s="514" t="str">
        <f t="shared" si="227"/>
        <v>1FP</v>
      </c>
    </row>
    <row r="222" spans="1:69" ht="19.95" customHeight="1">
      <c r="A222" s="422" t="s">
        <v>1270</v>
      </c>
      <c r="B222" s="423" t="s">
        <v>273</v>
      </c>
      <c r="C222" s="424">
        <v>6</v>
      </c>
      <c r="D222" s="424" t="s">
        <v>2276</v>
      </c>
      <c r="E222" s="424" t="s">
        <v>265</v>
      </c>
      <c r="F222" s="424" t="s">
        <v>265</v>
      </c>
      <c r="G222" s="424" t="s">
        <v>2279</v>
      </c>
      <c r="H222" s="431" t="s">
        <v>2315</v>
      </c>
      <c r="I222" s="422" t="s">
        <v>2316</v>
      </c>
      <c r="J222" s="421" t="str">
        <f t="shared" si="206"/>
        <v>ADA6K</v>
      </c>
      <c r="K222" s="421" t="str">
        <f t="shared" si="207"/>
        <v>ADA6KM</v>
      </c>
      <c r="L222" s="447" t="str">
        <f t="shared" si="208"/>
        <v>KM</v>
      </c>
      <c r="M222" s="932">
        <v>1</v>
      </c>
      <c r="N222" s="932">
        <v>1</v>
      </c>
      <c r="O222" s="932">
        <v>1</v>
      </c>
      <c r="P222" s="932">
        <v>1</v>
      </c>
      <c r="Q222" s="940"/>
      <c r="R222" s="940"/>
      <c r="S222" s="940"/>
      <c r="T222" s="940"/>
      <c r="U222" s="940"/>
      <c r="V222" s="940"/>
      <c r="W222" s="940"/>
      <c r="X222" s="948"/>
      <c r="Y222" s="948"/>
      <c r="Z222" s="948"/>
      <c r="AA222" s="948"/>
      <c r="AB222" s="948"/>
      <c r="AC222" s="948"/>
      <c r="AD222" s="616"/>
      <c r="AE222" s="616"/>
      <c r="AF222" s="616"/>
      <c r="AG222" s="616"/>
      <c r="AH222" s="448">
        <f t="shared" si="229"/>
        <v>178164</v>
      </c>
      <c r="AI222" s="449">
        <f t="shared" si="230"/>
        <v>187968</v>
      </c>
      <c r="AJ222" s="450">
        <v>8</v>
      </c>
      <c r="AK222" s="452" t="s">
        <v>494</v>
      </c>
      <c r="AL222" s="447" t="s">
        <v>64</v>
      </c>
      <c r="AM222" s="447" t="s">
        <v>81</v>
      </c>
      <c r="AN222" s="447">
        <v>310100100001000</v>
      </c>
      <c r="AO222" s="305" t="s">
        <v>211</v>
      </c>
      <c r="AP222" s="306" t="s">
        <v>2404</v>
      </c>
      <c r="AQ222" s="306" t="s">
        <v>211</v>
      </c>
      <c r="AR222" s="305" t="s">
        <v>1271</v>
      </c>
      <c r="AS222" s="305" t="s">
        <v>1272</v>
      </c>
      <c r="AT222" s="305" t="s">
        <v>1931</v>
      </c>
      <c r="AU222" s="306" t="str">
        <f t="shared" si="209"/>
        <v>R</v>
      </c>
      <c r="AV222" s="306" t="str">
        <f t="shared" si="210"/>
        <v>Wilfred R. Bacdayan</v>
      </c>
      <c r="AW222" s="306" t="str">
        <f t="shared" si="221"/>
        <v>BACDAYAN, Wilfred Ramirez</v>
      </c>
      <c r="AX222" s="305" t="s">
        <v>211</v>
      </c>
      <c r="AY222" s="447" t="s">
        <v>62</v>
      </c>
      <c r="AZ222" s="472">
        <v>24419</v>
      </c>
      <c r="BA222" s="101">
        <f t="shared" ca="1" si="231"/>
        <v>59</v>
      </c>
      <c r="BB222" s="492" t="str">
        <f t="shared" ca="1" si="232"/>
        <v>D</v>
      </c>
      <c r="BC222" s="492" t="str">
        <f t="shared" ca="1" si="211"/>
        <v>KD</v>
      </c>
      <c r="BD222" s="492" t="str">
        <f t="shared" ca="1" si="212"/>
        <v>KDM</v>
      </c>
      <c r="BE222" s="492" t="str">
        <f t="shared" ca="1" si="228"/>
        <v>ADA6KDM</v>
      </c>
      <c r="BF222" s="447" t="s">
        <v>1274</v>
      </c>
      <c r="BG222" s="493">
        <v>34408</v>
      </c>
      <c r="BH222" s="493">
        <v>34408</v>
      </c>
      <c r="BI222" s="447">
        <f t="shared" ca="1" si="233"/>
        <v>32</v>
      </c>
      <c r="BJ222" s="447">
        <f t="shared" ca="1" si="213"/>
        <v>32</v>
      </c>
      <c r="BK222" s="493">
        <v>34408</v>
      </c>
      <c r="BL222" s="447">
        <f t="shared" ca="1" si="234"/>
        <v>32</v>
      </c>
      <c r="BM222" s="447" t="s">
        <v>64</v>
      </c>
      <c r="BN222" s="512" t="s">
        <v>215</v>
      </c>
      <c r="BO222" s="423" t="s">
        <v>2734</v>
      </c>
      <c r="BP222" s="513"/>
      <c r="BQ222" s="514" t="str">
        <f t="shared" si="227"/>
        <v>1MP</v>
      </c>
    </row>
    <row r="223" spans="1:69" ht="19.95" customHeight="1">
      <c r="A223" s="422" t="s">
        <v>1275</v>
      </c>
      <c r="B223" s="423" t="s">
        <v>455</v>
      </c>
      <c r="C223" s="424">
        <v>4</v>
      </c>
      <c r="D223" s="424" t="s">
        <v>2276</v>
      </c>
      <c r="E223" s="424" t="s">
        <v>265</v>
      </c>
      <c r="F223" s="424" t="s">
        <v>265</v>
      </c>
      <c r="G223" s="424" t="s">
        <v>2279</v>
      </c>
      <c r="H223" s="436" t="s">
        <v>2388</v>
      </c>
      <c r="I223" s="422" t="s">
        <v>2286</v>
      </c>
      <c r="J223" s="421" t="str">
        <f t="shared" si="206"/>
        <v>Vacant</v>
      </c>
      <c r="K223" s="421" t="str">
        <f t="shared" si="207"/>
        <v>Vacant</v>
      </c>
      <c r="L223" s="447" t="str">
        <f t="shared" si="208"/>
        <v>XXX</v>
      </c>
      <c r="M223" s="932">
        <v>1</v>
      </c>
      <c r="N223" s="932">
        <v>1</v>
      </c>
      <c r="O223" s="932">
        <v>1</v>
      </c>
      <c r="P223" s="932">
        <v>1</v>
      </c>
      <c r="Q223" s="940"/>
      <c r="R223" s="940"/>
      <c r="S223" s="940"/>
      <c r="T223" s="940"/>
      <c r="U223" s="940"/>
      <c r="V223" s="940"/>
      <c r="W223" s="940"/>
      <c r="X223" s="948"/>
      <c r="Y223" s="948"/>
      <c r="Z223" s="948"/>
      <c r="AA223" s="948"/>
      <c r="AB223" s="948"/>
      <c r="AC223" s="948"/>
      <c r="AD223" s="616"/>
      <c r="AE223" s="616"/>
      <c r="AF223" s="616"/>
      <c r="AG223" s="616"/>
      <c r="AH223" s="448">
        <f t="shared" si="229"/>
        <v>158568</v>
      </c>
      <c r="AI223" s="449">
        <f t="shared" si="230"/>
        <v>0</v>
      </c>
      <c r="AJ223" s="450">
        <v>0</v>
      </c>
      <c r="AK223" s="452" t="s">
        <v>223</v>
      </c>
      <c r="AL223" s="447" t="s">
        <v>64</v>
      </c>
      <c r="AM223" s="447" t="s">
        <v>81</v>
      </c>
      <c r="AN223" s="447">
        <v>310100100001000</v>
      </c>
      <c r="AO223" s="305" t="s">
        <v>181</v>
      </c>
      <c r="AP223" s="306" t="s">
        <v>2404</v>
      </c>
      <c r="AQ223" s="306" t="s">
        <v>181</v>
      </c>
      <c r="AR223" s="305" t="s">
        <v>2625</v>
      </c>
      <c r="AS223" s="305"/>
      <c r="AT223" s="305"/>
      <c r="AU223" s="306" t="str">
        <f t="shared" si="209"/>
        <v/>
      </c>
      <c r="AV223" s="306" t="str">
        <f t="shared" si="210"/>
        <v xml:space="preserve"> . Vacant Anua</v>
      </c>
      <c r="AW223" s="306" t="str">
        <f t="shared" si="221"/>
        <v xml:space="preserve">Vacant ANUA,  </v>
      </c>
      <c r="AX223" s="305"/>
      <c r="AY223" s="447"/>
      <c r="AZ223" s="472"/>
      <c r="BA223" s="101">
        <f t="shared" ca="1" si="231"/>
        <v>126</v>
      </c>
      <c r="BB223" s="492" t="str">
        <f t="shared" ca="1" si="232"/>
        <v>VACANT</v>
      </c>
      <c r="BC223" s="492" t="str">
        <f t="shared" si="211"/>
        <v>XXX</v>
      </c>
      <c r="BD223" s="492" t="str">
        <f t="shared" si="212"/>
        <v>XXX</v>
      </c>
      <c r="BE223" s="492" t="str">
        <f t="shared" si="228"/>
        <v>ADA4XXX</v>
      </c>
      <c r="BF223" s="447"/>
      <c r="BG223" s="493"/>
      <c r="BH223" s="493"/>
      <c r="BI223" s="447">
        <f t="shared" ca="1" si="233"/>
        <v>126</v>
      </c>
      <c r="BJ223" s="447">
        <f t="shared" ca="1" si="213"/>
        <v>126</v>
      </c>
      <c r="BK223" s="493"/>
      <c r="BL223" s="447">
        <f t="shared" ca="1" si="234"/>
        <v>126</v>
      </c>
      <c r="BM223" s="447"/>
      <c r="BN223" s="512"/>
      <c r="BO223" s="423"/>
      <c r="BP223" s="513"/>
      <c r="BQ223" s="514" t="str">
        <f t="shared" si="227"/>
        <v>1</v>
      </c>
    </row>
    <row r="224" spans="1:69" ht="19.95" customHeight="1">
      <c r="A224" s="422" t="s">
        <v>1277</v>
      </c>
      <c r="B224" s="423" t="s">
        <v>455</v>
      </c>
      <c r="C224" s="424">
        <v>4</v>
      </c>
      <c r="D224" s="424" t="s">
        <v>2276</v>
      </c>
      <c r="E224" s="424" t="s">
        <v>265</v>
      </c>
      <c r="F224" s="424" t="s">
        <v>265</v>
      </c>
      <c r="G224" s="424" t="s">
        <v>2279</v>
      </c>
      <c r="H224" s="436" t="s">
        <v>2388</v>
      </c>
      <c r="I224" s="422" t="s">
        <v>2286</v>
      </c>
      <c r="J224" s="421" t="str">
        <f t="shared" si="206"/>
        <v>ADA4Ab</v>
      </c>
      <c r="K224" s="421" t="str">
        <f t="shared" si="207"/>
        <v>ADA4AbF</v>
      </c>
      <c r="L224" s="447" t="str">
        <f t="shared" si="208"/>
        <v>AbF</v>
      </c>
      <c r="M224" s="932">
        <v>1</v>
      </c>
      <c r="N224" s="932">
        <v>1</v>
      </c>
      <c r="O224" s="932">
        <v>1</v>
      </c>
      <c r="P224" s="932">
        <v>1</v>
      </c>
      <c r="Q224" s="940"/>
      <c r="R224" s="940"/>
      <c r="S224" s="940"/>
      <c r="T224" s="940"/>
      <c r="U224" s="940"/>
      <c r="V224" s="940"/>
      <c r="W224" s="940"/>
      <c r="X224" s="948"/>
      <c r="Y224" s="948"/>
      <c r="Z224" s="948"/>
      <c r="AA224" s="948"/>
      <c r="AB224" s="948"/>
      <c r="AC224" s="948"/>
      <c r="AD224" s="616"/>
      <c r="AE224" s="616"/>
      <c r="AF224" s="616"/>
      <c r="AG224" s="616"/>
      <c r="AH224" s="448">
        <f t="shared" si="229"/>
        <v>158568</v>
      </c>
      <c r="AI224" s="449">
        <f t="shared" si="230"/>
        <v>158568</v>
      </c>
      <c r="AJ224" s="450">
        <v>1</v>
      </c>
      <c r="AK224" s="452" t="s">
        <v>465</v>
      </c>
      <c r="AL224" s="447" t="s">
        <v>64</v>
      </c>
      <c r="AM224" s="447" t="s">
        <v>81</v>
      </c>
      <c r="AN224" s="447">
        <v>310100100001000</v>
      </c>
      <c r="AO224" s="305" t="s">
        <v>408</v>
      </c>
      <c r="AP224" s="305" t="s">
        <v>2404</v>
      </c>
      <c r="AQ224" s="306" t="s">
        <v>408</v>
      </c>
      <c r="AR224" s="306" t="s">
        <v>2149</v>
      </c>
      <c r="AS224" s="306" t="s">
        <v>2150</v>
      </c>
      <c r="AT224" s="306" t="s">
        <v>1651</v>
      </c>
      <c r="AU224" s="306" t="str">
        <f t="shared" si="209"/>
        <v>T</v>
      </c>
      <c r="AV224" s="306" t="str">
        <f t="shared" si="210"/>
        <v>Daryll Jane T. Paz</v>
      </c>
      <c r="AW224" s="306" t="str">
        <f t="shared" si="221"/>
        <v>PAZ, Daryll Jane Trinidad</v>
      </c>
      <c r="AX224" s="305" t="s">
        <v>408</v>
      </c>
      <c r="AY224" s="447" t="s">
        <v>100</v>
      </c>
      <c r="AZ224" s="472">
        <v>33589</v>
      </c>
      <c r="BA224" s="101">
        <f t="shared" ca="1" si="231"/>
        <v>34</v>
      </c>
      <c r="BB224" s="492" t="str">
        <f t="shared" ca="1" si="232"/>
        <v>B</v>
      </c>
      <c r="BC224" s="492" t="str">
        <f t="shared" ca="1" si="211"/>
        <v>AbB</v>
      </c>
      <c r="BD224" s="492" t="str">
        <f t="shared" ca="1" si="212"/>
        <v>AbBF</v>
      </c>
      <c r="BE224" s="492" t="str">
        <f t="shared" ca="1" si="228"/>
        <v>ADA4AbBF</v>
      </c>
      <c r="BF224" s="447" t="s">
        <v>2580</v>
      </c>
      <c r="BG224" s="493">
        <v>42373</v>
      </c>
      <c r="BH224" s="593">
        <v>42452</v>
      </c>
      <c r="BI224" s="447">
        <f t="shared" ca="1" si="233"/>
        <v>10</v>
      </c>
      <c r="BJ224" s="447">
        <f t="shared" ca="1" si="213"/>
        <v>10</v>
      </c>
      <c r="BK224" s="493">
        <v>42452</v>
      </c>
      <c r="BL224" s="447">
        <f t="shared" ca="1" si="234"/>
        <v>10</v>
      </c>
      <c r="BM224" s="447" t="s">
        <v>64</v>
      </c>
      <c r="BN224" s="512" t="s">
        <v>102</v>
      </c>
      <c r="BO224" s="423" t="s">
        <v>2721</v>
      </c>
      <c r="BP224" s="513" t="s">
        <v>2385</v>
      </c>
      <c r="BQ224" s="514" t="str">
        <f t="shared" si="227"/>
        <v>1FP</v>
      </c>
    </row>
    <row r="225" spans="1:69" ht="19.95" customHeight="1">
      <c r="A225" s="422" t="s">
        <v>1278</v>
      </c>
      <c r="B225" s="423" t="s">
        <v>455</v>
      </c>
      <c r="C225" s="424">
        <v>4</v>
      </c>
      <c r="D225" s="424" t="s">
        <v>2276</v>
      </c>
      <c r="E225" s="424" t="s">
        <v>265</v>
      </c>
      <c r="F225" s="424" t="s">
        <v>265</v>
      </c>
      <c r="G225" s="424" t="s">
        <v>2279</v>
      </c>
      <c r="H225" s="436" t="s">
        <v>2388</v>
      </c>
      <c r="I225" s="422" t="s">
        <v>2286</v>
      </c>
      <c r="J225" s="421" t="str">
        <f t="shared" si="206"/>
        <v>ADA4B</v>
      </c>
      <c r="K225" s="421" t="str">
        <f t="shared" si="207"/>
        <v>ADA4BF</v>
      </c>
      <c r="L225" s="447" t="str">
        <f t="shared" si="208"/>
        <v>BF</v>
      </c>
      <c r="M225" s="932">
        <v>1</v>
      </c>
      <c r="N225" s="932">
        <v>1</v>
      </c>
      <c r="O225" s="932">
        <v>1</v>
      </c>
      <c r="P225" s="932">
        <v>1</v>
      </c>
      <c r="Q225" s="940"/>
      <c r="R225" s="940"/>
      <c r="S225" s="940"/>
      <c r="T225" s="940"/>
      <c r="U225" s="940"/>
      <c r="V225" s="940"/>
      <c r="W225" s="940"/>
      <c r="X225" s="948"/>
      <c r="Y225" s="948"/>
      <c r="Z225" s="948"/>
      <c r="AA225" s="948"/>
      <c r="AB225" s="948"/>
      <c r="AC225" s="948"/>
      <c r="AD225" s="616"/>
      <c r="AE225" s="616"/>
      <c r="AF225" s="616"/>
      <c r="AG225" s="616"/>
      <c r="AH225" s="448">
        <f t="shared" si="229"/>
        <v>158568</v>
      </c>
      <c r="AI225" s="449">
        <f t="shared" si="230"/>
        <v>166020</v>
      </c>
      <c r="AJ225" s="450">
        <v>7</v>
      </c>
      <c r="AK225" s="452" t="s">
        <v>197</v>
      </c>
      <c r="AL225" s="447" t="s">
        <v>64</v>
      </c>
      <c r="AM225" s="447" t="s">
        <v>81</v>
      </c>
      <c r="AN225" s="447">
        <v>310100100001000</v>
      </c>
      <c r="AO225" s="305" t="s">
        <v>167</v>
      </c>
      <c r="AP225" s="306" t="s">
        <v>2404</v>
      </c>
      <c r="AQ225" s="305" t="s">
        <v>167</v>
      </c>
      <c r="AR225" s="305" t="s">
        <v>1279</v>
      </c>
      <c r="AS225" s="305" t="s">
        <v>1280</v>
      </c>
      <c r="AT225" s="305" t="s">
        <v>1904</v>
      </c>
      <c r="AU225" s="306" t="str">
        <f t="shared" si="209"/>
        <v>G</v>
      </c>
      <c r="AV225" s="306" t="str">
        <f t="shared" si="210"/>
        <v>Gina G. Balaso</v>
      </c>
      <c r="AW225" s="306" t="str">
        <f t="shared" si="221"/>
        <v>BALASO, Gina Garcia</v>
      </c>
      <c r="AX225" s="305" t="s">
        <v>167</v>
      </c>
      <c r="AY225" s="447" t="s">
        <v>100</v>
      </c>
      <c r="AZ225" s="472">
        <v>25439</v>
      </c>
      <c r="BA225" s="101">
        <f t="shared" ca="1" si="231"/>
        <v>56</v>
      </c>
      <c r="BB225" s="492" t="str">
        <f t="shared" ca="1" si="232"/>
        <v>D</v>
      </c>
      <c r="BC225" s="492" t="str">
        <f t="shared" ca="1" si="211"/>
        <v>BD</v>
      </c>
      <c r="BD225" s="492" t="str">
        <f t="shared" ca="1" si="212"/>
        <v>BDF</v>
      </c>
      <c r="BE225" s="492" t="str">
        <f t="shared" ca="1" si="228"/>
        <v>ADA4BDF</v>
      </c>
      <c r="BF225" s="447" t="s">
        <v>1282</v>
      </c>
      <c r="BG225" s="493">
        <v>34652</v>
      </c>
      <c r="BH225" s="493">
        <v>34652</v>
      </c>
      <c r="BI225" s="447">
        <f t="shared" ca="1" si="233"/>
        <v>31</v>
      </c>
      <c r="BJ225" s="447">
        <f t="shared" ca="1" si="213"/>
        <v>31</v>
      </c>
      <c r="BK225" s="493">
        <v>36115</v>
      </c>
      <c r="BL225" s="447">
        <f t="shared" ca="1" si="234"/>
        <v>27</v>
      </c>
      <c r="BM225" s="447" t="s">
        <v>64</v>
      </c>
      <c r="BN225" s="512" t="s">
        <v>2626</v>
      </c>
      <c r="BO225" s="423" t="s">
        <v>2735</v>
      </c>
      <c r="BP225" s="513"/>
      <c r="BQ225" s="514" t="str">
        <f t="shared" si="227"/>
        <v>1FP</v>
      </c>
    </row>
    <row r="226" spans="1:69" ht="19.95" customHeight="1">
      <c r="A226" s="422" t="s">
        <v>1283</v>
      </c>
      <c r="B226" s="423" t="s">
        <v>455</v>
      </c>
      <c r="C226" s="424">
        <v>4</v>
      </c>
      <c r="D226" s="424" t="s">
        <v>2276</v>
      </c>
      <c r="E226" s="424" t="s">
        <v>265</v>
      </c>
      <c r="F226" s="424" t="s">
        <v>265</v>
      </c>
      <c r="G226" s="424" t="s">
        <v>2279</v>
      </c>
      <c r="H226" s="436" t="s">
        <v>2388</v>
      </c>
      <c r="I226" s="422" t="s">
        <v>2286</v>
      </c>
      <c r="J226" s="421" t="str">
        <f t="shared" si="206"/>
        <v>ADA4MP</v>
      </c>
      <c r="K226" s="421" t="str">
        <f t="shared" si="207"/>
        <v>ADA4MPF</v>
      </c>
      <c r="L226" s="447" t="str">
        <f t="shared" si="208"/>
        <v>MPF</v>
      </c>
      <c r="M226" s="932">
        <v>1</v>
      </c>
      <c r="N226" s="932">
        <v>1</v>
      </c>
      <c r="O226" s="932">
        <v>1</v>
      </c>
      <c r="P226" s="932">
        <v>1</v>
      </c>
      <c r="Q226" s="940"/>
      <c r="R226" s="940"/>
      <c r="S226" s="940"/>
      <c r="T226" s="940"/>
      <c r="U226" s="940"/>
      <c r="V226" s="940"/>
      <c r="W226" s="940"/>
      <c r="X226" s="948"/>
      <c r="Y226" s="948"/>
      <c r="Z226" s="948"/>
      <c r="AA226" s="948"/>
      <c r="AB226" s="948"/>
      <c r="AC226" s="948"/>
      <c r="AD226" s="616"/>
      <c r="AE226" s="616"/>
      <c r="AF226" s="616"/>
      <c r="AG226" s="616"/>
      <c r="AH226" s="448">
        <f t="shared" si="229"/>
        <v>158568</v>
      </c>
      <c r="AI226" s="449">
        <f t="shared" si="230"/>
        <v>158568</v>
      </c>
      <c r="AJ226" s="450">
        <v>1</v>
      </c>
      <c r="AK226" s="452" t="s">
        <v>352</v>
      </c>
      <c r="AL226" s="447" t="s">
        <v>64</v>
      </c>
      <c r="AM226" s="447" t="s">
        <v>81</v>
      </c>
      <c r="AN226" s="447">
        <v>310100100001000</v>
      </c>
      <c r="AO226" s="305" t="s">
        <v>268</v>
      </c>
      <c r="AP226" s="306" t="s">
        <v>2404</v>
      </c>
      <c r="AQ226" s="306" t="s">
        <v>268</v>
      </c>
      <c r="AR226" s="306" t="s">
        <v>1364</v>
      </c>
      <c r="AS226" s="306" t="s">
        <v>2627</v>
      </c>
      <c r="AT226" s="306" t="s">
        <v>2162</v>
      </c>
      <c r="AU226" s="306" t="str">
        <f t="shared" si="209"/>
        <v>M</v>
      </c>
      <c r="AV226" s="306" t="str">
        <f t="shared" si="210"/>
        <v>Rose Mere M. Lomas-E</v>
      </c>
      <c r="AW226" s="306" t="str">
        <f t="shared" si="221"/>
        <v>LOMAS-E, Rose Mere Manarop</v>
      </c>
      <c r="AX226" s="305" t="s">
        <v>268</v>
      </c>
      <c r="AY226" s="447" t="s">
        <v>100</v>
      </c>
      <c r="AZ226" s="472">
        <v>33938</v>
      </c>
      <c r="BA226" s="101">
        <f t="shared" ca="1" si="231"/>
        <v>33</v>
      </c>
      <c r="BB226" s="492" t="str">
        <f t="shared" ca="1" si="232"/>
        <v>B</v>
      </c>
      <c r="BC226" s="492" t="str">
        <f t="shared" ca="1" si="211"/>
        <v>MPB</v>
      </c>
      <c r="BD226" s="492" t="str">
        <f t="shared" ca="1" si="212"/>
        <v>MPBF</v>
      </c>
      <c r="BE226" s="492" t="str">
        <f t="shared" ca="1" si="228"/>
        <v>ADA4MPBF</v>
      </c>
      <c r="BF226" s="498" t="s">
        <v>2628</v>
      </c>
      <c r="BG226" s="493">
        <v>43193</v>
      </c>
      <c r="BH226" s="493">
        <v>43193</v>
      </c>
      <c r="BI226" s="447">
        <f t="shared" ca="1" si="233"/>
        <v>7</v>
      </c>
      <c r="BJ226" s="447">
        <f t="shared" ca="1" si="213"/>
        <v>7</v>
      </c>
      <c r="BK226" s="493">
        <v>43193</v>
      </c>
      <c r="BL226" s="447">
        <f t="shared" ca="1" si="234"/>
        <v>7</v>
      </c>
      <c r="BM226" s="447" t="s">
        <v>64</v>
      </c>
      <c r="BN226" s="512" t="s">
        <v>2629</v>
      </c>
      <c r="BO226" s="423" t="s">
        <v>3421</v>
      </c>
      <c r="BP226" s="513" t="s">
        <v>2548</v>
      </c>
      <c r="BQ226" s="514" t="str">
        <f t="shared" si="227"/>
        <v>1FP</v>
      </c>
    </row>
    <row r="227" spans="1:69" ht="19.95" customHeight="1">
      <c r="A227" s="422" t="s">
        <v>1284</v>
      </c>
      <c r="B227" s="423" t="s">
        <v>455</v>
      </c>
      <c r="C227" s="424">
        <v>4</v>
      </c>
      <c r="D227" s="424" t="s">
        <v>2276</v>
      </c>
      <c r="E227" s="424" t="s">
        <v>265</v>
      </c>
      <c r="F227" s="424" t="s">
        <v>265</v>
      </c>
      <c r="G227" s="424" t="s">
        <v>2279</v>
      </c>
      <c r="H227" s="436" t="s">
        <v>2388</v>
      </c>
      <c r="I227" s="422" t="s">
        <v>2286</v>
      </c>
      <c r="J227" s="421" t="str">
        <f t="shared" ref="J227:J240" si="235">IF(AX227="Regional Office",CONCATENATE(I227,"R"),IF(AX227="Abra",CONCATENATE(I227,"Ab"),IF(AX227="Apayao",CONCATENATE(I227,"Ap"),IF(AX227="Baguio City",CONCATENATE(I227,"BC"),IF(AX227="Ifugao",CONCATENATE(I227,"I"),IF(AX227="Mt. Province",CONCATENATE(I227,"MP"),IF(AX227="Kalinga",CONCATENATE(I227,"K"),IF(AX227="Benguet",CONCATENATE(I227,"B"),"Vacant"))))))))</f>
        <v>ADA4I</v>
      </c>
      <c r="K227" s="421" t="str">
        <f t="shared" ref="K227:K240" si="236">CONCATENATE(J227,AY227)</f>
        <v>ADA4IM</v>
      </c>
      <c r="L227" s="447" t="str">
        <f t="shared" ref="L227:L240" si="237">IF(AX227="Regional Office",(IF(AY227="M","RM","RF")),IF(AX227="Abra",(IF(AY227="M","AbM","AbF")),IF(AX227="Baguio City",(IF(AY227="M","BCM","BCF")),IF(AX227="Apayao",(IF(AY227="M","ApM","ApF")),IF(AX227="Benguet",(IF(AY227="M","BM","BF")),IF(AX227="Ifugao",(IF(AY227="M","IM","IF")),IF(AX227="Kalinga",(IF(AY227="M","KM","KF")),IF(AX227="Mt. Province",(IF(AY227="M","MPM","MPF")),"XXX"))))))))</f>
        <v>IM</v>
      </c>
      <c r="M227" s="932">
        <v>1</v>
      </c>
      <c r="N227" s="932">
        <v>1</v>
      </c>
      <c r="O227" s="932">
        <v>1</v>
      </c>
      <c r="P227" s="932">
        <v>1</v>
      </c>
      <c r="Q227" s="940"/>
      <c r="R227" s="940"/>
      <c r="S227" s="940"/>
      <c r="T227" s="940"/>
      <c r="U227" s="940"/>
      <c r="V227" s="940"/>
      <c r="W227" s="940"/>
      <c r="X227" s="948"/>
      <c r="Y227" s="948"/>
      <c r="Z227" s="948"/>
      <c r="AA227" s="948"/>
      <c r="AB227" s="948"/>
      <c r="AC227" s="948"/>
      <c r="AD227" s="616"/>
      <c r="AE227" s="616"/>
      <c r="AF227" s="616"/>
      <c r="AG227" s="616"/>
      <c r="AH227" s="448">
        <f t="shared" si="229"/>
        <v>158568</v>
      </c>
      <c r="AI227" s="449">
        <f t="shared" si="230"/>
        <v>159792</v>
      </c>
      <c r="AJ227" s="450">
        <v>2</v>
      </c>
      <c r="AK227" s="452" t="s">
        <v>487</v>
      </c>
      <c r="AL227" s="447" t="s">
        <v>64</v>
      </c>
      <c r="AM227" s="447" t="s">
        <v>81</v>
      </c>
      <c r="AN227" s="447">
        <v>310100100001000</v>
      </c>
      <c r="AO227" s="306" t="s">
        <v>174</v>
      </c>
      <c r="AP227" s="306" t="s">
        <v>2404</v>
      </c>
      <c r="AQ227" s="306" t="s">
        <v>174</v>
      </c>
      <c r="AR227" s="306" t="s">
        <v>2141</v>
      </c>
      <c r="AS227" s="306" t="s">
        <v>1648</v>
      </c>
      <c r="AT227" s="306" t="s">
        <v>2142</v>
      </c>
      <c r="AU227" s="306" t="str">
        <f t="shared" si="209"/>
        <v>P</v>
      </c>
      <c r="AV227" s="306" t="str">
        <f t="shared" si="210"/>
        <v>Clifford P. Pataueg</v>
      </c>
      <c r="AW227" s="306" t="str">
        <f t="shared" si="221"/>
        <v>PATAUEG, Clifford Pungod</v>
      </c>
      <c r="AX227" s="305" t="s">
        <v>174</v>
      </c>
      <c r="AY227" s="447" t="s">
        <v>62</v>
      </c>
      <c r="AZ227" s="472">
        <v>32648</v>
      </c>
      <c r="BA227" s="101">
        <f t="shared" ca="1" si="231"/>
        <v>36</v>
      </c>
      <c r="BB227" s="492" t="str">
        <f t="shared" ca="1" si="232"/>
        <v>B</v>
      </c>
      <c r="BC227" s="492" t="str">
        <f t="shared" ref="BC227:BC240" ca="1" si="238">+IF(AX227="Regional Office",(IF(BB227="A","RA",(IF(BB227="B","RB",IF(BB227="C","RC",IF(BB227="D","RD",IF(BB227="E","RE","VACANT"))))))),IF(AX227="Abra",(IF(BB227="A","AbA",(IF(BB227="B","AbB",IF(BB227="C","AbC",IF(BB227="D","AbD",IF(BB227="E","AbE","VACANT"))))))),IF(AX227="Baguio City",(IF(BB227="A","BCA",(IF(BB227="B","BCB",IF(BB227="C","BCC",IF(BB227="D","BCD",IF(BB227="E","BCE","VACANT"))))))),IF(AX227="Apayao",(IF(BB227="A","ApA",(IF(BB227="B","ApB",IF(BB227="C","ApC",IF(BB227="D","ApD",IF(BB227="E","ApE","VACANT"))))))),IF(AX227="Benguet",(IF(BB227="A","BA",(IF(BB227="B","BB",IF(BB227="C","BC",IF(BB227="D","BD",IF(BB227="E","BE","VACANT"))))))),IF(AX227="Ifugao",(IF(BB227="A","IA",(IF(BB227="B","IB",IF(BB227="C","IC",IF(BB227="D","ID",IF(BB227="E","IE","VACANT"))))))),IF(AX227="Kalinga",(IF(BB227="A","KA",(IF(BB227="B","KB",IF(BB227="C","KC",IF(BB227="D","KD",IF(BB227="E","KE","VACANT"))))))),IF(AX227="Mt. Province",(IF(BB227="A","MPA",(IF(BB227="B","MPB",IF(BB227="C","MPC",IF(BB227="D","MPD",IF(BB227="E","MPE","VACANT"))))))),"XXX"))))))))</f>
        <v>IB</v>
      </c>
      <c r="BD227" s="492" t="str">
        <f t="shared" ref="BD227:BD240" ca="1" si="239">CONCATENATE(BC227,AY227)</f>
        <v>IBM</v>
      </c>
      <c r="BE227" s="492" t="str">
        <f t="shared" ca="1" si="228"/>
        <v>ADA4IBM</v>
      </c>
      <c r="BF227" s="447" t="s">
        <v>2631</v>
      </c>
      <c r="BG227" s="493">
        <v>42289</v>
      </c>
      <c r="BH227" s="494">
        <v>42289</v>
      </c>
      <c r="BI227" s="447">
        <f t="shared" ca="1" si="233"/>
        <v>10</v>
      </c>
      <c r="BJ227" s="447">
        <f t="shared" ca="1" si="213"/>
        <v>10</v>
      </c>
      <c r="BK227" s="493">
        <v>42289</v>
      </c>
      <c r="BL227" s="447">
        <f t="shared" ca="1" si="234"/>
        <v>10</v>
      </c>
      <c r="BM227" s="447" t="s">
        <v>64</v>
      </c>
      <c r="BN227" s="512" t="s">
        <v>84</v>
      </c>
      <c r="BO227" s="423" t="s">
        <v>3422</v>
      </c>
      <c r="BP227" s="513" t="s">
        <v>2632</v>
      </c>
      <c r="BQ227" s="514" t="str">
        <f t="shared" si="227"/>
        <v>1MP</v>
      </c>
    </row>
    <row r="228" spans="1:69" ht="19.95" customHeight="1">
      <c r="A228" s="422" t="s">
        <v>1285</v>
      </c>
      <c r="B228" s="423" t="s">
        <v>455</v>
      </c>
      <c r="C228" s="424">
        <v>4</v>
      </c>
      <c r="D228" s="424" t="s">
        <v>2276</v>
      </c>
      <c r="E228" s="424" t="s">
        <v>265</v>
      </c>
      <c r="F228" s="424" t="s">
        <v>265</v>
      </c>
      <c r="G228" s="424" t="s">
        <v>2279</v>
      </c>
      <c r="H228" s="436" t="s">
        <v>2388</v>
      </c>
      <c r="I228" s="422" t="s">
        <v>2286</v>
      </c>
      <c r="J228" s="421" t="str">
        <f t="shared" si="235"/>
        <v>ADA4Ap</v>
      </c>
      <c r="K228" s="421" t="str">
        <f t="shared" si="236"/>
        <v>ADA4ApM</v>
      </c>
      <c r="L228" s="447" t="str">
        <f t="shared" si="237"/>
        <v>ApM</v>
      </c>
      <c r="M228" s="932">
        <v>1</v>
      </c>
      <c r="N228" s="932">
        <v>1</v>
      </c>
      <c r="O228" s="932">
        <v>1</v>
      </c>
      <c r="P228" s="932">
        <v>1</v>
      </c>
      <c r="Q228" s="940"/>
      <c r="R228" s="940"/>
      <c r="S228" s="940"/>
      <c r="T228" s="940"/>
      <c r="U228" s="940"/>
      <c r="V228" s="940"/>
      <c r="W228" s="940"/>
      <c r="X228" s="948"/>
      <c r="Y228" s="948"/>
      <c r="Z228" s="948"/>
      <c r="AA228" s="948"/>
      <c r="AB228" s="948"/>
      <c r="AC228" s="948"/>
      <c r="AD228" s="616"/>
      <c r="AE228" s="616"/>
      <c r="AF228" s="616"/>
      <c r="AG228" s="616"/>
      <c r="AH228" s="448">
        <f t="shared" si="229"/>
        <v>158568</v>
      </c>
      <c r="AI228" s="449">
        <f t="shared" si="230"/>
        <v>158568</v>
      </c>
      <c r="AJ228" s="450">
        <v>1</v>
      </c>
      <c r="AK228" s="452" t="s">
        <v>494</v>
      </c>
      <c r="AL228" s="447" t="s">
        <v>64</v>
      </c>
      <c r="AM228" s="447" t="s">
        <v>81</v>
      </c>
      <c r="AN228" s="447">
        <v>310100100001000</v>
      </c>
      <c r="AO228" s="305" t="s">
        <v>211</v>
      </c>
      <c r="AP228" s="306" t="s">
        <v>2404</v>
      </c>
      <c r="AQ228" s="306" t="s">
        <v>211</v>
      </c>
      <c r="AR228" s="306" t="s">
        <v>2160</v>
      </c>
      <c r="AS228" s="306" t="s">
        <v>2633</v>
      </c>
      <c r="AT228" s="306" t="s">
        <v>2161</v>
      </c>
      <c r="AU228" s="306" t="str">
        <f t="shared" si="209"/>
        <v>P</v>
      </c>
      <c r="AV228" s="306" t="str">
        <f t="shared" si="210"/>
        <v>Nilo P. Campo</v>
      </c>
      <c r="AW228" s="306" t="str">
        <f t="shared" si="221"/>
        <v>CAMPO, Nilo Palsic</v>
      </c>
      <c r="AX228" s="305" t="s">
        <v>181</v>
      </c>
      <c r="AY228" s="447" t="s">
        <v>62</v>
      </c>
      <c r="AZ228" s="472">
        <v>33776</v>
      </c>
      <c r="BA228" s="101">
        <f t="shared" ca="1" si="231"/>
        <v>33</v>
      </c>
      <c r="BB228" s="492" t="str">
        <f t="shared" ca="1" si="232"/>
        <v>B</v>
      </c>
      <c r="BC228" s="492" t="str">
        <f t="shared" ca="1" si="238"/>
        <v>ApB</v>
      </c>
      <c r="BD228" s="492" t="str">
        <f t="shared" ca="1" si="239"/>
        <v>ApBM</v>
      </c>
      <c r="BE228" s="492" t="str">
        <f t="shared" ca="1" si="228"/>
        <v>ADA4ApBM</v>
      </c>
      <c r="BF228" s="447" t="s">
        <v>2634</v>
      </c>
      <c r="BG228" s="493">
        <v>43193</v>
      </c>
      <c r="BH228" s="493">
        <v>43193</v>
      </c>
      <c r="BI228" s="447">
        <f t="shared" ca="1" si="233"/>
        <v>7</v>
      </c>
      <c r="BJ228" s="447">
        <f t="shared" ca="1" si="213"/>
        <v>7</v>
      </c>
      <c r="BK228" s="493">
        <v>43193</v>
      </c>
      <c r="BL228" s="447">
        <f t="shared" ca="1" si="234"/>
        <v>7</v>
      </c>
      <c r="BM228" s="447" t="s">
        <v>64</v>
      </c>
      <c r="BN228" s="512" t="s">
        <v>102</v>
      </c>
      <c r="BO228" s="423" t="s">
        <v>2763</v>
      </c>
      <c r="BP228" s="513" t="s">
        <v>2635</v>
      </c>
      <c r="BQ228" s="514" t="str">
        <f t="shared" si="227"/>
        <v>1MP</v>
      </c>
    </row>
    <row r="229" spans="1:69" ht="19.95" customHeight="1">
      <c r="A229" s="422" t="s">
        <v>1290</v>
      </c>
      <c r="B229" s="423" t="s">
        <v>455</v>
      </c>
      <c r="C229" s="424">
        <v>4</v>
      </c>
      <c r="D229" s="424" t="s">
        <v>2276</v>
      </c>
      <c r="E229" s="424" t="s">
        <v>265</v>
      </c>
      <c r="F229" s="424" t="s">
        <v>265</v>
      </c>
      <c r="G229" s="424" t="s">
        <v>2279</v>
      </c>
      <c r="H229" s="436" t="s">
        <v>2388</v>
      </c>
      <c r="I229" s="422" t="s">
        <v>2286</v>
      </c>
      <c r="J229" s="421" t="str">
        <f t="shared" si="235"/>
        <v>ADA4BC</v>
      </c>
      <c r="K229" s="421" t="str">
        <f t="shared" si="236"/>
        <v>ADA4BCF</v>
      </c>
      <c r="L229" s="447" t="str">
        <f t="shared" si="237"/>
        <v>BCF</v>
      </c>
      <c r="M229" s="932">
        <v>1</v>
      </c>
      <c r="N229" s="932">
        <v>1</v>
      </c>
      <c r="O229" s="932">
        <v>1</v>
      </c>
      <c r="P229" s="932">
        <v>1</v>
      </c>
      <c r="Q229" s="940"/>
      <c r="R229" s="940"/>
      <c r="S229" s="940"/>
      <c r="T229" s="940"/>
      <c r="U229" s="940"/>
      <c r="V229" s="940"/>
      <c r="W229" s="940"/>
      <c r="X229" s="948"/>
      <c r="Y229" s="948"/>
      <c r="Z229" s="948"/>
      <c r="AA229" s="948"/>
      <c r="AB229" s="948"/>
      <c r="AC229" s="948"/>
      <c r="AD229" s="616"/>
      <c r="AE229" s="616"/>
      <c r="AF229" s="616"/>
      <c r="AG229" s="616"/>
      <c r="AH229" s="448">
        <f t="shared" si="229"/>
        <v>158568</v>
      </c>
      <c r="AI229" s="449">
        <f t="shared" si="230"/>
        <v>161016</v>
      </c>
      <c r="AJ229" s="450">
        <v>3</v>
      </c>
      <c r="AK229" s="452" t="s">
        <v>197</v>
      </c>
      <c r="AL229" s="447" t="s">
        <v>64</v>
      </c>
      <c r="AM229" s="447" t="s">
        <v>81</v>
      </c>
      <c r="AN229" s="447">
        <v>310100100001000</v>
      </c>
      <c r="AO229" s="305" t="s">
        <v>1542</v>
      </c>
      <c r="AP229" s="306" t="s">
        <v>2404</v>
      </c>
      <c r="AQ229" s="305" t="s">
        <v>2637</v>
      </c>
      <c r="AR229" s="305" t="s">
        <v>2014</v>
      </c>
      <c r="AS229" s="305" t="s">
        <v>2015</v>
      </c>
      <c r="AT229" s="305" t="s">
        <v>2016</v>
      </c>
      <c r="AU229" s="306" t="str">
        <f t="shared" si="209"/>
        <v>A</v>
      </c>
      <c r="AV229" s="306" t="str">
        <f t="shared" si="210"/>
        <v>Lilet A. Angawa</v>
      </c>
      <c r="AW229" s="306" t="str">
        <f t="shared" si="221"/>
        <v>ANGAWA, Lilet Ahuday</v>
      </c>
      <c r="AX229" s="305" t="s">
        <v>189</v>
      </c>
      <c r="AY229" s="447" t="s">
        <v>100</v>
      </c>
      <c r="AZ229" s="472">
        <v>32161</v>
      </c>
      <c r="BA229" s="101">
        <f t="shared" ca="1" si="231"/>
        <v>38</v>
      </c>
      <c r="BB229" s="492" t="str">
        <f t="shared" ca="1" si="232"/>
        <v>B</v>
      </c>
      <c r="BC229" s="492" t="str">
        <f t="shared" ca="1" si="238"/>
        <v>BCB</v>
      </c>
      <c r="BD229" s="492" t="str">
        <f t="shared" ca="1" si="239"/>
        <v>BCBF</v>
      </c>
      <c r="BE229" s="492" t="str">
        <f t="shared" ca="1" si="228"/>
        <v>ADA4BCBF</v>
      </c>
      <c r="BF229" s="472" t="s">
        <v>2638</v>
      </c>
      <c r="BG229" s="493">
        <v>40910</v>
      </c>
      <c r="BH229" s="493">
        <v>40910</v>
      </c>
      <c r="BI229" s="447">
        <f t="shared" ca="1" si="233"/>
        <v>14</v>
      </c>
      <c r="BJ229" s="447">
        <f t="shared" ca="1" si="213"/>
        <v>14</v>
      </c>
      <c r="BK229" s="493">
        <v>40910</v>
      </c>
      <c r="BL229" s="447">
        <f t="shared" ca="1" si="234"/>
        <v>14</v>
      </c>
      <c r="BM229" s="447" t="s">
        <v>64</v>
      </c>
      <c r="BN229" s="512" t="s">
        <v>1077</v>
      </c>
      <c r="BO229" s="423" t="s">
        <v>2728</v>
      </c>
      <c r="BP229" s="513"/>
      <c r="BQ229" s="514" t="str">
        <f t="shared" si="227"/>
        <v>1FP</v>
      </c>
    </row>
    <row r="230" spans="1:69" ht="19.95" customHeight="1">
      <c r="A230" s="422" t="s">
        <v>1291</v>
      </c>
      <c r="B230" s="423" t="s">
        <v>2194</v>
      </c>
      <c r="C230" s="424">
        <v>3</v>
      </c>
      <c r="D230" s="424" t="s">
        <v>2284</v>
      </c>
      <c r="E230" s="424" t="s">
        <v>265</v>
      </c>
      <c r="F230" s="424" t="s">
        <v>265</v>
      </c>
      <c r="G230" s="424" t="s">
        <v>2395</v>
      </c>
      <c r="H230" s="424"/>
      <c r="I230" s="422" t="s">
        <v>2396</v>
      </c>
      <c r="J230" s="421" t="str">
        <f t="shared" si="235"/>
        <v>ADA3Ap</v>
      </c>
      <c r="K230" s="421" t="str">
        <f t="shared" si="236"/>
        <v>ADA3ApM</v>
      </c>
      <c r="L230" s="447" t="str">
        <f t="shared" si="237"/>
        <v>ApM</v>
      </c>
      <c r="M230" s="932">
        <v>1</v>
      </c>
      <c r="N230" s="932">
        <v>1</v>
      </c>
      <c r="O230" s="932">
        <v>1</v>
      </c>
      <c r="P230" s="932">
        <v>1</v>
      </c>
      <c r="Q230" s="940"/>
      <c r="R230" s="940"/>
      <c r="S230" s="940"/>
      <c r="T230" s="940"/>
      <c r="U230" s="940"/>
      <c r="V230" s="940"/>
      <c r="W230" s="940"/>
      <c r="X230" s="948"/>
      <c r="Y230" s="948"/>
      <c r="Z230" s="948"/>
      <c r="AA230" s="948"/>
      <c r="AB230" s="948"/>
      <c r="AC230" s="948"/>
      <c r="AD230" s="616"/>
      <c r="AE230" s="616"/>
      <c r="AF230" s="616"/>
      <c r="AG230" s="616"/>
      <c r="AH230" s="448">
        <f t="shared" si="229"/>
        <v>149592</v>
      </c>
      <c r="AI230" s="449">
        <f t="shared" si="230"/>
        <v>155424</v>
      </c>
      <c r="AJ230" s="450">
        <v>6</v>
      </c>
      <c r="AK230" s="452" t="s">
        <v>223</v>
      </c>
      <c r="AL230" s="447" t="s">
        <v>64</v>
      </c>
      <c r="AM230" s="447" t="s">
        <v>81</v>
      </c>
      <c r="AN230" s="447">
        <v>310100100001000</v>
      </c>
      <c r="AO230" s="305" t="s">
        <v>181</v>
      </c>
      <c r="AP230" s="306" t="s">
        <v>2404</v>
      </c>
      <c r="AQ230" s="306" t="s">
        <v>181</v>
      </c>
      <c r="AR230" s="306" t="s">
        <v>1125</v>
      </c>
      <c r="AS230" s="306" t="s">
        <v>1292</v>
      </c>
      <c r="AT230" s="306" t="s">
        <v>2639</v>
      </c>
      <c r="AU230" s="306" t="str">
        <f t="shared" si="209"/>
        <v>dJ</v>
      </c>
      <c r="AV230" s="306" t="str">
        <f t="shared" si="210"/>
        <v>Benelito Dj. Micu</v>
      </c>
      <c r="AW230" s="306" t="str">
        <f t="shared" si="221"/>
        <v>MICU, Benelito de Jesus</v>
      </c>
      <c r="AX230" s="305" t="s">
        <v>181</v>
      </c>
      <c r="AY230" s="447" t="s">
        <v>62</v>
      </c>
      <c r="AZ230" s="472">
        <v>28414</v>
      </c>
      <c r="BA230" s="101">
        <f t="shared" ca="1" si="231"/>
        <v>48</v>
      </c>
      <c r="BB230" s="492" t="str">
        <f t="shared" ca="1" si="232"/>
        <v>C</v>
      </c>
      <c r="BC230" s="492" t="str">
        <f t="shared" ca="1" si="238"/>
        <v>ApC</v>
      </c>
      <c r="BD230" s="492" t="str">
        <f t="shared" ca="1" si="239"/>
        <v>ApCM</v>
      </c>
      <c r="BE230" s="492" t="str">
        <f t="shared" ca="1" si="228"/>
        <v>ADA3ApCM</v>
      </c>
      <c r="BF230" s="447" t="s">
        <v>1294</v>
      </c>
      <c r="BG230" s="493">
        <v>37608</v>
      </c>
      <c r="BH230" s="493">
        <v>37608</v>
      </c>
      <c r="BI230" s="447">
        <f t="shared" ca="1" si="233"/>
        <v>23</v>
      </c>
      <c r="BJ230" s="447">
        <f t="shared" ca="1" si="213"/>
        <v>23</v>
      </c>
      <c r="BK230" s="493">
        <v>37305</v>
      </c>
      <c r="BL230" s="447">
        <f t="shared" ca="1" si="234"/>
        <v>24</v>
      </c>
      <c r="BM230" s="447" t="s">
        <v>2397</v>
      </c>
      <c r="BN230" s="512" t="s">
        <v>1295</v>
      </c>
      <c r="BO230" s="423" t="s">
        <v>2732</v>
      </c>
      <c r="BP230" s="513"/>
      <c r="BQ230" s="514" t="str">
        <f t="shared" si="227"/>
        <v>1MCTI</v>
      </c>
    </row>
    <row r="231" spans="1:69" ht="19.95" customHeight="1">
      <c r="A231" s="422" t="s">
        <v>1297</v>
      </c>
      <c r="B231" s="423" t="s">
        <v>2194</v>
      </c>
      <c r="C231" s="424">
        <v>3</v>
      </c>
      <c r="D231" s="424" t="s">
        <v>2284</v>
      </c>
      <c r="E231" s="424" t="s">
        <v>265</v>
      </c>
      <c r="F231" s="424" t="s">
        <v>265</v>
      </c>
      <c r="G231" s="424" t="s">
        <v>2395</v>
      </c>
      <c r="H231" s="424"/>
      <c r="I231" s="422" t="s">
        <v>2396</v>
      </c>
      <c r="J231" s="421" t="str">
        <f t="shared" si="235"/>
        <v>ADA3Ab</v>
      </c>
      <c r="K231" s="421" t="str">
        <f t="shared" si="236"/>
        <v>ADA3AbM</v>
      </c>
      <c r="L231" s="447" t="str">
        <f t="shared" si="237"/>
        <v>AbM</v>
      </c>
      <c r="M231" s="932">
        <v>1</v>
      </c>
      <c r="N231" s="932">
        <v>1</v>
      </c>
      <c r="O231" s="932">
        <v>1</v>
      </c>
      <c r="P231" s="932">
        <v>1</v>
      </c>
      <c r="Q231" s="940"/>
      <c r="R231" s="940"/>
      <c r="S231" s="940"/>
      <c r="T231" s="940"/>
      <c r="U231" s="940"/>
      <c r="V231" s="940"/>
      <c r="W231" s="940"/>
      <c r="X231" s="948"/>
      <c r="Y231" s="948"/>
      <c r="Z231" s="948"/>
      <c r="AA231" s="948"/>
      <c r="AB231" s="948"/>
      <c r="AC231" s="948"/>
      <c r="AD231" s="616"/>
      <c r="AE231" s="616"/>
      <c r="AF231" s="616"/>
      <c r="AG231" s="616"/>
      <c r="AH231" s="448">
        <f t="shared" si="229"/>
        <v>149592</v>
      </c>
      <c r="AI231" s="449">
        <f t="shared" si="230"/>
        <v>157824</v>
      </c>
      <c r="AJ231" s="450">
        <v>8</v>
      </c>
      <c r="AK231" s="452" t="s">
        <v>465</v>
      </c>
      <c r="AL231" s="447" t="s">
        <v>64</v>
      </c>
      <c r="AM231" s="447" t="s">
        <v>81</v>
      </c>
      <c r="AN231" s="447">
        <v>310100100001000</v>
      </c>
      <c r="AO231" s="305" t="s">
        <v>408</v>
      </c>
      <c r="AP231" s="305" t="s">
        <v>2404</v>
      </c>
      <c r="AQ231" s="306" t="s">
        <v>408</v>
      </c>
      <c r="AR231" s="305" t="s">
        <v>327</v>
      </c>
      <c r="AS231" s="305" t="s">
        <v>711</v>
      </c>
      <c r="AT231" s="305" t="s">
        <v>1912</v>
      </c>
      <c r="AU231" s="306" t="str">
        <f t="shared" si="209"/>
        <v>A</v>
      </c>
      <c r="AV231" s="306" t="str">
        <f t="shared" si="210"/>
        <v>Rolando A. Briones</v>
      </c>
      <c r="AW231" s="306" t="str">
        <f t="shared" si="221"/>
        <v>BRIONES, Rolando Atmosfera</v>
      </c>
      <c r="AX231" s="305" t="s">
        <v>408</v>
      </c>
      <c r="AY231" s="447" t="s">
        <v>62</v>
      </c>
      <c r="AZ231" s="472">
        <v>22999</v>
      </c>
      <c r="BA231" s="101">
        <f t="shared" ca="1" si="231"/>
        <v>63</v>
      </c>
      <c r="BB231" s="492" t="str">
        <f t="shared" ca="1" si="232"/>
        <v>E</v>
      </c>
      <c r="BC231" s="492" t="str">
        <f t="shared" ca="1" si="238"/>
        <v>AbE</v>
      </c>
      <c r="BD231" s="492" t="str">
        <f t="shared" ca="1" si="239"/>
        <v>AbEM</v>
      </c>
      <c r="BE231" s="492" t="str">
        <f t="shared" ca="1" si="228"/>
        <v>ADA3AbEM</v>
      </c>
      <c r="BF231" s="447" t="s">
        <v>1299</v>
      </c>
      <c r="BG231" s="493">
        <v>32580</v>
      </c>
      <c r="BH231" s="493">
        <v>32580</v>
      </c>
      <c r="BI231" s="447">
        <f t="shared" ca="1" si="233"/>
        <v>37</v>
      </c>
      <c r="BJ231" s="447">
        <f t="shared" ca="1" si="213"/>
        <v>37</v>
      </c>
      <c r="BK231" s="493">
        <v>32580</v>
      </c>
      <c r="BL231" s="447">
        <f t="shared" ca="1" si="234"/>
        <v>37</v>
      </c>
      <c r="BM231" s="447" t="s">
        <v>2397</v>
      </c>
      <c r="BN231" s="512" t="s">
        <v>1295</v>
      </c>
      <c r="BO231" s="423" t="s">
        <v>2738</v>
      </c>
      <c r="BP231" s="513"/>
      <c r="BQ231" s="514" t="str">
        <f t="shared" si="227"/>
        <v>1MCTI</v>
      </c>
    </row>
    <row r="232" spans="1:69" ht="19.95" customHeight="1">
      <c r="A232" s="422" t="s">
        <v>1300</v>
      </c>
      <c r="B232" s="423" t="s">
        <v>2194</v>
      </c>
      <c r="C232" s="424">
        <v>3</v>
      </c>
      <c r="D232" s="424" t="s">
        <v>2284</v>
      </c>
      <c r="E232" s="424" t="s">
        <v>265</v>
      </c>
      <c r="F232" s="424" t="s">
        <v>265</v>
      </c>
      <c r="G232" s="424" t="s">
        <v>2395</v>
      </c>
      <c r="H232" s="424"/>
      <c r="I232" s="422" t="s">
        <v>2396</v>
      </c>
      <c r="J232" s="421" t="str">
        <f t="shared" si="235"/>
        <v>Vacant</v>
      </c>
      <c r="K232" s="421" t="str">
        <f t="shared" si="236"/>
        <v>Vacant</v>
      </c>
      <c r="L232" s="447" t="str">
        <f t="shared" si="237"/>
        <v>XXX</v>
      </c>
      <c r="M232" s="932">
        <v>1</v>
      </c>
      <c r="N232" s="932">
        <v>1</v>
      </c>
      <c r="O232" s="932">
        <v>1</v>
      </c>
      <c r="P232" s="932">
        <v>1</v>
      </c>
      <c r="Q232" s="940"/>
      <c r="R232" s="940"/>
      <c r="S232" s="940"/>
      <c r="T232" s="940"/>
      <c r="U232" s="940"/>
      <c r="V232" s="940"/>
      <c r="W232" s="940"/>
      <c r="X232" s="948"/>
      <c r="Y232" s="948"/>
      <c r="Z232" s="948"/>
      <c r="AA232" s="948"/>
      <c r="AB232" s="948"/>
      <c r="AC232" s="948"/>
      <c r="AD232" s="616"/>
      <c r="AE232" s="616"/>
      <c r="AF232" s="616"/>
      <c r="AG232" s="616"/>
      <c r="AH232" s="448">
        <f t="shared" ref="AH232:AH239" si="240">VLOOKUP(C232,idica,2,FALSE)*12</f>
        <v>149592</v>
      </c>
      <c r="AI232" s="449">
        <f t="shared" ref="AI232:AI239" si="241">(SUMPRODUCT((norman=C232)*(grace=AJ232)*(barnachea)))*12</f>
        <v>0</v>
      </c>
      <c r="AJ232" s="450">
        <v>0</v>
      </c>
      <c r="AK232" s="452" t="s">
        <v>197</v>
      </c>
      <c r="AL232" s="447" t="s">
        <v>64</v>
      </c>
      <c r="AM232" s="447" t="s">
        <v>81</v>
      </c>
      <c r="AN232" s="447">
        <v>310100100001000</v>
      </c>
      <c r="AO232" s="306"/>
      <c r="AP232" s="306"/>
      <c r="AQ232" s="306"/>
      <c r="AR232" s="306"/>
      <c r="AS232" s="306"/>
      <c r="AT232" s="306"/>
      <c r="AU232" s="306" t="str">
        <f t="shared" si="209"/>
        <v/>
      </c>
      <c r="AV232" s="306" t="str">
        <f t="shared" si="210"/>
        <v xml:space="preserve"> . </v>
      </c>
      <c r="AW232" s="306" t="s">
        <v>2640</v>
      </c>
      <c r="AX232" s="305"/>
      <c r="AY232" s="447"/>
      <c r="AZ232" s="472"/>
      <c r="BA232" s="101">
        <f t="shared" ref="BA232:BA240" ca="1" si="242">DATEDIF(AZ232,TODAY(),"Y")</f>
        <v>126</v>
      </c>
      <c r="BB232" s="492" t="str">
        <f t="shared" ref="BB232:BB240" ca="1" si="243">IF(BA232&lt;30,"A",IF(BA232&lt;40,"B",IF(BA232&lt;50,"C",IF(BA232&lt;60,"D",IF(BA232&lt;65,"E","VACANT")))))</f>
        <v>VACANT</v>
      </c>
      <c r="BC232" s="492" t="str">
        <f t="shared" si="238"/>
        <v>XXX</v>
      </c>
      <c r="BD232" s="492" t="str">
        <f t="shared" si="239"/>
        <v>XXX</v>
      </c>
      <c r="BE232" s="492" t="str">
        <f t="shared" si="228"/>
        <v>ADA3XXX</v>
      </c>
      <c r="BF232" s="447"/>
      <c r="BG232" s="493"/>
      <c r="BH232" s="493"/>
      <c r="BI232" s="447">
        <f t="shared" ref="BI232:BI240" ca="1" si="244">DATEDIF(BG232,TODAY(),"Y")</f>
        <v>126</v>
      </c>
      <c r="BJ232" s="447">
        <f t="shared" ca="1" si="213"/>
        <v>126</v>
      </c>
      <c r="BK232" s="493"/>
      <c r="BL232" s="447">
        <f t="shared" ref="BL232:BL240" ca="1" si="245">DATEDIF(BK232,TODAY(),"Y")</f>
        <v>126</v>
      </c>
      <c r="BM232" s="447"/>
      <c r="BN232" s="512"/>
      <c r="BO232" s="423"/>
      <c r="BP232" s="513"/>
      <c r="BQ232" s="514" t="str">
        <f t="shared" si="227"/>
        <v>1</v>
      </c>
    </row>
    <row r="233" spans="1:69" ht="19.95" customHeight="1">
      <c r="A233" s="422" t="s">
        <v>1305</v>
      </c>
      <c r="B233" s="423" t="s">
        <v>2194</v>
      </c>
      <c r="C233" s="424">
        <v>3</v>
      </c>
      <c r="D233" s="424" t="s">
        <v>2284</v>
      </c>
      <c r="E233" s="424" t="s">
        <v>265</v>
      </c>
      <c r="F233" s="424" t="s">
        <v>265</v>
      </c>
      <c r="G233" s="424" t="s">
        <v>2395</v>
      </c>
      <c r="H233" s="424"/>
      <c r="I233" s="422" t="s">
        <v>2396</v>
      </c>
      <c r="J233" s="421" t="str">
        <f t="shared" si="235"/>
        <v>Vacant</v>
      </c>
      <c r="K233" s="421" t="str">
        <f t="shared" si="236"/>
        <v>Vacant</v>
      </c>
      <c r="L233" s="447" t="str">
        <f t="shared" si="237"/>
        <v>XXX</v>
      </c>
      <c r="M233" s="932">
        <v>1</v>
      </c>
      <c r="N233" s="932">
        <v>1</v>
      </c>
      <c r="O233" s="932">
        <v>1</v>
      </c>
      <c r="P233" s="932">
        <v>1</v>
      </c>
      <c r="Q233" s="940"/>
      <c r="R233" s="940"/>
      <c r="S233" s="940"/>
      <c r="T233" s="940"/>
      <c r="U233" s="940"/>
      <c r="V233" s="940"/>
      <c r="W233" s="940"/>
      <c r="X233" s="948"/>
      <c r="Y233" s="948"/>
      <c r="Z233" s="948"/>
      <c r="AA233" s="948"/>
      <c r="AB233" s="948"/>
      <c r="AC233" s="948"/>
      <c r="AD233" s="616"/>
      <c r="AE233" s="616"/>
      <c r="AF233" s="616"/>
      <c r="AG233" s="616"/>
      <c r="AH233" s="448">
        <f t="shared" si="240"/>
        <v>149592</v>
      </c>
      <c r="AI233" s="449">
        <f t="shared" si="241"/>
        <v>0</v>
      </c>
      <c r="AJ233" s="450">
        <v>0</v>
      </c>
      <c r="AK233" s="452" t="s">
        <v>352</v>
      </c>
      <c r="AL233" s="447" t="s">
        <v>64</v>
      </c>
      <c r="AM233" s="447" t="s">
        <v>81</v>
      </c>
      <c r="AN233" s="447">
        <v>310100100001000</v>
      </c>
      <c r="AO233" s="306"/>
      <c r="AP233" s="306"/>
      <c r="AQ233" s="306"/>
      <c r="AR233" s="306"/>
      <c r="AS233" s="306"/>
      <c r="AT233" s="306"/>
      <c r="AU233" s="306" t="str">
        <f t="shared" si="209"/>
        <v/>
      </c>
      <c r="AV233" s="306" t="str">
        <f t="shared" si="210"/>
        <v xml:space="preserve"> . </v>
      </c>
      <c r="AW233" s="306" t="s">
        <v>2641</v>
      </c>
      <c r="AX233" s="305"/>
      <c r="AY233" s="447"/>
      <c r="AZ233" s="472"/>
      <c r="BA233" s="101">
        <f t="shared" ca="1" si="242"/>
        <v>126</v>
      </c>
      <c r="BB233" s="492" t="str">
        <f t="shared" ca="1" si="243"/>
        <v>VACANT</v>
      </c>
      <c r="BC233" s="492" t="str">
        <f t="shared" si="238"/>
        <v>XXX</v>
      </c>
      <c r="BD233" s="492" t="str">
        <f t="shared" si="239"/>
        <v>XXX</v>
      </c>
      <c r="BE233" s="492" t="str">
        <f t="shared" si="228"/>
        <v>ADA3XXX</v>
      </c>
      <c r="BF233" s="447"/>
      <c r="BG233" s="493"/>
      <c r="BH233" s="493"/>
      <c r="BI233" s="447">
        <f t="shared" ca="1" si="244"/>
        <v>126</v>
      </c>
      <c r="BJ233" s="447">
        <f t="shared" ca="1" si="213"/>
        <v>126</v>
      </c>
      <c r="BK233" s="493"/>
      <c r="BL233" s="447">
        <f t="shared" ca="1" si="245"/>
        <v>126</v>
      </c>
      <c r="BM233" s="447"/>
      <c r="BN233" s="512"/>
      <c r="BO233" s="423"/>
      <c r="BP233" s="513"/>
      <c r="BQ233" s="514" t="str">
        <f t="shared" si="227"/>
        <v>1</v>
      </c>
    </row>
    <row r="234" spans="1:69" ht="19.95" customHeight="1">
      <c r="A234" s="422" t="s">
        <v>1327</v>
      </c>
      <c r="B234" s="423" t="s">
        <v>1332</v>
      </c>
      <c r="C234" s="424">
        <v>2</v>
      </c>
      <c r="D234" s="424" t="s">
        <v>2284</v>
      </c>
      <c r="E234" s="424" t="s">
        <v>265</v>
      </c>
      <c r="F234" s="424" t="s">
        <v>265</v>
      </c>
      <c r="G234" s="424" t="s">
        <v>2285</v>
      </c>
      <c r="H234" s="424"/>
      <c r="I234" s="422" t="s">
        <v>2642</v>
      </c>
      <c r="J234" s="421" t="str">
        <f t="shared" si="235"/>
        <v>ADA2K</v>
      </c>
      <c r="K234" s="421" t="str">
        <f t="shared" si="236"/>
        <v>ADA2KM</v>
      </c>
      <c r="L234" s="447" t="str">
        <f t="shared" si="237"/>
        <v>KM</v>
      </c>
      <c r="M234" s="932">
        <v>1</v>
      </c>
      <c r="N234" s="932">
        <v>1</v>
      </c>
      <c r="O234" s="932">
        <v>1</v>
      </c>
      <c r="P234" s="932">
        <v>1</v>
      </c>
      <c r="Q234" s="940"/>
      <c r="R234" s="940"/>
      <c r="S234" s="940"/>
      <c r="T234" s="940"/>
      <c r="U234" s="940"/>
      <c r="V234" s="940"/>
      <c r="W234" s="940"/>
      <c r="X234" s="948"/>
      <c r="Y234" s="948"/>
      <c r="Z234" s="948"/>
      <c r="AA234" s="948"/>
      <c r="AB234" s="948"/>
      <c r="AC234" s="948"/>
      <c r="AD234" s="616"/>
      <c r="AE234" s="616"/>
      <c r="AF234" s="616"/>
      <c r="AG234" s="616"/>
      <c r="AH234" s="448">
        <f t="shared" si="240"/>
        <v>141132</v>
      </c>
      <c r="AI234" s="449">
        <f t="shared" si="241"/>
        <v>148884</v>
      </c>
      <c r="AJ234" s="447">
        <v>8</v>
      </c>
      <c r="AK234" s="452" t="s">
        <v>494</v>
      </c>
      <c r="AL234" s="447" t="s">
        <v>64</v>
      </c>
      <c r="AM234" s="447" t="s">
        <v>81</v>
      </c>
      <c r="AN234" s="447">
        <v>310100100001000</v>
      </c>
      <c r="AO234" s="305" t="s">
        <v>211</v>
      </c>
      <c r="AP234" s="306" t="s">
        <v>2404</v>
      </c>
      <c r="AQ234" s="306" t="s">
        <v>211</v>
      </c>
      <c r="AR234" s="305" t="s">
        <v>1328</v>
      </c>
      <c r="AS234" s="305" t="s">
        <v>521</v>
      </c>
      <c r="AT234" s="305" t="s">
        <v>1927</v>
      </c>
      <c r="AU234" s="306" t="str">
        <f t="shared" si="209"/>
        <v>F</v>
      </c>
      <c r="AV234" s="306" t="str">
        <f t="shared" si="210"/>
        <v>Marvin F. Fernando</v>
      </c>
      <c r="AW234" s="306" t="str">
        <f t="shared" ref="AW234" si="246">CONCATENATE(AR234,", ",AS234," ",AT234)</f>
        <v>FERNANDO, Marvin Flores</v>
      </c>
      <c r="AX234" s="305" t="s">
        <v>211</v>
      </c>
      <c r="AY234" s="447" t="s">
        <v>62</v>
      </c>
      <c r="AZ234" s="472">
        <v>23494</v>
      </c>
      <c r="BA234" s="101">
        <f t="shared" ca="1" si="242"/>
        <v>61</v>
      </c>
      <c r="BB234" s="492" t="str">
        <f t="shared" ca="1" si="243"/>
        <v>E</v>
      </c>
      <c r="BC234" s="492" t="str">
        <f t="shared" ca="1" si="238"/>
        <v>KE</v>
      </c>
      <c r="BD234" s="492" t="str">
        <f t="shared" ca="1" si="239"/>
        <v>KEM</v>
      </c>
      <c r="BE234" s="492" t="str">
        <f t="shared" ca="1" si="228"/>
        <v>ADA2KEM</v>
      </c>
      <c r="BF234" s="447" t="s">
        <v>2643</v>
      </c>
      <c r="BG234" s="493">
        <v>33175</v>
      </c>
      <c r="BH234" s="493">
        <v>33175</v>
      </c>
      <c r="BI234" s="447">
        <f t="shared" ca="1" si="244"/>
        <v>35</v>
      </c>
      <c r="BJ234" s="447">
        <f t="shared" ca="1" si="213"/>
        <v>35</v>
      </c>
      <c r="BK234" s="493">
        <v>33175</v>
      </c>
      <c r="BL234" s="447">
        <f t="shared" ca="1" si="245"/>
        <v>35</v>
      </c>
      <c r="BM234" s="447" t="s">
        <v>64</v>
      </c>
      <c r="BN234" s="512" t="s">
        <v>1331</v>
      </c>
      <c r="BO234" s="423" t="s">
        <v>3396</v>
      </c>
      <c r="BP234" s="513"/>
      <c r="BQ234" s="514" t="str">
        <f t="shared" si="227"/>
        <v>1MP</v>
      </c>
    </row>
    <row r="235" spans="1:69" ht="19.95" customHeight="1">
      <c r="A235" s="422" t="s">
        <v>1353</v>
      </c>
      <c r="B235" s="423" t="s">
        <v>2196</v>
      </c>
      <c r="C235" s="424">
        <v>1</v>
      </c>
      <c r="D235" s="424" t="s">
        <v>2644</v>
      </c>
      <c r="E235" s="424" t="s">
        <v>265</v>
      </c>
      <c r="F235" s="424" t="s">
        <v>265</v>
      </c>
      <c r="G235" s="424" t="s">
        <v>2285</v>
      </c>
      <c r="H235" s="424"/>
      <c r="I235" s="422" t="s">
        <v>2645</v>
      </c>
      <c r="J235" s="421" t="str">
        <f t="shared" si="235"/>
        <v>Vacant</v>
      </c>
      <c r="K235" s="421" t="str">
        <f t="shared" si="236"/>
        <v>Vacant</v>
      </c>
      <c r="L235" s="447" t="str">
        <f t="shared" si="237"/>
        <v>XXX</v>
      </c>
      <c r="M235" s="932">
        <v>1</v>
      </c>
      <c r="N235" s="932">
        <v>1</v>
      </c>
      <c r="O235" s="932">
        <v>1</v>
      </c>
      <c r="P235" s="932">
        <v>1</v>
      </c>
      <c r="Q235" s="940"/>
      <c r="R235" s="940"/>
      <c r="S235" s="940"/>
      <c r="T235" s="940"/>
      <c r="U235" s="940"/>
      <c r="V235" s="940"/>
      <c r="W235" s="940"/>
      <c r="X235" s="948"/>
      <c r="Y235" s="948"/>
      <c r="Z235" s="948"/>
      <c r="AA235" s="948"/>
      <c r="AB235" s="948"/>
      <c r="AC235" s="948"/>
      <c r="AD235" s="616"/>
      <c r="AE235" s="616"/>
      <c r="AF235" s="616"/>
      <c r="AG235" s="616"/>
      <c r="AH235" s="448">
        <f t="shared" si="240"/>
        <v>132816</v>
      </c>
      <c r="AI235" s="449">
        <f t="shared" si="241"/>
        <v>0</v>
      </c>
      <c r="AJ235" s="447">
        <v>0</v>
      </c>
      <c r="AK235" s="452" t="s">
        <v>197</v>
      </c>
      <c r="AL235" s="447" t="s">
        <v>64</v>
      </c>
      <c r="AM235" s="447" t="s">
        <v>81</v>
      </c>
      <c r="AN235" s="447">
        <v>310100100001000</v>
      </c>
      <c r="AO235" s="305" t="s">
        <v>167</v>
      </c>
      <c r="AP235" s="306" t="s">
        <v>2404</v>
      </c>
      <c r="AQ235" s="306" t="s">
        <v>167</v>
      </c>
      <c r="AR235" s="306"/>
      <c r="AS235" s="306"/>
      <c r="AT235" s="306"/>
      <c r="AU235" s="306" t="str">
        <f t="shared" si="209"/>
        <v/>
      </c>
      <c r="AV235" s="306" t="str">
        <f t="shared" si="210"/>
        <v xml:space="preserve"> . </v>
      </c>
      <c r="AW235" s="306" t="s">
        <v>2646</v>
      </c>
      <c r="AX235" s="305"/>
      <c r="AY235" s="447"/>
      <c r="AZ235" s="472"/>
      <c r="BA235" s="101">
        <f t="shared" ca="1" si="242"/>
        <v>126</v>
      </c>
      <c r="BB235" s="492" t="str">
        <f t="shared" ca="1" si="243"/>
        <v>VACANT</v>
      </c>
      <c r="BC235" s="492" t="str">
        <f t="shared" si="238"/>
        <v>XXX</v>
      </c>
      <c r="BD235" s="492" t="str">
        <f t="shared" si="239"/>
        <v>XXX</v>
      </c>
      <c r="BE235" s="492" t="str">
        <f t="shared" si="228"/>
        <v>ADA1XXX</v>
      </c>
      <c r="BF235" s="447"/>
      <c r="BG235" s="493"/>
      <c r="BH235" s="493"/>
      <c r="BI235" s="447"/>
      <c r="BJ235" s="447"/>
      <c r="BK235" s="493"/>
      <c r="BL235" s="447"/>
      <c r="BM235" s="447"/>
      <c r="BN235" s="512"/>
      <c r="BO235" s="423"/>
      <c r="BP235" s="513"/>
      <c r="BQ235" s="514" t="str">
        <f t="shared" si="227"/>
        <v>1</v>
      </c>
    </row>
    <row r="236" spans="1:69" ht="19.95" customHeight="1">
      <c r="A236" s="422" t="s">
        <v>1358</v>
      </c>
      <c r="B236" s="423" t="s">
        <v>2196</v>
      </c>
      <c r="C236" s="424">
        <v>1</v>
      </c>
      <c r="D236" s="424" t="s">
        <v>2644</v>
      </c>
      <c r="E236" s="424" t="s">
        <v>265</v>
      </c>
      <c r="F236" s="424" t="s">
        <v>265</v>
      </c>
      <c r="G236" s="424" t="s">
        <v>2285</v>
      </c>
      <c r="H236" s="424"/>
      <c r="I236" s="422" t="s">
        <v>2645</v>
      </c>
      <c r="J236" s="421" t="str">
        <f t="shared" si="235"/>
        <v>ADA1Ap</v>
      </c>
      <c r="K236" s="421" t="str">
        <f t="shared" si="236"/>
        <v>ADA1ApF</v>
      </c>
      <c r="L236" s="447" t="str">
        <f t="shared" si="237"/>
        <v>ApF</v>
      </c>
      <c r="M236" s="932">
        <v>1</v>
      </c>
      <c r="N236" s="932">
        <v>1</v>
      </c>
      <c r="O236" s="932">
        <v>1</v>
      </c>
      <c r="P236" s="932">
        <v>1</v>
      </c>
      <c r="Q236" s="940"/>
      <c r="R236" s="940"/>
      <c r="S236" s="940"/>
      <c r="T236" s="940"/>
      <c r="U236" s="940"/>
      <c r="V236" s="940"/>
      <c r="W236" s="940"/>
      <c r="X236" s="948"/>
      <c r="Y236" s="948"/>
      <c r="Z236" s="948"/>
      <c r="AA236" s="948"/>
      <c r="AB236" s="948"/>
      <c r="AC236" s="948"/>
      <c r="AD236" s="616"/>
      <c r="AE236" s="616"/>
      <c r="AF236" s="616"/>
      <c r="AG236" s="616"/>
      <c r="AH236" s="448">
        <f t="shared" si="240"/>
        <v>132816</v>
      </c>
      <c r="AI236" s="449">
        <f t="shared" si="241"/>
        <v>140784</v>
      </c>
      <c r="AJ236" s="447">
        <v>8</v>
      </c>
      <c r="AK236" s="452" t="s">
        <v>223</v>
      </c>
      <c r="AL236" s="447" t="s">
        <v>64</v>
      </c>
      <c r="AM236" s="447" t="s">
        <v>81</v>
      </c>
      <c r="AN236" s="447">
        <v>310100100001000</v>
      </c>
      <c r="AO236" s="305" t="s">
        <v>181</v>
      </c>
      <c r="AP236" s="306" t="s">
        <v>2404</v>
      </c>
      <c r="AQ236" s="306" t="s">
        <v>181</v>
      </c>
      <c r="AR236" s="305" t="s">
        <v>1359</v>
      </c>
      <c r="AS236" s="305" t="s">
        <v>1360</v>
      </c>
      <c r="AT236" s="305" t="s">
        <v>1953</v>
      </c>
      <c r="AU236" s="306" t="str">
        <f t="shared" si="209"/>
        <v>M</v>
      </c>
      <c r="AV236" s="306" t="str">
        <f t="shared" si="210"/>
        <v>Merlyn M. Dangel</v>
      </c>
      <c r="AW236" s="306" t="str">
        <f t="shared" ref="AW236:AW238" si="247">CONCATENATE(AR236,", ",AS236," ",AT236)</f>
        <v>DANGEL, Merlyn Majuray</v>
      </c>
      <c r="AX236" s="305" t="s">
        <v>181</v>
      </c>
      <c r="AY236" s="447" t="s">
        <v>100</v>
      </c>
      <c r="AZ236" s="472">
        <v>20040</v>
      </c>
      <c r="BA236" s="101">
        <f t="shared" ca="1" si="242"/>
        <v>71</v>
      </c>
      <c r="BB236" s="492" t="str">
        <f t="shared" ca="1" si="243"/>
        <v>VACANT</v>
      </c>
      <c r="BC236" s="492" t="str">
        <f t="shared" ca="1" si="238"/>
        <v>VACANT</v>
      </c>
      <c r="BD236" s="492" t="str">
        <f t="shared" ca="1" si="239"/>
        <v>VACANTF</v>
      </c>
      <c r="BE236" s="492" t="str">
        <f t="shared" ca="1" si="228"/>
        <v>ADA1VACANTF</v>
      </c>
      <c r="BF236" s="447" t="s">
        <v>1362</v>
      </c>
      <c r="BG236" s="493">
        <v>35254</v>
      </c>
      <c r="BH236" s="493">
        <v>35254</v>
      </c>
      <c r="BI236" s="447">
        <f t="shared" ca="1" si="244"/>
        <v>29</v>
      </c>
      <c r="BJ236" s="447">
        <f t="shared" ref="BJ236:BJ240" ca="1" si="248">DATEDIF(BH236,TODAY(),"Y")</f>
        <v>29</v>
      </c>
      <c r="BK236" s="493">
        <v>35254</v>
      </c>
      <c r="BL236" s="447">
        <f t="shared" ca="1" si="245"/>
        <v>29</v>
      </c>
      <c r="BM236" s="447" t="s">
        <v>2397</v>
      </c>
      <c r="BN236" s="512" t="s">
        <v>138</v>
      </c>
      <c r="BO236" s="423" t="s">
        <v>3396</v>
      </c>
      <c r="BP236" s="513"/>
      <c r="BQ236" s="514" t="str">
        <f t="shared" si="227"/>
        <v>1FCTI</v>
      </c>
    </row>
    <row r="237" spans="1:69" ht="19.95" customHeight="1">
      <c r="A237" s="422" t="s">
        <v>1363</v>
      </c>
      <c r="B237" s="423" t="s">
        <v>2196</v>
      </c>
      <c r="C237" s="424">
        <v>1</v>
      </c>
      <c r="D237" s="424" t="s">
        <v>2644</v>
      </c>
      <c r="E237" s="424" t="s">
        <v>265</v>
      </c>
      <c r="F237" s="424" t="s">
        <v>265</v>
      </c>
      <c r="G237" s="424" t="s">
        <v>2285</v>
      </c>
      <c r="H237" s="424"/>
      <c r="I237" s="422" t="s">
        <v>2645</v>
      </c>
      <c r="J237" s="421" t="str">
        <f t="shared" si="235"/>
        <v>ADA1MP</v>
      </c>
      <c r="K237" s="421" t="str">
        <f t="shared" si="236"/>
        <v>ADA1MPM</v>
      </c>
      <c r="L237" s="447" t="str">
        <f t="shared" si="237"/>
        <v>MPM</v>
      </c>
      <c r="M237" s="932">
        <v>1</v>
      </c>
      <c r="N237" s="932">
        <v>1</v>
      </c>
      <c r="O237" s="932">
        <v>1</v>
      </c>
      <c r="P237" s="932">
        <v>1</v>
      </c>
      <c r="Q237" s="940"/>
      <c r="R237" s="940"/>
      <c r="S237" s="940"/>
      <c r="T237" s="940"/>
      <c r="U237" s="940"/>
      <c r="V237" s="940"/>
      <c r="W237" s="940"/>
      <c r="X237" s="948"/>
      <c r="Y237" s="948"/>
      <c r="Z237" s="948"/>
      <c r="AA237" s="948"/>
      <c r="AB237" s="948"/>
      <c r="AC237" s="948"/>
      <c r="AD237" s="616"/>
      <c r="AE237" s="616"/>
      <c r="AF237" s="616"/>
      <c r="AG237" s="616"/>
      <c r="AH237" s="448">
        <f t="shared" si="240"/>
        <v>132816</v>
      </c>
      <c r="AI237" s="449">
        <f t="shared" si="241"/>
        <v>139620</v>
      </c>
      <c r="AJ237" s="450">
        <v>7</v>
      </c>
      <c r="AK237" s="452" t="s">
        <v>352</v>
      </c>
      <c r="AL237" s="447" t="s">
        <v>64</v>
      </c>
      <c r="AM237" s="447" t="s">
        <v>81</v>
      </c>
      <c r="AN237" s="447">
        <v>310100100001000</v>
      </c>
      <c r="AO237" s="305" t="s">
        <v>268</v>
      </c>
      <c r="AP237" s="306" t="s">
        <v>2404</v>
      </c>
      <c r="AQ237" s="306" t="s">
        <v>268</v>
      </c>
      <c r="AR237" s="306" t="s">
        <v>1364</v>
      </c>
      <c r="AS237" s="306" t="s">
        <v>1365</v>
      </c>
      <c r="AT237" s="306" t="s">
        <v>1979</v>
      </c>
      <c r="AU237" s="306" t="str">
        <f t="shared" si="209"/>
        <v>F</v>
      </c>
      <c r="AV237" s="306" t="str">
        <f t="shared" si="210"/>
        <v>Wilmon F. Lomas-E</v>
      </c>
      <c r="AW237" s="306" t="str">
        <f t="shared" si="247"/>
        <v>LOMAS-E, Wilmon Finotton</v>
      </c>
      <c r="AX237" s="305" t="s">
        <v>268</v>
      </c>
      <c r="AY237" s="447" t="s">
        <v>62</v>
      </c>
      <c r="AZ237" s="472">
        <v>21829</v>
      </c>
      <c r="BA237" s="101">
        <f t="shared" ca="1" si="242"/>
        <v>66</v>
      </c>
      <c r="BB237" s="492" t="str">
        <f t="shared" ca="1" si="243"/>
        <v>VACANT</v>
      </c>
      <c r="BC237" s="492" t="str">
        <f t="shared" ca="1" si="238"/>
        <v>VACANT</v>
      </c>
      <c r="BD237" s="492" t="str">
        <f t="shared" ca="1" si="239"/>
        <v>VACANTM</v>
      </c>
      <c r="BE237" s="492" t="str">
        <f t="shared" ca="1" si="228"/>
        <v>ADA1VACANTM</v>
      </c>
      <c r="BF237" s="447" t="s">
        <v>2647</v>
      </c>
      <c r="BG237" s="493">
        <v>36356</v>
      </c>
      <c r="BH237" s="493">
        <v>36356</v>
      </c>
      <c r="BI237" s="447">
        <f t="shared" ca="1" si="244"/>
        <v>26</v>
      </c>
      <c r="BJ237" s="447">
        <f t="shared" ca="1" si="248"/>
        <v>26</v>
      </c>
      <c r="BK237" s="493">
        <v>36356</v>
      </c>
      <c r="BL237" s="447">
        <f t="shared" ca="1" si="245"/>
        <v>26</v>
      </c>
      <c r="BM237" s="447" t="s">
        <v>2397</v>
      </c>
      <c r="BN237" s="512" t="s">
        <v>138</v>
      </c>
      <c r="BO237" s="423" t="s">
        <v>2730</v>
      </c>
      <c r="BP237" s="513"/>
      <c r="BQ237" s="514" t="str">
        <f t="shared" si="227"/>
        <v>1MCTI</v>
      </c>
    </row>
    <row r="238" spans="1:69" ht="19.95" customHeight="1">
      <c r="A238" s="422" t="s">
        <v>1372</v>
      </c>
      <c r="B238" s="423" t="s">
        <v>2196</v>
      </c>
      <c r="C238" s="424">
        <v>1</v>
      </c>
      <c r="D238" s="424" t="s">
        <v>2644</v>
      </c>
      <c r="E238" s="424" t="s">
        <v>265</v>
      </c>
      <c r="F238" s="424" t="s">
        <v>265</v>
      </c>
      <c r="G238" s="424" t="s">
        <v>2285</v>
      </c>
      <c r="H238" s="424"/>
      <c r="I238" s="422" t="s">
        <v>2645</v>
      </c>
      <c r="J238" s="421" t="str">
        <f t="shared" si="235"/>
        <v>ADA1K</v>
      </c>
      <c r="K238" s="421" t="str">
        <f t="shared" si="236"/>
        <v>ADA1KM</v>
      </c>
      <c r="L238" s="447" t="str">
        <f t="shared" si="237"/>
        <v>KM</v>
      </c>
      <c r="M238" s="932">
        <v>1</v>
      </c>
      <c r="N238" s="932">
        <v>1</v>
      </c>
      <c r="O238" s="932">
        <v>1</v>
      </c>
      <c r="P238" s="932">
        <v>1</v>
      </c>
      <c r="Q238" s="940"/>
      <c r="R238" s="940"/>
      <c r="S238" s="940"/>
      <c r="T238" s="940"/>
      <c r="U238" s="940"/>
      <c r="V238" s="940"/>
      <c r="W238" s="940"/>
      <c r="X238" s="948"/>
      <c r="Y238" s="948"/>
      <c r="Z238" s="948"/>
      <c r="AA238" s="948"/>
      <c r="AB238" s="948"/>
      <c r="AC238" s="948"/>
      <c r="AD238" s="616"/>
      <c r="AE238" s="616"/>
      <c r="AF238" s="616"/>
      <c r="AG238" s="616"/>
      <c r="AH238" s="448">
        <f t="shared" si="240"/>
        <v>132816</v>
      </c>
      <c r="AI238" s="449">
        <f t="shared" si="241"/>
        <v>140784</v>
      </c>
      <c r="AJ238" s="450">
        <v>8</v>
      </c>
      <c r="AK238" s="452" t="s">
        <v>494</v>
      </c>
      <c r="AL238" s="447" t="s">
        <v>64</v>
      </c>
      <c r="AM238" s="447" t="s">
        <v>81</v>
      </c>
      <c r="AN238" s="447">
        <v>310100100001000</v>
      </c>
      <c r="AO238" s="305" t="s">
        <v>211</v>
      </c>
      <c r="AP238" s="306" t="s">
        <v>2404</v>
      </c>
      <c r="AQ238" s="306" t="s">
        <v>211</v>
      </c>
      <c r="AR238" s="306" t="s">
        <v>1373</v>
      </c>
      <c r="AS238" s="306" t="s">
        <v>1374</v>
      </c>
      <c r="AT238" s="306" t="s">
        <v>1930</v>
      </c>
      <c r="AU238" s="306" t="str">
        <f t="shared" si="209"/>
        <v>M</v>
      </c>
      <c r="AV238" s="306" t="str">
        <f t="shared" si="210"/>
        <v>Nelson M. Kibayen</v>
      </c>
      <c r="AW238" s="306" t="str">
        <f t="shared" si="247"/>
        <v>KIBAYEN, Nelson Malnawan</v>
      </c>
      <c r="AX238" s="305" t="s">
        <v>211</v>
      </c>
      <c r="AY238" s="447" t="s">
        <v>62</v>
      </c>
      <c r="AZ238" s="472">
        <v>22444</v>
      </c>
      <c r="BA238" s="101">
        <f t="shared" ca="1" si="242"/>
        <v>64</v>
      </c>
      <c r="BB238" s="492" t="str">
        <f t="shared" ca="1" si="243"/>
        <v>E</v>
      </c>
      <c r="BC238" s="492" t="str">
        <f t="shared" ca="1" si="238"/>
        <v>KE</v>
      </c>
      <c r="BD238" s="492" t="str">
        <f t="shared" ca="1" si="239"/>
        <v>KEM</v>
      </c>
      <c r="BE238" s="492" t="str">
        <f t="shared" ca="1" si="228"/>
        <v>ADA1KEM</v>
      </c>
      <c r="BF238" s="447" t="s">
        <v>1376</v>
      </c>
      <c r="BG238" s="493">
        <v>34408</v>
      </c>
      <c r="BH238" s="493">
        <v>34408</v>
      </c>
      <c r="BI238" s="447">
        <f t="shared" ca="1" si="244"/>
        <v>32</v>
      </c>
      <c r="BJ238" s="447">
        <f t="shared" ca="1" si="248"/>
        <v>32</v>
      </c>
      <c r="BK238" s="493">
        <v>34408</v>
      </c>
      <c r="BL238" s="447">
        <f t="shared" ca="1" si="245"/>
        <v>32</v>
      </c>
      <c r="BM238" s="447" t="s">
        <v>2397</v>
      </c>
      <c r="BN238" s="512" t="s">
        <v>138</v>
      </c>
      <c r="BO238" s="423" t="s">
        <v>3396</v>
      </c>
      <c r="BP238" s="513"/>
      <c r="BQ238" s="514" t="str">
        <f t="shared" si="227"/>
        <v>1MCTI</v>
      </c>
    </row>
    <row r="239" spans="1:69" ht="19.95" customHeight="1">
      <c r="A239" s="422" t="s">
        <v>1377</v>
      </c>
      <c r="B239" s="423" t="s">
        <v>2196</v>
      </c>
      <c r="C239" s="424">
        <v>1</v>
      </c>
      <c r="D239" s="424" t="s">
        <v>2644</v>
      </c>
      <c r="E239" s="424" t="s">
        <v>265</v>
      </c>
      <c r="F239" s="424" t="s">
        <v>265</v>
      </c>
      <c r="G239" s="424" t="s">
        <v>2285</v>
      </c>
      <c r="H239" s="550"/>
      <c r="I239" s="564" t="s">
        <v>2645</v>
      </c>
      <c r="J239" s="421" t="str">
        <f t="shared" si="235"/>
        <v>Vacant</v>
      </c>
      <c r="K239" s="421" t="str">
        <f t="shared" si="236"/>
        <v>Vacant</v>
      </c>
      <c r="L239" s="447" t="str">
        <f t="shared" si="237"/>
        <v>XXX</v>
      </c>
      <c r="M239" s="932">
        <v>1</v>
      </c>
      <c r="N239" s="932">
        <v>1</v>
      </c>
      <c r="O239" s="932">
        <v>1</v>
      </c>
      <c r="P239" s="932">
        <v>1</v>
      </c>
      <c r="Q239" s="940"/>
      <c r="R239" s="940"/>
      <c r="S239" s="940"/>
      <c r="T239" s="940"/>
      <c r="U239" s="940"/>
      <c r="V239" s="940"/>
      <c r="W239" s="940"/>
      <c r="X239" s="948"/>
      <c r="Y239" s="948"/>
      <c r="Z239" s="948"/>
      <c r="AA239" s="948"/>
      <c r="AB239" s="948"/>
      <c r="AC239" s="948"/>
      <c r="AD239" s="616"/>
      <c r="AE239" s="616"/>
      <c r="AF239" s="616"/>
      <c r="AG239" s="616"/>
      <c r="AH239" s="448">
        <f t="shared" si="240"/>
        <v>132816</v>
      </c>
      <c r="AI239" s="449">
        <f t="shared" si="241"/>
        <v>0</v>
      </c>
      <c r="AJ239" s="450">
        <v>0</v>
      </c>
      <c r="AK239" s="452" t="s">
        <v>465</v>
      </c>
      <c r="AL239" s="447" t="s">
        <v>64</v>
      </c>
      <c r="AM239" s="447" t="s">
        <v>81</v>
      </c>
      <c r="AN239" s="447">
        <v>310100100001000</v>
      </c>
      <c r="AO239" s="305" t="s">
        <v>408</v>
      </c>
      <c r="AP239" s="305" t="s">
        <v>2404</v>
      </c>
      <c r="AQ239" s="306" t="s">
        <v>408</v>
      </c>
      <c r="AR239" s="306"/>
      <c r="AS239" s="306"/>
      <c r="AT239" s="306"/>
      <c r="AU239" s="306" t="str">
        <f t="shared" si="209"/>
        <v/>
      </c>
      <c r="AV239" s="306" t="str">
        <f t="shared" si="210"/>
        <v xml:space="preserve"> . </v>
      </c>
      <c r="AW239" s="306" t="s">
        <v>2648</v>
      </c>
      <c r="AX239" s="305"/>
      <c r="AY239" s="493"/>
      <c r="AZ239" s="472"/>
      <c r="BA239" s="101">
        <f t="shared" ca="1" si="242"/>
        <v>126</v>
      </c>
      <c r="BB239" s="492" t="str">
        <f t="shared" ca="1" si="243"/>
        <v>VACANT</v>
      </c>
      <c r="BC239" s="447" t="str">
        <f t="shared" si="238"/>
        <v>XXX</v>
      </c>
      <c r="BD239" s="494" t="str">
        <f t="shared" si="239"/>
        <v>XXX</v>
      </c>
      <c r="BE239" s="493" t="str">
        <f t="shared" si="228"/>
        <v>ADA1XXX</v>
      </c>
      <c r="BF239" s="447"/>
      <c r="BG239" s="493"/>
      <c r="BH239" s="493"/>
      <c r="BI239" s="447">
        <f t="shared" ca="1" si="244"/>
        <v>126</v>
      </c>
      <c r="BJ239" s="447">
        <f t="shared" ca="1" si="248"/>
        <v>126</v>
      </c>
      <c r="BK239" s="493"/>
      <c r="BL239" s="447">
        <f t="shared" ca="1" si="245"/>
        <v>126</v>
      </c>
      <c r="BM239" s="447"/>
      <c r="BN239" s="512"/>
      <c r="BO239" s="423"/>
      <c r="BP239" s="513"/>
      <c r="BQ239" s="514" t="str">
        <f t="shared" si="227"/>
        <v>1</v>
      </c>
    </row>
    <row r="240" spans="1:69" ht="19.95" customHeight="1">
      <c r="A240" s="422" t="s">
        <v>2649</v>
      </c>
      <c r="B240" s="306" t="s">
        <v>273</v>
      </c>
      <c r="C240" s="424">
        <v>4</v>
      </c>
      <c r="D240" s="424" t="s">
        <v>2276</v>
      </c>
      <c r="E240" s="424" t="s">
        <v>265</v>
      </c>
      <c r="F240" s="424" t="s">
        <v>265</v>
      </c>
      <c r="G240" s="424" t="s">
        <v>2279</v>
      </c>
      <c r="H240" s="431" t="s">
        <v>2315</v>
      </c>
      <c r="I240" s="422" t="s">
        <v>2316</v>
      </c>
      <c r="J240" s="421" t="str">
        <f t="shared" si="235"/>
        <v>Vacant</v>
      </c>
      <c r="K240" s="421" t="str">
        <f t="shared" si="236"/>
        <v>Vacant</v>
      </c>
      <c r="L240" s="447" t="str">
        <f t="shared" si="237"/>
        <v>XXX</v>
      </c>
      <c r="M240" s="932">
        <v>1</v>
      </c>
      <c r="N240" s="932">
        <v>1</v>
      </c>
      <c r="O240" s="932">
        <v>1</v>
      </c>
      <c r="P240" s="932">
        <v>1</v>
      </c>
      <c r="Q240" s="940"/>
      <c r="R240" s="940"/>
      <c r="S240" s="940"/>
      <c r="T240" s="940"/>
      <c r="U240" s="940"/>
      <c r="V240" s="940"/>
      <c r="W240" s="940"/>
      <c r="X240" s="948"/>
      <c r="Y240" s="948"/>
      <c r="Z240" s="948"/>
      <c r="AA240" s="948"/>
      <c r="AB240" s="948"/>
      <c r="AC240" s="948"/>
      <c r="AD240" s="616"/>
      <c r="AE240" s="616"/>
      <c r="AF240" s="616"/>
      <c r="AG240" s="616"/>
      <c r="AH240" s="448">
        <f>VLOOKUP(C240,idica,2,FALSE)*12</f>
        <v>158568</v>
      </c>
      <c r="AI240" s="449">
        <f>(SUMPRODUCT((norman=C240)*(grace=AJ240)*(barnachea)))*12</f>
        <v>0</v>
      </c>
      <c r="AJ240" s="450">
        <v>0</v>
      </c>
      <c r="AK240" s="452" t="s">
        <v>494</v>
      </c>
      <c r="AL240" s="447" t="s">
        <v>64</v>
      </c>
      <c r="AM240" s="447" t="s">
        <v>81</v>
      </c>
      <c r="AN240" s="447">
        <v>310100100001000</v>
      </c>
      <c r="AO240" s="306"/>
      <c r="AP240" s="306"/>
      <c r="AQ240" s="306"/>
      <c r="AR240" s="306"/>
      <c r="AS240" s="306"/>
      <c r="AT240" s="306"/>
      <c r="AU240" s="306" t="str">
        <f t="shared" si="209"/>
        <v/>
      </c>
      <c r="AV240" s="306" t="str">
        <f t="shared" si="210"/>
        <v xml:space="preserve"> . </v>
      </c>
      <c r="AW240" s="306" t="s">
        <v>2650</v>
      </c>
      <c r="AX240" s="305"/>
      <c r="AY240" s="447"/>
      <c r="AZ240" s="472"/>
      <c r="BA240" s="101">
        <f t="shared" ca="1" si="242"/>
        <v>126</v>
      </c>
      <c r="BB240" s="492" t="str">
        <f t="shared" ca="1" si="243"/>
        <v>VACANT</v>
      </c>
      <c r="BC240" s="492" t="str">
        <f t="shared" si="238"/>
        <v>XXX</v>
      </c>
      <c r="BD240" s="492" t="str">
        <f t="shared" si="239"/>
        <v>XXX</v>
      </c>
      <c r="BE240" s="492" t="str">
        <f t="shared" si="228"/>
        <v>ADA6XXX</v>
      </c>
      <c r="BF240" s="447"/>
      <c r="BG240" s="493"/>
      <c r="BH240" s="493"/>
      <c r="BI240" s="447">
        <f t="shared" ca="1" si="244"/>
        <v>126</v>
      </c>
      <c r="BJ240" s="447">
        <f t="shared" ca="1" si="248"/>
        <v>126</v>
      </c>
      <c r="BK240" s="493"/>
      <c r="BL240" s="447">
        <f t="shared" ca="1" si="245"/>
        <v>126</v>
      </c>
      <c r="BM240" s="447"/>
      <c r="BN240" s="512"/>
      <c r="BO240" s="423"/>
      <c r="BP240" s="513"/>
      <c r="BQ240" s="514" t="str">
        <f t="shared" si="227"/>
        <v>1</v>
      </c>
    </row>
    <row r="241" spans="1:69" ht="15.75" customHeight="1" thickBot="1">
      <c r="A241" s="425" t="s">
        <v>147</v>
      </c>
      <c r="B241" s="551"/>
      <c r="C241" s="427"/>
      <c r="D241" s="427"/>
      <c r="E241" s="427"/>
      <c r="F241" s="427"/>
      <c r="G241" s="427"/>
      <c r="H241" s="427"/>
      <c r="I241" s="427"/>
      <c r="J241" s="427"/>
      <c r="K241" s="427"/>
      <c r="L241" s="565"/>
      <c r="M241" s="565"/>
      <c r="N241" s="565"/>
      <c r="O241" s="565"/>
      <c r="P241" s="565"/>
      <c r="Q241" s="565"/>
      <c r="R241" s="565"/>
      <c r="S241" s="565"/>
      <c r="T241" s="565"/>
      <c r="U241" s="565"/>
      <c r="V241" s="565"/>
      <c r="W241" s="565"/>
      <c r="X241" s="565"/>
      <c r="Y241" s="565"/>
      <c r="Z241" s="565"/>
      <c r="AA241" s="565"/>
      <c r="AB241" s="962"/>
      <c r="AC241" s="962"/>
      <c r="AD241" s="565"/>
      <c r="AE241" s="565"/>
      <c r="AF241" s="565"/>
      <c r="AG241" s="565"/>
      <c r="AH241" s="462"/>
      <c r="AI241" s="462"/>
      <c r="AJ241" s="566">
        <f>COUNTIF(AJ68:AJ240,"&lt;&gt;")</f>
        <v>173</v>
      </c>
      <c r="AK241" s="567"/>
      <c r="AL241" s="565"/>
      <c r="AM241" s="565"/>
      <c r="AN241" s="567"/>
      <c r="AO241" s="317"/>
      <c r="AP241" s="317"/>
      <c r="AQ241" s="317"/>
      <c r="AR241" s="317"/>
      <c r="AS241" s="317"/>
      <c r="AT241" s="317"/>
      <c r="AU241" s="317"/>
      <c r="AV241" s="317"/>
      <c r="AW241" s="317">
        <f>SUM(AI12:AI240)</f>
        <v>120995088</v>
      </c>
      <c r="AX241" s="318"/>
      <c r="AY241" s="565"/>
      <c r="AZ241" s="581"/>
      <c r="BA241" s="582"/>
      <c r="BB241" s="565"/>
      <c r="BC241" s="565"/>
      <c r="BD241" s="565"/>
      <c r="BE241" s="565"/>
      <c r="BF241" s="565"/>
      <c r="BG241" s="594"/>
      <c r="BH241" s="595"/>
      <c r="BI241" s="596"/>
      <c r="BJ241" s="596"/>
      <c r="BK241" s="594"/>
      <c r="BL241" s="596"/>
      <c r="BM241" s="565"/>
      <c r="BN241" s="608"/>
      <c r="BO241" s="551"/>
      <c r="BP241" s="609"/>
      <c r="BQ241" s="524"/>
    </row>
    <row r="242" spans="1:69" ht="15.75" customHeight="1" thickBot="1">
      <c r="A242" s="552" t="s">
        <v>1380</v>
      </c>
      <c r="B242" s="553"/>
      <c r="C242" s="554"/>
      <c r="D242" s="554"/>
      <c r="E242" s="554"/>
      <c r="F242" s="554"/>
      <c r="G242" s="554"/>
      <c r="H242" s="554"/>
      <c r="I242" s="554"/>
      <c r="J242" s="554"/>
      <c r="K242" s="554"/>
      <c r="L242" s="554"/>
      <c r="M242" s="554"/>
      <c r="N242" s="554"/>
      <c r="O242" s="554"/>
      <c r="P242" s="554"/>
      <c r="Q242" s="554"/>
      <c r="R242" s="554"/>
      <c r="S242" s="554"/>
      <c r="T242" s="554"/>
      <c r="U242" s="554"/>
      <c r="V242" s="554"/>
      <c r="W242" s="554"/>
      <c r="X242" s="554"/>
      <c r="Y242" s="554"/>
      <c r="Z242" s="554"/>
      <c r="AA242" s="554"/>
      <c r="AB242" s="554"/>
      <c r="AC242" s="554"/>
      <c r="AD242" s="554"/>
      <c r="AE242" s="554"/>
      <c r="AF242" s="554"/>
      <c r="AG242" s="554"/>
      <c r="AH242" s="568"/>
      <c r="AI242" s="568"/>
      <c r="AJ242" s="569">
        <f>+AJ241+AJ66+AJ19+AJ41+AJ29</f>
        <v>221</v>
      </c>
      <c r="AK242" s="570"/>
      <c r="AL242" s="576"/>
      <c r="AM242" s="576">
        <f>COUNTIF(AM12:AM240,"&lt;&gt;")</f>
        <v>221</v>
      </c>
      <c r="AN242" s="570"/>
      <c r="AO242" s="319"/>
      <c r="AP242" s="319"/>
      <c r="AQ242" s="319"/>
      <c r="AR242" s="319"/>
      <c r="AS242" s="319"/>
      <c r="AT242" s="319"/>
      <c r="AU242" s="319"/>
      <c r="AV242" s="319"/>
      <c r="AW242" s="319"/>
      <c r="AX242" s="319"/>
      <c r="AY242" s="576"/>
      <c r="AZ242" s="583"/>
      <c r="BA242" s="584"/>
      <c r="BB242" s="576"/>
      <c r="BC242" s="576"/>
      <c r="BD242" s="576"/>
      <c r="BE242" s="576"/>
      <c r="BF242" s="576"/>
      <c r="BG242" s="597"/>
      <c r="BH242" s="598"/>
      <c r="BI242" s="599"/>
      <c r="BJ242" s="599"/>
      <c r="BK242" s="597"/>
      <c r="BL242" s="599"/>
      <c r="BM242" s="576"/>
      <c r="BN242" s="610"/>
      <c r="BO242" s="553"/>
      <c r="BP242" s="611"/>
      <c r="BQ242" s="612"/>
    </row>
    <row r="243" spans="1:69" ht="15.75" customHeight="1">
      <c r="A243" s="555"/>
      <c r="B243" s="321"/>
      <c r="C243" s="556"/>
      <c r="D243" s="556"/>
      <c r="E243" s="556"/>
      <c r="F243" s="556"/>
      <c r="G243" s="556"/>
      <c r="H243" s="556"/>
      <c r="I243" s="556"/>
      <c r="J243" s="556"/>
      <c r="K243" s="556"/>
      <c r="L243" s="528"/>
      <c r="M243" s="528"/>
      <c r="N243" s="528"/>
      <c r="O243" s="528"/>
      <c r="P243" s="528"/>
      <c r="Q243" s="528"/>
      <c r="R243" s="528"/>
      <c r="S243" s="528"/>
      <c r="T243" s="528"/>
      <c r="U243" s="528"/>
      <c r="V243" s="528"/>
      <c r="W243" s="528"/>
      <c r="X243" s="528"/>
      <c r="Y243" s="528"/>
      <c r="Z243" s="528"/>
      <c r="AA243" s="528"/>
      <c r="AB243" s="528"/>
      <c r="AC243" s="528"/>
      <c r="AD243" s="528"/>
      <c r="AE243" s="528"/>
      <c r="AF243" s="528"/>
      <c r="AG243" s="528"/>
      <c r="AH243" s="571"/>
      <c r="AI243" s="571"/>
      <c r="AJ243" s="528"/>
      <c r="AK243" s="572"/>
      <c r="AL243" s="528"/>
      <c r="AM243" s="528"/>
      <c r="AN243" s="577"/>
      <c r="AO243" s="320"/>
      <c r="AP243" s="320"/>
      <c r="AQ243" s="320"/>
      <c r="AR243" s="320"/>
      <c r="AS243" s="320"/>
      <c r="AT243" s="320"/>
      <c r="AU243" s="320"/>
      <c r="AV243" s="320"/>
      <c r="AW243" s="320"/>
      <c r="AX243" s="320"/>
      <c r="AY243" s="528"/>
      <c r="AZ243" s="585"/>
      <c r="BA243" s="586"/>
      <c r="BB243" s="528"/>
      <c r="BC243" s="528"/>
      <c r="BD243" s="528"/>
      <c r="BE243" s="528"/>
      <c r="BF243" s="528"/>
      <c r="BG243" s="600"/>
      <c r="BH243" s="601"/>
      <c r="BI243" s="602"/>
      <c r="BJ243" s="602"/>
      <c r="BK243" s="600"/>
      <c r="BL243" s="602"/>
      <c r="BM243" s="528"/>
      <c r="BN243" s="613"/>
      <c r="BO243" s="613"/>
      <c r="BP243" s="613"/>
      <c r="BQ243" s="613"/>
    </row>
    <row r="244" spans="1:69" ht="15" customHeight="1">
      <c r="A244" s="555"/>
      <c r="B244" s="321"/>
      <c r="C244" s="556"/>
      <c r="D244" s="556"/>
      <c r="E244" s="556"/>
      <c r="F244" s="556"/>
      <c r="G244" s="556"/>
      <c r="H244" s="556"/>
      <c r="I244" s="556"/>
      <c r="J244" s="556"/>
      <c r="K244" s="556"/>
      <c r="L244" s="556"/>
      <c r="M244" s="556"/>
      <c r="N244" s="556"/>
      <c r="O244" s="556"/>
      <c r="P244" s="556"/>
      <c r="Q244" s="556"/>
      <c r="R244" s="556"/>
      <c r="S244" s="556"/>
      <c r="T244" s="556"/>
      <c r="U244" s="556"/>
      <c r="V244" s="556"/>
      <c r="W244" s="556"/>
      <c r="X244" s="556"/>
      <c r="Y244" s="556"/>
      <c r="Z244" s="556"/>
      <c r="AA244" s="556"/>
      <c r="AB244" s="556"/>
      <c r="AC244" s="556"/>
      <c r="AD244" s="556"/>
      <c r="AE244" s="556"/>
      <c r="AF244" s="556"/>
      <c r="AG244" s="556"/>
      <c r="AH244" s="571"/>
      <c r="AI244" s="571"/>
      <c r="AJ244" s="528"/>
      <c r="AK244" s="572"/>
      <c r="AL244" s="528"/>
      <c r="AM244" s="528"/>
      <c r="AN244" s="577"/>
      <c r="AO244" s="320"/>
      <c r="AP244" s="320"/>
      <c r="AQ244" s="320"/>
      <c r="AR244" s="320"/>
      <c r="AS244" s="320"/>
      <c r="AT244" s="320"/>
      <c r="AU244" s="320"/>
      <c r="AV244" s="320"/>
      <c r="AX244" s="320"/>
      <c r="AY244" s="587"/>
      <c r="AZ244" s="585"/>
      <c r="BA244" s="586"/>
      <c r="BB244" s="528"/>
      <c r="BC244" s="528"/>
      <c r="BD244" s="528"/>
      <c r="BE244" s="528"/>
      <c r="BF244" s="528"/>
      <c r="BG244" s="600"/>
      <c r="BH244" s="601"/>
      <c r="BI244" s="602"/>
      <c r="BJ244" s="602"/>
      <c r="BK244" s="600"/>
      <c r="BL244" s="602"/>
      <c r="BM244" s="528"/>
      <c r="BN244" s="613"/>
      <c r="BO244" s="613"/>
      <c r="BP244" s="613"/>
      <c r="BQ244" s="613"/>
    </row>
    <row r="245" spans="1:69">
      <c r="A245" s="149"/>
      <c r="B245" s="149"/>
      <c r="C245" s="149"/>
      <c r="D245" s="149"/>
      <c r="E245" s="149"/>
      <c r="F245" s="149"/>
      <c r="G245" s="149"/>
      <c r="H245" s="557"/>
      <c r="I245" s="149"/>
      <c r="J245" s="149"/>
      <c r="K245" s="149"/>
      <c r="L245" s="149"/>
      <c r="M245" s="149"/>
      <c r="N245" s="149"/>
      <c r="O245" s="149"/>
      <c r="P245" s="149"/>
      <c r="Q245" s="149"/>
      <c r="R245" s="149"/>
      <c r="S245" s="149"/>
      <c r="T245" s="149"/>
      <c r="U245" s="149"/>
      <c r="V245" s="149"/>
      <c r="W245" s="149"/>
      <c r="X245" s="149"/>
      <c r="Y245" s="149"/>
      <c r="Z245" s="149"/>
      <c r="AA245" s="149"/>
      <c r="AB245" s="149"/>
      <c r="AC245" s="149"/>
      <c r="AD245" s="149"/>
      <c r="AE245" s="149"/>
      <c r="AF245" s="149"/>
      <c r="AG245" s="149"/>
      <c r="AH245" s="571"/>
      <c r="AI245" s="571"/>
      <c r="AJ245" s="528"/>
      <c r="AK245" s="572"/>
      <c r="AL245" s="528"/>
      <c r="AM245" s="528"/>
      <c r="AN245" s="577"/>
      <c r="AO245" s="321"/>
      <c r="AP245" s="321"/>
      <c r="AQ245" s="321"/>
      <c r="AR245" s="321"/>
      <c r="AS245" s="321"/>
      <c r="AT245" s="321"/>
      <c r="AU245" s="321"/>
      <c r="AV245" s="321"/>
      <c r="AW245" s="321"/>
      <c r="AX245" s="321"/>
      <c r="AY245" s="587"/>
      <c r="AZ245" s="585"/>
      <c r="BA245" s="586"/>
      <c r="BB245" s="528"/>
      <c r="BC245" s="506"/>
      <c r="BD245" s="506"/>
      <c r="BE245" s="506"/>
      <c r="BF245" s="603"/>
      <c r="BG245" s="603"/>
      <c r="BH245" s="604"/>
      <c r="BI245" s="605"/>
      <c r="BJ245" s="605"/>
      <c r="BK245" s="506"/>
      <c r="BL245" s="605"/>
      <c r="BM245" s="506"/>
      <c r="BN245" s="506"/>
      <c r="BO245" s="506"/>
    </row>
    <row r="246" spans="1:69">
      <c r="A246" s="558"/>
      <c r="B246" s="558"/>
      <c r="C246" s="558">
        <f>COUNTIF(C23:C180,"&gt;.01")</f>
        <v>152</v>
      </c>
      <c r="D246" s="558"/>
      <c r="E246" s="558"/>
      <c r="F246" s="558"/>
      <c r="G246" s="558"/>
      <c r="H246" s="559"/>
      <c r="I246" s="558"/>
      <c r="J246" s="558"/>
      <c r="K246" s="558"/>
      <c r="L246" s="558"/>
      <c r="M246" s="558"/>
      <c r="N246" s="558"/>
      <c r="O246" s="558"/>
      <c r="P246" s="558"/>
      <c r="Q246" s="558"/>
      <c r="R246" s="558"/>
      <c r="S246" s="558"/>
      <c r="T246" s="558"/>
      <c r="U246" s="558"/>
      <c r="V246" s="558"/>
      <c r="W246" s="558"/>
      <c r="X246" s="558"/>
      <c r="Y246" s="558"/>
      <c r="Z246" s="558"/>
      <c r="AA246" s="558"/>
      <c r="AB246" s="558"/>
      <c r="AC246" s="558"/>
      <c r="AD246" s="558"/>
      <c r="AE246" s="558"/>
      <c r="AF246" s="558"/>
      <c r="AG246" s="558"/>
      <c r="AH246" s="573"/>
      <c r="AI246" s="573"/>
      <c r="AJ246" s="506"/>
      <c r="AK246" s="574"/>
      <c r="AL246" s="506"/>
      <c r="AM246" s="506"/>
      <c r="AN246" s="578"/>
      <c r="AO246" s="322"/>
      <c r="AP246" s="322"/>
      <c r="AQ246" s="322"/>
      <c r="AR246" s="322"/>
      <c r="AS246" s="322"/>
      <c r="AT246" s="322"/>
      <c r="AU246" s="322"/>
      <c r="AV246" s="322"/>
      <c r="AW246" s="322"/>
      <c r="AX246" s="323"/>
      <c r="AZ246" s="323" t="s">
        <v>2651</v>
      </c>
      <c r="BA246" s="588"/>
      <c r="BB246" s="506"/>
      <c r="BC246" s="506"/>
      <c r="BD246" s="506"/>
      <c r="BE246" s="506"/>
      <c r="BF246" s="606" t="s">
        <v>2652</v>
      </c>
      <c r="BG246" s="603" t="s">
        <v>2653</v>
      </c>
      <c r="BH246" s="604"/>
      <c r="BI246" s="605"/>
      <c r="BJ246" s="605"/>
      <c r="BK246" s="506" t="s">
        <v>2654</v>
      </c>
      <c r="BL246" s="605"/>
      <c r="BM246" s="506"/>
      <c r="BN246" s="506"/>
      <c r="BO246" s="506"/>
    </row>
    <row r="247" spans="1:69">
      <c r="A247" s="560"/>
      <c r="B247" s="561" t="s">
        <v>2655</v>
      </c>
      <c r="AH247" s="561" t="s">
        <v>2656</v>
      </c>
      <c r="AI247" s="561" t="s">
        <v>2188</v>
      </c>
      <c r="AJ247" s="561"/>
      <c r="AK247" s="575"/>
      <c r="AL247" s="561"/>
      <c r="AM247" s="561"/>
      <c r="AN247" s="579"/>
      <c r="AO247" s="324"/>
      <c r="AP247" s="324"/>
      <c r="AQ247" s="324"/>
      <c r="AR247" s="324"/>
      <c r="AS247" s="324"/>
      <c r="AT247" s="324"/>
      <c r="AU247" s="324"/>
      <c r="AV247" s="324"/>
      <c r="AW247" s="589" t="s">
        <v>408</v>
      </c>
      <c r="AX247" s="325">
        <f t="shared" ref="AX247:AX254" si="249">COUNTIF(station,AW247)</f>
        <v>41</v>
      </c>
      <c r="AY247" s="590" t="s">
        <v>2657</v>
      </c>
      <c r="AZ247" s="325">
        <f>COUNTIF(GENDERSTATION,"AbM")</f>
        <v>20</v>
      </c>
      <c r="BB247" s="561"/>
      <c r="BC247" s="561"/>
      <c r="BD247" s="561"/>
      <c r="BE247" s="561"/>
      <c r="BF247" s="325">
        <f>COUNTIF(GENDERSTATION,"AbF")</f>
        <v>21</v>
      </c>
      <c r="BG247" s="592">
        <f>AZ247/(AZ247+BF247)</f>
        <v>0.48780487804878048</v>
      </c>
      <c r="BH247" s="590" t="s">
        <v>2658</v>
      </c>
      <c r="BI247" s="561"/>
      <c r="BJ247" s="561"/>
      <c r="BK247" s="592">
        <f>+BF247/(AZ247+BF247)</f>
        <v>0.51219512195121952</v>
      </c>
      <c r="BL247" s="561"/>
      <c r="BM247" s="561"/>
      <c r="BN247" s="561"/>
      <c r="BO247" s="561"/>
      <c r="BP247" s="561"/>
      <c r="BQ247" s="561"/>
    </row>
    <row r="248" spans="1:69">
      <c r="A248" s="562"/>
      <c r="B248" s="326"/>
      <c r="C248" s="562" t="s">
        <v>55</v>
      </c>
      <c r="D248" s="562"/>
      <c r="E248" s="562"/>
      <c r="F248" s="562"/>
      <c r="G248" s="562"/>
      <c r="H248" s="563"/>
      <c r="I248" s="562"/>
      <c r="J248" s="562"/>
      <c r="K248" s="562"/>
      <c r="L248" s="562"/>
      <c r="M248" s="562"/>
      <c r="N248" s="562"/>
      <c r="O248" s="562"/>
      <c r="P248" s="562"/>
      <c r="Q248" s="562"/>
      <c r="R248" s="562"/>
      <c r="S248" s="562"/>
      <c r="T248" s="562"/>
      <c r="U248" s="562"/>
      <c r="V248" s="562"/>
      <c r="W248" s="562"/>
      <c r="X248" s="562"/>
      <c r="Y248" s="562"/>
      <c r="Z248" s="562"/>
      <c r="AA248" s="562"/>
      <c r="AB248" s="562"/>
      <c r="AC248" s="562"/>
      <c r="AD248" s="562"/>
      <c r="AE248" s="562"/>
      <c r="AF248" s="562"/>
      <c r="AG248" s="562"/>
      <c r="AO248" s="324"/>
      <c r="AP248" s="324"/>
      <c r="AQ248" s="324"/>
      <c r="AR248" s="324"/>
      <c r="AS248" s="324"/>
      <c r="AT248" s="324"/>
      <c r="AU248" s="324"/>
      <c r="AV248" s="324"/>
      <c r="AW248" s="589" t="s">
        <v>181</v>
      </c>
      <c r="AX248" s="325">
        <f t="shared" si="249"/>
        <v>20</v>
      </c>
      <c r="AY248" s="590" t="s">
        <v>2659</v>
      </c>
      <c r="AZ248" s="325">
        <f>COUNTIF(GENDERSTATION,"ApM")</f>
        <v>10</v>
      </c>
      <c r="BF248" s="325">
        <f>COUNTIF(GENDERSTATION,"ApF")</f>
        <v>10</v>
      </c>
      <c r="BG248" s="592">
        <f t="shared" ref="BG248:BG254" si="250">AZ248/(AZ248+BF248)</f>
        <v>0.5</v>
      </c>
      <c r="BH248" s="590" t="s">
        <v>2660</v>
      </c>
      <c r="BK248" s="592">
        <f t="shared" ref="BK248:BK254" si="251">+BF248/(AZ248+BF248)</f>
        <v>0.5</v>
      </c>
    </row>
    <row r="249" spans="1:69">
      <c r="A249" s="562"/>
      <c r="B249" s="326"/>
      <c r="C249" s="562" t="s">
        <v>77</v>
      </c>
      <c r="D249" s="562"/>
      <c r="E249" s="562"/>
      <c r="F249" s="562"/>
      <c r="G249" s="562"/>
      <c r="H249" s="563"/>
      <c r="I249" s="562"/>
      <c r="J249" s="562"/>
      <c r="K249" s="562"/>
      <c r="L249" s="562"/>
      <c r="M249" s="562"/>
      <c r="N249" s="562"/>
      <c r="O249" s="562"/>
      <c r="P249" s="562"/>
      <c r="Q249" s="562"/>
      <c r="R249" s="562"/>
      <c r="S249" s="562"/>
      <c r="T249" s="562"/>
      <c r="U249" s="562"/>
      <c r="V249" s="562"/>
      <c r="W249" s="562"/>
      <c r="X249" s="562"/>
      <c r="Y249" s="562"/>
      <c r="Z249" s="562"/>
      <c r="AA249" s="562"/>
      <c r="AB249" s="562"/>
      <c r="AC249" s="562"/>
      <c r="AD249" s="562"/>
      <c r="AE249" s="562"/>
      <c r="AF249" s="562"/>
      <c r="AG249" s="562"/>
      <c r="AH249" s="299">
        <f>SUMIF(AM12:AM240,C249)</f>
        <v>0</v>
      </c>
      <c r="AN249" s="404">
        <f>+AI48/12</f>
        <v>42688</v>
      </c>
      <c r="AO249" s="324"/>
      <c r="AP249" s="324"/>
      <c r="AQ249" s="324"/>
      <c r="AR249" s="324"/>
      <c r="AS249" s="324"/>
      <c r="AT249" s="324"/>
      <c r="AU249" s="324"/>
      <c r="AV249" s="324"/>
      <c r="AW249" s="589" t="s">
        <v>189</v>
      </c>
      <c r="AX249" s="325">
        <f t="shared" si="249"/>
        <v>6</v>
      </c>
      <c r="AY249" s="590" t="s">
        <v>2661</v>
      </c>
      <c r="AZ249" s="325">
        <f>COUNTIF(GENDERSTATION,"BCM")</f>
        <v>2</v>
      </c>
      <c r="BF249" s="325">
        <f>COUNTIF(GENDERSTATION,"BCF")</f>
        <v>4</v>
      </c>
      <c r="BG249" s="592">
        <f t="shared" si="250"/>
        <v>0.33333333333333331</v>
      </c>
      <c r="BH249" s="590" t="s">
        <v>2662</v>
      </c>
      <c r="BK249" s="592">
        <f t="shared" si="251"/>
        <v>0.66666666666666663</v>
      </c>
    </row>
    <row r="250" spans="1:69">
      <c r="A250" s="562"/>
      <c r="B250" s="326"/>
      <c r="C250" s="562" t="s">
        <v>158</v>
      </c>
      <c r="D250" s="562"/>
      <c r="E250" s="562"/>
      <c r="F250" s="562"/>
      <c r="G250" s="562"/>
      <c r="H250" s="563"/>
      <c r="I250" s="562"/>
      <c r="J250" s="562"/>
      <c r="K250" s="562"/>
      <c r="L250" s="562"/>
      <c r="M250" s="562"/>
      <c r="N250" s="562"/>
      <c r="O250" s="562"/>
      <c r="P250" s="562"/>
      <c r="Q250" s="562"/>
      <c r="R250" s="562"/>
      <c r="S250" s="562"/>
      <c r="T250" s="562"/>
      <c r="U250" s="562"/>
      <c r="V250" s="562"/>
      <c r="W250" s="562"/>
      <c r="X250" s="562"/>
      <c r="Y250" s="562"/>
      <c r="Z250" s="562"/>
      <c r="AA250" s="562"/>
      <c r="AB250" s="562"/>
      <c r="AC250" s="562"/>
      <c r="AD250" s="562"/>
      <c r="AE250" s="562"/>
      <c r="AF250" s="562"/>
      <c r="AG250" s="562"/>
      <c r="AH250" s="299">
        <f>SUMIF(AM12:AM240,C250)</f>
        <v>0</v>
      </c>
      <c r="AO250" s="324"/>
      <c r="AP250" s="324"/>
      <c r="AQ250" s="324"/>
      <c r="AR250" s="324"/>
      <c r="AS250" s="324"/>
      <c r="AT250" s="324"/>
      <c r="AU250" s="324"/>
      <c r="AV250" s="324"/>
      <c r="AW250" s="589" t="s">
        <v>167</v>
      </c>
      <c r="AX250" s="325">
        <f t="shared" si="249"/>
        <v>25</v>
      </c>
      <c r="AY250" s="590" t="s">
        <v>2663</v>
      </c>
      <c r="AZ250" s="325">
        <f>COUNTIF(GENDERSTATION,"BM")</f>
        <v>8</v>
      </c>
      <c r="BF250" s="325">
        <f>COUNTIF(GENDERSTATION,"BF")</f>
        <v>17</v>
      </c>
      <c r="BG250" s="592">
        <f t="shared" si="250"/>
        <v>0.32</v>
      </c>
      <c r="BH250" s="590" t="s">
        <v>2664</v>
      </c>
      <c r="BK250" s="592">
        <f t="shared" si="251"/>
        <v>0.68</v>
      </c>
    </row>
    <row r="251" spans="1:69">
      <c r="A251" s="562"/>
      <c r="B251" s="326"/>
      <c r="C251" s="562" t="s">
        <v>81</v>
      </c>
      <c r="D251" s="562"/>
      <c r="E251" s="562"/>
      <c r="F251" s="562"/>
      <c r="G251" s="562"/>
      <c r="H251" s="563"/>
      <c r="I251" s="562"/>
      <c r="J251" s="562"/>
      <c r="K251" s="562"/>
      <c r="L251" s="562"/>
      <c r="M251" s="562"/>
      <c r="N251" s="562"/>
      <c r="O251" s="562"/>
      <c r="P251" s="562"/>
      <c r="Q251" s="562"/>
      <c r="R251" s="562"/>
      <c r="S251" s="562"/>
      <c r="T251" s="562"/>
      <c r="U251" s="562"/>
      <c r="V251" s="562"/>
      <c r="W251" s="562"/>
      <c r="X251" s="562"/>
      <c r="Y251" s="562"/>
      <c r="Z251" s="562"/>
      <c r="AA251" s="562"/>
      <c r="AB251" s="562"/>
      <c r="AC251" s="562"/>
      <c r="AD251" s="562"/>
      <c r="AE251" s="562"/>
      <c r="AF251" s="562"/>
      <c r="AG251" s="562"/>
      <c r="AH251" s="299">
        <f>SUMIF(AM12:AM240,C251)</f>
        <v>0</v>
      </c>
      <c r="AO251" s="324"/>
      <c r="AP251" s="324"/>
      <c r="AQ251" s="324"/>
      <c r="AR251" s="324"/>
      <c r="AS251" s="324"/>
      <c r="AT251" s="324"/>
      <c r="AU251" s="324"/>
      <c r="AV251" s="324"/>
      <c r="AW251" s="589" t="s">
        <v>174</v>
      </c>
      <c r="AX251" s="325">
        <f t="shared" si="249"/>
        <v>23</v>
      </c>
      <c r="AY251" s="590" t="s">
        <v>2665</v>
      </c>
      <c r="AZ251" s="325">
        <f>COUNTIF(GENDERSTATION,"IM")</f>
        <v>12</v>
      </c>
      <c r="BF251" s="325">
        <f>COUNTIF(GENDERSTATION,"IF")</f>
        <v>11</v>
      </c>
      <c r="BG251" s="592">
        <f t="shared" si="250"/>
        <v>0.52173913043478259</v>
      </c>
      <c r="BH251" s="590" t="s">
        <v>2666</v>
      </c>
      <c r="BK251" s="592">
        <f t="shared" si="251"/>
        <v>0.47826086956521741</v>
      </c>
    </row>
    <row r="252" spans="1:69" s="299" customFormat="1" ht="13.2">
      <c r="A252" s="401"/>
      <c r="C252" s="325"/>
      <c r="D252" s="325"/>
      <c r="E252" s="325"/>
      <c r="F252" s="325"/>
      <c r="G252" s="325"/>
      <c r="H252" s="402"/>
      <c r="I252" s="325"/>
      <c r="J252" s="325"/>
      <c r="K252" s="325"/>
      <c r="L252" s="325"/>
      <c r="M252" s="325"/>
      <c r="N252" s="325"/>
      <c r="O252" s="325"/>
      <c r="P252" s="325"/>
      <c r="Q252" s="325"/>
      <c r="R252" s="325"/>
      <c r="S252" s="325"/>
      <c r="T252" s="325"/>
      <c r="U252" s="325"/>
      <c r="V252" s="325"/>
      <c r="W252" s="325"/>
      <c r="X252" s="325"/>
      <c r="Y252" s="325"/>
      <c r="Z252" s="325"/>
      <c r="AA252" s="325"/>
      <c r="AB252" s="325"/>
      <c r="AC252" s="325"/>
      <c r="AD252" s="325"/>
      <c r="AE252" s="325"/>
      <c r="AF252" s="325"/>
      <c r="AG252" s="325"/>
      <c r="AJ252" s="326"/>
      <c r="AK252" s="403"/>
      <c r="AL252" s="325"/>
      <c r="AM252" s="325"/>
      <c r="AN252" s="580"/>
      <c r="AO252" s="324"/>
      <c r="AP252" s="324"/>
      <c r="AQ252" s="324"/>
      <c r="AR252" s="324"/>
      <c r="AS252" s="324"/>
      <c r="AT252" s="324"/>
      <c r="AU252" s="324"/>
      <c r="AV252" s="326">
        <f>704604/12</f>
        <v>58717</v>
      </c>
      <c r="AW252" s="589" t="s">
        <v>211</v>
      </c>
      <c r="AX252" s="325">
        <f t="shared" si="249"/>
        <v>19</v>
      </c>
      <c r="AY252" s="590" t="s">
        <v>2667</v>
      </c>
      <c r="AZ252" s="325">
        <f>COUNTIF(GENDERSTATION,"KM")</f>
        <v>9</v>
      </c>
      <c r="BB252" s="325"/>
      <c r="BC252" s="325"/>
      <c r="BD252" s="325"/>
      <c r="BE252" s="325"/>
      <c r="BF252" s="325">
        <f>COUNTIF(GENDERSTATION,"KF")</f>
        <v>10</v>
      </c>
      <c r="BG252" s="592">
        <f t="shared" si="250"/>
        <v>0.47368421052631576</v>
      </c>
      <c r="BH252" s="590" t="s">
        <v>2668</v>
      </c>
      <c r="BI252" s="325"/>
      <c r="BJ252" s="325"/>
      <c r="BK252" s="592">
        <f t="shared" si="251"/>
        <v>0.52631578947368418</v>
      </c>
      <c r="BL252" s="325"/>
      <c r="BM252" s="325"/>
    </row>
    <row r="253" spans="1:69" s="299" customFormat="1" ht="13.2">
      <c r="A253" s="401"/>
      <c r="C253" s="325"/>
      <c r="D253" s="325"/>
      <c r="E253" s="325"/>
      <c r="F253" s="325"/>
      <c r="G253" s="325"/>
      <c r="H253" s="402"/>
      <c r="I253" s="325"/>
      <c r="J253" s="325"/>
      <c r="K253" s="325"/>
      <c r="L253" s="325"/>
      <c r="M253" s="325"/>
      <c r="N253" s="325"/>
      <c r="O253" s="325"/>
      <c r="P253" s="325"/>
      <c r="Q253" s="325"/>
      <c r="R253" s="325"/>
      <c r="S253" s="325"/>
      <c r="T253" s="325"/>
      <c r="U253" s="325"/>
      <c r="V253" s="325"/>
      <c r="W253" s="325"/>
      <c r="X253" s="325"/>
      <c r="Y253" s="325"/>
      <c r="Z253" s="325"/>
      <c r="AA253" s="325"/>
      <c r="AB253" s="325"/>
      <c r="AC253" s="325"/>
      <c r="AD253" s="325"/>
      <c r="AE253" s="325"/>
      <c r="AF253" s="325"/>
      <c r="AG253" s="325"/>
      <c r="AJ253" s="326"/>
      <c r="AK253" s="403"/>
      <c r="AL253" s="325"/>
      <c r="AM253" s="325"/>
      <c r="AN253" s="580"/>
      <c r="AO253" s="324"/>
      <c r="AP253" s="324"/>
      <c r="AQ253" s="324"/>
      <c r="AR253" s="324"/>
      <c r="AS253" s="324"/>
      <c r="AT253" s="324"/>
      <c r="AU253" s="324"/>
      <c r="AV253" s="324"/>
      <c r="AW253" s="589" t="s">
        <v>268</v>
      </c>
      <c r="AX253" s="325">
        <f t="shared" si="249"/>
        <v>23</v>
      </c>
      <c r="AY253" s="590" t="s">
        <v>2669</v>
      </c>
      <c r="AZ253" s="325">
        <f>COUNTIF(GENDERSTATION,"MPM")</f>
        <v>9</v>
      </c>
      <c r="BB253" s="325"/>
      <c r="BC253" s="325"/>
      <c r="BD253" s="325"/>
      <c r="BE253" s="325"/>
      <c r="BF253" s="325">
        <f>COUNTIF(GENDERSTATION,"mPF")</f>
        <v>14</v>
      </c>
      <c r="BG253" s="592">
        <f t="shared" si="250"/>
        <v>0.39130434782608697</v>
      </c>
      <c r="BH253" s="590" t="s">
        <v>2670</v>
      </c>
      <c r="BI253" s="325"/>
      <c r="BJ253" s="325"/>
      <c r="BK253" s="592">
        <f t="shared" si="251"/>
        <v>0.60869565217391308</v>
      </c>
      <c r="BL253" s="325"/>
      <c r="BM253" s="325"/>
    </row>
    <row r="254" spans="1:69" s="299" customFormat="1" ht="13.2">
      <c r="A254" s="401"/>
      <c r="C254" s="325"/>
      <c r="D254" s="325"/>
      <c r="E254" s="325"/>
      <c r="F254" s="325"/>
      <c r="G254" s="325"/>
      <c r="H254" s="402"/>
      <c r="I254" s="325"/>
      <c r="J254" s="325"/>
      <c r="K254" s="325"/>
      <c r="L254" s="325"/>
      <c r="M254" s="325"/>
      <c r="N254" s="325"/>
      <c r="O254" s="325"/>
      <c r="P254" s="325"/>
      <c r="Q254" s="325"/>
      <c r="R254" s="325"/>
      <c r="S254" s="325"/>
      <c r="T254" s="325"/>
      <c r="U254" s="325"/>
      <c r="V254" s="325"/>
      <c r="W254" s="325"/>
      <c r="X254" s="325"/>
      <c r="Y254" s="325"/>
      <c r="Z254" s="325"/>
      <c r="AA254" s="325"/>
      <c r="AB254" s="325"/>
      <c r="AC254" s="325"/>
      <c r="AD254" s="325"/>
      <c r="AE254" s="325"/>
      <c r="AF254" s="325"/>
      <c r="AG254" s="325"/>
      <c r="AJ254" s="326"/>
      <c r="AK254" s="403"/>
      <c r="AL254" s="325"/>
      <c r="AM254" s="325"/>
      <c r="AN254" s="580"/>
      <c r="AO254" s="324"/>
      <c r="AP254" s="324"/>
      <c r="AQ254" s="324"/>
      <c r="AR254" s="324"/>
      <c r="AS254" s="324"/>
      <c r="AT254" s="324"/>
      <c r="AU254" s="324"/>
      <c r="AV254" s="324"/>
      <c r="AW254" s="589" t="s">
        <v>57</v>
      </c>
      <c r="AX254" s="325">
        <f t="shared" si="249"/>
        <v>44</v>
      </c>
      <c r="AY254" s="590" t="s">
        <v>2671</v>
      </c>
      <c r="AZ254" s="325">
        <f>COUNTIF(GENDERSTATION,"RM")</f>
        <v>21</v>
      </c>
      <c r="BB254" s="325"/>
      <c r="BC254" s="325"/>
      <c r="BD254" s="325"/>
      <c r="BE254" s="325"/>
      <c r="BF254" s="325">
        <f>COUNTIF(GENDERSTATION,"RF")</f>
        <v>23</v>
      </c>
      <c r="BG254" s="592">
        <f t="shared" si="250"/>
        <v>0.47727272727272729</v>
      </c>
      <c r="BH254" s="590" t="s">
        <v>1877</v>
      </c>
      <c r="BI254" s="325"/>
      <c r="BJ254" s="325"/>
      <c r="BK254" s="592">
        <f t="shared" si="251"/>
        <v>0.52272727272727271</v>
      </c>
      <c r="BL254" s="325"/>
      <c r="BM254" s="325"/>
    </row>
    <row r="255" spans="1:69" s="299" customFormat="1" ht="13.2">
      <c r="A255" s="401"/>
      <c r="C255" s="325"/>
      <c r="D255" s="325"/>
      <c r="E255" s="325"/>
      <c r="F255" s="325"/>
      <c r="G255" s="325"/>
      <c r="H255" s="402"/>
      <c r="I255" s="325"/>
      <c r="J255" s="325"/>
      <c r="K255" s="325"/>
      <c r="L255" s="325"/>
      <c r="M255" s="325"/>
      <c r="N255" s="325"/>
      <c r="O255" s="325"/>
      <c r="P255" s="325"/>
      <c r="Q255" s="325"/>
      <c r="R255" s="325"/>
      <c r="S255" s="325"/>
      <c r="T255" s="325"/>
      <c r="U255" s="325"/>
      <c r="V255" s="325"/>
      <c r="W255" s="325"/>
      <c r="X255" s="325"/>
      <c r="Y255" s="325"/>
      <c r="Z255" s="325"/>
      <c r="AA255" s="325"/>
      <c r="AB255" s="325"/>
      <c r="AC255" s="325"/>
      <c r="AD255" s="325"/>
      <c r="AE255" s="325"/>
      <c r="AF255" s="325"/>
      <c r="AG255" s="325"/>
      <c r="AJ255" s="326"/>
      <c r="AK255" s="403"/>
      <c r="AL255" s="325"/>
      <c r="AM255" s="325"/>
      <c r="AN255" s="580"/>
      <c r="AO255" s="326"/>
      <c r="AP255" s="326"/>
      <c r="AQ255" s="326"/>
      <c r="AR255" s="326"/>
      <c r="AS255" s="326"/>
      <c r="AT255" s="326"/>
      <c r="AU255" s="326"/>
      <c r="AV255" s="326"/>
      <c r="AW255" s="326" t="s">
        <v>2188</v>
      </c>
      <c r="AX255" s="327">
        <f>SUBTOTAL(9,AX247:AX254)</f>
        <v>201</v>
      </c>
      <c r="AY255" s="591"/>
      <c r="AZ255" s="327">
        <f>SUBTOTAL(9,AZ247:AZ254)</f>
        <v>91</v>
      </c>
      <c r="BB255" s="325"/>
      <c r="BC255" s="325"/>
      <c r="BD255" s="325"/>
      <c r="BE255" s="325"/>
      <c r="BF255" s="327">
        <f>SUBTOTAL(9,BF247:BF254)</f>
        <v>110</v>
      </c>
      <c r="BG255" s="592">
        <f>AVERAGE(BG247:BG254)</f>
        <v>0.43814232843025336</v>
      </c>
      <c r="BH255" s="407"/>
      <c r="BI255" s="325"/>
      <c r="BJ255" s="325"/>
      <c r="BK255" s="592">
        <f>AVERAGE(BK247:BK254)</f>
        <v>0.56185767156974664</v>
      </c>
      <c r="BL255" s="325"/>
      <c r="BM255" s="325"/>
      <c r="BN255" s="299">
        <f>BK255+BG255</f>
        <v>1</v>
      </c>
      <c r="BP255" s="299">
        <f>+BF255-AZ255</f>
        <v>19</v>
      </c>
    </row>
    <row r="256" spans="1:69">
      <c r="AX256" s="325"/>
      <c r="AZ256" s="592">
        <f>AZ255/AX255</f>
        <v>0.45273631840796019</v>
      </c>
      <c r="BF256" s="592">
        <f>+BF255/AX255</f>
        <v>0.54726368159203975</v>
      </c>
    </row>
    <row r="257" spans="2:67">
      <c r="AW257" s="328" t="s">
        <v>2672</v>
      </c>
      <c r="AZ257" s="325" t="s">
        <v>62</v>
      </c>
      <c r="BF257" s="325" t="s">
        <v>100</v>
      </c>
      <c r="BG257" s="325" t="s">
        <v>2673</v>
      </c>
    </row>
    <row r="258" spans="2:67">
      <c r="AW258" s="328" t="s">
        <v>2674</v>
      </c>
      <c r="AY258" s="326"/>
      <c r="AZ258" s="326">
        <f>COUNTIF(statuslevel,"3mp")</f>
        <v>4</v>
      </c>
      <c r="BF258" s="326">
        <f>COUNTIF(statuslevel,"3fp")</f>
        <v>5</v>
      </c>
      <c r="BG258" s="624">
        <f>SUBTOTAL(9,AY258:BF258)</f>
        <v>9</v>
      </c>
    </row>
    <row r="259" spans="2:67">
      <c r="AW259" s="328" t="s">
        <v>2675</v>
      </c>
      <c r="AY259" s="326"/>
      <c r="AZ259" s="326">
        <f>COUNTIF(statuslevel,"2mp")</f>
        <v>68</v>
      </c>
      <c r="BF259" s="326">
        <f>COUNTIF(statuslevel,"2fp*")</f>
        <v>83</v>
      </c>
      <c r="BG259" s="624">
        <f>SUBTOTAL(9,AY259:BF259)</f>
        <v>151</v>
      </c>
    </row>
    <row r="260" spans="2:67">
      <c r="AW260" s="328" t="s">
        <v>2676</v>
      </c>
      <c r="AY260" s="326"/>
      <c r="AZ260" s="326">
        <f>COUNTIF(statuslevel,"1mp")</f>
        <v>10</v>
      </c>
      <c r="BF260" s="326">
        <f>COUNTIF(statuslevel,"1fp")</f>
        <v>21</v>
      </c>
      <c r="BG260" s="624">
        <f>SUBTOTAL(9,AY260:BF260)</f>
        <v>31</v>
      </c>
    </row>
    <row r="261" spans="2:67" ht="15.6">
      <c r="B261" s="617"/>
      <c r="C261"/>
      <c r="D261"/>
      <c r="E261"/>
      <c r="F261"/>
      <c r="G261"/>
      <c r="H261" s="410"/>
      <c r="I261"/>
      <c r="J261"/>
      <c r="K261"/>
      <c r="L261"/>
      <c r="M261"/>
      <c r="N261"/>
      <c r="O261"/>
      <c r="P261"/>
      <c r="Q261"/>
      <c r="R261"/>
      <c r="S261"/>
      <c r="T261"/>
      <c r="U261"/>
      <c r="V261"/>
      <c r="W261"/>
      <c r="X261"/>
      <c r="Y261"/>
      <c r="Z261"/>
      <c r="AA261"/>
      <c r="AB261"/>
      <c r="AC261"/>
      <c r="AD261"/>
      <c r="AE261"/>
      <c r="AF261"/>
      <c r="AG261"/>
      <c r="AW261" s="328" t="s">
        <v>2397</v>
      </c>
      <c r="AY261" s="326"/>
      <c r="AZ261" s="326">
        <f>COUNTIF(statuslevel,"1mc*")</f>
        <v>9</v>
      </c>
      <c r="BF261" s="326">
        <f>COUNTIF(statuslevel,"1fc*")</f>
        <v>1</v>
      </c>
      <c r="BG261" s="624">
        <f>SUBTOTAL(9,AY261:BF261)</f>
        <v>10</v>
      </c>
    </row>
    <row r="262" spans="2:67" ht="15.6">
      <c r="B262" s="617"/>
      <c r="C262"/>
      <c r="D262"/>
      <c r="E262"/>
      <c r="F262"/>
      <c r="G262"/>
      <c r="H262" s="410"/>
      <c r="I262"/>
      <c r="J262"/>
      <c r="K262"/>
      <c r="L262"/>
      <c r="M262"/>
      <c r="N262"/>
      <c r="O262"/>
      <c r="P262"/>
      <c r="Q262"/>
      <c r="R262"/>
      <c r="S262"/>
      <c r="T262"/>
      <c r="U262"/>
      <c r="V262"/>
      <c r="W262"/>
      <c r="X262"/>
      <c r="Y262"/>
      <c r="Z262"/>
      <c r="AA262"/>
      <c r="AB262"/>
      <c r="AC262"/>
      <c r="AD262"/>
      <c r="AE262"/>
      <c r="AF262"/>
      <c r="AG262"/>
      <c r="AW262" s="328" t="s">
        <v>2677</v>
      </c>
      <c r="AY262" s="623"/>
      <c r="AZ262" s="623">
        <f>SUM(AZ258:AZ261)</f>
        <v>91</v>
      </c>
      <c r="BF262" s="623">
        <f>SUM(BF258:BF261)</f>
        <v>110</v>
      </c>
      <c r="BG262" s="623">
        <f>SUM(BF258:BG261)</f>
        <v>311</v>
      </c>
      <c r="BN262" s="325"/>
      <c r="BO262" s="325"/>
    </row>
    <row r="263" spans="2:67" ht="15.6">
      <c r="B263" s="617"/>
      <c r="C263"/>
      <c r="D263"/>
      <c r="E263"/>
      <c r="F263"/>
      <c r="G263"/>
      <c r="H263" s="410"/>
      <c r="I263"/>
      <c r="J263"/>
      <c r="K263"/>
      <c r="L263"/>
      <c r="M263"/>
      <c r="N263"/>
      <c r="O263"/>
      <c r="P263"/>
      <c r="Q263"/>
      <c r="R263"/>
      <c r="S263"/>
      <c r="T263"/>
      <c r="U263"/>
      <c r="V263"/>
      <c r="W263"/>
      <c r="X263"/>
      <c r="Y263"/>
      <c r="Z263"/>
      <c r="AA263"/>
      <c r="AB263"/>
      <c r="AC263"/>
      <c r="AD263"/>
      <c r="AE263"/>
      <c r="AF263"/>
      <c r="AG263"/>
      <c r="AZ263" s="325">
        <f>COUNTIF(gender,"M")</f>
        <v>91</v>
      </c>
      <c r="BF263" s="299">
        <f>COUNTIF(gender,"F")</f>
        <v>110</v>
      </c>
      <c r="BG263" s="325">
        <f>+AZ263+BF263</f>
        <v>201</v>
      </c>
    </row>
    <row r="264" spans="2:67" ht="15.6">
      <c r="B264" s="617"/>
      <c r="C264"/>
      <c r="D264"/>
      <c r="E264"/>
      <c r="F264"/>
      <c r="G264"/>
      <c r="H264" s="410"/>
      <c r="I264"/>
      <c r="J264"/>
      <c r="K264"/>
      <c r="L264"/>
      <c r="M264"/>
      <c r="N264"/>
      <c r="O264"/>
      <c r="P264"/>
      <c r="Q264"/>
      <c r="R264"/>
      <c r="S264"/>
      <c r="T264"/>
      <c r="U264"/>
      <c r="V264"/>
      <c r="W264"/>
      <c r="X264"/>
      <c r="Y264"/>
      <c r="Z264"/>
      <c r="AA264"/>
      <c r="AB264"/>
      <c r="AC264"/>
      <c r="AD264"/>
      <c r="AE264"/>
      <c r="AF264"/>
      <c r="AG264"/>
      <c r="BG264" s="407"/>
    </row>
    <row r="265" spans="2:67" ht="15.6">
      <c r="B265" s="617"/>
      <c r="C265"/>
      <c r="D265"/>
      <c r="E265"/>
      <c r="F265"/>
      <c r="G265"/>
      <c r="H265" s="410"/>
      <c r="I265"/>
      <c r="J265"/>
      <c r="K265"/>
      <c r="L265"/>
      <c r="M265"/>
      <c r="N265"/>
      <c r="O265"/>
      <c r="P265"/>
      <c r="Q265"/>
      <c r="R265"/>
      <c r="S265"/>
      <c r="T265"/>
      <c r="U265"/>
      <c r="V265"/>
      <c r="W265"/>
      <c r="X265"/>
      <c r="Y265"/>
      <c r="Z265"/>
      <c r="AA265"/>
      <c r="AB265"/>
      <c r="AC265"/>
      <c r="AD265"/>
      <c r="AE265"/>
      <c r="AF265"/>
      <c r="AG265"/>
      <c r="AW265" s="329" t="s">
        <v>2678</v>
      </c>
    </row>
    <row r="266" spans="2:67" ht="15.6">
      <c r="B266" s="617"/>
      <c r="C266"/>
      <c r="D266"/>
      <c r="E266"/>
      <c r="F266"/>
      <c r="G266"/>
      <c r="H266" s="410"/>
      <c r="I266"/>
      <c r="J266"/>
      <c r="K266"/>
      <c r="L266"/>
      <c r="M266"/>
      <c r="N266"/>
      <c r="O266"/>
      <c r="P266"/>
      <c r="Q266"/>
      <c r="R266"/>
      <c r="S266"/>
      <c r="T266"/>
      <c r="U266"/>
      <c r="V266"/>
      <c r="W266"/>
      <c r="X266"/>
      <c r="Y266"/>
      <c r="Z266"/>
      <c r="AA266"/>
      <c r="AB266"/>
      <c r="AC266"/>
      <c r="AD266"/>
      <c r="AE266"/>
      <c r="AF266"/>
      <c r="AG266"/>
      <c r="AW266" s="329" t="s">
        <v>2247</v>
      </c>
    </row>
    <row r="267" spans="2:67" ht="15.6">
      <c r="B267" s="617"/>
      <c r="C267"/>
      <c r="D267"/>
      <c r="E267"/>
      <c r="F267"/>
      <c r="G267"/>
      <c r="H267" s="410"/>
      <c r="I267"/>
      <c r="J267"/>
      <c r="K267"/>
      <c r="L267"/>
      <c r="M267"/>
      <c r="N267"/>
      <c r="O267"/>
      <c r="P267"/>
      <c r="Q267"/>
      <c r="R267"/>
      <c r="S267"/>
      <c r="T267"/>
      <c r="U267"/>
      <c r="V267"/>
      <c r="W267"/>
      <c r="X267"/>
      <c r="Y267"/>
      <c r="Z267"/>
      <c r="AA267"/>
      <c r="AB267"/>
      <c r="AC267"/>
      <c r="AD267"/>
      <c r="AE267"/>
      <c r="AF267"/>
      <c r="AG267"/>
      <c r="AW267" s="329" t="s">
        <v>2307</v>
      </c>
    </row>
    <row r="268" spans="2:67" ht="15.6">
      <c r="B268" s="617"/>
      <c r="C268"/>
      <c r="D268"/>
      <c r="E268"/>
      <c r="F268"/>
      <c r="G268"/>
      <c r="H268" s="410"/>
      <c r="I268"/>
      <c r="J268"/>
      <c r="K268"/>
      <c r="L268"/>
      <c r="M268"/>
      <c r="N268"/>
      <c r="O268"/>
      <c r="P268"/>
      <c r="Q268"/>
      <c r="R268"/>
      <c r="S268"/>
      <c r="T268"/>
      <c r="U268"/>
      <c r="V268"/>
      <c r="W268"/>
      <c r="X268"/>
      <c r="Y268"/>
      <c r="Z268"/>
      <c r="AA268"/>
      <c r="AB268"/>
      <c r="AC268"/>
      <c r="AD268"/>
      <c r="AE268"/>
      <c r="AF268"/>
      <c r="AG268"/>
      <c r="AW268" s="329" t="s">
        <v>2348</v>
      </c>
    </row>
    <row r="269" spans="2:67" ht="15.6">
      <c r="B269" s="617"/>
      <c r="C269"/>
      <c r="D269"/>
      <c r="E269"/>
      <c r="F269"/>
      <c r="G269"/>
      <c r="H269" s="410"/>
      <c r="I269"/>
      <c r="J269"/>
      <c r="K269"/>
      <c r="L269"/>
      <c r="M269"/>
      <c r="N269"/>
      <c r="O269"/>
      <c r="P269"/>
      <c r="Q269"/>
      <c r="R269"/>
      <c r="S269"/>
      <c r="T269"/>
      <c r="U269"/>
      <c r="V269"/>
      <c r="W269"/>
      <c r="X269"/>
      <c r="Y269"/>
      <c r="Z269"/>
      <c r="AA269"/>
      <c r="AB269"/>
      <c r="AC269"/>
      <c r="AD269"/>
      <c r="AE269"/>
      <c r="AF269"/>
      <c r="AG269"/>
    </row>
    <row r="270" spans="2:67" ht="15.6">
      <c r="B270" s="617"/>
      <c r="C270"/>
      <c r="D270"/>
      <c r="E270"/>
      <c r="F270"/>
      <c r="G270"/>
      <c r="H270" s="410"/>
      <c r="I270"/>
      <c r="J270"/>
      <c r="K270"/>
      <c r="L270"/>
      <c r="M270"/>
      <c r="N270"/>
      <c r="O270"/>
      <c r="P270"/>
      <c r="Q270"/>
      <c r="R270"/>
      <c r="S270"/>
      <c r="T270"/>
      <c r="U270"/>
      <c r="V270"/>
      <c r="W270"/>
      <c r="X270"/>
      <c r="Y270"/>
      <c r="Z270"/>
      <c r="AA270"/>
      <c r="AB270"/>
      <c r="AC270"/>
      <c r="AD270"/>
      <c r="AE270"/>
      <c r="AF270"/>
      <c r="AG270"/>
    </row>
    <row r="271" spans="2:67" ht="15.6">
      <c r="B271" s="617"/>
      <c r="C271"/>
      <c r="D271"/>
      <c r="E271"/>
      <c r="F271"/>
      <c r="G271"/>
      <c r="H271" s="410"/>
      <c r="I271"/>
      <c r="J271"/>
      <c r="K271"/>
      <c r="L271"/>
      <c r="M271"/>
      <c r="N271"/>
      <c r="O271"/>
      <c r="P271"/>
      <c r="Q271"/>
      <c r="R271"/>
      <c r="S271"/>
      <c r="T271"/>
      <c r="U271"/>
      <c r="V271"/>
      <c r="W271"/>
      <c r="X271"/>
      <c r="Y271"/>
      <c r="Z271"/>
      <c r="AA271"/>
      <c r="AB271"/>
      <c r="AC271"/>
      <c r="AD271"/>
      <c r="AE271"/>
      <c r="AF271"/>
      <c r="AG271"/>
    </row>
    <row r="272" spans="2:67" ht="15.6">
      <c r="B272" s="617"/>
      <c r="C272"/>
      <c r="D272"/>
      <c r="E272"/>
      <c r="F272"/>
      <c r="G272"/>
      <c r="H272" s="410"/>
      <c r="I272"/>
      <c r="J272"/>
      <c r="K272"/>
      <c r="L272"/>
      <c r="M272"/>
      <c r="N272"/>
      <c r="O272"/>
      <c r="P272"/>
      <c r="Q272"/>
      <c r="R272"/>
      <c r="S272"/>
      <c r="T272"/>
      <c r="U272"/>
      <c r="V272"/>
      <c r="W272"/>
      <c r="X272"/>
      <c r="Y272"/>
      <c r="Z272"/>
      <c r="AA272"/>
      <c r="AB272"/>
      <c r="AC272"/>
      <c r="AD272"/>
      <c r="AE272"/>
      <c r="AF272"/>
      <c r="AG272"/>
    </row>
    <row r="273" spans="2:33" ht="15.6">
      <c r="B273" s="618"/>
      <c r="C273" s="617"/>
      <c r="D273" s="617"/>
      <c r="E273" s="617"/>
      <c r="F273" s="617"/>
      <c r="G273" s="617"/>
      <c r="H273" s="619"/>
      <c r="I273"/>
      <c r="J273" s="617"/>
      <c r="K273" s="617"/>
      <c r="L273" s="617"/>
      <c r="M273" s="617"/>
      <c r="N273" s="617"/>
      <c r="O273" s="617"/>
      <c r="P273" s="617"/>
      <c r="Q273" s="617"/>
      <c r="R273" s="617"/>
      <c r="S273" s="617"/>
      <c r="T273" s="617"/>
      <c r="U273" s="617"/>
      <c r="V273" s="617"/>
      <c r="W273" s="617"/>
      <c r="X273" s="617"/>
      <c r="Y273" s="617"/>
      <c r="Z273" s="617"/>
      <c r="AA273" s="617"/>
      <c r="AB273" s="617"/>
      <c r="AC273" s="617"/>
      <c r="AD273" s="617"/>
      <c r="AE273" s="617"/>
      <c r="AF273" s="617"/>
      <c r="AG273" s="617"/>
    </row>
    <row r="274" spans="2:33" ht="15.6">
      <c r="B274" s="618"/>
      <c r="C274" s="617"/>
      <c r="D274" s="617"/>
      <c r="E274" s="617"/>
      <c r="F274" s="617"/>
      <c r="G274" s="617"/>
      <c r="H274" s="619"/>
      <c r="I274" s="617"/>
      <c r="J274" s="617"/>
      <c r="K274"/>
      <c r="L274"/>
      <c r="M274"/>
      <c r="N274"/>
      <c r="O274"/>
      <c r="P274"/>
      <c r="Q274"/>
      <c r="R274"/>
      <c r="S274"/>
      <c r="T274"/>
      <c r="U274"/>
      <c r="V274"/>
      <c r="W274"/>
      <c r="X274"/>
      <c r="Y274"/>
      <c r="Z274"/>
      <c r="AA274"/>
      <c r="AB274"/>
      <c r="AC274"/>
      <c r="AD274"/>
      <c r="AE274"/>
      <c r="AF274"/>
      <c r="AG274"/>
    </row>
    <row r="275" spans="2:33" ht="15.6">
      <c r="B275" s="618"/>
      <c r="C275" s="617"/>
      <c r="D275" s="617"/>
      <c r="E275" s="617"/>
      <c r="F275" s="617"/>
      <c r="G275" s="617"/>
      <c r="H275" s="619"/>
      <c r="I275" s="617"/>
      <c r="J275" s="617"/>
      <c r="K275"/>
      <c r="L275"/>
      <c r="M275"/>
      <c r="N275"/>
      <c r="O275"/>
      <c r="P275"/>
      <c r="Q275"/>
      <c r="R275"/>
      <c r="S275"/>
      <c r="T275"/>
      <c r="U275"/>
      <c r="V275"/>
      <c r="W275"/>
      <c r="X275"/>
      <c r="Y275"/>
      <c r="Z275"/>
      <c r="AA275"/>
      <c r="AB275"/>
      <c r="AC275"/>
      <c r="AD275"/>
      <c r="AE275"/>
      <c r="AF275"/>
      <c r="AG275"/>
    </row>
    <row r="276" spans="2:33" ht="15.6">
      <c r="B276" s="620"/>
      <c r="C276" s="621"/>
      <c r="D276" s="621"/>
      <c r="E276" s="621"/>
      <c r="F276" s="621"/>
      <c r="G276" s="621"/>
      <c r="H276" s="622"/>
      <c r="I276" s="621"/>
      <c r="J276" s="621"/>
      <c r="K276"/>
      <c r="L276"/>
      <c r="M276"/>
      <c r="N276"/>
      <c r="O276"/>
      <c r="P276"/>
      <c r="Q276"/>
      <c r="R276"/>
      <c r="S276"/>
      <c r="T276"/>
      <c r="U276"/>
      <c r="V276"/>
      <c r="W276"/>
      <c r="X276"/>
      <c r="Y276"/>
      <c r="Z276"/>
      <c r="AA276"/>
      <c r="AB276"/>
      <c r="AC276"/>
      <c r="AD276"/>
      <c r="AE276"/>
      <c r="AF276"/>
      <c r="AG276"/>
    </row>
  </sheetData>
  <autoFilter ref="A9:BQ244" xr:uid="{00000000-0009-0000-0000-000003000000}"/>
  <sortState xmlns:xlrd2="http://schemas.microsoft.com/office/spreadsheetml/2017/richdata2" ref="A80:CL178">
    <sortCondition ref="A79"/>
  </sortState>
  <mergeCells count="27">
    <mergeCell ref="A1:BP1"/>
    <mergeCell ref="A2:BP2"/>
    <mergeCell ref="AH7:AI7"/>
    <mergeCell ref="AK7:AM7"/>
    <mergeCell ref="D8:G8"/>
    <mergeCell ref="BM7:BM8"/>
    <mergeCell ref="BN7:BN8"/>
    <mergeCell ref="BO8:BO9"/>
    <mergeCell ref="BP7:BP8"/>
    <mergeCell ref="M9:P9"/>
    <mergeCell ref="Q9:W9"/>
    <mergeCell ref="AY7:AY8"/>
    <mergeCell ref="AZ7:AZ8"/>
    <mergeCell ref="BF7:BF8"/>
    <mergeCell ref="BG7:BG8"/>
    <mergeCell ref="BK7:BK8"/>
    <mergeCell ref="H184:I184"/>
    <mergeCell ref="B7:B8"/>
    <mergeCell ref="C7:C8"/>
    <mergeCell ref="AJ7:AJ8"/>
    <mergeCell ref="AW7:AW8"/>
    <mergeCell ref="M8:AG8"/>
    <mergeCell ref="X9:AC9"/>
    <mergeCell ref="AD9:AG9"/>
    <mergeCell ref="H181:I181"/>
    <mergeCell ref="H182:I182"/>
    <mergeCell ref="H183:I183"/>
  </mergeCells>
  <conditionalFormatting sqref="B240">
    <cfRule type="containsText" dxfId="356" priority="1937" operator="containsText" text="*vacant*">
      <formula>NOT(ISERROR(SEARCH("*vacant*",B240)))</formula>
    </cfRule>
  </conditionalFormatting>
  <conditionalFormatting sqref="K43:K65">
    <cfRule type="expression" dxfId="355" priority="1221">
      <formula>"$U$11="" """</formula>
    </cfRule>
  </conditionalFormatting>
  <conditionalFormatting sqref="K68:K240">
    <cfRule type="expression" dxfId="354" priority="72">
      <formula>"$U$11="" """</formula>
    </cfRule>
  </conditionalFormatting>
  <conditionalFormatting sqref="AO179:AO229">
    <cfRule type="containsText" dxfId="353" priority="755" operator="containsText" text="*vacant*">
      <formula>NOT(ISERROR(SEARCH("*vacant*",AO179)))</formula>
    </cfRule>
  </conditionalFormatting>
  <conditionalFormatting sqref="AO12:AP36">
    <cfRule type="containsText" dxfId="352" priority="728" operator="containsText" text="*vacant*">
      <formula>NOT(ISERROR(SEARCH("*vacant*",AO12)))</formula>
    </cfRule>
  </conditionalFormatting>
  <conditionalFormatting sqref="AO155:AP164">
    <cfRule type="containsText" dxfId="351" priority="735" operator="containsText" text="*vacant*">
      <formula>NOT(ISERROR(SEARCH("*vacant*",AO155)))</formula>
    </cfRule>
  </conditionalFormatting>
  <conditionalFormatting sqref="AO37:AT51 AX86:AX89 AX92:AX93 AW96:AX96 AX105:AX108 AX111 AX156 AX158 AX160 AO165:AT166 AP223:AT223 AP225:AT229 AO230:AT241 AU241:AW241">
    <cfRule type="containsText" dxfId="350" priority="2817" operator="containsText" text="*vacant*">
      <formula>NOT(ISERROR(SEARCH("*vacant*",AO37)))</formula>
    </cfRule>
  </conditionalFormatting>
  <conditionalFormatting sqref="AO168:AT178">
    <cfRule type="containsText" dxfId="349" priority="611" operator="containsText" text="*vacant*">
      <formula>NOT(ISERROR(SEARCH("*vacant*",AO168)))</formula>
    </cfRule>
  </conditionalFormatting>
  <conditionalFormatting sqref="AO80:AV154">
    <cfRule type="containsText" dxfId="348" priority="30" operator="containsText" text="*vacant*">
      <formula>NOT(ISERROR(SEARCH("*vacant*",AO80)))</formula>
    </cfRule>
  </conditionalFormatting>
  <conditionalFormatting sqref="AO167:AV167">
    <cfRule type="containsText" dxfId="347" priority="189" operator="containsText" text="*vacant*">
      <formula>NOT(ISERROR(SEARCH("*vacant*",AO167)))</formula>
    </cfRule>
  </conditionalFormatting>
  <conditionalFormatting sqref="AO52:AW55">
    <cfRule type="containsText" dxfId="346" priority="8" operator="containsText" text="*vacant*">
      <formula>NOT(ISERROR(SEARCH("*vacant*",AO52)))</formula>
    </cfRule>
  </conditionalFormatting>
  <conditionalFormatting sqref="AO60:AW79">
    <cfRule type="containsText" dxfId="345" priority="40" operator="containsText" text="*vacant*">
      <formula>NOT(ISERROR(SEARCH("*vacant*",AO60)))</formula>
    </cfRule>
  </conditionalFormatting>
  <conditionalFormatting sqref="AO56:AX57">
    <cfRule type="containsText" dxfId="344" priority="3" operator="containsText" text="*vacant*">
      <formula>NOT(ISERROR(SEARCH("*vacant*",AO56)))</formula>
    </cfRule>
  </conditionalFormatting>
  <conditionalFormatting sqref="AO59:AX59">
    <cfRule type="containsText" dxfId="343" priority="309" operator="containsText" text="*vacant*">
      <formula>NOT(ISERROR(SEARCH("*vacant*",AO59)))</formula>
    </cfRule>
  </conditionalFormatting>
  <conditionalFormatting sqref="AP198:AP222">
    <cfRule type="containsText" dxfId="342" priority="740" operator="containsText" text="*vacant*">
      <formula>NOT(ISERROR(SEARCH("*vacant*",AP198)))</formula>
    </cfRule>
  </conditionalFormatting>
  <conditionalFormatting sqref="AP192:AT197">
    <cfRule type="containsText" dxfId="341" priority="291" operator="containsText" text="*vacant*">
      <formula>NOT(ISERROR(SEARCH("*vacant*",AP192)))</formula>
    </cfRule>
  </conditionalFormatting>
  <conditionalFormatting sqref="AP224:AW224">
    <cfRule type="containsText" dxfId="340" priority="319" operator="containsText" text="*vacant*">
      <formula>NOT(ISERROR(SEARCH("*vacant*",AP224)))</formula>
    </cfRule>
  </conditionalFormatting>
  <conditionalFormatting sqref="AQ161:AQ162 AQ163:AT164 AQ208:AT222">
    <cfRule type="containsText" dxfId="339" priority="726" operator="containsText" text="*vacant*">
      <formula>NOT(ISERROR(SEARCH("*vacant*",AQ161)))</formula>
    </cfRule>
  </conditionalFormatting>
  <conditionalFormatting sqref="AQ32:AT36">
    <cfRule type="containsText" dxfId="338" priority="712" operator="containsText" text="*vacant*">
      <formula>NOT(ISERROR(SEARCH("*vacant*",AQ32)))</formula>
    </cfRule>
  </conditionalFormatting>
  <conditionalFormatting sqref="AQ198:AT202">
    <cfRule type="containsText" dxfId="337" priority="538" operator="containsText" text="*vacant*">
      <formula>NOT(ISERROR(SEARCH("*vacant*",AQ198)))</formula>
    </cfRule>
  </conditionalFormatting>
  <conditionalFormatting sqref="AQ155:AV155">
    <cfRule type="containsText" dxfId="336" priority="211" operator="containsText" text="*vacant*">
      <formula>NOT(ISERROR(SEARCH("*vacant*",AQ155)))</formula>
    </cfRule>
  </conditionalFormatting>
  <conditionalFormatting sqref="AQ12:AW31">
    <cfRule type="containsText" dxfId="335" priority="136" operator="containsText" text="*vacant*">
      <formula>NOT(ISERROR(SEARCH("*vacant*",AQ12)))</formula>
    </cfRule>
  </conditionalFormatting>
  <conditionalFormatting sqref="AQ156:AW160 AU163:AW166 AP183:AV191 AU208:AX223 AU225:AX240">
    <cfRule type="containsText" dxfId="334" priority="476" operator="containsText" text="*vacant*">
      <formula>NOT(ISERROR(SEARCH("*vacant*",AP156)))</formula>
    </cfRule>
  </conditionalFormatting>
  <conditionalFormatting sqref="AQ207:AW207">
    <cfRule type="containsText" dxfId="333" priority="244" operator="containsText" text="*vacant*">
      <formula>NOT(ISERROR(SEARCH("*vacant*",AQ207)))</formula>
    </cfRule>
  </conditionalFormatting>
  <conditionalFormatting sqref="AQ203:AX206">
    <cfRule type="containsText" dxfId="332" priority="408" operator="containsText" text="*vacant*">
      <formula>NOT(ISERROR(SEARCH("*vacant*",AQ203)))</formula>
    </cfRule>
  </conditionalFormatting>
  <conditionalFormatting sqref="AR161:AW161">
    <cfRule type="containsText" dxfId="331" priority="384" operator="containsText" text="*vacant*">
      <formula>NOT(ISERROR(SEARCH("*vacant*",AR161)))</formula>
    </cfRule>
  </conditionalFormatting>
  <conditionalFormatting sqref="AR162:AX162">
    <cfRule type="containsText" dxfId="330" priority="156" operator="containsText" text="*vacant*">
      <formula>NOT(ISERROR(SEARCH("*vacant*",AR162)))</formula>
    </cfRule>
  </conditionalFormatting>
  <conditionalFormatting sqref="AU168:AV182">
    <cfRule type="containsText" dxfId="329" priority="362" operator="containsText" text="*vacant*">
      <formula>NOT(ISERROR(SEARCH("*vacant*",AU168)))</formula>
    </cfRule>
  </conditionalFormatting>
  <conditionalFormatting sqref="AU32:AW51 AO58:AW58">
    <cfRule type="containsText" dxfId="328" priority="477" operator="containsText" text="*vacant*">
      <formula>NOT(ISERROR(SEARCH("*vacant*",AO32)))</formula>
    </cfRule>
  </conditionalFormatting>
  <conditionalFormatting sqref="AU192:AX202">
    <cfRule type="containsText" dxfId="327" priority="288" operator="containsText" text="*vacant*">
      <formula>NOT(ISERROR(SEARCH("*vacant*",AU192)))</formula>
    </cfRule>
  </conditionalFormatting>
  <conditionalFormatting sqref="AW80:AW95">
    <cfRule type="containsText" dxfId="326" priority="32" operator="containsText" text="*vacant*">
      <formula>NOT(ISERROR(SEARCH("*vacant*",AW80)))</formula>
    </cfRule>
  </conditionalFormatting>
  <conditionalFormatting sqref="AW97:AW155">
    <cfRule type="containsText" dxfId="325" priority="213" operator="containsText" text="*vacant*">
      <formula>NOT(ISERROR(SEARCH("*vacant*",AW97)))</formula>
    </cfRule>
  </conditionalFormatting>
  <conditionalFormatting sqref="AW167:AW170">
    <cfRule type="containsText" dxfId="324" priority="191" operator="containsText" text="*vacant*">
      <formula>NOT(ISERROR(SEARCH("*vacant*",AW167)))</formula>
    </cfRule>
  </conditionalFormatting>
  <conditionalFormatting sqref="AW172:AW185">
    <cfRule type="containsText" dxfId="323" priority="361" operator="containsText" text="*vacant*">
      <formula>NOT(ISERROR(SEARCH("*vacant*",AW172)))</formula>
    </cfRule>
  </conditionalFormatting>
  <conditionalFormatting sqref="AW171:AX171">
    <cfRule type="containsText" dxfId="322" priority="612" operator="containsText" text="*vacant*">
      <formula>NOT(ISERROR(SEARCH("*vacant*",AW171)))</formula>
    </cfRule>
  </conditionalFormatting>
  <conditionalFormatting sqref="AW186:AX191">
    <cfRule type="containsText" dxfId="321" priority="521" operator="containsText" text="*vacant*">
      <formula>NOT(ISERROR(SEARCH("*vacant*",AW186)))</formula>
    </cfRule>
  </conditionalFormatting>
  <conditionalFormatting sqref="AX21:AX27">
    <cfRule type="containsText" dxfId="320" priority="2" operator="containsText" text="*vacant*">
      <formula>NOT(ISERROR(SEARCH("*vacant*",AX21)))</formula>
    </cfRule>
  </conditionalFormatting>
  <conditionalFormatting sqref="AX31:AX39">
    <cfRule type="containsText" dxfId="319" priority="1" operator="containsText" text="*vacant*">
      <formula>NOT(ISERROR(SEARCH("*vacant*",AX31)))</formula>
    </cfRule>
  </conditionalFormatting>
  <conditionalFormatting sqref="AX95">
    <cfRule type="containsText" dxfId="318" priority="1542" operator="containsText" text="*vacant*">
      <formula>NOT(ISERROR(SEARCH("*vacant*",AX95)))</formula>
    </cfRule>
  </conditionalFormatting>
  <conditionalFormatting sqref="AX98:AX103">
    <cfRule type="containsText" dxfId="317" priority="1533" operator="containsText" text="*vacant*">
      <formula>NOT(ISERROR(SEARCH("*vacant*",AX98)))</formula>
    </cfRule>
  </conditionalFormatting>
  <conditionalFormatting sqref="AX113:AX143">
    <cfRule type="containsText" dxfId="316" priority="1030" operator="containsText" text="*vacant*">
      <formula>NOT(ISERROR(SEARCH("*vacant*",AX113)))</formula>
    </cfRule>
  </conditionalFormatting>
  <conditionalFormatting sqref="AX145:AX153">
    <cfRule type="containsText" dxfId="315" priority="766" operator="containsText" text="*vacant*">
      <formula>NOT(ISERROR(SEARCH("*vacant*",AX145)))</formula>
    </cfRule>
  </conditionalFormatting>
  <conditionalFormatting sqref="AX167:AX168">
    <cfRule type="containsText" dxfId="314" priority="192" operator="containsText" text="*vacant*">
      <formula>NOT(ISERROR(SEARCH("*vacant*",AX167)))</formula>
    </cfRule>
  </conditionalFormatting>
  <conditionalFormatting sqref="AX170">
    <cfRule type="containsText" dxfId="313" priority="1082" operator="containsText" text="*vacant*">
      <formula>NOT(ISERROR(SEARCH("*vacant*",AX170)))</formula>
    </cfRule>
  </conditionalFormatting>
  <conditionalFormatting sqref="AX172:AX173">
    <cfRule type="containsText" dxfId="312" priority="907" operator="containsText" text="*vacant*">
      <formula>NOT(ISERROR(SEARCH("*vacant*",AX172)))</formula>
    </cfRule>
  </conditionalFormatting>
  <conditionalFormatting sqref="AX175:AX185 AP179:AT182">
    <cfRule type="containsText" dxfId="311" priority="365" operator="containsText" text="*vacant*">
      <formula>NOT(ISERROR(SEARCH("*vacant*",AP175)))</formula>
    </cfRule>
  </conditionalFormatting>
  <conditionalFormatting sqref="AY247:AY255 BA256:BA257 BA265:BA1048576">
    <cfRule type="cellIs" dxfId="310" priority="3020" operator="between">
      <formula>64</formula>
      <formula>65</formula>
    </cfRule>
    <cfRule type="cellIs" dxfId="309" priority="3021" operator="between">
      <formula>51</formula>
      <formula>59</formula>
    </cfRule>
    <cfRule type="cellIs" dxfId="308" priority="3022" operator="between">
      <formula>60</formula>
      <formula>63</formula>
    </cfRule>
    <cfRule type="cellIs" dxfId="307" priority="3023" operator="between">
      <formula>41</formula>
      <formula>50</formula>
    </cfRule>
    <cfRule type="cellIs" dxfId="306" priority="3024" operator="between">
      <formula>31</formula>
      <formula>40</formula>
    </cfRule>
    <cfRule type="cellIs" dxfId="305" priority="3025" operator="between">
      <formula>20</formula>
      <formula>30</formula>
    </cfRule>
  </conditionalFormatting>
  <conditionalFormatting sqref="AZ256">
    <cfRule type="cellIs" dxfId="304" priority="1899" operator="equal">
      <formula>0.5</formula>
    </cfRule>
    <cfRule type="cellIs" dxfId="303" priority="1900" operator="between">
      <formula>0.5001</formula>
      <formula>1</formula>
    </cfRule>
  </conditionalFormatting>
  <conditionalFormatting sqref="BA1:BA246">
    <cfRule type="cellIs" dxfId="302" priority="12" operator="between">
      <formula>64</formula>
      <formula>65</formula>
    </cfRule>
    <cfRule type="cellIs" dxfId="301" priority="13" operator="between">
      <formula>51</formula>
      <formula>59</formula>
    </cfRule>
    <cfRule type="cellIs" dxfId="300" priority="14" operator="between">
      <formula>60</formula>
      <formula>63</formula>
    </cfRule>
    <cfRule type="cellIs" dxfId="299" priority="15" operator="between">
      <formula>41</formula>
      <formula>50</formula>
    </cfRule>
    <cfRule type="cellIs" dxfId="298" priority="16" operator="between">
      <formula>31</formula>
      <formula>40</formula>
    </cfRule>
    <cfRule type="cellIs" dxfId="297" priority="17" operator="between">
      <formula>20</formula>
      <formula>30</formula>
    </cfRule>
  </conditionalFormatting>
  <conditionalFormatting sqref="BE16 K21:K28 K31:K40 BE38:BE40 BE240">
    <cfRule type="expression" dxfId="296" priority="3033">
      <formula>"$U$11="" """</formula>
    </cfRule>
  </conditionalFormatting>
  <conditionalFormatting sqref="BE21:BE28">
    <cfRule type="expression" dxfId="295" priority="610">
      <formula>"$U$11="" """</formula>
    </cfRule>
  </conditionalFormatting>
  <conditionalFormatting sqref="BE31:BE36">
    <cfRule type="expression" dxfId="294" priority="145">
      <formula>"$U$11="" """</formula>
    </cfRule>
  </conditionalFormatting>
  <conditionalFormatting sqref="BE43:BE65">
    <cfRule type="expression" dxfId="293" priority="18">
      <formula>"$U$11="" """</formula>
    </cfRule>
  </conditionalFormatting>
  <conditionalFormatting sqref="BE68:BE238">
    <cfRule type="expression" dxfId="292" priority="39">
      <formula>"$U$11="" """</formula>
    </cfRule>
  </conditionalFormatting>
  <conditionalFormatting sqref="BF256">
    <cfRule type="cellIs" dxfId="291" priority="1897" operator="equal">
      <formula>0.5</formula>
    </cfRule>
    <cfRule type="cellIs" dxfId="290" priority="1898" operator="between">
      <formula>0.5001</formula>
      <formula>1</formula>
    </cfRule>
  </conditionalFormatting>
  <conditionalFormatting sqref="BG247:BG255">
    <cfRule type="cellIs" dxfId="289" priority="1901" operator="equal">
      <formula>0.5</formula>
    </cfRule>
    <cfRule type="cellIs" dxfId="288" priority="1902" operator="between">
      <formula>0.5001</formula>
      <formula>1</formula>
    </cfRule>
  </conditionalFormatting>
  <conditionalFormatting sqref="BI247:BK254">
    <cfRule type="cellIs" dxfId="287" priority="2895" operator="equal">
      <formula>0.5</formula>
    </cfRule>
    <cfRule type="cellIs" dxfId="286" priority="2896" operator="between">
      <formula>0.5001</formula>
      <formula>1</formula>
    </cfRule>
  </conditionalFormatting>
  <conditionalFormatting sqref="BK255">
    <cfRule type="cellIs" dxfId="285" priority="567" operator="equal">
      <formula>0.5</formula>
    </cfRule>
    <cfRule type="cellIs" dxfId="284" priority="568" operator="between">
      <formula>0.5001</formula>
      <formula>1</formula>
    </cfRule>
  </conditionalFormatting>
  <dataValidations count="2">
    <dataValidation allowBlank="1" showInputMessage="1" showErrorMessage="1" sqref="BP160" xr:uid="{00000000-0002-0000-0300-000000000000}"/>
    <dataValidation type="decimal" operator="equal" allowBlank="1" showInputMessage="1" showErrorMessage="1" sqref="AH1:AI1048576" xr:uid="{00000000-0002-0000-0300-000001000000}">
      <formula1>0.00212121212221212</formula1>
    </dataValidation>
  </dataValidations>
  <printOptions horizontalCentered="1"/>
  <pageMargins left="0.2" right="0.2" top="0.18888888888888899" bottom="0.2" header="0.3" footer="0.16875000000000001"/>
  <pageSetup paperSize="256" scale="85" orientation="landscape" r:id="rId1"/>
  <headerFooter>
    <oddFooter>&amp;Rpage &amp;P of &amp;N pages</oddFooter>
  </headerFooter>
  <ignoredErrors>
    <ignoredError sqref="AK21:AK26 AK12:AK18 AH9:AN9 A9:B9" numberStoredAsText="1"/>
  </ignoredError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38554-2462-4670-A375-A449217CFF97}">
  <dimension ref="A1:F32"/>
  <sheetViews>
    <sheetView tabSelected="1" workbookViewId="0">
      <selection activeCell="F5" sqref="F5"/>
    </sheetView>
  </sheetViews>
  <sheetFormatPr defaultRowHeight="17.399999999999999"/>
  <cols>
    <col min="1" max="1" width="41.109375" style="1153" customWidth="1"/>
    <col min="2" max="2" width="34" style="1153" customWidth="1"/>
    <col min="3" max="3" width="27.21875" style="1153" customWidth="1"/>
    <col min="4" max="4" width="28.44140625" style="1153" customWidth="1"/>
    <col min="5" max="5" width="45" style="1153" customWidth="1"/>
    <col min="6" max="6" width="41.77734375" style="1153" customWidth="1"/>
    <col min="7" max="16384" width="8.88671875" style="1153"/>
  </cols>
  <sheetData>
    <row r="1" spans="1:6" ht="18" thickBot="1">
      <c r="A1" s="1175" t="s">
        <v>2767</v>
      </c>
      <c r="B1" s="1177" t="s">
        <v>3450</v>
      </c>
      <c r="C1" s="1177"/>
      <c r="D1" s="1177"/>
      <c r="E1" s="1178"/>
    </row>
    <row r="2" spans="1:6" ht="52.8" thickBot="1">
      <c r="A2" s="1176"/>
      <c r="B2" s="1173" t="s">
        <v>3447</v>
      </c>
      <c r="C2" s="1173" t="s">
        <v>3449</v>
      </c>
      <c r="D2" s="1173" t="s">
        <v>3448</v>
      </c>
      <c r="E2" s="1174" t="s">
        <v>2231</v>
      </c>
      <c r="F2" s="1179" t="s">
        <v>3484</v>
      </c>
    </row>
    <row r="3" spans="1:6">
      <c r="A3" s="1169" t="s">
        <v>3453</v>
      </c>
      <c r="B3" s="1170" t="s">
        <v>3473</v>
      </c>
      <c r="C3" s="1171" t="s">
        <v>265</v>
      </c>
      <c r="D3" s="1171" t="s">
        <v>265</v>
      </c>
      <c r="E3" s="1172" t="s">
        <v>3474</v>
      </c>
    </row>
    <row r="4" spans="1:6" ht="87">
      <c r="A4" s="1160" t="s">
        <v>3451</v>
      </c>
      <c r="B4" s="1155" t="s">
        <v>3452</v>
      </c>
      <c r="C4" s="1156" t="s">
        <v>265</v>
      </c>
      <c r="D4" s="1156" t="s">
        <v>265</v>
      </c>
      <c r="E4" s="1161" t="s">
        <v>3482</v>
      </c>
    </row>
    <row r="5" spans="1:6" ht="87">
      <c r="A5" s="1160" t="s">
        <v>3454</v>
      </c>
      <c r="B5" s="1155" t="s">
        <v>3452</v>
      </c>
      <c r="C5" s="1156" t="s">
        <v>265</v>
      </c>
      <c r="D5" s="1156" t="s">
        <v>265</v>
      </c>
      <c r="E5" s="1161" t="s">
        <v>3482</v>
      </c>
    </row>
    <row r="6" spans="1:6" ht="87">
      <c r="A6" s="1162" t="s">
        <v>3455</v>
      </c>
      <c r="B6" s="1155" t="s">
        <v>3452</v>
      </c>
      <c r="C6" s="1157" t="s">
        <v>3456</v>
      </c>
      <c r="D6" s="1157" t="s">
        <v>3457</v>
      </c>
      <c r="E6" s="1161" t="s">
        <v>3482</v>
      </c>
    </row>
    <row r="7" spans="1:6" ht="87">
      <c r="A7" s="1162" t="s">
        <v>3458</v>
      </c>
      <c r="B7" s="1155" t="s">
        <v>3452</v>
      </c>
      <c r="C7" s="1157" t="s">
        <v>3456</v>
      </c>
      <c r="D7" s="1157" t="s">
        <v>3457</v>
      </c>
      <c r="E7" s="1161" t="s">
        <v>3482</v>
      </c>
    </row>
    <row r="8" spans="1:6" ht="87">
      <c r="A8" s="1162" t="s">
        <v>112</v>
      </c>
      <c r="B8" s="1155" t="s">
        <v>3452</v>
      </c>
      <c r="C8" s="1157" t="s">
        <v>3456</v>
      </c>
      <c r="D8" s="1157" t="s">
        <v>3457</v>
      </c>
      <c r="E8" s="1161" t="s">
        <v>3482</v>
      </c>
    </row>
    <row r="9" spans="1:6" ht="87">
      <c r="A9" s="1162" t="s">
        <v>3459</v>
      </c>
      <c r="B9" s="1155" t="s">
        <v>3452</v>
      </c>
      <c r="C9" s="1157" t="s">
        <v>3456</v>
      </c>
      <c r="D9" s="1157" t="s">
        <v>3457</v>
      </c>
      <c r="E9" s="1161" t="s">
        <v>3482</v>
      </c>
    </row>
    <row r="10" spans="1:6" ht="87">
      <c r="A10" s="1162" t="s">
        <v>3481</v>
      </c>
      <c r="B10" s="1155" t="s">
        <v>3452</v>
      </c>
      <c r="C10" s="1157" t="s">
        <v>3456</v>
      </c>
      <c r="D10" s="1157" t="s">
        <v>3457</v>
      </c>
      <c r="E10" s="1161" t="s">
        <v>3482</v>
      </c>
    </row>
    <row r="11" spans="1:6" ht="34.799999999999997">
      <c r="A11" s="1160" t="s">
        <v>338</v>
      </c>
      <c r="B11" s="1156" t="s">
        <v>3464</v>
      </c>
      <c r="C11" s="1157" t="s">
        <v>3456</v>
      </c>
      <c r="D11" s="1157" t="s">
        <v>3457</v>
      </c>
      <c r="E11" s="1161" t="s">
        <v>3483</v>
      </c>
    </row>
    <row r="12" spans="1:6" ht="34.799999999999997">
      <c r="A12" s="1162" t="s">
        <v>3460</v>
      </c>
      <c r="B12" s="1156" t="s">
        <v>3464</v>
      </c>
      <c r="C12" s="1157" t="s">
        <v>3456</v>
      </c>
      <c r="D12" s="1157" t="s">
        <v>3457</v>
      </c>
      <c r="E12" s="1161" t="s">
        <v>3483</v>
      </c>
    </row>
    <row r="13" spans="1:6" ht="34.799999999999997">
      <c r="A13" s="1163" t="s">
        <v>3461</v>
      </c>
      <c r="B13" s="1156" t="s">
        <v>3464</v>
      </c>
      <c r="C13" s="1157" t="s">
        <v>3456</v>
      </c>
      <c r="D13" s="1157" t="s">
        <v>3457</v>
      </c>
      <c r="E13" s="1161" t="s">
        <v>3483</v>
      </c>
    </row>
    <row r="14" spans="1:6" ht="34.799999999999997">
      <c r="A14" s="1164" t="s">
        <v>332</v>
      </c>
      <c r="B14" s="1156" t="s">
        <v>3464</v>
      </c>
      <c r="C14" s="1157" t="s">
        <v>3456</v>
      </c>
      <c r="D14" s="1157" t="s">
        <v>3457</v>
      </c>
      <c r="E14" s="1161" t="s">
        <v>3483</v>
      </c>
    </row>
    <row r="15" spans="1:6" ht="34.799999999999997">
      <c r="A15" s="1163" t="s">
        <v>3462</v>
      </c>
      <c r="B15" s="1156" t="s">
        <v>3464</v>
      </c>
      <c r="C15" s="1158" t="s">
        <v>3465</v>
      </c>
      <c r="D15" s="1158" t="s">
        <v>3466</v>
      </c>
      <c r="E15" s="1161" t="s">
        <v>3483</v>
      </c>
    </row>
    <row r="16" spans="1:6" ht="34.799999999999997">
      <c r="A16" s="1162" t="s">
        <v>312</v>
      </c>
      <c r="B16" s="1156" t="s">
        <v>3464</v>
      </c>
      <c r="C16" s="1158" t="s">
        <v>3465</v>
      </c>
      <c r="D16" s="1158" t="s">
        <v>3466</v>
      </c>
      <c r="E16" s="1161" t="s">
        <v>3483</v>
      </c>
    </row>
    <row r="17" spans="1:5" ht="34.799999999999997">
      <c r="A17" s="1163" t="s">
        <v>3463</v>
      </c>
      <c r="B17" s="1156" t="s">
        <v>3464</v>
      </c>
      <c r="C17" s="1158" t="s">
        <v>3465</v>
      </c>
      <c r="D17" s="1158" t="s">
        <v>3466</v>
      </c>
      <c r="E17" s="1161" t="s">
        <v>3483</v>
      </c>
    </row>
    <row r="18" spans="1:5" ht="34.799999999999997">
      <c r="A18" s="1162" t="s">
        <v>3467</v>
      </c>
      <c r="B18" s="1156" t="s">
        <v>3464</v>
      </c>
      <c r="C18" s="1159" t="s">
        <v>3469</v>
      </c>
      <c r="D18" s="1159" t="s">
        <v>3470</v>
      </c>
      <c r="E18" s="1161" t="s">
        <v>3483</v>
      </c>
    </row>
    <row r="19" spans="1:5" ht="69.599999999999994">
      <c r="A19" s="1162" t="s">
        <v>3468</v>
      </c>
      <c r="B19" s="1156" t="s">
        <v>280</v>
      </c>
      <c r="C19" s="1157" t="s">
        <v>3471</v>
      </c>
      <c r="D19" s="1157" t="s">
        <v>3472</v>
      </c>
      <c r="E19" s="1161" t="s">
        <v>3483</v>
      </c>
    </row>
    <row r="20" spans="1:5" ht="34.799999999999997">
      <c r="A20" s="1160" t="s">
        <v>76</v>
      </c>
      <c r="B20" s="1156" t="s">
        <v>3477</v>
      </c>
      <c r="C20" s="1159" t="s">
        <v>3465</v>
      </c>
      <c r="D20" s="1157" t="s">
        <v>3466</v>
      </c>
      <c r="E20" s="1165" t="s">
        <v>84</v>
      </c>
    </row>
    <row r="21" spans="1:5" ht="34.799999999999997">
      <c r="A21" s="1160" t="s">
        <v>3475</v>
      </c>
      <c r="B21" s="1156" t="s">
        <v>3477</v>
      </c>
      <c r="C21" s="1159" t="s">
        <v>3456</v>
      </c>
      <c r="D21" s="1159" t="s">
        <v>3457</v>
      </c>
      <c r="E21" s="1165" t="s">
        <v>84</v>
      </c>
    </row>
    <row r="22" spans="1:5" ht="34.799999999999997">
      <c r="A22" s="1160" t="s">
        <v>87</v>
      </c>
      <c r="B22" s="1157" t="s">
        <v>3478</v>
      </c>
      <c r="C22" s="1158" t="s">
        <v>3465</v>
      </c>
      <c r="D22" s="1158" t="s">
        <v>3466</v>
      </c>
      <c r="E22" s="1161" t="s">
        <v>3483</v>
      </c>
    </row>
    <row r="23" spans="1:5" ht="34.799999999999997">
      <c r="A23" s="1160" t="s">
        <v>94</v>
      </c>
      <c r="B23" s="1157" t="s">
        <v>3478</v>
      </c>
      <c r="C23" s="1159" t="s">
        <v>3465</v>
      </c>
      <c r="D23" s="1157" t="s">
        <v>3466</v>
      </c>
      <c r="E23" s="1161" t="s">
        <v>3483</v>
      </c>
    </row>
    <row r="24" spans="1:5" ht="34.799999999999997">
      <c r="A24" s="1160" t="s">
        <v>3476</v>
      </c>
      <c r="B24" s="1157" t="s">
        <v>3478</v>
      </c>
      <c r="C24" s="1156" t="s">
        <v>265</v>
      </c>
      <c r="D24" s="1156" t="s">
        <v>265</v>
      </c>
      <c r="E24" s="1161" t="s">
        <v>3483</v>
      </c>
    </row>
    <row r="25" spans="1:5" ht="34.799999999999997">
      <c r="A25" s="1160" t="s">
        <v>262</v>
      </c>
      <c r="B25" s="1157" t="s">
        <v>3478</v>
      </c>
      <c r="C25" s="1157" t="s">
        <v>3456</v>
      </c>
      <c r="D25" s="1157" t="s">
        <v>3457</v>
      </c>
      <c r="E25" s="1161" t="s">
        <v>3483</v>
      </c>
    </row>
    <row r="26" spans="1:5" ht="34.799999999999997">
      <c r="A26" s="1160" t="s">
        <v>264</v>
      </c>
      <c r="B26" s="1157" t="s">
        <v>3478</v>
      </c>
      <c r="C26" s="1156" t="s">
        <v>265</v>
      </c>
      <c r="D26" s="1156" t="s">
        <v>265</v>
      </c>
      <c r="E26" s="1161" t="s">
        <v>3483</v>
      </c>
    </row>
    <row r="27" spans="1:5" ht="69.599999999999994">
      <c r="A27" s="1162" t="s">
        <v>151</v>
      </c>
      <c r="B27" s="1156" t="s">
        <v>280</v>
      </c>
      <c r="C27" s="1157" t="s">
        <v>3479</v>
      </c>
      <c r="D27" s="1157" t="s">
        <v>3472</v>
      </c>
      <c r="E27" s="1161" t="s">
        <v>3483</v>
      </c>
    </row>
    <row r="28" spans="1:5" ht="34.799999999999997">
      <c r="A28" s="1163" t="s">
        <v>157</v>
      </c>
      <c r="B28" s="1156" t="s">
        <v>3464</v>
      </c>
      <c r="C28" s="1157" t="s">
        <v>3479</v>
      </c>
      <c r="D28" s="1159" t="s">
        <v>3470</v>
      </c>
      <c r="E28" s="1161" t="s">
        <v>3483</v>
      </c>
    </row>
    <row r="29" spans="1:5" ht="34.799999999999997">
      <c r="A29" s="1163" t="s">
        <v>165</v>
      </c>
      <c r="B29" s="1156" t="s">
        <v>3464</v>
      </c>
      <c r="C29" s="1157" t="s">
        <v>3479</v>
      </c>
      <c r="D29" s="1158" t="s">
        <v>3466</v>
      </c>
      <c r="E29" s="1161" t="s">
        <v>3483</v>
      </c>
    </row>
    <row r="30" spans="1:5" ht="34.799999999999997">
      <c r="A30" s="1163" t="s">
        <v>187</v>
      </c>
      <c r="B30" s="1156" t="s">
        <v>3464</v>
      </c>
      <c r="C30" s="1157" t="s">
        <v>3479</v>
      </c>
      <c r="D30" s="1158" t="s">
        <v>3466</v>
      </c>
      <c r="E30" s="1161" t="s">
        <v>3483</v>
      </c>
    </row>
    <row r="31" spans="1:5" ht="121.8">
      <c r="A31" s="1162" t="s">
        <v>1066</v>
      </c>
      <c r="B31" s="1156" t="s">
        <v>3464</v>
      </c>
      <c r="C31" s="1154" t="s">
        <v>3480</v>
      </c>
      <c r="D31" s="1157" t="s">
        <v>3457</v>
      </c>
      <c r="E31" s="1161" t="s">
        <v>3483</v>
      </c>
    </row>
    <row r="32" spans="1:5" ht="35.4" thickBot="1">
      <c r="A32" s="1166" t="s">
        <v>1074</v>
      </c>
      <c r="B32" s="1167" t="s">
        <v>3464</v>
      </c>
      <c r="C32" s="1167" t="s">
        <v>265</v>
      </c>
      <c r="D32" s="1167" t="s">
        <v>265</v>
      </c>
      <c r="E32" s="1168" t="s">
        <v>3483</v>
      </c>
    </row>
  </sheetData>
  <mergeCells count="2">
    <mergeCell ref="B1:E1"/>
    <mergeCell ref="A1:A2"/>
  </mergeCells>
  <pageMargins left="0.19685039370078741" right="0.19685039370078741" top="0.11811023622047245" bottom="0.11811023622047245" header="0.31496062992125984" footer="0.31496062992125984"/>
  <pageSetup paperSize="9" scale="80" orientation="landscape"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9"/>
  <sheetViews>
    <sheetView workbookViewId="0">
      <selection activeCell="C2" sqref="C2"/>
    </sheetView>
  </sheetViews>
  <sheetFormatPr defaultColWidth="9" defaultRowHeight="14.4"/>
  <sheetData>
    <row r="1" spans="1:1">
      <c r="A1" t="s">
        <v>2765</v>
      </c>
    </row>
    <row r="2" spans="1:1">
      <c r="A2">
        <v>2015</v>
      </c>
    </row>
    <row r="3" spans="1:1">
      <c r="A3">
        <f t="shared" ref="A3:A9" si="0">+A2-3</f>
        <v>2012</v>
      </c>
    </row>
    <row r="4" spans="1:1">
      <c r="A4">
        <f t="shared" si="0"/>
        <v>2009</v>
      </c>
    </row>
    <row r="5" spans="1:1">
      <c r="A5">
        <f t="shared" si="0"/>
        <v>2006</v>
      </c>
    </row>
    <row r="6" spans="1:1">
      <c r="A6">
        <f t="shared" si="0"/>
        <v>2003</v>
      </c>
    </row>
    <row r="7" spans="1:1">
      <c r="A7">
        <f t="shared" si="0"/>
        <v>2000</v>
      </c>
    </row>
    <row r="8" spans="1:1">
      <c r="A8">
        <f t="shared" si="0"/>
        <v>1997</v>
      </c>
    </row>
    <row r="9" spans="1:1">
      <c r="A9">
        <f t="shared" si="0"/>
        <v>1994</v>
      </c>
    </row>
    <row r="12" spans="1:1">
      <c r="A12">
        <f t="shared" ref="A12:A19" si="1">+A2-1</f>
        <v>2014</v>
      </c>
    </row>
    <row r="13" spans="1:1">
      <c r="A13">
        <f t="shared" si="1"/>
        <v>2011</v>
      </c>
    </row>
    <row r="14" spans="1:1">
      <c r="A14">
        <f t="shared" si="1"/>
        <v>2008</v>
      </c>
    </row>
    <row r="15" spans="1:1">
      <c r="A15">
        <f t="shared" si="1"/>
        <v>2005</v>
      </c>
    </row>
    <row r="16" spans="1:1">
      <c r="A16">
        <f t="shared" si="1"/>
        <v>2002</v>
      </c>
    </row>
    <row r="17" spans="1:1">
      <c r="A17">
        <f t="shared" si="1"/>
        <v>1999</v>
      </c>
    </row>
    <row r="18" spans="1:1">
      <c r="A18">
        <f t="shared" si="1"/>
        <v>1996</v>
      </c>
    </row>
    <row r="19" spans="1:1">
      <c r="A19">
        <f t="shared" si="1"/>
        <v>1993</v>
      </c>
    </row>
    <row r="22" spans="1:1">
      <c r="A22">
        <f t="shared" ref="A22:A29" si="2">+A12-1</f>
        <v>2013</v>
      </c>
    </row>
    <row r="23" spans="1:1">
      <c r="A23">
        <f t="shared" si="2"/>
        <v>2010</v>
      </c>
    </row>
    <row r="24" spans="1:1">
      <c r="A24">
        <f t="shared" si="2"/>
        <v>2007</v>
      </c>
    </row>
    <row r="25" spans="1:1">
      <c r="A25">
        <f t="shared" si="2"/>
        <v>2004</v>
      </c>
    </row>
    <row r="26" spans="1:1">
      <c r="A26">
        <f t="shared" si="2"/>
        <v>2001</v>
      </c>
    </row>
    <row r="27" spans="1:1">
      <c r="A27">
        <f t="shared" si="2"/>
        <v>1998</v>
      </c>
    </row>
    <row r="28" spans="1:1">
      <c r="A28">
        <f t="shared" si="2"/>
        <v>1995</v>
      </c>
    </row>
    <row r="29" spans="1:1">
      <c r="A29">
        <f t="shared" si="2"/>
        <v>1992</v>
      </c>
    </row>
  </sheetData>
  <pageMargins left="0.69930555555555596" right="0.69930555555555596"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52"/>
  <sheetViews>
    <sheetView topLeftCell="A234" zoomScale="130" zoomScaleNormal="130" workbookViewId="0">
      <selection activeCell="G11" sqref="G11"/>
    </sheetView>
  </sheetViews>
  <sheetFormatPr defaultColWidth="9.109375" defaultRowHeight="14.4"/>
  <cols>
    <col min="1" max="1" width="24.5546875" style="349" customWidth="1"/>
    <col min="2" max="2" width="7.44140625" style="350" customWidth="1"/>
    <col min="3" max="3" width="20" style="349" customWidth="1"/>
    <col min="4" max="4" width="9.5546875" style="350" customWidth="1"/>
    <col min="5" max="5" width="13.109375" style="349" customWidth="1"/>
    <col min="6" max="6" width="19.5546875" style="349" customWidth="1"/>
    <col min="7" max="7" width="13" style="349" customWidth="1"/>
    <col min="8" max="8" width="24.5546875" style="349" customWidth="1"/>
    <col min="9" max="9" width="26.88671875" style="349" customWidth="1"/>
    <col min="10" max="10" width="7.5546875" style="351" customWidth="1"/>
    <col min="11" max="11" width="9.109375" style="349"/>
    <col min="12" max="12" width="38.33203125" style="349" customWidth="1"/>
    <col min="13" max="15" width="5.33203125" style="352" customWidth="1"/>
    <col min="16" max="16384" width="9.109375" style="349"/>
  </cols>
  <sheetData>
    <row r="1" spans="1:15" ht="30.75" customHeight="1">
      <c r="A1" s="1058" t="s">
        <v>2766</v>
      </c>
      <c r="B1" s="1058"/>
      <c r="C1" s="1058"/>
      <c r="D1" s="1058"/>
      <c r="E1" s="1058"/>
      <c r="F1" s="1058"/>
      <c r="G1" s="1058"/>
      <c r="H1" s="1058"/>
      <c r="I1" s="1058"/>
    </row>
    <row r="2" spans="1:15">
      <c r="A2" s="1059" t="str">
        <f ca="1">'staffing plan'!A2:BP2</f>
        <v>As of March 24, 2026</v>
      </c>
      <c r="B2" s="1059"/>
      <c r="C2" s="1059"/>
      <c r="D2" s="1059"/>
      <c r="E2" s="1059"/>
      <c r="F2" s="1059"/>
      <c r="G2" s="1059"/>
      <c r="H2" s="1059"/>
      <c r="I2" s="1059"/>
    </row>
    <row r="3" spans="1:15">
      <c r="D3" s="346"/>
      <c r="E3" s="350"/>
      <c r="F3" s="350"/>
    </row>
    <row r="4" spans="1:15" s="346" customFormat="1">
      <c r="A4" s="1061" t="s">
        <v>2767</v>
      </c>
      <c r="B4" s="1063" t="s">
        <v>2768</v>
      </c>
      <c r="C4" s="1060" t="s">
        <v>2769</v>
      </c>
      <c r="D4" s="1060" t="s">
        <v>2770</v>
      </c>
      <c r="E4" s="1060"/>
      <c r="F4" s="1060"/>
      <c r="G4" s="1066" t="s">
        <v>2771</v>
      </c>
      <c r="H4" s="1060" t="s">
        <v>2772</v>
      </c>
      <c r="I4" s="1068" t="s">
        <v>2679</v>
      </c>
      <c r="J4" s="378"/>
    </row>
    <row r="5" spans="1:15" s="346" customFormat="1" ht="28.5" customHeight="1">
      <c r="A5" s="1062"/>
      <c r="B5" s="1064"/>
      <c r="C5" s="1065"/>
      <c r="D5" s="353" t="s">
        <v>2773</v>
      </c>
      <c r="E5" s="353" t="s">
        <v>2774</v>
      </c>
      <c r="F5" s="354" t="s">
        <v>1511</v>
      </c>
      <c r="G5" s="1067"/>
      <c r="H5" s="1065"/>
      <c r="I5" s="1069"/>
      <c r="J5" s="378"/>
    </row>
    <row r="6" spans="1:15">
      <c r="A6" s="355" t="s">
        <v>2775</v>
      </c>
      <c r="B6" s="356"/>
      <c r="C6" s="357"/>
      <c r="D6" s="356"/>
      <c r="E6" s="357"/>
      <c r="F6" s="357"/>
      <c r="G6" s="357"/>
      <c r="H6" s="357"/>
      <c r="I6" s="379"/>
    </row>
    <row r="7" spans="1:15" s="347" customFormat="1" ht="28.8">
      <c r="A7" s="358" t="str">
        <f>'staffing plan'!B12</f>
        <v>Director IV</v>
      </c>
      <c r="B7" s="359">
        <f>+'staffing plan'!C12</f>
        <v>28</v>
      </c>
      <c r="C7" s="360" t="str">
        <f>+'staffing plan'!A12</f>
        <v>OSEC-DILGB-DIR4-18-1998</v>
      </c>
      <c r="D7" s="361" t="str">
        <f>+'staffing plan'!AK12</f>
        <v>011</v>
      </c>
      <c r="E7" s="360" t="e">
        <f>+'staffing plan'!#REF!</f>
        <v>#REF!</v>
      </c>
      <c r="F7" s="360" t="e">
        <f>CONCATENATE('staffing plan'!#REF!," ",'staffing plan'!#REF!)</f>
        <v>#REF!</v>
      </c>
      <c r="G7" s="360" t="str">
        <f>'staffing plan'!AX12</f>
        <v>Regional Office</v>
      </c>
      <c r="H7" s="360" t="str">
        <f>'staffing plan'!AW12</f>
        <v>IRINGAN, Marlo Lingan</v>
      </c>
      <c r="I7" s="380"/>
      <c r="J7" s="381" t="e">
        <f t="shared" ref="J7:J13" si="0">E7=G7</f>
        <v>#REF!</v>
      </c>
    </row>
    <row r="8" spans="1:15" s="347" customFormat="1" ht="28.8">
      <c r="A8" s="358" t="str">
        <f>'staffing plan'!B13</f>
        <v>Director III</v>
      </c>
      <c r="B8" s="359">
        <f>+'staffing plan'!C13</f>
        <v>27</v>
      </c>
      <c r="C8" s="360" t="str">
        <f>+'staffing plan'!A13</f>
        <v>OSEC-DILGB-DIR3-4-1998</v>
      </c>
      <c r="D8" s="361" t="str">
        <f>+'staffing plan'!AK13</f>
        <v>011</v>
      </c>
      <c r="E8" s="360" t="e">
        <f>+'staffing plan'!#REF!</f>
        <v>#REF!</v>
      </c>
      <c r="F8" s="360" t="e">
        <f>CONCATENATE('staffing plan'!#REF!," ",'staffing plan'!#REF!)</f>
        <v>#REF!</v>
      </c>
      <c r="G8" s="360" t="str">
        <f>'staffing plan'!AX13</f>
        <v>Regional Office</v>
      </c>
      <c r="H8" s="360" t="str">
        <f>'staffing plan'!AW13</f>
        <v>SAN JOSE, Araceli Arruejo</v>
      </c>
      <c r="I8" s="380"/>
      <c r="J8" s="381" t="e">
        <f t="shared" si="0"/>
        <v>#REF!</v>
      </c>
    </row>
    <row r="9" spans="1:15" s="347" customFormat="1" ht="28.8">
      <c r="A9" s="358" t="str">
        <f>'staffing plan'!B14</f>
        <v>Attorney IV</v>
      </c>
      <c r="B9" s="359">
        <f>+'staffing plan'!C14</f>
        <v>23</v>
      </c>
      <c r="C9" s="360" t="str">
        <f>+'staffing plan'!A14</f>
        <v>OSEC-DILGB-ATTY4-9-1998</v>
      </c>
      <c r="D9" s="361" t="str">
        <f>+'staffing plan'!AK14</f>
        <v>011</v>
      </c>
      <c r="E9" s="360" t="e">
        <f>+'staffing plan'!#REF!</f>
        <v>#REF!</v>
      </c>
      <c r="F9" s="360" t="e">
        <f>CONCATENATE('staffing plan'!#REF!," ",'staffing plan'!#REF!)</f>
        <v>#REF!</v>
      </c>
      <c r="G9" s="360" t="str">
        <f>'staffing plan'!AX14</f>
        <v>Regional Office</v>
      </c>
      <c r="H9" s="360" t="str">
        <f>'staffing plan'!AW14</f>
        <v>SHONTOGAN, Genevieve Miguel</v>
      </c>
      <c r="I9" s="380"/>
      <c r="J9" s="381" t="e">
        <f t="shared" si="0"/>
        <v>#REF!</v>
      </c>
    </row>
    <row r="10" spans="1:15" s="347" customFormat="1" ht="28.8">
      <c r="A10" s="358" t="str">
        <f>'staffing plan'!B15</f>
        <v>Information Technology Officer I</v>
      </c>
      <c r="B10" s="359">
        <f>+'staffing plan'!C15</f>
        <v>19</v>
      </c>
      <c r="C10" s="360" t="str">
        <f>+'staffing plan'!A15</f>
        <v>OSEC-DILGB-ITO1-2-2010</v>
      </c>
      <c r="D10" s="361" t="str">
        <f>+'staffing plan'!AK15</f>
        <v>011</v>
      </c>
      <c r="E10" s="360" t="e">
        <f>+'staffing plan'!#REF!</f>
        <v>#REF!</v>
      </c>
      <c r="F10" s="360" t="e">
        <f>CONCATENATE('staffing plan'!#REF!," ",'staffing plan'!#REF!)</f>
        <v>#REF!</v>
      </c>
      <c r="G10" s="360" t="str">
        <f>'staffing plan'!AX15</f>
        <v>Regional Office</v>
      </c>
      <c r="H10" s="360" t="str">
        <f>'staffing plan'!AW15</f>
        <v>PAPAT-IW, Zaldy Bugtong</v>
      </c>
      <c r="I10" s="380"/>
      <c r="J10" s="381" t="e">
        <f t="shared" si="0"/>
        <v>#REF!</v>
      </c>
    </row>
    <row r="11" spans="1:15" s="347" customFormat="1" ht="28.8">
      <c r="A11" s="358" t="str">
        <f>'staffing plan'!B16</f>
        <v>Planning Officer III</v>
      </c>
      <c r="B11" s="359">
        <f>+'staffing plan'!C16</f>
        <v>18</v>
      </c>
      <c r="C11" s="360" t="str">
        <f>+'staffing plan'!A16</f>
        <v>OSEC-DILGB-PLO3-93-2010</v>
      </c>
      <c r="D11" s="361" t="str">
        <f>+'staffing plan'!AK16</f>
        <v>011</v>
      </c>
      <c r="E11" s="360" t="e">
        <f>+'staffing plan'!#REF!</f>
        <v>#REF!</v>
      </c>
      <c r="F11" s="360" t="e">
        <f>CONCATENATE('staffing plan'!#REF!," ",'staffing plan'!#REF!)</f>
        <v>#REF!</v>
      </c>
      <c r="G11" s="360" t="str">
        <f>'staffing plan'!AX16</f>
        <v>Regional Office</v>
      </c>
      <c r="H11" s="360" t="str">
        <f>'staffing plan'!AW16</f>
        <v>BINAY-AN, Fe Suerte</v>
      </c>
      <c r="I11" s="380"/>
      <c r="J11" s="381" t="e">
        <f t="shared" si="0"/>
        <v>#REF!</v>
      </c>
    </row>
    <row r="12" spans="1:15" s="347" customFormat="1" ht="28.8">
      <c r="A12" s="358" t="str">
        <f>'staffing plan'!B17</f>
        <v>Administrative Assistant III</v>
      </c>
      <c r="B12" s="359">
        <f>+'staffing plan'!C17</f>
        <v>9</v>
      </c>
      <c r="C12" s="360" t="str">
        <f>+'staffing plan'!A17</f>
        <v>OSEC-DILGB-ADAS3-64-2005</v>
      </c>
      <c r="D12" s="361" t="str">
        <f>+'staffing plan'!AK17</f>
        <v>011</v>
      </c>
      <c r="E12" s="360" t="e">
        <f>+'staffing plan'!#REF!</f>
        <v>#REF!</v>
      </c>
      <c r="F12" s="360" t="e">
        <f>CONCATENATE('staffing plan'!#REF!," ",'staffing plan'!#REF!)</f>
        <v>#REF!</v>
      </c>
      <c r="G12" s="360" t="str">
        <f>'staffing plan'!AX17</f>
        <v>Regional Office</v>
      </c>
      <c r="H12" s="360" t="str">
        <f>'staffing plan'!AW17</f>
        <v>DAOAS, Marian Pait Bigsang</v>
      </c>
      <c r="I12" s="380"/>
      <c r="J12" s="381" t="e">
        <f t="shared" si="0"/>
        <v>#REF!</v>
      </c>
    </row>
    <row r="13" spans="1:15" s="347" customFormat="1" ht="28.8">
      <c r="A13" s="358" t="str">
        <f>'staffing plan'!B18</f>
        <v>Administrative Aide IV (Driver II)</v>
      </c>
      <c r="B13" s="359">
        <f>+'staffing plan'!C18</f>
        <v>4</v>
      </c>
      <c r="C13" s="360" t="str">
        <f>+'staffing plan'!A18</f>
        <v>OSEC-DILGB-ADA4-83-2005</v>
      </c>
      <c r="D13" s="361" t="str">
        <f>+'staffing plan'!AK18</f>
        <v>011</v>
      </c>
      <c r="E13" s="360" t="e">
        <f>+'staffing plan'!#REF!</f>
        <v>#REF!</v>
      </c>
      <c r="F13" s="360" t="e">
        <f>CONCATENATE('staffing plan'!#REF!," ",'staffing plan'!#REF!)</f>
        <v>#REF!</v>
      </c>
      <c r="G13" s="360" t="str">
        <f>'staffing plan'!AX18</f>
        <v>Regional Office</v>
      </c>
      <c r="H13" s="360" t="str">
        <f>'staffing plan'!AW18</f>
        <v>PULTZ, El-wood Duane  Lingbawan</v>
      </c>
      <c r="I13" s="380"/>
      <c r="J13" s="381" t="e">
        <f t="shared" si="0"/>
        <v>#REF!</v>
      </c>
    </row>
    <row r="14" spans="1:15">
      <c r="A14" s="362"/>
      <c r="B14" s="363"/>
      <c r="C14" s="364"/>
      <c r="D14" s="365"/>
      <c r="E14" s="364"/>
      <c r="F14" s="364"/>
      <c r="G14" s="364"/>
      <c r="H14" s="364"/>
      <c r="I14" s="382"/>
      <c r="M14" s="346"/>
      <c r="N14" s="346"/>
      <c r="O14" s="349"/>
    </row>
    <row r="15" spans="1:15">
      <c r="A15" s="355" t="s">
        <v>2776</v>
      </c>
      <c r="B15" s="363"/>
      <c r="C15" s="364"/>
      <c r="D15" s="365"/>
      <c r="E15" s="364"/>
      <c r="F15" s="364"/>
      <c r="G15" s="364"/>
      <c r="H15" s="364"/>
      <c r="I15" s="382"/>
      <c r="M15" s="346"/>
      <c r="N15" s="346"/>
      <c r="O15" s="349"/>
    </row>
    <row r="16" spans="1:15" s="347" customFormat="1" ht="28.8">
      <c r="A16" s="358" t="str">
        <f>'staffing plan'!B21</f>
        <v>Local Government Operations Officer VII</v>
      </c>
      <c r="B16" s="359">
        <f>+'staffing plan'!C21</f>
        <v>24</v>
      </c>
      <c r="C16" s="360" t="str">
        <f>+'staffing plan'!A21</f>
        <v>OSEC-DILGB-LGOO7-37-1998</v>
      </c>
      <c r="D16" s="245" t="str">
        <f>+'staffing plan'!AK21</f>
        <v>06</v>
      </c>
      <c r="E16" s="360" t="e">
        <f>+'staffing plan'!#REF!</f>
        <v>#REF!</v>
      </c>
      <c r="F16" s="360" t="e">
        <f>CONCATENATE('staffing plan'!#REF!," ",'staffing plan'!#REF!)</f>
        <v>#REF!</v>
      </c>
      <c r="G16" s="360" t="str">
        <f>'staffing plan'!AX21</f>
        <v>Regional Office</v>
      </c>
      <c r="H16" s="360" t="str">
        <f>'staffing plan'!AW21</f>
        <v>PAYANG, Daisy Amoy</v>
      </c>
      <c r="I16" s="380" t="s">
        <v>2777</v>
      </c>
      <c r="J16" s="381" t="e">
        <f t="shared" ref="J16:J23" si="1">E16=G16</f>
        <v>#REF!</v>
      </c>
    </row>
    <row r="17" spans="1:15" s="347" customFormat="1" ht="28.8">
      <c r="A17" s="358" t="str">
        <f>'staffing plan'!B22</f>
        <v>Local Government Operations Officer VI</v>
      </c>
      <c r="B17" s="359">
        <f>+'staffing plan'!C22</f>
        <v>22</v>
      </c>
      <c r="C17" s="360" t="str">
        <f>+'staffing plan'!A22</f>
        <v>OSEC-DILGB-LGOO6-12-1998</v>
      </c>
      <c r="D17" s="361" t="str">
        <f>+'staffing plan'!AK22</f>
        <v>011</v>
      </c>
      <c r="E17" s="360" t="e">
        <f>+'staffing plan'!#REF!</f>
        <v>#REF!</v>
      </c>
      <c r="F17" s="360" t="e">
        <f>CONCATENATE('staffing plan'!#REF!," ",'staffing plan'!#REF!)</f>
        <v>#REF!</v>
      </c>
      <c r="G17" s="360" t="str">
        <f>'staffing plan'!AX22</f>
        <v>Benguet</v>
      </c>
      <c r="H17" s="360" t="str">
        <f>'staffing plan'!AW22</f>
        <v>CLAUDIO, Ofelia Linggon</v>
      </c>
      <c r="I17" s="380"/>
      <c r="J17" s="381" t="e">
        <f t="shared" si="1"/>
        <v>#REF!</v>
      </c>
    </row>
    <row r="18" spans="1:15" s="347" customFormat="1" ht="28.8">
      <c r="A18" s="358" t="str">
        <f>'staffing plan'!B23</f>
        <v>Local Government Operations Officer V</v>
      </c>
      <c r="B18" s="359">
        <f>+'staffing plan'!C23</f>
        <v>20</v>
      </c>
      <c r="C18" s="360" t="str">
        <f>+'staffing plan'!A23</f>
        <v>OSEC-DILGB-LGOO5-791-1998</v>
      </c>
      <c r="D18" s="245" t="str">
        <f>+'staffing plan'!AK23</f>
        <v>0540</v>
      </c>
      <c r="E18" s="360" t="e">
        <f>+'staffing plan'!#REF!</f>
        <v>#REF!</v>
      </c>
      <c r="F18" s="360" t="e">
        <f>CONCATENATE('staffing plan'!#REF!," ",'staffing plan'!#REF!)</f>
        <v>#REF!</v>
      </c>
      <c r="G18" s="360" t="str">
        <f>'staffing plan'!AX23</f>
        <v>Regional Office</v>
      </c>
      <c r="H18" s="360" t="str">
        <f>'staffing plan'!AW23</f>
        <v>GONZALES, Rolando Ronquillo</v>
      </c>
      <c r="I18" s="380" t="s">
        <v>2778</v>
      </c>
      <c r="J18" s="381" t="e">
        <f t="shared" si="1"/>
        <v>#REF!</v>
      </c>
    </row>
    <row r="19" spans="1:15" s="347" customFormat="1" ht="28.8">
      <c r="A19" s="358" t="str">
        <f>'staffing plan'!B24</f>
        <v>Local Government Operations Officer V</v>
      </c>
      <c r="B19" s="359">
        <f>+'staffing plan'!C24</f>
        <v>20</v>
      </c>
      <c r="C19" s="360" t="str">
        <f>+'staffing plan'!A24</f>
        <v>OSEC-DILGB-LGOO5-802-1998</v>
      </c>
      <c r="D19" s="361" t="str">
        <f>+'staffing plan'!AK24</f>
        <v>011</v>
      </c>
      <c r="E19" s="360" t="e">
        <f>+'staffing plan'!#REF!</f>
        <v>#REF!</v>
      </c>
      <c r="F19" s="360" t="e">
        <f>CONCATENATE('staffing plan'!#REF!," ",'staffing plan'!#REF!)</f>
        <v>#REF!</v>
      </c>
      <c r="G19" s="360" t="str">
        <f>'staffing plan'!AX24</f>
        <v>Regional Office</v>
      </c>
      <c r="H19" s="360" t="str">
        <f>'staffing plan'!AW24</f>
        <v>MAUTING, Johnny Laayon</v>
      </c>
      <c r="I19" s="380"/>
      <c r="J19" s="381" t="e">
        <f t="shared" si="1"/>
        <v>#REF!</v>
      </c>
    </row>
    <row r="20" spans="1:15" s="347" customFormat="1" ht="28.8">
      <c r="A20" s="358" t="str">
        <f>'staffing plan'!B25</f>
        <v>Local Government Operations Officer V</v>
      </c>
      <c r="B20" s="359">
        <f>+'staffing plan'!C25</f>
        <v>20</v>
      </c>
      <c r="C20" s="360" t="str">
        <f>+'staffing plan'!A25</f>
        <v>OSEC-DILGB-LGOO5-813-1998</v>
      </c>
      <c r="D20" s="361" t="str">
        <f>+'staffing plan'!AK25</f>
        <v>011</v>
      </c>
      <c r="E20" s="360" t="e">
        <f>+'staffing plan'!#REF!</f>
        <v>#REF!</v>
      </c>
      <c r="F20" s="360" t="e">
        <f>CONCATENATE('staffing plan'!#REF!," ",'staffing plan'!#REF!)</f>
        <v>#REF!</v>
      </c>
      <c r="G20" s="360">
        <f>'staffing plan'!AX25</f>
        <v>0</v>
      </c>
      <c r="H20" s="360" t="str">
        <f>'staffing plan'!AW25</f>
        <v xml:space="preserve">Vacant GRIBA,  </v>
      </c>
      <c r="I20" s="380"/>
      <c r="J20" s="381" t="e">
        <f t="shared" si="1"/>
        <v>#REF!</v>
      </c>
    </row>
    <row r="21" spans="1:15" s="347" customFormat="1" ht="28.8">
      <c r="A21" s="358" t="str">
        <f>'staffing plan'!B26</f>
        <v>Local Government Operations Officer IV</v>
      </c>
      <c r="B21" s="359">
        <f>+'staffing plan'!C26</f>
        <v>18</v>
      </c>
      <c r="C21" s="360" t="str">
        <f>+'staffing plan'!A26</f>
        <v>OSEC-DILGB-LGOO4-161-1998</v>
      </c>
      <c r="D21" s="361" t="str">
        <f>+'staffing plan'!AK26</f>
        <v>011</v>
      </c>
      <c r="E21" s="360" t="e">
        <f>+'staffing plan'!#REF!</f>
        <v>#REF!</v>
      </c>
      <c r="F21" s="360" t="e">
        <f>CONCATENATE('staffing plan'!#REF!," ",'staffing plan'!#REF!)</f>
        <v>#REF!</v>
      </c>
      <c r="G21" s="360" t="str">
        <f>'staffing plan'!AX26</f>
        <v>Regional Office</v>
      </c>
      <c r="H21" s="360" t="str">
        <f>'staffing plan'!AW26</f>
        <v>DAEP, Sherwin Ray Ochoco</v>
      </c>
      <c r="I21" s="380"/>
      <c r="J21" s="381" t="e">
        <f t="shared" si="1"/>
        <v>#REF!</v>
      </c>
    </row>
    <row r="22" spans="1:15" s="347" customFormat="1" ht="28.8">
      <c r="A22" s="366" t="str">
        <f>'staffing plan'!B27</f>
        <v>Local Government Operations Officer IV</v>
      </c>
      <c r="B22" s="367">
        <f>+'staffing plan'!C27</f>
        <v>18</v>
      </c>
      <c r="C22" s="368" t="str">
        <f>+'staffing plan'!A27</f>
        <v>OSEC-DILGB-LGOO4-164-1998</v>
      </c>
      <c r="D22" s="369" t="str">
        <f>+'staffing plan'!AK27</f>
        <v>011</v>
      </c>
      <c r="E22" s="368" t="e">
        <f>+'staffing plan'!#REF!</f>
        <v>#REF!</v>
      </c>
      <c r="F22" s="368" t="e">
        <f>CONCATENATE('staffing plan'!#REF!," ",'staffing plan'!#REF!)</f>
        <v>#REF!</v>
      </c>
      <c r="G22" s="368" t="str">
        <f>'staffing plan'!AX27</f>
        <v>Regional Office</v>
      </c>
      <c r="H22" s="368" t="str">
        <f>'staffing plan'!AW27</f>
        <v>BRETT, Ralph Kevin Bacagan</v>
      </c>
      <c r="I22" s="383"/>
      <c r="J22" s="381" t="e">
        <f t="shared" si="1"/>
        <v>#REF!</v>
      </c>
    </row>
    <row r="23" spans="1:15" s="347" customFormat="1" ht="28.8">
      <c r="A23" s="358" t="str">
        <f>'staffing plan'!B28</f>
        <v>Administrative Aide VI</v>
      </c>
      <c r="B23" s="359">
        <f>+'staffing plan'!C28</f>
        <v>6</v>
      </c>
      <c r="C23" s="360" t="str">
        <f>+'staffing plan'!A28</f>
        <v>OSEC-DILGB-ADA6-97-2005</v>
      </c>
      <c r="D23" s="361" t="str">
        <f>+'staffing plan'!AK28</f>
        <v>011</v>
      </c>
      <c r="E23" s="360" t="e">
        <f>+'staffing plan'!#REF!</f>
        <v>#REF!</v>
      </c>
      <c r="F23" s="360" t="e">
        <f>CONCATENATE('staffing plan'!#REF!," ",'staffing plan'!#REF!)</f>
        <v>#REF!</v>
      </c>
      <c r="G23" s="360">
        <f>'staffing plan'!AX28</f>
        <v>0</v>
      </c>
      <c r="H23" s="360" t="str">
        <f>'staffing plan'!AW28</f>
        <v xml:space="preserve">Vacant MAGO,  </v>
      </c>
      <c r="I23" s="380"/>
      <c r="J23" s="381" t="e">
        <f t="shared" si="1"/>
        <v>#REF!</v>
      </c>
    </row>
    <row r="24" spans="1:15">
      <c r="A24" s="362"/>
      <c r="B24" s="363"/>
      <c r="C24" s="364"/>
      <c r="D24" s="365"/>
      <c r="E24" s="364"/>
      <c r="F24" s="364"/>
      <c r="G24" s="364"/>
      <c r="H24" s="364"/>
      <c r="I24" s="382"/>
      <c r="M24" s="346"/>
      <c r="N24" s="346"/>
      <c r="O24" s="349"/>
    </row>
    <row r="25" spans="1:15">
      <c r="A25" s="355" t="s">
        <v>2779</v>
      </c>
      <c r="B25" s="363"/>
      <c r="C25" s="364"/>
      <c r="D25" s="365"/>
      <c r="E25" s="364"/>
      <c r="F25" s="364"/>
      <c r="G25" s="364"/>
      <c r="H25" s="364"/>
      <c r="I25" s="382"/>
      <c r="M25" s="346"/>
      <c r="N25" s="346"/>
      <c r="O25" s="349"/>
    </row>
    <row r="26" spans="1:15" s="347" customFormat="1" ht="28.8">
      <c r="A26" s="358" t="str">
        <f>'staffing plan'!B31</f>
        <v>Local Government Operations Officer VII</v>
      </c>
      <c r="B26" s="359">
        <f>+'staffing plan'!C31</f>
        <v>24</v>
      </c>
      <c r="C26" s="360" t="str">
        <f>+'staffing plan'!A31</f>
        <v>OSEC-DILGB-LGOO7-38-1998</v>
      </c>
      <c r="D26" s="361" t="str">
        <f>+'staffing plan'!AK31</f>
        <v>011</v>
      </c>
      <c r="E26" s="360" t="e">
        <f>+'staffing plan'!#REF!</f>
        <v>#REF!</v>
      </c>
      <c r="F26" s="360" t="e">
        <f>CONCATENATE('staffing plan'!#REF!," ",'staffing plan'!#REF!)</f>
        <v>#REF!</v>
      </c>
      <c r="G26" s="360" t="str">
        <f>'staffing plan'!AX31</f>
        <v>Regional Office</v>
      </c>
      <c r="H26" s="360" t="str">
        <f>'staffing plan'!AW31</f>
        <v>GUERZON, Marleen Montano</v>
      </c>
      <c r="I26" s="380"/>
      <c r="J26" s="381" t="e">
        <f t="shared" ref="J26:J35" si="2">E26=G26</f>
        <v>#REF!</v>
      </c>
    </row>
    <row r="27" spans="1:15" s="347" customFormat="1" ht="28.8">
      <c r="A27" s="358" t="str">
        <f>'staffing plan'!B32</f>
        <v>Local Government Operations Officer VI</v>
      </c>
      <c r="B27" s="359">
        <f>+'staffing plan'!C32</f>
        <v>22</v>
      </c>
      <c r="C27" s="360" t="str">
        <f>+'staffing plan'!A32</f>
        <v>OSEC-DILGB-LGOO6-14-1998</v>
      </c>
      <c r="D27" s="361" t="str">
        <f>+'staffing plan'!AK32</f>
        <v>011</v>
      </c>
      <c r="E27" s="360" t="e">
        <f>+'staffing plan'!#REF!</f>
        <v>#REF!</v>
      </c>
      <c r="F27" s="360" t="e">
        <f>CONCATENATE('staffing plan'!#REF!," ",'staffing plan'!#REF!)</f>
        <v>#REF!</v>
      </c>
      <c r="G27" s="360" t="str">
        <f>'staffing plan'!AX32</f>
        <v>Regional Office</v>
      </c>
      <c r="H27" s="360" t="str">
        <f>'staffing plan'!AW32</f>
        <v>ADNOL, Bable Ged-ang</v>
      </c>
      <c r="I27" s="380"/>
      <c r="J27" s="381" t="e">
        <f t="shared" si="2"/>
        <v>#REF!</v>
      </c>
    </row>
    <row r="28" spans="1:15" s="347" customFormat="1" ht="28.8">
      <c r="A28" s="358" t="str">
        <f>'staffing plan'!B33</f>
        <v>Local Government Operations Officer V</v>
      </c>
      <c r="B28" s="359">
        <f>+'staffing plan'!C33</f>
        <v>20</v>
      </c>
      <c r="C28" s="360" t="str">
        <f>+'staffing plan'!A33</f>
        <v>OSEC-DILGB-LGOO5-99-2010</v>
      </c>
      <c r="D28" s="361" t="str">
        <f>+'staffing plan'!AK33</f>
        <v>011</v>
      </c>
      <c r="E28" s="360" t="e">
        <f>+'staffing plan'!#REF!</f>
        <v>#REF!</v>
      </c>
      <c r="F28" s="360" t="e">
        <f>CONCATENATE('staffing plan'!#REF!," ",'staffing plan'!#REF!)</f>
        <v>#REF!</v>
      </c>
      <c r="G28" s="360" t="str">
        <f>'staffing plan'!AX33</f>
        <v>Regional Office</v>
      </c>
      <c r="H28" s="360" t="str">
        <f>'staffing plan'!AW33</f>
        <v>RIMANDO, Marie Cris Lim</v>
      </c>
      <c r="I28" s="380"/>
      <c r="J28" s="381" t="e">
        <f t="shared" si="2"/>
        <v>#REF!</v>
      </c>
    </row>
    <row r="29" spans="1:15" s="347" customFormat="1" ht="28.8">
      <c r="A29" s="358" t="str">
        <f>'staffing plan'!B34</f>
        <v>Local Government Operations Officer V</v>
      </c>
      <c r="B29" s="359">
        <f>+'staffing plan'!C34</f>
        <v>20</v>
      </c>
      <c r="C29" s="360" t="str">
        <f>+'staffing plan'!A34</f>
        <v>OSEC-DILGB-LGOO5-824-1998</v>
      </c>
      <c r="D29" s="361" t="str">
        <f>+'staffing plan'!AK34</f>
        <v>011</v>
      </c>
      <c r="E29" s="360" t="e">
        <f>+'staffing plan'!#REF!</f>
        <v>#REF!</v>
      </c>
      <c r="F29" s="360" t="e">
        <f>CONCATENATE('staffing plan'!#REF!," ",'staffing plan'!#REF!)</f>
        <v>#REF!</v>
      </c>
      <c r="G29" s="360" t="str">
        <f>'staffing plan'!AX34</f>
        <v>Regional Office</v>
      </c>
      <c r="H29" s="360" t="str">
        <f>'staffing plan'!AW34</f>
        <v>GARCIA, Florinda Manuyag</v>
      </c>
      <c r="I29" s="380"/>
      <c r="J29" s="381" t="e">
        <f t="shared" si="2"/>
        <v>#REF!</v>
      </c>
    </row>
    <row r="30" spans="1:15" s="347" customFormat="1" ht="28.8">
      <c r="A30" s="358" t="str">
        <f>'staffing plan'!B35</f>
        <v>Local Government Operations Officer V</v>
      </c>
      <c r="B30" s="359">
        <f>+'staffing plan'!C35</f>
        <v>20</v>
      </c>
      <c r="C30" s="360" t="str">
        <f>+'staffing plan'!A35</f>
        <v>OSEC-DILGB-LGOO5-835-1998</v>
      </c>
      <c r="D30" s="361" t="str">
        <f>+'staffing plan'!AK35</f>
        <v>011</v>
      </c>
      <c r="E30" s="360" t="e">
        <f>+'staffing plan'!#REF!</f>
        <v>#REF!</v>
      </c>
      <c r="F30" s="360" t="e">
        <f>CONCATENATE('staffing plan'!#REF!," ",'staffing plan'!#REF!)</f>
        <v>#REF!</v>
      </c>
      <c r="G30" s="360" t="str">
        <f>'staffing plan'!AX35</f>
        <v>Regional Office</v>
      </c>
      <c r="H30" s="360" t="str">
        <f>'staffing plan'!AW35</f>
        <v>TINDUNGAN, Kenneth Cuyapi</v>
      </c>
      <c r="I30" s="380"/>
      <c r="J30" s="381" t="e">
        <f t="shared" si="2"/>
        <v>#REF!</v>
      </c>
    </row>
    <row r="31" spans="1:15" s="347" customFormat="1" ht="28.8">
      <c r="A31" s="358" t="str">
        <f>'staffing plan'!B36</f>
        <v>Local Government Operations Officer IV</v>
      </c>
      <c r="B31" s="359">
        <f>+'staffing plan'!C36</f>
        <v>18</v>
      </c>
      <c r="C31" s="360" t="str">
        <f>+'staffing plan'!A36</f>
        <v>OSEC-DILGB-LGOO4-166-1998</v>
      </c>
      <c r="D31" s="361" t="str">
        <f>+'staffing plan'!AK36</f>
        <v>011</v>
      </c>
      <c r="E31" s="360" t="e">
        <f>+'staffing plan'!#REF!</f>
        <v>#REF!</v>
      </c>
      <c r="F31" s="360" t="e">
        <f>CONCATENATE('staffing plan'!#REF!," ",'staffing plan'!#REF!)</f>
        <v>#REF!</v>
      </c>
      <c r="G31" s="360" t="str">
        <f>'staffing plan'!AX36</f>
        <v>Regional Office</v>
      </c>
      <c r="H31" s="360" t="str">
        <f>'staffing plan'!AW36</f>
        <v>CANULLAS, Mary Jheama Rachine  Esperanzate</v>
      </c>
      <c r="I31" s="380"/>
      <c r="J31" s="381" t="e">
        <f t="shared" si="2"/>
        <v>#REF!</v>
      </c>
    </row>
    <row r="32" spans="1:15" s="347" customFormat="1" ht="28.8">
      <c r="A32" s="358" t="str">
        <f>'staffing plan'!B37</f>
        <v>Local Government Operations Officer IV</v>
      </c>
      <c r="B32" s="359">
        <f>+'staffing plan'!C37</f>
        <v>18</v>
      </c>
      <c r="C32" s="360" t="str">
        <f>+'staffing plan'!A37</f>
        <v>OSEC-DILGB-LGOO4-167-1998</v>
      </c>
      <c r="D32" s="361" t="str">
        <f>+'staffing plan'!AK37</f>
        <v>011</v>
      </c>
      <c r="E32" s="360" t="e">
        <f>+'staffing plan'!#REF!</f>
        <v>#REF!</v>
      </c>
      <c r="F32" s="360" t="e">
        <f>CONCATENATE('staffing plan'!#REF!," ",'staffing plan'!#REF!)</f>
        <v>#REF!</v>
      </c>
      <c r="G32" s="360" t="str">
        <f>'staffing plan'!AX37</f>
        <v>Regional Office</v>
      </c>
      <c r="H32" s="360" t="str">
        <f>'staffing plan'!AW37</f>
        <v>BUENA, Maria Consolacion Salibad</v>
      </c>
      <c r="I32" s="380"/>
      <c r="J32" s="381" t="e">
        <f t="shared" si="2"/>
        <v>#REF!</v>
      </c>
    </row>
    <row r="33" spans="1:15" s="347" customFormat="1" ht="28.8">
      <c r="A33" s="358" t="str">
        <f>'staffing plan'!B38</f>
        <v>Statistician II</v>
      </c>
      <c r="B33" s="359">
        <f>+'staffing plan'!C38</f>
        <v>15</v>
      </c>
      <c r="C33" s="360" t="str">
        <f>+'staffing plan'!A38</f>
        <v>OSEC-DILGB-STAT2-101-2010</v>
      </c>
      <c r="D33" s="361" t="str">
        <f>+'staffing plan'!AK38</f>
        <v>011</v>
      </c>
      <c r="E33" s="360" t="e">
        <f>+'staffing plan'!#REF!</f>
        <v>#REF!</v>
      </c>
      <c r="F33" s="360" t="e">
        <f>CONCATENATE('staffing plan'!#REF!," ",'staffing plan'!#REF!)</f>
        <v>#REF!</v>
      </c>
      <c r="G33" s="360" t="str">
        <f>'staffing plan'!AX38</f>
        <v>Regional Office</v>
      </c>
      <c r="H33" s="360" t="str">
        <f>'staffing plan'!AW38</f>
        <v>AZARCON, Danilo Jr Estrella</v>
      </c>
      <c r="I33" s="380"/>
      <c r="J33" s="381" t="e">
        <f t="shared" si="2"/>
        <v>#REF!</v>
      </c>
    </row>
    <row r="34" spans="1:15" s="347" customFormat="1" ht="28.8">
      <c r="A34" s="358" t="str">
        <f>'staffing plan'!B39</f>
        <v>Statistician I</v>
      </c>
      <c r="B34" s="359">
        <f>+'staffing plan'!C39</f>
        <v>11</v>
      </c>
      <c r="C34" s="360" t="str">
        <f>+'staffing plan'!A39</f>
        <v>OSEC-DILGB-STAT1-3-1998</v>
      </c>
      <c r="D34" s="361" t="str">
        <f>+'staffing plan'!AK39</f>
        <v>011</v>
      </c>
      <c r="E34" s="360" t="e">
        <f>+'staffing plan'!#REF!</f>
        <v>#REF!</v>
      </c>
      <c r="F34" s="360" t="e">
        <f>CONCATENATE('staffing plan'!#REF!," ",'staffing plan'!#REF!)</f>
        <v>#REF!</v>
      </c>
      <c r="G34" s="360" t="str">
        <f>'staffing plan'!AX39</f>
        <v>Regional Office</v>
      </c>
      <c r="H34" s="360" t="str">
        <f>'staffing plan'!AW39</f>
        <v>LOPEZ, Sesvir Castañeda</v>
      </c>
      <c r="I34" s="380"/>
      <c r="J34" s="381" t="e">
        <f t="shared" si="2"/>
        <v>#REF!</v>
      </c>
    </row>
    <row r="35" spans="1:15" s="347" customFormat="1" ht="28.8">
      <c r="A35" s="358" t="str">
        <f>'staffing plan'!B40</f>
        <v>Administrative Aide VI</v>
      </c>
      <c r="B35" s="359">
        <f>+'staffing plan'!C40</f>
        <v>6</v>
      </c>
      <c r="C35" s="360" t="str">
        <f>+'staffing plan'!A40</f>
        <v>OSEC-DILGB-ADA6-88-2010</v>
      </c>
      <c r="D35" s="361" t="str">
        <f>+'staffing plan'!AK40</f>
        <v>011</v>
      </c>
      <c r="E35" s="360" t="e">
        <f>+'staffing plan'!#REF!</f>
        <v>#REF!</v>
      </c>
      <c r="F35" s="360" t="e">
        <f>CONCATENATE('staffing plan'!#REF!," ",'staffing plan'!#REF!)</f>
        <v>#REF!</v>
      </c>
      <c r="G35" s="360" t="str">
        <f>'staffing plan'!AX40</f>
        <v>Ifugao</v>
      </c>
      <c r="H35" s="360" t="str">
        <f>'staffing plan'!AW40</f>
        <v>MAGCIANO, Juden Beth Uybaan</v>
      </c>
      <c r="I35" s="380"/>
      <c r="J35" s="381" t="e">
        <f t="shared" si="2"/>
        <v>#REF!</v>
      </c>
    </row>
    <row r="36" spans="1:15">
      <c r="A36" s="362"/>
      <c r="B36" s="363"/>
      <c r="C36" s="364"/>
      <c r="D36" s="365"/>
      <c r="E36" s="364"/>
      <c r="F36" s="364"/>
      <c r="G36" s="364"/>
      <c r="H36" s="364"/>
      <c r="I36" s="382"/>
      <c r="M36" s="346"/>
      <c r="N36" s="346"/>
      <c r="O36" s="349"/>
    </row>
    <row r="37" spans="1:15">
      <c r="A37" s="355" t="s">
        <v>2780</v>
      </c>
      <c r="B37" s="363"/>
      <c r="C37" s="364"/>
      <c r="D37" s="365"/>
      <c r="E37" s="364"/>
      <c r="F37" s="364"/>
      <c r="G37" s="364"/>
      <c r="H37" s="364"/>
      <c r="I37" s="382"/>
      <c r="M37" s="346"/>
      <c r="N37" s="346"/>
      <c r="O37" s="349"/>
    </row>
    <row r="38" spans="1:15" s="347" customFormat="1" ht="28.8">
      <c r="A38" s="358" t="str">
        <f>'staffing plan'!B43</f>
        <v>Chief Administrative Officer</v>
      </c>
      <c r="B38" s="359">
        <f>+'staffing plan'!C43</f>
        <v>24</v>
      </c>
      <c r="C38" s="360" t="str">
        <f>+'staffing plan'!A43</f>
        <v>OSEC-DILGB-CADOF-19-2005</v>
      </c>
      <c r="D38" s="361" t="str">
        <f>+'staffing plan'!AK43</f>
        <v>011</v>
      </c>
      <c r="E38" s="360" t="e">
        <f>+'staffing plan'!#REF!</f>
        <v>#REF!</v>
      </c>
      <c r="F38" s="360" t="e">
        <f>CONCATENATE('staffing plan'!#REF!," ",'staffing plan'!#REF!)</f>
        <v>#REF!</v>
      </c>
      <c r="G38" s="360" t="str">
        <f>'staffing plan'!AX43</f>
        <v>Regional Office</v>
      </c>
      <c r="H38" s="360" t="str">
        <f>'staffing plan'!AW43</f>
        <v>MON, Shirley Evangeline Vergara</v>
      </c>
      <c r="I38" s="380"/>
      <c r="J38" s="381" t="e">
        <f t="shared" ref="J38:J60" si="3">E38=G38</f>
        <v>#REF!</v>
      </c>
    </row>
    <row r="39" spans="1:15" s="347" customFormat="1" ht="28.8">
      <c r="A39" s="358" t="str">
        <f>'staffing plan'!B44</f>
        <v>Supervising Administrative Officer</v>
      </c>
      <c r="B39" s="359">
        <f>+'staffing plan'!C44</f>
        <v>22</v>
      </c>
      <c r="C39" s="360" t="str">
        <f>+'staffing plan'!A44</f>
        <v>OSEC-DILGB-SAD0F-34-2005</v>
      </c>
      <c r="D39" s="361" t="str">
        <f>+'staffing plan'!AK44</f>
        <v>011</v>
      </c>
      <c r="E39" s="360" t="e">
        <f>+'staffing plan'!#REF!</f>
        <v>#REF!</v>
      </c>
      <c r="F39" s="360" t="e">
        <f>CONCATENATE('staffing plan'!#REF!," ",'staffing plan'!#REF!)</f>
        <v>#REF!</v>
      </c>
      <c r="G39" s="360" t="str">
        <f>'staffing plan'!AX44</f>
        <v>Regional Office</v>
      </c>
      <c r="H39" s="360" t="str">
        <f>'staffing plan'!AW44</f>
        <v>BALANG, Gerry Cobcobo</v>
      </c>
      <c r="I39" s="380"/>
      <c r="J39" s="381" t="e">
        <f t="shared" si="3"/>
        <v>#REF!</v>
      </c>
    </row>
    <row r="40" spans="1:15" s="347" customFormat="1" ht="28.8">
      <c r="A40" s="358" t="str">
        <f>'staffing plan'!B45</f>
        <v>Accountant III</v>
      </c>
      <c r="B40" s="359">
        <f>+'staffing plan'!C45</f>
        <v>19</v>
      </c>
      <c r="C40" s="360" t="str">
        <f>+'staffing plan'!A45</f>
        <v>OSEC-DILGB-A3-16-1998</v>
      </c>
      <c r="D40" s="361" t="str">
        <f>+'staffing plan'!AK45</f>
        <v>011</v>
      </c>
      <c r="E40" s="360" t="e">
        <f>+'staffing plan'!#REF!</f>
        <v>#REF!</v>
      </c>
      <c r="F40" s="360" t="e">
        <f>CONCATENATE('staffing plan'!#REF!," ",'staffing plan'!#REF!)</f>
        <v>#REF!</v>
      </c>
      <c r="G40" s="360" t="str">
        <f>'staffing plan'!AX45</f>
        <v>Regional Office</v>
      </c>
      <c r="H40" s="360" t="str">
        <f>'staffing plan'!AW45</f>
        <v>CHAOKAS, Jennifer Sokoken</v>
      </c>
      <c r="I40" s="380"/>
      <c r="J40" s="381" t="e">
        <f t="shared" si="3"/>
        <v>#REF!</v>
      </c>
    </row>
    <row r="41" spans="1:15" s="347" customFormat="1" ht="28.8">
      <c r="A41" s="358" t="str">
        <f>'staffing plan'!B46</f>
        <v xml:space="preserve">Administrative Officer V </v>
      </c>
      <c r="B41" s="359">
        <f>+'staffing plan'!C46</f>
        <v>18</v>
      </c>
      <c r="C41" s="360" t="str">
        <f>+'staffing plan'!A46</f>
        <v>OSEC-DILGB-ADOF5-52-2005</v>
      </c>
      <c r="D41" s="361" t="str">
        <f>+'staffing plan'!AK46</f>
        <v>011</v>
      </c>
      <c r="E41" s="360" t="e">
        <f>+'staffing plan'!#REF!</f>
        <v>#REF!</v>
      </c>
      <c r="F41" s="360" t="e">
        <f>CONCATENATE('staffing plan'!#REF!," ",'staffing plan'!#REF!)</f>
        <v>#REF!</v>
      </c>
      <c r="G41" s="360" t="str">
        <f>'staffing plan'!AX46</f>
        <v>Regional Office</v>
      </c>
      <c r="H41" s="360" t="str">
        <f>'staffing plan'!AW46</f>
        <v>ESDEN, Iris Balabag</v>
      </c>
      <c r="I41" s="380"/>
      <c r="J41" s="381" t="e">
        <f t="shared" si="3"/>
        <v>#REF!</v>
      </c>
    </row>
    <row r="42" spans="1:15" s="347" customFormat="1" ht="28.8">
      <c r="A42" s="366" t="str">
        <f>'staffing plan'!B47</f>
        <v xml:space="preserve">Administrative Officer V </v>
      </c>
      <c r="B42" s="367">
        <f>+'staffing plan'!C47</f>
        <v>18</v>
      </c>
      <c r="C42" s="368" t="str">
        <f>+'staffing plan'!A47</f>
        <v>OSEC-DILGB-ADOF5-53-2005</v>
      </c>
      <c r="D42" s="369" t="str">
        <f>+'staffing plan'!AK47</f>
        <v>011</v>
      </c>
      <c r="E42" s="368" t="e">
        <f>+'staffing plan'!#REF!</f>
        <v>#REF!</v>
      </c>
      <c r="F42" s="368" t="e">
        <f>CONCATENATE('staffing plan'!#REF!," ",'staffing plan'!#REF!)</f>
        <v>#REF!</v>
      </c>
      <c r="G42" s="368" t="str">
        <f>'staffing plan'!AX47</f>
        <v>Regional Office</v>
      </c>
      <c r="H42" s="368" t="str">
        <f>'staffing plan'!AW47</f>
        <v>MATIB, Louven Longbuan</v>
      </c>
      <c r="I42" s="383"/>
      <c r="J42" s="381" t="e">
        <f t="shared" si="3"/>
        <v>#REF!</v>
      </c>
    </row>
    <row r="43" spans="1:15" s="347" customFormat="1" ht="28.8">
      <c r="A43" s="370" t="str">
        <f>'staffing plan'!B48</f>
        <v xml:space="preserve">Administrative Officer V </v>
      </c>
      <c r="B43" s="371">
        <f>+'staffing plan'!C48</f>
        <v>18</v>
      </c>
      <c r="C43" s="372" t="str">
        <f>+'staffing plan'!A48</f>
        <v>OSEC-DILGB-ADOF5-54-2005</v>
      </c>
      <c r="D43" s="373" t="str">
        <f>+'staffing plan'!AK48</f>
        <v>011</v>
      </c>
      <c r="E43" s="372" t="e">
        <f>+'staffing plan'!#REF!</f>
        <v>#REF!</v>
      </c>
      <c r="F43" s="372" t="e">
        <f>CONCATENATE('staffing plan'!#REF!," ",'staffing plan'!#REF!)</f>
        <v>#REF!</v>
      </c>
      <c r="G43" s="372" t="str">
        <f>'staffing plan'!AX48</f>
        <v>Regional Office</v>
      </c>
      <c r="H43" s="372" t="str">
        <f>'staffing plan'!AW48</f>
        <v>BARNACHEA, Norman Idica</v>
      </c>
      <c r="I43" s="384"/>
      <c r="J43" s="381" t="e">
        <f t="shared" si="3"/>
        <v>#REF!</v>
      </c>
    </row>
    <row r="44" spans="1:15" s="347" customFormat="1" ht="28.8">
      <c r="A44" s="358" t="str">
        <f>'staffing plan'!B49</f>
        <v>Accountant II</v>
      </c>
      <c r="B44" s="359">
        <f>+'staffing plan'!C49</f>
        <v>16</v>
      </c>
      <c r="C44" s="360" t="str">
        <f>+'staffing plan'!A49</f>
        <v>OSEC-DILGB-A2-6-1998</v>
      </c>
      <c r="D44" s="361" t="str">
        <f>+'staffing plan'!AK49</f>
        <v>011</v>
      </c>
      <c r="E44" s="360" t="e">
        <f>+'staffing plan'!#REF!</f>
        <v>#REF!</v>
      </c>
      <c r="F44" s="360" t="e">
        <f>CONCATENATE('staffing plan'!#REF!," ",'staffing plan'!#REF!)</f>
        <v>#REF!</v>
      </c>
      <c r="G44" s="360" t="str">
        <f>'staffing plan'!AX49</f>
        <v>Regional Office</v>
      </c>
      <c r="H44" s="360" t="str">
        <f>'staffing plan'!AW49</f>
        <v>MACASIEB, Marlyn Pilot</v>
      </c>
      <c r="I44" s="380"/>
      <c r="J44" s="381" t="e">
        <f t="shared" si="3"/>
        <v>#REF!</v>
      </c>
    </row>
    <row r="45" spans="1:15" s="347" customFormat="1" ht="28.8">
      <c r="A45" s="358" t="str">
        <f>'staffing plan'!B50</f>
        <v xml:space="preserve">Administrative Officer IV </v>
      </c>
      <c r="B45" s="359">
        <f>+'staffing plan'!C50</f>
        <v>15</v>
      </c>
      <c r="C45" s="360" t="str">
        <f>+'staffing plan'!A50</f>
        <v>OSEC-DILGB-ADOF4-70-2005</v>
      </c>
      <c r="D45" s="361" t="str">
        <f>+'staffing plan'!AK50</f>
        <v>011</v>
      </c>
      <c r="E45" s="360" t="e">
        <f>+'staffing plan'!#REF!</f>
        <v>#REF!</v>
      </c>
      <c r="F45" s="360" t="e">
        <f>CONCATENATE('staffing plan'!#REF!," ",'staffing plan'!#REF!)</f>
        <v>#REF!</v>
      </c>
      <c r="G45" s="360" t="str">
        <f>'staffing plan'!AX50</f>
        <v>Regional Office</v>
      </c>
      <c r="H45" s="360" t="str">
        <f>'staffing plan'!AW50</f>
        <v>WONG, Arlene Eustaquio</v>
      </c>
      <c r="I45" s="380"/>
      <c r="J45" s="381" t="e">
        <f t="shared" si="3"/>
        <v>#REF!</v>
      </c>
    </row>
    <row r="46" spans="1:15" s="347" customFormat="1" ht="28.8">
      <c r="A46" s="358" t="str">
        <f>'staffing plan'!B51</f>
        <v>Administrative Officer IV</v>
      </c>
      <c r="B46" s="359">
        <f>+'staffing plan'!C51</f>
        <v>15</v>
      </c>
      <c r="C46" s="360" t="str">
        <f>+'staffing plan'!A51</f>
        <v>OSEC-DILGB-ADOF4-79-2005</v>
      </c>
      <c r="D46" s="361" t="str">
        <f>+'staffing plan'!AK51</f>
        <v>011</v>
      </c>
      <c r="E46" s="360" t="e">
        <f>+'staffing plan'!#REF!</f>
        <v>#REF!</v>
      </c>
      <c r="F46" s="360" t="e">
        <f>CONCATENATE('staffing plan'!#REF!," ",'staffing plan'!#REF!)</f>
        <v>#REF!</v>
      </c>
      <c r="G46" s="360" t="str">
        <f>'staffing plan'!AX51</f>
        <v>Regional Office</v>
      </c>
      <c r="H46" s="360" t="str">
        <f>'staffing plan'!AW51</f>
        <v>GED-ANG, Chrysantine Chan</v>
      </c>
      <c r="I46" s="380"/>
      <c r="J46" s="381" t="e">
        <f t="shared" si="3"/>
        <v>#REF!</v>
      </c>
    </row>
    <row r="47" spans="1:15" s="347" customFormat="1" ht="28.8">
      <c r="A47" s="358" t="str">
        <f>'staffing plan'!B52</f>
        <v xml:space="preserve">Administrative Officer III </v>
      </c>
      <c r="B47" s="359">
        <f>+'staffing plan'!C52</f>
        <v>14</v>
      </c>
      <c r="C47" s="360" t="str">
        <f>+'staffing plan'!A52</f>
        <v>OSEC-DILGB-ADOF3-43-2005</v>
      </c>
      <c r="D47" s="361" t="str">
        <f>+'staffing plan'!AK52</f>
        <v>011</v>
      </c>
      <c r="E47" s="360" t="e">
        <f>+'staffing plan'!#REF!</f>
        <v>#REF!</v>
      </c>
      <c r="F47" s="360" t="e">
        <f>CONCATENATE('staffing plan'!#REF!," ",'staffing plan'!#REF!)</f>
        <v>#REF!</v>
      </c>
      <c r="G47" s="360" t="str">
        <f>'staffing plan'!AX52</f>
        <v>Regional Office</v>
      </c>
      <c r="H47" s="360" t="str">
        <f>'staffing plan'!AW52</f>
        <v>ESNARA, Myra Golingab</v>
      </c>
      <c r="I47" s="380"/>
      <c r="J47" s="381" t="e">
        <f t="shared" si="3"/>
        <v>#REF!</v>
      </c>
    </row>
    <row r="48" spans="1:15" s="347" customFormat="1" ht="28.8">
      <c r="A48" s="358" t="str">
        <f>'staffing plan'!B53</f>
        <v xml:space="preserve">Administrative Officer III </v>
      </c>
      <c r="B48" s="359">
        <f>+'staffing plan'!C53</f>
        <v>14</v>
      </c>
      <c r="C48" s="360" t="str">
        <f>+'staffing plan'!A53</f>
        <v>OSEC-DILGB-ADOF3-44-2005</v>
      </c>
      <c r="D48" s="361" t="str">
        <f>+'staffing plan'!AK53</f>
        <v>011</v>
      </c>
      <c r="E48" s="360" t="e">
        <f>+'staffing plan'!#REF!</f>
        <v>#REF!</v>
      </c>
      <c r="F48" s="360" t="e">
        <f>CONCATENATE('staffing plan'!#REF!," ",'staffing plan'!#REF!)</f>
        <v>#REF!</v>
      </c>
      <c r="G48" s="360" t="str">
        <f>'staffing plan'!AX53</f>
        <v>Regional Office</v>
      </c>
      <c r="H48" s="360" t="str">
        <f>'staffing plan'!AW53</f>
        <v>RAMIREZ, Ronnel Fronda</v>
      </c>
      <c r="I48" s="380"/>
      <c r="J48" s="381" t="e">
        <f t="shared" si="3"/>
        <v>#REF!</v>
      </c>
    </row>
    <row r="49" spans="1:15" s="347" customFormat="1" ht="28.8">
      <c r="A49" s="358" t="str">
        <f>'staffing plan'!B54</f>
        <v xml:space="preserve">Administrative Assistant III </v>
      </c>
      <c r="B49" s="359">
        <f>+'staffing plan'!C54</f>
        <v>9</v>
      </c>
      <c r="C49" s="360" t="str">
        <f>+'staffing plan'!A54</f>
        <v>OSEC-DILGB-ADAS3-65-2005</v>
      </c>
      <c r="D49" s="361" t="str">
        <f>+'staffing plan'!AK54</f>
        <v>011</v>
      </c>
      <c r="E49" s="360" t="e">
        <f>+'staffing plan'!#REF!</f>
        <v>#REF!</v>
      </c>
      <c r="F49" s="360" t="e">
        <f>CONCATENATE('staffing plan'!#REF!," ",'staffing plan'!#REF!)</f>
        <v>#REF!</v>
      </c>
      <c r="G49" s="360" t="str">
        <f>'staffing plan'!AX54</f>
        <v>Regional Office</v>
      </c>
      <c r="H49" s="360" t="str">
        <f>'staffing plan'!AW54</f>
        <v>CASTRO, Angelito Gaddi</v>
      </c>
      <c r="I49" s="380"/>
      <c r="J49" s="381" t="e">
        <f t="shared" si="3"/>
        <v>#REF!</v>
      </c>
    </row>
    <row r="50" spans="1:15" s="347" customFormat="1" ht="28.8">
      <c r="A50" s="358" t="str">
        <f>'staffing plan'!B55</f>
        <v>Administrative Assistant III</v>
      </c>
      <c r="B50" s="359">
        <f>+'staffing plan'!C55</f>
        <v>9</v>
      </c>
      <c r="C50" s="360" t="str">
        <f>+'staffing plan'!A55</f>
        <v>OSEC-DILGB-ADAS3-109-2010</v>
      </c>
      <c r="D50" s="361" t="str">
        <f>+'staffing plan'!AK55</f>
        <v>011</v>
      </c>
      <c r="E50" s="360" t="e">
        <f>+'staffing plan'!#REF!</f>
        <v>#REF!</v>
      </c>
      <c r="F50" s="360" t="e">
        <f>CONCATENATE('staffing plan'!#REF!," ",'staffing plan'!#REF!)</f>
        <v>#REF!</v>
      </c>
      <c r="G50" s="360" t="str">
        <f>'staffing plan'!AX55</f>
        <v>Regional Office</v>
      </c>
      <c r="H50" s="360" t="str">
        <f>'staffing plan'!AW55</f>
        <v>LOPEZ, Jessica Kim Angeles</v>
      </c>
      <c r="I50" s="380"/>
      <c r="J50" s="381" t="e">
        <f t="shared" si="3"/>
        <v>#REF!</v>
      </c>
    </row>
    <row r="51" spans="1:15" s="347" customFormat="1" ht="28.8">
      <c r="A51" s="358" t="str">
        <f>'staffing plan'!B56</f>
        <v>Administrative Assistant II</v>
      </c>
      <c r="B51" s="359">
        <f>+'staffing plan'!C56</f>
        <v>8</v>
      </c>
      <c r="C51" s="360" t="str">
        <f>+'staffing plan'!A56</f>
        <v>OSEC-DILGB-ADAS2-61-2005</v>
      </c>
      <c r="D51" s="361" t="str">
        <f>+'staffing plan'!AK56</f>
        <v>011</v>
      </c>
      <c r="E51" s="360" t="e">
        <f>+'staffing plan'!#REF!</f>
        <v>#REF!</v>
      </c>
      <c r="F51" s="360" t="e">
        <f>CONCATENATE('staffing plan'!#REF!," ",'staffing plan'!#REF!)</f>
        <v>#REF!</v>
      </c>
      <c r="G51" s="360" t="str">
        <f>'staffing plan'!AX56</f>
        <v>Regional Office</v>
      </c>
      <c r="H51" s="360" t="str">
        <f>'staffing plan'!AW56</f>
        <v>BOGNADON, Kylee Russel Rebollido</v>
      </c>
      <c r="I51" s="380"/>
      <c r="J51" s="381" t="e">
        <f t="shared" si="3"/>
        <v>#REF!</v>
      </c>
    </row>
    <row r="52" spans="1:15" s="347" customFormat="1" ht="28.8">
      <c r="A52" s="358" t="str">
        <f>'staffing plan'!B57</f>
        <v>Administrative Assistant II</v>
      </c>
      <c r="B52" s="359">
        <f>+'staffing plan'!C57</f>
        <v>8</v>
      </c>
      <c r="C52" s="360" t="str">
        <f>+'staffing plan'!A57</f>
        <v>OSEC-DILGB-ADAS2-64-2005</v>
      </c>
      <c r="D52" s="361" t="str">
        <f>+'staffing plan'!AK57</f>
        <v>011</v>
      </c>
      <c r="E52" s="360" t="e">
        <f>+'staffing plan'!#REF!</f>
        <v>#REF!</v>
      </c>
      <c r="F52" s="360" t="e">
        <f>CONCATENATE('staffing plan'!#REF!," ",'staffing plan'!#REF!)</f>
        <v>#REF!</v>
      </c>
      <c r="G52" s="360">
        <f>'staffing plan'!AX57</f>
        <v>0</v>
      </c>
      <c r="H52" s="360" t="str">
        <f>'staffing plan'!AW57</f>
        <v xml:space="preserve">ESNARA, VacantMyra </v>
      </c>
      <c r="I52" s="380"/>
      <c r="J52" s="381" t="e">
        <f t="shared" si="3"/>
        <v>#REF!</v>
      </c>
    </row>
    <row r="53" spans="1:15" s="347" customFormat="1" ht="28.8">
      <c r="A53" s="358" t="str">
        <f>'staffing plan'!B58</f>
        <v>Administrative Aide IV</v>
      </c>
      <c r="B53" s="359">
        <f>+'staffing plan'!C58</f>
        <v>4</v>
      </c>
      <c r="C53" s="360" t="str">
        <f>+'staffing plan'!A58</f>
        <v>OSEC-DILGB-ADA4-85-2005</v>
      </c>
      <c r="D53" s="361" t="str">
        <f>+'staffing plan'!AK58</f>
        <v>011</v>
      </c>
      <c r="E53" s="360" t="e">
        <f>+'staffing plan'!#REF!</f>
        <v>#REF!</v>
      </c>
      <c r="F53" s="360" t="e">
        <f>CONCATENATE('staffing plan'!#REF!," ",'staffing plan'!#REF!)</f>
        <v>#REF!</v>
      </c>
      <c r="G53" s="360" t="str">
        <f>'staffing plan'!AX58</f>
        <v>Regional Office</v>
      </c>
      <c r="H53" s="360" t="str">
        <f>'staffing plan'!AW58</f>
        <v>GERNALE, Joe Pablo Maculada</v>
      </c>
      <c r="I53" s="380"/>
      <c r="J53" s="381" t="e">
        <f t="shared" si="3"/>
        <v>#REF!</v>
      </c>
    </row>
    <row r="54" spans="1:15" s="347" customFormat="1" ht="28.8">
      <c r="A54" s="358" t="str">
        <f>'staffing plan'!B59</f>
        <v>Administrative Aide IV</v>
      </c>
      <c r="B54" s="359">
        <f>+'staffing plan'!C59</f>
        <v>4</v>
      </c>
      <c r="C54" s="360" t="str">
        <f>+'staffing plan'!A59</f>
        <v>OSEC-DILGB-ADA4-86-2005</v>
      </c>
      <c r="D54" s="361" t="str">
        <f>+'staffing plan'!AK59</f>
        <v>011</v>
      </c>
      <c r="E54" s="360" t="e">
        <f>+'staffing plan'!#REF!</f>
        <v>#REF!</v>
      </c>
      <c r="F54" s="360" t="e">
        <f>CONCATENATE('staffing plan'!#REF!," ",'staffing plan'!#REF!)</f>
        <v>#REF!</v>
      </c>
      <c r="G54" s="360">
        <f>'staffing plan'!AX59</f>
        <v>0</v>
      </c>
      <c r="H54" s="360" t="str">
        <f>'staffing plan'!AW59</f>
        <v xml:space="preserve">Vacant ESCAD,  </v>
      </c>
      <c r="I54" s="380"/>
      <c r="J54" s="381" t="e">
        <f t="shared" si="3"/>
        <v>#REF!</v>
      </c>
    </row>
    <row r="55" spans="1:15" s="347" customFormat="1" ht="28.8">
      <c r="A55" s="358" t="str">
        <f>'staffing plan'!B60</f>
        <v>Administrative Aide IV</v>
      </c>
      <c r="B55" s="359">
        <f>+'staffing plan'!C60</f>
        <v>4</v>
      </c>
      <c r="C55" s="360" t="str">
        <f>+'staffing plan'!A60</f>
        <v>OSEC-DILGB-ADA4-87-2005</v>
      </c>
      <c r="D55" s="361" t="str">
        <f>+'staffing plan'!AK60</f>
        <v>011</v>
      </c>
      <c r="E55" s="360" t="e">
        <f>+'staffing plan'!#REF!</f>
        <v>#REF!</v>
      </c>
      <c r="F55" s="360" t="e">
        <f>CONCATENATE('staffing plan'!#REF!," ",'staffing plan'!#REF!)</f>
        <v>#REF!</v>
      </c>
      <c r="G55" s="360" t="str">
        <f>'staffing plan'!AX60</f>
        <v>Regional Office</v>
      </c>
      <c r="H55" s="360" t="str">
        <f>'staffing plan'!AW60</f>
        <v>MONANG, Veronica Gadgad</v>
      </c>
      <c r="I55" s="380"/>
      <c r="J55" s="381" t="e">
        <f t="shared" si="3"/>
        <v>#REF!</v>
      </c>
    </row>
    <row r="56" spans="1:15" s="347" customFormat="1" ht="28.8">
      <c r="A56" s="358" t="str">
        <f>'staffing plan'!B61</f>
        <v>Administrative Aide IV</v>
      </c>
      <c r="B56" s="359">
        <f>+'staffing plan'!C61</f>
        <v>4</v>
      </c>
      <c r="C56" s="360" t="str">
        <f>+'staffing plan'!A61</f>
        <v>OSEC-DILGB-ADA4-91-2010</v>
      </c>
      <c r="D56" s="361" t="str">
        <f>+'staffing plan'!AK61</f>
        <v>011</v>
      </c>
      <c r="E56" s="360" t="e">
        <f>+'staffing plan'!#REF!</f>
        <v>#REF!</v>
      </c>
      <c r="F56" s="360" t="e">
        <f>CONCATENATE('staffing plan'!#REF!," ",'staffing plan'!#REF!)</f>
        <v>#REF!</v>
      </c>
      <c r="G56" s="360" t="str">
        <f>'staffing plan'!AX61</f>
        <v>Regional Office</v>
      </c>
      <c r="H56" s="360" t="str">
        <f>'staffing plan'!AW61</f>
        <v>PASCUA, Diosdado Aquino</v>
      </c>
      <c r="I56" s="380"/>
      <c r="J56" s="381" t="e">
        <f t="shared" si="3"/>
        <v>#REF!</v>
      </c>
    </row>
    <row r="57" spans="1:15" s="347" customFormat="1" ht="28.8">
      <c r="A57" s="358" t="str">
        <f>'staffing plan'!B62</f>
        <v>Administrative Aide III</v>
      </c>
      <c r="B57" s="359">
        <f>+'staffing plan'!C62</f>
        <v>3</v>
      </c>
      <c r="C57" s="360" t="str">
        <f>+'staffing plan'!A62</f>
        <v>OSEC-DILGB-ADA3-61-2005</v>
      </c>
      <c r="D57" s="361" t="str">
        <f>+'staffing plan'!AK62</f>
        <v>011</v>
      </c>
      <c r="E57" s="360" t="e">
        <f>+'staffing plan'!#REF!</f>
        <v>#REF!</v>
      </c>
      <c r="F57" s="360" t="e">
        <f>CONCATENATE('staffing plan'!#REF!," ",'staffing plan'!#REF!)</f>
        <v>#REF!</v>
      </c>
      <c r="G57" s="360" t="str">
        <f>'staffing plan'!AX62</f>
        <v>Regional Office</v>
      </c>
      <c r="H57" s="360" t="str">
        <f>'staffing plan'!AW62</f>
        <v>TAMONDONG, Jonathan Ambat</v>
      </c>
      <c r="I57" s="380"/>
      <c r="J57" s="381" t="e">
        <f t="shared" si="3"/>
        <v>#REF!</v>
      </c>
    </row>
    <row r="58" spans="1:15" s="347" customFormat="1" ht="28.8">
      <c r="A58" s="358" t="str">
        <f>'staffing plan'!B63</f>
        <v>Security Guard I</v>
      </c>
      <c r="B58" s="359">
        <f>+'staffing plan'!C63</f>
        <v>3</v>
      </c>
      <c r="C58" s="360" t="str">
        <f>+'staffing plan'!A63</f>
        <v>OSEC-DILGB-SECG1-8-1998</v>
      </c>
      <c r="D58" s="361" t="str">
        <f>+'staffing plan'!AK63</f>
        <v>011</v>
      </c>
      <c r="E58" s="360" t="e">
        <f>+'staffing plan'!#REF!</f>
        <v>#REF!</v>
      </c>
      <c r="F58" s="360" t="e">
        <f>CONCATENATE('staffing plan'!#REF!," ",'staffing plan'!#REF!)</f>
        <v>#REF!</v>
      </c>
      <c r="G58" s="360" t="str">
        <f>'staffing plan'!AX63</f>
        <v>Regional Office</v>
      </c>
      <c r="H58" s="360" t="str">
        <f>'staffing plan'!AW63</f>
        <v>ROJO, Gerardo Rontos</v>
      </c>
      <c r="I58" s="380"/>
      <c r="J58" s="381" t="e">
        <f t="shared" si="3"/>
        <v>#REF!</v>
      </c>
    </row>
    <row r="59" spans="1:15" s="347" customFormat="1" ht="28.8">
      <c r="A59" s="358" t="str">
        <f>'staffing plan'!B64</f>
        <v>Security Guard I</v>
      </c>
      <c r="B59" s="359">
        <f>+'staffing plan'!C64</f>
        <v>3</v>
      </c>
      <c r="C59" s="360" t="str">
        <f>+'staffing plan'!A64</f>
        <v>OSEC-DILGB-SECG1-9-1998</v>
      </c>
      <c r="D59" s="361" t="str">
        <f>+'staffing plan'!AK64</f>
        <v>011</v>
      </c>
      <c r="E59" s="360" t="e">
        <f>+'staffing plan'!#REF!</f>
        <v>#REF!</v>
      </c>
      <c r="F59" s="360" t="e">
        <f>CONCATENATE('staffing plan'!#REF!," ",'staffing plan'!#REF!)</f>
        <v>#REF!</v>
      </c>
      <c r="G59" s="360" t="str">
        <f>'staffing plan'!AX64</f>
        <v>Regional Office</v>
      </c>
      <c r="H59" s="360" t="str">
        <f>'staffing plan'!AW64</f>
        <v>PEREZ, Roberto Aquino</v>
      </c>
      <c r="I59" s="380"/>
      <c r="J59" s="381" t="e">
        <f t="shared" si="3"/>
        <v>#REF!</v>
      </c>
    </row>
    <row r="60" spans="1:15" s="347" customFormat="1" ht="28.8">
      <c r="A60" s="366" t="str">
        <f>'staffing plan'!B65</f>
        <v>Security Guard I</v>
      </c>
      <c r="B60" s="367">
        <f>+'staffing plan'!C65</f>
        <v>3</v>
      </c>
      <c r="C60" s="368" t="str">
        <f>+'staffing plan'!A65</f>
        <v>OSEC-DILGB-SEC1-10-1998</v>
      </c>
      <c r="D60" s="369" t="str">
        <f>+'staffing plan'!AK65</f>
        <v>011</v>
      </c>
      <c r="E60" s="368" t="e">
        <f>+'staffing plan'!#REF!</f>
        <v>#REF!</v>
      </c>
      <c r="F60" s="368" t="e">
        <f>CONCATENATE('staffing plan'!#REF!," ",'staffing plan'!#REF!)</f>
        <v>#REF!</v>
      </c>
      <c r="G60" s="368" t="str">
        <f>'staffing plan'!AX65</f>
        <v>Regional Office</v>
      </c>
      <c r="H60" s="368" t="str">
        <f>'staffing plan'!AW65</f>
        <v>NONOG, Edward Bolda</v>
      </c>
      <c r="I60" s="383"/>
      <c r="J60" s="381" t="e">
        <f t="shared" si="3"/>
        <v>#REF!</v>
      </c>
    </row>
    <row r="61" spans="1:15">
      <c r="A61" s="362"/>
      <c r="B61" s="363"/>
      <c r="C61" s="364"/>
      <c r="D61" s="374"/>
      <c r="E61" s="364"/>
      <c r="F61" s="364"/>
      <c r="G61" s="364"/>
      <c r="H61" s="364"/>
      <c r="I61" s="382"/>
    </row>
    <row r="62" spans="1:15" s="348" customFormat="1">
      <c r="A62" s="355" t="s">
        <v>2781</v>
      </c>
      <c r="B62" s="375"/>
      <c r="C62" s="376"/>
      <c r="D62" s="377"/>
      <c r="E62" s="376"/>
      <c r="F62" s="376"/>
      <c r="G62" s="376"/>
      <c r="H62" s="376"/>
      <c r="I62" s="385"/>
      <c r="J62" s="386"/>
      <c r="L62" s="348" t="s">
        <v>2782</v>
      </c>
      <c r="M62" s="387"/>
      <c r="N62" s="387"/>
      <c r="O62" s="387"/>
    </row>
    <row r="63" spans="1:15" s="347" customFormat="1" ht="28.8">
      <c r="A63" s="358" t="str">
        <f>'staffing plan'!B69</f>
        <v>Local Government Operations Officer VIII</v>
      </c>
      <c r="B63" s="359">
        <f>+'staffing plan'!C69</f>
        <v>26</v>
      </c>
      <c r="C63" s="360" t="str">
        <f>+'staffing plan'!A69</f>
        <v>OSEC-DILGB-LGOO8-45-1998</v>
      </c>
      <c r="D63" s="361" t="str">
        <f>+'staffing plan'!AK69</f>
        <v>05</v>
      </c>
      <c r="E63" s="360" t="e">
        <f>+'staffing plan'!#REF!</f>
        <v>#REF!</v>
      </c>
      <c r="F63" s="360" t="e">
        <f>CONCATENATE('staffing plan'!#REF!," ",'staffing plan'!#REF!)</f>
        <v>#REF!</v>
      </c>
      <c r="G63" s="360" t="str">
        <f>'staffing plan'!AX69</f>
        <v>Mt. Province</v>
      </c>
      <c r="H63" s="360" t="str">
        <f>'staffing plan'!AW69</f>
        <v>BALLUG, Anthony Manolo Ilacad</v>
      </c>
      <c r="I63" s="380"/>
      <c r="J63" s="381" t="e">
        <f t="shared" ref="J63:J85" si="4">E63=G63</f>
        <v>#REF!</v>
      </c>
      <c r="L63" s="347" t="s">
        <v>463</v>
      </c>
      <c r="M63" s="347">
        <v>1</v>
      </c>
      <c r="N63" s="347">
        <f>COUNTIF(AbraSG,"26")</f>
        <v>1</v>
      </c>
      <c r="O63" s="347">
        <f t="shared" ref="O63:O71" si="5">+M63-N63</f>
        <v>0</v>
      </c>
    </row>
    <row r="64" spans="1:15" s="347" customFormat="1">
      <c r="A64" s="358" t="e">
        <f>'staffing plan'!#REF!</f>
        <v>#REF!</v>
      </c>
      <c r="B64" s="359" t="e">
        <f>+'staffing plan'!#REF!</f>
        <v>#REF!</v>
      </c>
      <c r="C64" s="360" t="e">
        <f>+'staffing plan'!#REF!</f>
        <v>#REF!</v>
      </c>
      <c r="D64" s="361" t="e">
        <f>+'staffing plan'!#REF!</f>
        <v>#REF!</v>
      </c>
      <c r="E64" s="360" t="e">
        <f>+'staffing plan'!#REF!</f>
        <v>#REF!</v>
      </c>
      <c r="F64" s="360" t="e">
        <f>CONCATENATE('staffing plan'!#REF!," ",'staffing plan'!#REF!)</f>
        <v>#REF!</v>
      </c>
      <c r="G64" s="360" t="e">
        <f>'staffing plan'!#REF!</f>
        <v>#REF!</v>
      </c>
      <c r="H64" s="360" t="e">
        <f>'staffing plan'!#REF!</f>
        <v>#REF!</v>
      </c>
      <c r="I64" s="380"/>
      <c r="J64" s="381" t="e">
        <f t="shared" si="4"/>
        <v>#REF!</v>
      </c>
      <c r="L64" s="347" t="s">
        <v>157</v>
      </c>
      <c r="M64" s="347">
        <v>2</v>
      </c>
      <c r="N64" s="347">
        <f>COUNTIF(AbraSG,"22")+COUNTIF(AbraSG,"24")</f>
        <v>28</v>
      </c>
      <c r="O64" s="347">
        <f t="shared" si="5"/>
        <v>-26</v>
      </c>
    </row>
    <row r="65" spans="1:15" s="347" customFormat="1" ht="28.8">
      <c r="A65" s="358" t="str">
        <f>'staffing plan'!B162</f>
        <v>Local Government Operations Officer VI</v>
      </c>
      <c r="B65" s="359">
        <f>+'staffing plan'!C162</f>
        <v>22</v>
      </c>
      <c r="C65" s="360" t="str">
        <f>+'staffing plan'!A162</f>
        <v>OSEC-DILGB-LGOO6-240-2010</v>
      </c>
      <c r="D65" s="361" t="str">
        <f>+'staffing plan'!AK162</f>
        <v>79</v>
      </c>
      <c r="E65" s="360" t="e">
        <f>+'staffing plan'!#REF!</f>
        <v>#REF!</v>
      </c>
      <c r="F65" s="360" t="e">
        <f>CONCATENATE('staffing plan'!#REF!," ",'staffing plan'!#REF!)</f>
        <v>#REF!</v>
      </c>
      <c r="G65" s="360" t="str">
        <f>'staffing plan'!AX162</f>
        <v>Kalinga</v>
      </c>
      <c r="H65" s="360" t="str">
        <f>'staffing plan'!AW162</f>
        <v>CHUNANON, Kliene Pasaraba</v>
      </c>
      <c r="I65" s="380"/>
      <c r="J65" s="381" t="e">
        <f t="shared" si="4"/>
        <v>#REF!</v>
      </c>
      <c r="L65" s="347" t="s">
        <v>165</v>
      </c>
      <c r="M65" s="347">
        <v>30</v>
      </c>
      <c r="N65" s="347">
        <f>COUNTIF(AbraSG,"20")</f>
        <v>3</v>
      </c>
      <c r="O65" s="347">
        <f t="shared" si="5"/>
        <v>27</v>
      </c>
    </row>
    <row r="66" spans="1:15" s="347" customFormat="1" ht="28.8">
      <c r="A66" s="358" t="str">
        <f>'staffing plan'!B86</f>
        <v>Local Government Operations Officer VI</v>
      </c>
      <c r="B66" s="359">
        <f>+'staffing plan'!C86</f>
        <v>22</v>
      </c>
      <c r="C66" s="360" t="str">
        <f>+'staffing plan'!A86</f>
        <v>OSEC-DILGB-LGOO6-6-2017</v>
      </c>
      <c r="D66" s="361" t="str">
        <f>+'staffing plan'!AK86</f>
        <v>05</v>
      </c>
      <c r="E66" s="360" t="e">
        <f>+'staffing plan'!#REF!</f>
        <v>#REF!</v>
      </c>
      <c r="F66" s="360" t="e">
        <f>CONCATENATE('staffing plan'!#REF!," ",'staffing plan'!#REF!)</f>
        <v>#REF!</v>
      </c>
      <c r="G66" s="360" t="str">
        <f>'staffing plan'!AX86</f>
        <v>Abra</v>
      </c>
      <c r="H66" s="360" t="str">
        <f>'staffing plan'!AW86</f>
        <v>BERNARDEZ, Viva Ascension Zapata</v>
      </c>
      <c r="I66" s="380"/>
      <c r="J66" s="381" t="e">
        <f t="shared" si="4"/>
        <v>#REF!</v>
      </c>
      <c r="L66" s="347" t="s">
        <v>1074</v>
      </c>
      <c r="M66" s="347">
        <v>6</v>
      </c>
      <c r="N66" s="347">
        <f>COUNTIF(AbraSG,"13")</f>
        <v>6</v>
      </c>
      <c r="O66" s="347">
        <f t="shared" si="5"/>
        <v>0</v>
      </c>
    </row>
    <row r="67" spans="1:15" s="347" customFormat="1" ht="28.8">
      <c r="A67" s="358" t="str">
        <f>'staffing plan'!B93</f>
        <v>Local Government Operations Officer VI</v>
      </c>
      <c r="B67" s="359">
        <f>+'staffing plan'!C93</f>
        <v>22</v>
      </c>
      <c r="C67" s="360" t="str">
        <f>+'staffing plan'!A93</f>
        <v>OSEC-DILGB-LGOO6-11-2017</v>
      </c>
      <c r="D67" s="361" t="str">
        <f>+'staffing plan'!AK93</f>
        <v>05</v>
      </c>
      <c r="E67" s="360" t="e">
        <f>+'staffing plan'!#REF!</f>
        <v>#REF!</v>
      </c>
      <c r="F67" s="360" t="e">
        <f>CONCATENATE('staffing plan'!#REF!," ",'staffing plan'!#REF!)</f>
        <v>#REF!</v>
      </c>
      <c r="G67" s="360" t="str">
        <f>'staffing plan'!AX93</f>
        <v>Abra</v>
      </c>
      <c r="H67" s="360" t="str">
        <f>'staffing plan'!AW93</f>
        <v>CARIÑO, Erma Hernandez</v>
      </c>
      <c r="I67" s="380"/>
      <c r="J67" s="381" t="e">
        <f t="shared" si="4"/>
        <v>#REF!</v>
      </c>
      <c r="L67" s="347" t="s">
        <v>1170</v>
      </c>
      <c r="M67" s="347">
        <v>2</v>
      </c>
      <c r="N67" s="347">
        <f>COUNTIF(AbraSG,"8")</f>
        <v>2</v>
      </c>
      <c r="O67" s="347">
        <f t="shared" si="5"/>
        <v>0</v>
      </c>
    </row>
    <row r="68" spans="1:15" s="347" customFormat="1" ht="28.8">
      <c r="A68" s="358" t="str">
        <f>'staffing plan'!B168</f>
        <v>Local Government Operations Officer V</v>
      </c>
      <c r="B68" s="359">
        <f>+'staffing plan'!C168</f>
        <v>20</v>
      </c>
      <c r="C68" s="360" t="str">
        <f>+'staffing plan'!A168</f>
        <v>OSEC-DILGB-LGOO5-921-1998</v>
      </c>
      <c r="D68" s="361" t="str">
        <f>+'staffing plan'!AK168</f>
        <v>05</v>
      </c>
      <c r="E68" s="360" t="e">
        <f>+'staffing plan'!#REF!</f>
        <v>#REF!</v>
      </c>
      <c r="F68" s="360" t="e">
        <f>CONCATENATE('staffing plan'!#REF!," ",'staffing plan'!#REF!)</f>
        <v>#REF!</v>
      </c>
      <c r="G68" s="360" t="str">
        <f>'staffing plan'!AX168</f>
        <v>Abra</v>
      </c>
      <c r="H68" s="360" t="str">
        <f>'staffing plan'!AW168</f>
        <v>TRINIDAD, Santos Beñas</v>
      </c>
      <c r="I68" s="380"/>
      <c r="J68" s="381" t="e">
        <f t="shared" si="4"/>
        <v>#REF!</v>
      </c>
      <c r="L68" s="347" t="s">
        <v>273</v>
      </c>
      <c r="M68" s="347">
        <v>1</v>
      </c>
      <c r="N68" s="347">
        <f>COUNTIF(AbraSG,"6")</f>
        <v>1</v>
      </c>
      <c r="O68" s="347">
        <f t="shared" si="5"/>
        <v>0</v>
      </c>
    </row>
    <row r="69" spans="1:15" s="347" customFormat="1" ht="28.8">
      <c r="A69" s="358" t="str">
        <f>'staffing plan'!B167</f>
        <v>Local Government Operations Officer V</v>
      </c>
      <c r="B69" s="359">
        <f>+'staffing plan'!C167</f>
        <v>20</v>
      </c>
      <c r="C69" s="360" t="str">
        <f>+'staffing plan'!A167</f>
        <v>OSEC-DILGB-LGOO5-903-1998</v>
      </c>
      <c r="D69" s="361" t="str">
        <f>+'staffing plan'!AK167</f>
        <v>05</v>
      </c>
      <c r="E69" s="360" t="e">
        <f>+'staffing plan'!#REF!</f>
        <v>#REF!</v>
      </c>
      <c r="F69" s="360" t="e">
        <f>CONCATENATE('staffing plan'!#REF!," ",'staffing plan'!#REF!)</f>
        <v>#REF!</v>
      </c>
      <c r="G69" s="360" t="str">
        <f>'staffing plan'!AX167</f>
        <v>Abra</v>
      </c>
      <c r="H69" s="360" t="str">
        <f>'staffing plan'!AW167</f>
        <v>SAGUIYOD, Rose-Ann Ballangan</v>
      </c>
      <c r="I69" s="380"/>
      <c r="J69" s="381" t="e">
        <f t="shared" si="4"/>
        <v>#REF!</v>
      </c>
      <c r="L69" s="347" t="s">
        <v>455</v>
      </c>
      <c r="M69" s="347">
        <v>1</v>
      </c>
      <c r="N69" s="347">
        <f>COUNTIF(AbraSG,"4")</f>
        <v>1</v>
      </c>
      <c r="O69" s="347">
        <f t="shared" si="5"/>
        <v>0</v>
      </c>
    </row>
    <row r="70" spans="1:15" s="347" customFormat="1" ht="28.8">
      <c r="A70" s="358" t="str">
        <f>'staffing plan'!B166</f>
        <v>Local Government Operations Officer V</v>
      </c>
      <c r="B70" s="359">
        <f>+'staffing plan'!C166</f>
        <v>20</v>
      </c>
      <c r="C70" s="360" t="str">
        <f>+'staffing plan'!A166</f>
        <v>OSEC-DILGB-LGOO5-897-1998</v>
      </c>
      <c r="D70" s="245" t="str">
        <f>+'staffing plan'!AK166</f>
        <v>0597</v>
      </c>
      <c r="E70" s="268" t="e">
        <f>+'staffing plan'!#REF!</f>
        <v>#REF!</v>
      </c>
      <c r="F70" s="268" t="e">
        <f>CONCATENATE('staffing plan'!#REF!," ",'staffing plan'!#REF!)</f>
        <v>#REF!</v>
      </c>
      <c r="G70" s="360" t="str">
        <f>'staffing plan'!AX166</f>
        <v>Abra</v>
      </c>
      <c r="H70" s="268" t="str">
        <f>'staffing plan'!AW166</f>
        <v>VALERA, Sharima  Tomas</v>
      </c>
      <c r="I70" s="280" t="s">
        <v>2783</v>
      </c>
      <c r="J70" s="381" t="e">
        <f t="shared" si="4"/>
        <v>#REF!</v>
      </c>
      <c r="K70" s="281" t="s">
        <v>2784</v>
      </c>
      <c r="L70" s="347" t="s">
        <v>2194</v>
      </c>
      <c r="M70" s="347">
        <v>1</v>
      </c>
      <c r="N70" s="347">
        <f>COUNTIF(AbraSG,"3")</f>
        <v>1</v>
      </c>
      <c r="O70" s="347">
        <f t="shared" si="5"/>
        <v>0</v>
      </c>
    </row>
    <row r="71" spans="1:15" s="347" customFormat="1" ht="28.8">
      <c r="A71" s="358" t="str">
        <f>'staffing plan'!B187</f>
        <v>Local Government Operations Officer II</v>
      </c>
      <c r="B71" s="359">
        <f>+'staffing plan'!C187</f>
        <v>13</v>
      </c>
      <c r="C71" s="360" t="str">
        <f>+'staffing plan'!A187</f>
        <v>OSEC-DILGB-LGOO2-10-1998</v>
      </c>
      <c r="D71" s="361" t="str">
        <f>+'staffing plan'!AK187</f>
        <v>05</v>
      </c>
      <c r="E71" s="360" t="e">
        <f>+'staffing plan'!#REF!</f>
        <v>#REF!</v>
      </c>
      <c r="F71" s="360" t="e">
        <f>CONCATENATE('staffing plan'!#REF!," ",'staffing plan'!#REF!)</f>
        <v>#REF!</v>
      </c>
      <c r="G71" s="360" t="str">
        <f>'staffing plan'!AX187</f>
        <v>Abra</v>
      </c>
      <c r="H71" s="360" t="str">
        <f>'staffing plan'!AW187</f>
        <v>TENEBRO, JR Adame</v>
      </c>
      <c r="I71" s="380"/>
      <c r="J71" s="381" t="e">
        <f t="shared" si="4"/>
        <v>#REF!</v>
      </c>
      <c r="L71" s="347" t="s">
        <v>2196</v>
      </c>
      <c r="M71" s="347">
        <v>1</v>
      </c>
      <c r="N71" s="347">
        <f>COUNTIF(AbraSG,"1")</f>
        <v>1</v>
      </c>
      <c r="O71" s="347">
        <f t="shared" si="5"/>
        <v>0</v>
      </c>
    </row>
    <row r="72" spans="1:15" s="347" customFormat="1" ht="28.8">
      <c r="A72" s="358" t="str">
        <f>'staffing plan'!B201</f>
        <v>Local Government Operations Officer II</v>
      </c>
      <c r="B72" s="359">
        <f>+'staffing plan'!C201</f>
        <v>13</v>
      </c>
      <c r="C72" s="360" t="str">
        <f>+'staffing plan'!A201</f>
        <v>OSEC-DILGB-LGOO2-33-1998</v>
      </c>
      <c r="D72" s="361" t="str">
        <f>+'staffing plan'!AK201</f>
        <v>05</v>
      </c>
      <c r="E72" s="360" t="e">
        <f>+'staffing plan'!#REF!</f>
        <v>#REF!</v>
      </c>
      <c r="F72" s="360" t="e">
        <f>CONCATENATE('staffing plan'!#REF!," ",'staffing plan'!#REF!)</f>
        <v>#REF!</v>
      </c>
      <c r="G72" s="360" t="str">
        <f>'staffing plan'!AX201</f>
        <v>Ifugao</v>
      </c>
      <c r="H72" s="360" t="str">
        <f>'staffing plan'!AW201</f>
        <v>ANAPEN, Humphrey Dumayas</v>
      </c>
      <c r="I72" s="380"/>
      <c r="J72" s="381" t="e">
        <f t="shared" si="4"/>
        <v>#REF!</v>
      </c>
      <c r="M72" s="347">
        <f>SUM(M63:M71)</f>
        <v>45</v>
      </c>
      <c r="N72" s="347">
        <f>SUM(N63:N71)</f>
        <v>44</v>
      </c>
      <c r="O72" s="347">
        <f>SUM(O63:O71)</f>
        <v>1</v>
      </c>
    </row>
    <row r="73" spans="1:15" s="347" customFormat="1" ht="28.8">
      <c r="A73" s="358" t="str">
        <f>'staffing plan'!B206</f>
        <v>Administrative Assistant II</v>
      </c>
      <c r="B73" s="359">
        <f>+'staffing plan'!C206</f>
        <v>8</v>
      </c>
      <c r="C73" s="360" t="str">
        <f>+'staffing plan'!A206</f>
        <v>OSEC-DILGB-ADAS2-66-2005</v>
      </c>
      <c r="D73" s="361" t="str">
        <f>+'staffing plan'!AK206</f>
        <v>05</v>
      </c>
      <c r="E73" s="360" t="e">
        <f>+'staffing plan'!#REF!</f>
        <v>#REF!</v>
      </c>
      <c r="F73" s="360" t="e">
        <f>CONCATENATE('staffing plan'!#REF!," ",'staffing plan'!#REF!)</f>
        <v>#REF!</v>
      </c>
      <c r="G73" s="360">
        <f>'staffing plan'!AX206</f>
        <v>0</v>
      </c>
      <c r="H73" s="360" t="str">
        <f>'staffing plan'!AW206</f>
        <v xml:space="preserve">Vacant DOMASING,  </v>
      </c>
      <c r="I73" s="380"/>
      <c r="J73" s="381" t="e">
        <f t="shared" si="4"/>
        <v>#REF!</v>
      </c>
    </row>
    <row r="74" spans="1:15" s="347" customFormat="1" ht="28.8">
      <c r="A74" s="358" t="str">
        <f>'staffing plan'!B211</f>
        <v>Administrative Assistant II</v>
      </c>
      <c r="B74" s="359">
        <f>+'staffing plan'!C211</f>
        <v>8</v>
      </c>
      <c r="C74" s="360" t="str">
        <f>+'staffing plan'!A211</f>
        <v>OSEC-DILGB-ADAS2-73-2005</v>
      </c>
      <c r="D74" s="361" t="str">
        <f>+'staffing plan'!AK211</f>
        <v>05</v>
      </c>
      <c r="E74" s="360" t="e">
        <f>+'staffing plan'!#REF!</f>
        <v>#REF!</v>
      </c>
      <c r="F74" s="360" t="e">
        <f>CONCATENATE('staffing plan'!#REF!," ",'staffing plan'!#REF!)</f>
        <v>#REF!</v>
      </c>
      <c r="G74" s="360" t="str">
        <f>'staffing plan'!AX211</f>
        <v>Abra</v>
      </c>
      <c r="H74" s="360" t="str">
        <f>'staffing plan'!AW211</f>
        <v>PACAMO, Ruby Quemerista</v>
      </c>
      <c r="I74" s="380"/>
      <c r="J74" s="381" t="e">
        <f t="shared" si="4"/>
        <v>#REF!</v>
      </c>
    </row>
    <row r="75" spans="1:15" s="347" customFormat="1" ht="28.8">
      <c r="A75" s="358" t="str">
        <f>'staffing plan'!B218</f>
        <v>Administrative Aide VI</v>
      </c>
      <c r="B75" s="359">
        <f>+'staffing plan'!C218</f>
        <v>6</v>
      </c>
      <c r="C75" s="360" t="str">
        <f>+'staffing plan'!A218</f>
        <v>OSEC-DILGB-ADA6-99-2005</v>
      </c>
      <c r="D75" s="361" t="str">
        <f>+'staffing plan'!AK218</f>
        <v>05</v>
      </c>
      <c r="E75" s="360" t="e">
        <f>+'staffing plan'!#REF!</f>
        <v>#REF!</v>
      </c>
      <c r="F75" s="360" t="e">
        <f>CONCATENATE('staffing plan'!#REF!," ",'staffing plan'!#REF!)</f>
        <v>#REF!</v>
      </c>
      <c r="G75" s="360" t="str">
        <f>'staffing plan'!AX218</f>
        <v>Abra</v>
      </c>
      <c r="H75" s="360" t="str">
        <f>'staffing plan'!AW218</f>
        <v>TAN, Corinne Marie Pauline Elveña</v>
      </c>
      <c r="I75" s="380"/>
      <c r="J75" s="381" t="e">
        <f t="shared" si="4"/>
        <v>#REF!</v>
      </c>
    </row>
    <row r="76" spans="1:15" s="347" customFormat="1" ht="28.8">
      <c r="A76" s="358" t="str">
        <f>'staffing plan'!B224</f>
        <v>Administrative Aide IV</v>
      </c>
      <c r="B76" s="359">
        <f>+'staffing plan'!C224</f>
        <v>4</v>
      </c>
      <c r="C76" s="360" t="str">
        <f>+'staffing plan'!A224</f>
        <v>OSEC-DILGB-ADA4-89-2005</v>
      </c>
      <c r="D76" s="361" t="str">
        <f>+'staffing plan'!AK224</f>
        <v>05</v>
      </c>
      <c r="E76" s="360" t="e">
        <f>+'staffing plan'!#REF!</f>
        <v>#REF!</v>
      </c>
      <c r="F76" s="360" t="e">
        <f>CONCATENATE('staffing plan'!#REF!," ",'staffing plan'!#REF!)</f>
        <v>#REF!</v>
      </c>
      <c r="G76" s="360" t="str">
        <f>'staffing plan'!AX224</f>
        <v>Abra</v>
      </c>
      <c r="H76" s="360" t="str">
        <f>'staffing plan'!AW224</f>
        <v>PAZ, Daryll Jane Trinidad</v>
      </c>
      <c r="I76" s="380"/>
      <c r="J76" s="381" t="e">
        <f t="shared" si="4"/>
        <v>#REF!</v>
      </c>
    </row>
    <row r="77" spans="1:15" s="347" customFormat="1" ht="28.8">
      <c r="A77" s="358" t="str">
        <f>'staffing plan'!B231</f>
        <v>Administrative Aide III</v>
      </c>
      <c r="B77" s="359">
        <f>+'staffing plan'!C231</f>
        <v>3</v>
      </c>
      <c r="C77" s="360" t="str">
        <f>+'staffing plan'!A231</f>
        <v>OSEC-DILGB-ADA3-63-2005</v>
      </c>
      <c r="D77" s="361" t="str">
        <f>+'staffing plan'!AK231</f>
        <v>05</v>
      </c>
      <c r="E77" s="360" t="e">
        <f>+'staffing plan'!#REF!</f>
        <v>#REF!</v>
      </c>
      <c r="F77" s="360" t="e">
        <f>CONCATENATE('staffing plan'!#REF!," ",'staffing plan'!#REF!)</f>
        <v>#REF!</v>
      </c>
      <c r="G77" s="360" t="str">
        <f>'staffing plan'!AX231</f>
        <v>Abra</v>
      </c>
      <c r="H77" s="360" t="str">
        <f>'staffing plan'!AW231</f>
        <v>BRIONES, Rolando Atmosfera</v>
      </c>
      <c r="I77" s="380"/>
      <c r="J77" s="381" t="e">
        <f t="shared" si="4"/>
        <v>#REF!</v>
      </c>
    </row>
    <row r="78" spans="1:15" s="347" customFormat="1" ht="28.8">
      <c r="A78" s="358" t="str">
        <f>'staffing plan'!B239</f>
        <v>Administrative Aide I</v>
      </c>
      <c r="B78" s="359">
        <f>+'staffing plan'!C239</f>
        <v>1</v>
      </c>
      <c r="C78" s="360" t="str">
        <f>+'staffing plan'!A239</f>
        <v>OSEC-DILGB-ADA1-33-2005</v>
      </c>
      <c r="D78" s="361" t="str">
        <f>+'staffing plan'!AK239</f>
        <v>05</v>
      </c>
      <c r="E78" s="360" t="e">
        <f>+'staffing plan'!#REF!</f>
        <v>#REF!</v>
      </c>
      <c r="F78" s="360" t="e">
        <f>CONCATENATE('staffing plan'!#REF!," ",'staffing plan'!#REF!)</f>
        <v>#REF!</v>
      </c>
      <c r="G78" s="360">
        <f>'staffing plan'!AX239</f>
        <v>0</v>
      </c>
      <c r="H78" s="360" t="e">
        <f>'staffing plan'!#REF!</f>
        <v>#REF!</v>
      </c>
      <c r="I78" s="380"/>
      <c r="J78" s="381" t="e">
        <f t="shared" si="4"/>
        <v>#REF!</v>
      </c>
    </row>
    <row r="79" spans="1:15" s="347" customFormat="1" ht="28.8">
      <c r="A79" s="388" t="str">
        <f>'staffing plan'!B155</f>
        <v>Local Government Operations Officer VI</v>
      </c>
      <c r="B79" s="389">
        <f>+'staffing plan'!C155</f>
        <v>22</v>
      </c>
      <c r="C79" s="390" t="str">
        <f>+'staffing plan'!A155</f>
        <v>OSEC-DILGB-LGOO6-71-2017</v>
      </c>
      <c r="D79" s="391" t="str">
        <f>+'staffing plan'!AK155</f>
        <v>0456</v>
      </c>
      <c r="E79" s="390" t="e">
        <f>+'staffing plan'!#REF!</f>
        <v>#REF!</v>
      </c>
      <c r="F79" s="390" t="e">
        <f>CONCATENATE('staffing plan'!#REF!," ",'staffing plan'!#REF!)</f>
        <v>#REF!</v>
      </c>
      <c r="G79" s="390" t="str">
        <f>'staffing plan'!AX155</f>
        <v>Abra</v>
      </c>
      <c r="H79" s="390" t="str">
        <f>'staffing plan'!AW155</f>
        <v>GANO, Carol Guidangen</v>
      </c>
      <c r="I79" s="392"/>
      <c r="J79" s="381" t="e">
        <f t="shared" si="4"/>
        <v>#REF!</v>
      </c>
    </row>
    <row r="80" spans="1:15" s="347" customFormat="1" ht="28.8">
      <c r="A80" s="358" t="str">
        <f>'staffing plan'!B188</f>
        <v>Local Government Operations Officer II</v>
      </c>
      <c r="B80" s="359">
        <f>+'staffing plan'!C188</f>
        <v>13</v>
      </c>
      <c r="C80" s="360" t="str">
        <f>+'staffing plan'!A188</f>
        <v>OSEC-DILGB-LGOO2-12-1998</v>
      </c>
      <c r="D80" s="361" t="str">
        <f>+'staffing plan'!AK188</f>
        <v>0456</v>
      </c>
      <c r="E80" s="360" t="e">
        <f>+'staffing plan'!#REF!</f>
        <v>#REF!</v>
      </c>
      <c r="F80" s="360" t="e">
        <f>CONCATENATE('staffing plan'!#REF!," ",'staffing plan'!#REF!)</f>
        <v>#REF!</v>
      </c>
      <c r="G80" s="360" t="str">
        <f>'staffing plan'!AX188</f>
        <v>Abra</v>
      </c>
      <c r="H80" s="360" t="str">
        <f>'staffing plan'!AW188</f>
        <v>PARTIDO, Alfrainer Ferras</v>
      </c>
      <c r="I80" s="380" t="s">
        <v>2762</v>
      </c>
      <c r="J80" s="381" t="e">
        <f t="shared" si="4"/>
        <v>#REF!</v>
      </c>
    </row>
    <row r="81" spans="1:10" s="347" customFormat="1" ht="28.8">
      <c r="A81" s="358" t="str">
        <f>'staffing plan'!B103</f>
        <v>Local Government Operations Officer VI</v>
      </c>
      <c r="B81" s="359">
        <f>+'staffing plan'!C103</f>
        <v>22</v>
      </c>
      <c r="C81" s="360" t="str">
        <f>+'staffing plan'!A103</f>
        <v>OSEC-DILGB-LGOO6-19-2017</v>
      </c>
      <c r="D81" s="361" t="str">
        <f>+'staffing plan'!AK103</f>
        <v>0459</v>
      </c>
      <c r="E81" s="360" t="e">
        <f>+'staffing plan'!#REF!</f>
        <v>#REF!</v>
      </c>
      <c r="F81" s="360" t="e">
        <f>CONCATENATE('staffing plan'!#REF!," ",'staffing plan'!#REF!)</f>
        <v>#REF!</v>
      </c>
      <c r="G81" s="360" t="str">
        <f>'staffing plan'!AX103</f>
        <v>Abra</v>
      </c>
      <c r="H81" s="360" t="str">
        <f>'staffing plan'!AW103</f>
        <v>IDOS, Dexter Las-o</v>
      </c>
      <c r="I81" s="380"/>
      <c r="J81" s="381" t="e">
        <f t="shared" si="4"/>
        <v>#REF!</v>
      </c>
    </row>
    <row r="82" spans="1:10" s="347" customFormat="1" ht="28.8">
      <c r="A82" s="358" t="str">
        <f>'staffing plan'!B85</f>
        <v>Local Government Operations Officer VI</v>
      </c>
      <c r="B82" s="359">
        <f>+'staffing plan'!C85</f>
        <v>22</v>
      </c>
      <c r="C82" s="360" t="str">
        <f>+'staffing plan'!A85</f>
        <v>OSEC-DILGB-LGOO6-5-2017</v>
      </c>
      <c r="D82" s="361" t="str">
        <f>+'staffing plan'!AK85</f>
        <v>0462</v>
      </c>
      <c r="E82" s="360" t="e">
        <f>+'staffing plan'!#REF!</f>
        <v>#REF!</v>
      </c>
      <c r="F82" s="360" t="e">
        <f>CONCATENATE('staffing plan'!#REF!," ",'staffing plan'!#REF!)</f>
        <v>#REF!</v>
      </c>
      <c r="G82" s="360" t="str">
        <f>'staffing plan'!AX85</f>
        <v>Abra</v>
      </c>
      <c r="H82" s="360" t="str">
        <f>'staffing plan'!AW85</f>
        <v>LAPASTORA, Ameurfina Castillo</v>
      </c>
      <c r="I82" s="380"/>
      <c r="J82" s="381" t="e">
        <f t="shared" si="4"/>
        <v>#REF!</v>
      </c>
    </row>
    <row r="83" spans="1:10" s="347" customFormat="1" ht="28.8">
      <c r="A83" s="358" t="str">
        <f>'staffing plan'!B189</f>
        <v>Local Government Operations Officer II</v>
      </c>
      <c r="B83" s="359">
        <f>+'staffing plan'!C189</f>
        <v>13</v>
      </c>
      <c r="C83" s="360" t="str">
        <f>+'staffing plan'!A189</f>
        <v>OSEC-DILGB-LGOO2-14-1998</v>
      </c>
      <c r="D83" s="361" t="str">
        <f>+'staffing plan'!AK189</f>
        <v>0462</v>
      </c>
      <c r="E83" s="360" t="e">
        <f>+'staffing plan'!#REF!</f>
        <v>#REF!</v>
      </c>
      <c r="F83" s="360" t="e">
        <f>CONCATENATE('staffing plan'!#REF!," ",'staffing plan'!#REF!)</f>
        <v>#REF!</v>
      </c>
      <c r="G83" s="360">
        <f>'staffing plan'!AX189</f>
        <v>0</v>
      </c>
      <c r="H83" s="360" t="str">
        <f>'staffing plan'!AW189</f>
        <v xml:space="preserve">Vacant SAGUIYOD,  </v>
      </c>
      <c r="I83" s="380" t="s">
        <v>2762</v>
      </c>
      <c r="J83" s="381" t="e">
        <f t="shared" si="4"/>
        <v>#REF!</v>
      </c>
    </row>
    <row r="84" spans="1:10" s="347" customFormat="1" ht="28.8">
      <c r="A84" s="358" t="str">
        <f>'staffing plan'!B105</f>
        <v>Local Government Operations Officer VI</v>
      </c>
      <c r="B84" s="359">
        <f>+'staffing plan'!C105</f>
        <v>22</v>
      </c>
      <c r="C84" s="360" t="str">
        <f>+'staffing plan'!A105</f>
        <v>OSEC-DILGB-LGOO6-21-2017</v>
      </c>
      <c r="D84" s="361" t="str">
        <f>+'staffing plan'!AK105</f>
        <v>0465</v>
      </c>
      <c r="E84" s="360" t="e">
        <f>+'staffing plan'!#REF!</f>
        <v>#REF!</v>
      </c>
      <c r="F84" s="360" t="e">
        <f>CONCATENATE('staffing plan'!#REF!," ",'staffing plan'!#REF!)</f>
        <v>#REF!</v>
      </c>
      <c r="G84" s="360" t="str">
        <f>'staffing plan'!AX105</f>
        <v>Abra</v>
      </c>
      <c r="H84" s="360" t="str">
        <f>'staffing plan'!AW105</f>
        <v>GARCIA, Evelyn Arizabal</v>
      </c>
      <c r="I84" s="380"/>
      <c r="J84" s="381" t="e">
        <f t="shared" si="4"/>
        <v>#REF!</v>
      </c>
    </row>
    <row r="85" spans="1:10" s="347" customFormat="1" ht="28.8">
      <c r="A85" s="358" t="str">
        <f>'staffing plan'!B102</f>
        <v>Local Government Operations Officer VI</v>
      </c>
      <c r="B85" s="359">
        <f>+'staffing plan'!C102</f>
        <v>22</v>
      </c>
      <c r="C85" s="360" t="str">
        <f>+'staffing plan'!A102</f>
        <v>OSEC-DILGB-LGOO6-18-2017</v>
      </c>
      <c r="D85" s="361" t="str">
        <f>+'staffing plan'!AK102</f>
        <v>0465</v>
      </c>
      <c r="E85" s="360" t="e">
        <f>+'staffing plan'!#REF!</f>
        <v>#REF!</v>
      </c>
      <c r="F85" s="360" t="e">
        <f>CONCATENATE('staffing plan'!#REF!," ",'staffing plan'!#REF!)</f>
        <v>#REF!</v>
      </c>
      <c r="G85" s="360" t="str">
        <f>'staffing plan'!AX102</f>
        <v>Abra</v>
      </c>
      <c r="H85" s="360" t="str">
        <f>'staffing plan'!AW102</f>
        <v>VENUS, Normita Cruz</v>
      </c>
      <c r="I85" s="380"/>
      <c r="J85" s="381" t="e">
        <f t="shared" si="4"/>
        <v>#REF!</v>
      </c>
    </row>
    <row r="86" spans="1:10" s="347" customFormat="1" ht="28.8">
      <c r="A86" s="273"/>
      <c r="B86" s="274"/>
      <c r="C86" s="275"/>
      <c r="D86" s="245"/>
      <c r="E86" s="275"/>
      <c r="F86" s="275" t="s">
        <v>2785</v>
      </c>
      <c r="G86" s="275"/>
      <c r="H86" s="275"/>
      <c r="I86" s="283" t="s">
        <v>2786</v>
      </c>
      <c r="J86" s="284"/>
    </row>
    <row r="87" spans="1:10" s="347" customFormat="1" ht="28.8">
      <c r="A87" s="276" t="str">
        <f>'staffing plan'!B190</f>
        <v>Local Government Operations Officer II</v>
      </c>
      <c r="B87" s="277">
        <f>+'staffing plan'!C190</f>
        <v>13</v>
      </c>
      <c r="C87" s="278" t="str">
        <f>+'staffing plan'!A190</f>
        <v>OSEC-DILGB-LGOO2-15-1998</v>
      </c>
      <c r="D87" s="279" t="str">
        <f>+'staffing plan'!AK190</f>
        <v>0471</v>
      </c>
      <c r="E87" s="278" t="e">
        <f>+'staffing plan'!#REF!</f>
        <v>#REF!</v>
      </c>
      <c r="F87" s="278" t="e">
        <f>CONCATENATE('staffing plan'!#REF!," ",'staffing plan'!#REF!)</f>
        <v>#REF!</v>
      </c>
      <c r="G87" s="278" t="str">
        <f>'staffing plan'!AX190</f>
        <v>Apayao</v>
      </c>
      <c r="H87" s="278" t="str">
        <f>'staffing plan'!AW190</f>
        <v>ANUA, Rochelle Foronda</v>
      </c>
      <c r="I87" s="285" t="s">
        <v>2787</v>
      </c>
      <c r="J87" s="286" t="e">
        <f t="shared" ref="J87:J105" si="6">E87=G87</f>
        <v>#REF!</v>
      </c>
    </row>
    <row r="88" spans="1:10" s="347" customFormat="1" ht="28.8">
      <c r="A88" s="358" t="str">
        <f>'staffing plan'!B82</f>
        <v>Local Government Operations Officer VI</v>
      </c>
      <c r="B88" s="359">
        <f>+'staffing plan'!C82</f>
        <v>22</v>
      </c>
      <c r="C88" s="360" t="str">
        <f>+'staffing plan'!A82</f>
        <v>OSEC-DILGB-LGOO6-2-2017</v>
      </c>
      <c r="D88" s="361" t="str">
        <f>+'staffing plan'!AK82</f>
        <v>0474</v>
      </c>
      <c r="E88" s="360" t="e">
        <f>+'staffing plan'!#REF!</f>
        <v>#REF!</v>
      </c>
      <c r="F88" s="360" t="e">
        <f>CONCATENATE('staffing plan'!#REF!," ",'staffing plan'!#REF!)</f>
        <v>#REF!</v>
      </c>
      <c r="G88" s="360" t="str">
        <f>'staffing plan'!AX82</f>
        <v>Abra</v>
      </c>
      <c r="H88" s="360" t="str">
        <f>'staffing plan'!AW82</f>
        <v>TURQUEZA, Emmanuel Astudillo</v>
      </c>
      <c r="I88" s="380"/>
      <c r="J88" s="381" t="e">
        <f t="shared" si="6"/>
        <v>#REF!</v>
      </c>
    </row>
    <row r="89" spans="1:10" s="347" customFormat="1" ht="28.8">
      <c r="A89" s="358" t="str">
        <f>'staffing plan'!B92</f>
        <v>Local Government Operations Officer VI</v>
      </c>
      <c r="B89" s="359">
        <f>+'staffing plan'!C92</f>
        <v>22</v>
      </c>
      <c r="C89" s="360" t="str">
        <f>+'staffing plan'!A92</f>
        <v>OSEC-DILGB-LGOO6-10-2017</v>
      </c>
      <c r="D89" s="361" t="str">
        <f>+'staffing plan'!AK92</f>
        <v>0477</v>
      </c>
      <c r="E89" s="360" t="e">
        <f>+'staffing plan'!#REF!</f>
        <v>#REF!</v>
      </c>
      <c r="F89" s="360" t="e">
        <f>CONCATENATE('staffing plan'!#REF!," ",'staffing plan'!#REF!)</f>
        <v>#REF!</v>
      </c>
      <c r="G89" s="360" t="str">
        <f>'staffing plan'!AX92</f>
        <v>Abra</v>
      </c>
      <c r="H89" s="360" t="str">
        <f>'staffing plan'!AW92</f>
        <v>CALINA, Crescencio II Benauro</v>
      </c>
      <c r="I89" s="380"/>
      <c r="J89" s="381" t="e">
        <f t="shared" si="6"/>
        <v>#REF!</v>
      </c>
    </row>
    <row r="90" spans="1:10" s="347" customFormat="1" ht="28.8">
      <c r="A90" s="358" t="str">
        <f>'staffing plan'!B81</f>
        <v>Local Government Operations Officer VI</v>
      </c>
      <c r="B90" s="359">
        <f>+'staffing plan'!C81</f>
        <v>22</v>
      </c>
      <c r="C90" s="360" t="str">
        <f>+'staffing plan'!A81</f>
        <v>OSEC-DILGB-LGOO6-1-2017</v>
      </c>
      <c r="D90" s="361" t="str">
        <f>+'staffing plan'!AK81</f>
        <v>0480</v>
      </c>
      <c r="E90" s="360" t="e">
        <f>+'staffing plan'!#REF!</f>
        <v>#REF!</v>
      </c>
      <c r="F90" s="360" t="e">
        <f>CONCATENATE('staffing plan'!#REF!," ",'staffing plan'!#REF!)</f>
        <v>#REF!</v>
      </c>
      <c r="G90" s="360" t="str">
        <f>'staffing plan'!AX81</f>
        <v>Abra</v>
      </c>
      <c r="H90" s="360" t="str">
        <f>'staffing plan'!AW81</f>
        <v>VILLAMOR, Juvenal Hufano</v>
      </c>
      <c r="I90" s="380"/>
      <c r="J90" s="381" t="e">
        <f t="shared" si="6"/>
        <v>#REF!</v>
      </c>
    </row>
    <row r="91" spans="1:10" s="347" customFormat="1" ht="28.8">
      <c r="A91" s="358" t="str">
        <f>'staffing plan'!B186</f>
        <v>Local Government Operations Officer II</v>
      </c>
      <c r="B91" s="359">
        <f>+'staffing plan'!C186</f>
        <v>13</v>
      </c>
      <c r="C91" s="360" t="str">
        <f>+'staffing plan'!A186</f>
        <v>OSEC-DILGB-LGOO2-7-1998</v>
      </c>
      <c r="D91" s="361" t="str">
        <f>+'staffing plan'!AK186</f>
        <v>0480</v>
      </c>
      <c r="E91" s="360" t="e">
        <f>+'staffing plan'!#REF!</f>
        <v>#REF!</v>
      </c>
      <c r="F91" s="360" t="e">
        <f>CONCATENATE('staffing plan'!#REF!," ",'staffing plan'!#REF!)</f>
        <v>#REF!</v>
      </c>
      <c r="G91" s="360" t="str">
        <f>'staffing plan'!AX186</f>
        <v>Ifugao</v>
      </c>
      <c r="H91" s="360" t="str">
        <f>'staffing plan'!AW186</f>
        <v>ATUAN, Valentine Lugawe</v>
      </c>
      <c r="I91" s="380" t="s">
        <v>2762</v>
      </c>
      <c r="J91" s="381" t="e">
        <f t="shared" si="6"/>
        <v>#REF!</v>
      </c>
    </row>
    <row r="92" spans="1:10" s="347" customFormat="1" ht="28.8">
      <c r="A92" s="358" t="str">
        <f>'staffing plan'!B87</f>
        <v>Local Government Operations Officer VI</v>
      </c>
      <c r="B92" s="359">
        <f>+'staffing plan'!C87</f>
        <v>22</v>
      </c>
      <c r="C92" s="360" t="str">
        <f>+'staffing plan'!A87</f>
        <v>OSEC-DILGB-LGOO6-7-2017</v>
      </c>
      <c r="D92" s="361" t="str">
        <f>+'staffing plan'!AK87</f>
        <v>0483</v>
      </c>
      <c r="E92" s="360" t="e">
        <f>+'staffing plan'!#REF!</f>
        <v>#REF!</v>
      </c>
      <c r="F92" s="360" t="e">
        <f>CONCATENATE('staffing plan'!#REF!," ",'staffing plan'!#REF!)</f>
        <v>#REF!</v>
      </c>
      <c r="G92" s="360" t="str">
        <f>'staffing plan'!AX87</f>
        <v>Abra</v>
      </c>
      <c r="H92" s="360" t="str">
        <f>'staffing plan'!AW87</f>
        <v>TURQUEZA, Ephraim Pascua</v>
      </c>
      <c r="I92" s="380"/>
      <c r="J92" s="381" t="e">
        <f t="shared" si="6"/>
        <v>#REF!</v>
      </c>
    </row>
    <row r="93" spans="1:10" s="347" customFormat="1" ht="28.8">
      <c r="A93" s="358" t="str">
        <f>'staffing plan'!B98</f>
        <v>Local Government Operations Officer VI</v>
      </c>
      <c r="B93" s="359">
        <f>+'staffing plan'!C98</f>
        <v>22</v>
      </c>
      <c r="C93" s="360" t="str">
        <f>+'staffing plan'!A98</f>
        <v>OSEC-DILGB-LGOO6-14-2017</v>
      </c>
      <c r="D93" s="361" t="str">
        <f>+'staffing plan'!AK98</f>
        <v>0486</v>
      </c>
      <c r="E93" s="360" t="e">
        <f>+'staffing plan'!#REF!</f>
        <v>#REF!</v>
      </c>
      <c r="F93" s="360" t="e">
        <f>CONCATENATE('staffing plan'!#REF!," ",'staffing plan'!#REF!)</f>
        <v>#REF!</v>
      </c>
      <c r="G93" s="360" t="str">
        <f>'staffing plan'!AX98</f>
        <v>Abra</v>
      </c>
      <c r="H93" s="360" t="str">
        <f>'staffing plan'!AW98</f>
        <v>ABANCE, Mary Jane Samonte</v>
      </c>
      <c r="I93" s="380"/>
      <c r="J93" s="381" t="e">
        <f t="shared" si="6"/>
        <v>#REF!</v>
      </c>
    </row>
    <row r="94" spans="1:10" s="347" customFormat="1" ht="28.8">
      <c r="A94" s="358" t="str">
        <f>'staffing plan'!B89</f>
        <v>Local Government Operations Officer VI</v>
      </c>
      <c r="B94" s="359">
        <f>+'staffing plan'!C89</f>
        <v>22</v>
      </c>
      <c r="C94" s="360" t="str">
        <f>+'staffing plan'!A89</f>
        <v>OSEC-DILGB-LGOO6-9-2017</v>
      </c>
      <c r="D94" s="361" t="str">
        <f>+'staffing plan'!AK89</f>
        <v>0489</v>
      </c>
      <c r="E94" s="360" t="e">
        <f>+'staffing plan'!#REF!</f>
        <v>#REF!</v>
      </c>
      <c r="F94" s="360" t="e">
        <f>CONCATENATE('staffing plan'!#REF!," ",'staffing plan'!#REF!)</f>
        <v>#REF!</v>
      </c>
      <c r="G94" s="360" t="str">
        <f>'staffing plan'!AX89</f>
        <v>Abra</v>
      </c>
      <c r="H94" s="360" t="str">
        <f>'staffing plan'!AW89</f>
        <v>CASTILLO, Mila Benedito</v>
      </c>
      <c r="I94" s="380"/>
      <c r="J94" s="381" t="e">
        <f t="shared" si="6"/>
        <v>#REF!</v>
      </c>
    </row>
    <row r="95" spans="1:10" s="347" customFormat="1" ht="28.8">
      <c r="A95" s="358" t="str">
        <f>'staffing plan'!B88</f>
        <v>Local Government Operations Officer VI</v>
      </c>
      <c r="B95" s="359">
        <f>+'staffing plan'!C88</f>
        <v>22</v>
      </c>
      <c r="C95" s="360" t="str">
        <f>+'staffing plan'!A88</f>
        <v>OSEC-DILGB-LGOO6-8-2017</v>
      </c>
      <c r="D95" s="361" t="str">
        <f>+'staffing plan'!AK88</f>
        <v>0492</v>
      </c>
      <c r="E95" s="360" t="e">
        <f>+'staffing plan'!#REF!</f>
        <v>#REF!</v>
      </c>
      <c r="F95" s="360" t="e">
        <f>CONCATENATE('staffing plan'!#REF!," ",'staffing plan'!#REF!)</f>
        <v>#REF!</v>
      </c>
      <c r="G95" s="360" t="str">
        <f>'staffing plan'!AX88</f>
        <v>Abra</v>
      </c>
      <c r="H95" s="360" t="str">
        <f>'staffing plan'!AW88</f>
        <v>LINGBAOAN, Joel Barbasa</v>
      </c>
      <c r="I95" s="380"/>
      <c r="J95" s="381" t="e">
        <f t="shared" si="6"/>
        <v>#REF!</v>
      </c>
    </row>
    <row r="96" spans="1:10" s="347" customFormat="1" ht="28.8">
      <c r="A96" s="358" t="str">
        <f>'staffing plan'!B95</f>
        <v>Local Government Operations Officer VI</v>
      </c>
      <c r="B96" s="359">
        <f>+'staffing plan'!C95</f>
        <v>22</v>
      </c>
      <c r="C96" s="360" t="str">
        <f>+'staffing plan'!A95</f>
        <v>OSEC-DILGB-LGOO6-12-2017</v>
      </c>
      <c r="D96" s="361" t="str">
        <f>+'staffing plan'!AK95</f>
        <v>0495</v>
      </c>
      <c r="E96" s="360" t="e">
        <f>+'staffing plan'!#REF!</f>
        <v>#REF!</v>
      </c>
      <c r="F96" s="360" t="e">
        <f>CONCATENATE('staffing plan'!#REF!," ",'staffing plan'!#REF!)</f>
        <v>#REF!</v>
      </c>
      <c r="G96" s="360" t="str">
        <f>'staffing plan'!AX95</f>
        <v>Abra</v>
      </c>
      <c r="H96" s="360" t="str">
        <f>'staffing plan'!AW95</f>
        <v>HERNANDEZ, Jean  Smith</v>
      </c>
      <c r="I96" s="380"/>
      <c r="J96" s="381" t="e">
        <f t="shared" si="6"/>
        <v>#REF!</v>
      </c>
    </row>
    <row r="97" spans="1:15" s="347" customFormat="1" ht="28.8">
      <c r="A97" s="388" t="str">
        <f>'staffing plan'!B154</f>
        <v>Local Government Operations Officer VI</v>
      </c>
      <c r="B97" s="389">
        <f>+'staffing plan'!C154</f>
        <v>22</v>
      </c>
      <c r="C97" s="390" t="str">
        <f>+'staffing plan'!A154</f>
        <v>OSEC-DILGB-LGOO6-70-2017</v>
      </c>
      <c r="D97" s="391" t="str">
        <f>+'staffing plan'!AK154</f>
        <v>0498</v>
      </c>
      <c r="E97" s="390" t="e">
        <f>+'staffing plan'!#REF!</f>
        <v>#REF!</v>
      </c>
      <c r="F97" s="390" t="e">
        <f>CONCATENATE('staffing plan'!#REF!," ",'staffing plan'!#REF!)</f>
        <v>#REF!</v>
      </c>
      <c r="G97" s="390" t="str">
        <f>'staffing plan'!AX154</f>
        <v>Abra</v>
      </c>
      <c r="H97" s="390" t="str">
        <f>'staffing plan'!AW154</f>
        <v>BALDERAMA, Antonio Badere</v>
      </c>
      <c r="I97" s="392"/>
      <c r="J97" s="381" t="e">
        <f t="shared" si="6"/>
        <v>#REF!</v>
      </c>
    </row>
    <row r="98" spans="1:15" s="347" customFormat="1" ht="28.8">
      <c r="A98" s="358" t="str">
        <f>'staffing plan'!B108</f>
        <v>Local Government Operations Officer VI</v>
      </c>
      <c r="B98" s="359">
        <f>+'staffing plan'!C108</f>
        <v>22</v>
      </c>
      <c r="C98" s="360" t="str">
        <f>+'staffing plan'!A108</f>
        <v>OSEC-DILGB-LGOO6-24-2017</v>
      </c>
      <c r="D98" s="361" t="str">
        <f>+'staffing plan'!AK108</f>
        <v>0501</v>
      </c>
      <c r="E98" s="360" t="e">
        <f>+'staffing plan'!#REF!</f>
        <v>#REF!</v>
      </c>
      <c r="F98" s="360" t="e">
        <f>CONCATENATE('staffing plan'!#REF!," ",'staffing plan'!#REF!)</f>
        <v>#REF!</v>
      </c>
      <c r="G98" s="360" t="str">
        <f>'staffing plan'!AX108</f>
        <v>Abra</v>
      </c>
      <c r="H98" s="360" t="str">
        <f>'staffing plan'!AW108</f>
        <v>MONREAL, Prescila Alzate</v>
      </c>
      <c r="I98" s="380"/>
      <c r="J98" s="381" t="e">
        <f t="shared" si="6"/>
        <v>#REF!</v>
      </c>
    </row>
    <row r="99" spans="1:15" s="347" customFormat="1" ht="28.8">
      <c r="A99" s="358" t="str">
        <f>'staffing plan'!B84</f>
        <v>Local Government Operations Officer VI</v>
      </c>
      <c r="B99" s="359">
        <f>+'staffing plan'!C84</f>
        <v>22</v>
      </c>
      <c r="C99" s="360" t="str">
        <f>+'staffing plan'!A84</f>
        <v>OSEC-DILGB-LGOO6-4-2017</v>
      </c>
      <c r="D99" s="361" t="str">
        <f>+'staffing plan'!AK84</f>
        <v>0504</v>
      </c>
      <c r="E99" s="360" t="e">
        <f>+'staffing plan'!#REF!</f>
        <v>#REF!</v>
      </c>
      <c r="F99" s="360" t="e">
        <f>CONCATENATE('staffing plan'!#REF!," ",'staffing plan'!#REF!)</f>
        <v>#REF!</v>
      </c>
      <c r="G99" s="360" t="str">
        <f>'staffing plan'!AX84</f>
        <v>Abra</v>
      </c>
      <c r="H99" s="360" t="str">
        <f>'staffing plan'!AW84</f>
        <v>ABADEZA, Charisma Salimbay</v>
      </c>
      <c r="I99" s="380"/>
      <c r="J99" s="381" t="e">
        <f t="shared" si="6"/>
        <v>#REF!</v>
      </c>
    </row>
    <row r="100" spans="1:15" s="347" customFormat="1" ht="28.8">
      <c r="A100" s="358" t="str">
        <f>'staffing plan'!B96</f>
        <v>Local Government Operations Officer VI</v>
      </c>
      <c r="B100" s="359">
        <f>+'staffing plan'!C96</f>
        <v>22</v>
      </c>
      <c r="C100" s="360" t="str">
        <f>+'staffing plan'!A96</f>
        <v>OSEC-DILGB-LGOO6-13-2017</v>
      </c>
      <c r="D100" s="361" t="str">
        <f>+'staffing plan'!AK96</f>
        <v>0507</v>
      </c>
      <c r="E100" s="360" t="e">
        <f>+'staffing plan'!#REF!</f>
        <v>#REF!</v>
      </c>
      <c r="F100" s="360" t="e">
        <f>CONCATENATE('staffing plan'!#REF!," ",'staffing plan'!#REF!)</f>
        <v>#REF!</v>
      </c>
      <c r="G100" s="360" t="str">
        <f>'staffing plan'!AX96</f>
        <v>Abra</v>
      </c>
      <c r="H100" s="360" t="str">
        <f>'staffing plan'!AW96</f>
        <v>TRINIDAD, Bernabe Bejarin</v>
      </c>
      <c r="I100" s="380"/>
      <c r="J100" s="381" t="e">
        <f t="shared" si="6"/>
        <v>#REF!</v>
      </c>
    </row>
    <row r="101" spans="1:15" s="347" customFormat="1" ht="28.8">
      <c r="A101" s="358" t="str">
        <f>'staffing plan'!B100</f>
        <v>Local Government Operations Officer VI</v>
      </c>
      <c r="B101" s="359">
        <f>+'staffing plan'!C100</f>
        <v>22</v>
      </c>
      <c r="C101" s="360" t="str">
        <f>+'staffing plan'!A100</f>
        <v>OSEC-DILGB-LGOO6-16-2017</v>
      </c>
      <c r="D101" s="361" t="str">
        <f>+'staffing plan'!AK100</f>
        <v>0510</v>
      </c>
      <c r="E101" s="360" t="e">
        <f>+'staffing plan'!#REF!</f>
        <v>#REF!</v>
      </c>
      <c r="F101" s="360" t="e">
        <f>CONCATENATE('staffing plan'!#REF!," ",'staffing plan'!#REF!)</f>
        <v>#REF!</v>
      </c>
      <c r="G101" s="360" t="str">
        <f>'staffing plan'!AX100</f>
        <v>Abra</v>
      </c>
      <c r="H101" s="360" t="str">
        <f>'staffing plan'!AW100</f>
        <v>BARRERAS, Carlito Tejero</v>
      </c>
      <c r="I101" s="380"/>
      <c r="J101" s="381" t="e">
        <f t="shared" si="6"/>
        <v>#REF!</v>
      </c>
    </row>
    <row r="102" spans="1:15" s="347" customFormat="1" ht="28.8">
      <c r="A102" s="358" t="str">
        <f>'staffing plan'!B106</f>
        <v>Local Government Operations Officer VI</v>
      </c>
      <c r="B102" s="359">
        <f>+'staffing plan'!C106</f>
        <v>22</v>
      </c>
      <c r="C102" s="360" t="str">
        <f>+'staffing plan'!A106</f>
        <v>OSEC-DILGB-LGOO6-22-2017</v>
      </c>
      <c r="D102" s="361" t="str">
        <f>+'staffing plan'!AK106</f>
        <v>0513</v>
      </c>
      <c r="E102" s="360" t="e">
        <f>+'staffing plan'!#REF!</f>
        <v>#REF!</v>
      </c>
      <c r="F102" s="360" t="e">
        <f>CONCATENATE('staffing plan'!#REF!," ",'staffing plan'!#REF!)</f>
        <v>#REF!</v>
      </c>
      <c r="G102" s="360" t="str">
        <f>'staffing plan'!AX106</f>
        <v>Abra</v>
      </c>
      <c r="H102" s="360" t="str">
        <f>'staffing plan'!AW106</f>
        <v>RULLAN, Dan Joel Suaya</v>
      </c>
      <c r="I102" s="380"/>
      <c r="J102" s="381" t="e">
        <f t="shared" si="6"/>
        <v>#REF!</v>
      </c>
    </row>
    <row r="103" spans="1:15" s="347" customFormat="1" ht="28.8">
      <c r="A103" s="358" t="str">
        <f>'staffing plan'!B104</f>
        <v>Local Government Operations Officer VI</v>
      </c>
      <c r="B103" s="359">
        <f>+'staffing plan'!C104</f>
        <v>22</v>
      </c>
      <c r="C103" s="360" t="str">
        <f>+'staffing plan'!A104</f>
        <v>OSEC-DILGB-LGOO6-20-2017</v>
      </c>
      <c r="D103" s="361" t="str">
        <f>+'staffing plan'!AK104</f>
        <v>0516</v>
      </c>
      <c r="E103" s="360" t="e">
        <f>+'staffing plan'!#REF!</f>
        <v>#REF!</v>
      </c>
      <c r="F103" s="360" t="e">
        <f>CONCATENATE('staffing plan'!#REF!," ",'staffing plan'!#REF!)</f>
        <v>#REF!</v>
      </c>
      <c r="G103" s="360" t="str">
        <f>'staffing plan'!AX104</f>
        <v>Abra</v>
      </c>
      <c r="H103" s="360" t="str">
        <f>'staffing plan'!AW104</f>
        <v>TON, Janice Cristine Barreras</v>
      </c>
      <c r="I103" s="380"/>
      <c r="J103" s="381" t="e">
        <f t="shared" si="6"/>
        <v>#REF!</v>
      </c>
    </row>
    <row r="104" spans="1:15" s="347" customFormat="1" ht="28.8">
      <c r="A104" s="358" t="str">
        <f>'staffing plan'!B107</f>
        <v>Local Government Operations Officer VI</v>
      </c>
      <c r="B104" s="359">
        <f>+'staffing plan'!C107</f>
        <v>22</v>
      </c>
      <c r="C104" s="360" t="str">
        <f>+'staffing plan'!A107</f>
        <v>OSEC-DILGB-LGOO6-23-2017</v>
      </c>
      <c r="D104" s="361" t="str">
        <f>+'staffing plan'!AK107</f>
        <v>0519</v>
      </c>
      <c r="E104" s="360" t="e">
        <f>+'staffing plan'!#REF!</f>
        <v>#REF!</v>
      </c>
      <c r="F104" s="360" t="e">
        <f>CONCATENATE('staffing plan'!#REF!," ",'staffing plan'!#REF!)</f>
        <v>#REF!</v>
      </c>
      <c r="G104" s="360" t="str">
        <f>'staffing plan'!AX107</f>
        <v>Abra</v>
      </c>
      <c r="H104" s="360" t="str">
        <f>'staffing plan'!AW107</f>
        <v>WACNANG, Dayan Salimbay</v>
      </c>
      <c r="I104" s="380"/>
      <c r="J104" s="381" t="e">
        <f t="shared" si="6"/>
        <v>#REF!</v>
      </c>
    </row>
    <row r="105" spans="1:15" s="347" customFormat="1" ht="28.8">
      <c r="A105" s="358" t="str">
        <f>'staffing plan'!B156</f>
        <v>Local Government Operations Officer VI</v>
      </c>
      <c r="B105" s="359">
        <f>+'staffing plan'!C156</f>
        <v>22</v>
      </c>
      <c r="C105" s="360" t="str">
        <f>+'staffing plan'!A156</f>
        <v>OSEC-DILGB-LGOO6-72-2017</v>
      </c>
      <c r="D105" s="361" t="str">
        <f>+'staffing plan'!AK156</f>
        <v>0522</v>
      </c>
      <c r="E105" s="360" t="e">
        <f>+'staffing plan'!#REF!</f>
        <v>#REF!</v>
      </c>
      <c r="F105" s="360" t="e">
        <f>CONCATENATE('staffing plan'!#REF!," ",'staffing plan'!#REF!)</f>
        <v>#REF!</v>
      </c>
      <c r="G105" s="360" t="str">
        <f>'staffing plan'!AX156</f>
        <v>Abra</v>
      </c>
      <c r="H105" s="360" t="str">
        <f>'staffing plan'!AW156</f>
        <v>MINA, Bramie Madarcos</v>
      </c>
      <c r="I105" s="380"/>
      <c r="J105" s="381" t="e">
        <f t="shared" si="6"/>
        <v>#REF!</v>
      </c>
    </row>
    <row r="106" spans="1:15" s="347" customFormat="1" ht="29.25" customHeight="1">
      <c r="A106" s="273"/>
      <c r="B106" s="274"/>
      <c r="C106" s="275"/>
      <c r="D106" s="245"/>
      <c r="E106" s="275"/>
      <c r="F106" s="275" t="s">
        <v>2788</v>
      </c>
      <c r="G106" s="275"/>
      <c r="H106" s="275"/>
      <c r="I106" s="283" t="s">
        <v>2786</v>
      </c>
      <c r="J106" s="284"/>
    </row>
    <row r="107" spans="1:15" s="347" customFormat="1" ht="28.8">
      <c r="A107" s="358" t="str">
        <f>'staffing plan'!B83</f>
        <v>Local Government Operations Officer VI</v>
      </c>
      <c r="B107" s="359">
        <f>+'staffing plan'!C83</f>
        <v>22</v>
      </c>
      <c r="C107" s="360" t="str">
        <f>+'staffing plan'!A83</f>
        <v>OSEC-DILGB-LGOO6-3-2017</v>
      </c>
      <c r="D107" s="361" t="str">
        <f>+'staffing plan'!AK83</f>
        <v>0528</v>
      </c>
      <c r="E107" s="360" t="e">
        <f>+'staffing plan'!#REF!</f>
        <v>#REF!</v>
      </c>
      <c r="F107" s="360" t="e">
        <f>CONCATENATE('staffing plan'!#REF!," ",'staffing plan'!#REF!)</f>
        <v>#REF!</v>
      </c>
      <c r="G107" s="360" t="str">
        <f>'staffing plan'!AX83</f>
        <v>Abra</v>
      </c>
      <c r="H107" s="360" t="str">
        <f>'staffing plan'!AW83</f>
        <v>TENEZA, Valentino Barbieto</v>
      </c>
      <c r="I107" s="380"/>
      <c r="J107" s="381" t="e">
        <f>E107=G107</f>
        <v>#REF!</v>
      </c>
    </row>
    <row r="108" spans="1:15" s="347" customFormat="1" ht="28.8">
      <c r="A108" s="358" t="str">
        <f>'staffing plan'!B101</f>
        <v>Local Government Operations Officer VI</v>
      </c>
      <c r="B108" s="359">
        <f>+'staffing plan'!C101</f>
        <v>22</v>
      </c>
      <c r="C108" s="360" t="str">
        <f>+'staffing plan'!A101</f>
        <v>OSEC-DILGB-LGOO6-17-2017</v>
      </c>
      <c r="D108" s="361" t="str">
        <f>+'staffing plan'!AK101</f>
        <v>0531</v>
      </c>
      <c r="E108" s="360" t="e">
        <f>+'staffing plan'!#REF!</f>
        <v>#REF!</v>
      </c>
      <c r="F108" s="360" t="e">
        <f>CONCATENATE('staffing plan'!#REF!," ",'staffing plan'!#REF!)</f>
        <v>#REF!</v>
      </c>
      <c r="G108" s="360" t="str">
        <f>'staffing plan'!AX101</f>
        <v>Abra</v>
      </c>
      <c r="H108" s="360" t="str">
        <f>'staffing plan'!AW101</f>
        <v>VENUS, Nolito Domingo</v>
      </c>
      <c r="I108" s="380"/>
      <c r="J108" s="381" t="e">
        <f>E108=G108</f>
        <v>#REF!</v>
      </c>
    </row>
    <row r="109" spans="1:15" s="347" customFormat="1" ht="28.8">
      <c r="A109" s="358" t="str">
        <f>'staffing plan'!B99</f>
        <v>Local Government Operations Officer VI</v>
      </c>
      <c r="B109" s="359">
        <f>+'staffing plan'!C99</f>
        <v>22</v>
      </c>
      <c r="C109" s="360" t="str">
        <f>+'staffing plan'!A99</f>
        <v>OSEC-DILGB-LGOO6-15-2017</v>
      </c>
      <c r="D109" s="361" t="str">
        <f>+'staffing plan'!AK99</f>
        <v>0534</v>
      </c>
      <c r="E109" s="360" t="e">
        <f>+'staffing plan'!#REF!</f>
        <v>#REF!</v>
      </c>
      <c r="F109" s="360" t="e">
        <f>CONCATENATE('staffing plan'!#REF!," ",'staffing plan'!#REF!)</f>
        <v>#REF!</v>
      </c>
      <c r="G109" s="360" t="str">
        <f>'staffing plan'!AX99</f>
        <v>Abra</v>
      </c>
      <c r="H109" s="360" t="str">
        <f>'staffing plan'!AW99</f>
        <v>WALANG, Marlon Silvada</v>
      </c>
      <c r="I109" s="380"/>
      <c r="J109" s="381" t="e">
        <f>E109=G109</f>
        <v>#REF!</v>
      </c>
    </row>
    <row r="110" spans="1:15" s="348" customFormat="1">
      <c r="A110" s="362"/>
      <c r="B110" s="363"/>
      <c r="C110" s="364"/>
      <c r="D110" s="374"/>
      <c r="E110" s="364"/>
      <c r="F110" s="364"/>
      <c r="G110" s="364"/>
      <c r="H110" s="364"/>
      <c r="I110" s="382"/>
      <c r="J110" s="351"/>
      <c r="K110" s="349"/>
      <c r="L110" s="348" t="s">
        <v>2782</v>
      </c>
      <c r="M110" s="387"/>
      <c r="N110" s="387"/>
      <c r="O110" s="387"/>
    </row>
    <row r="111" spans="1:15">
      <c r="A111" s="355" t="s">
        <v>2789</v>
      </c>
      <c r="B111" s="375"/>
      <c r="C111" s="376"/>
      <c r="D111" s="377"/>
      <c r="E111" s="376"/>
      <c r="F111" s="376"/>
      <c r="G111" s="376"/>
      <c r="H111" s="376"/>
      <c r="I111" s="385"/>
      <c r="J111" s="386"/>
      <c r="K111" s="348"/>
      <c r="L111" s="349" t="s">
        <v>463</v>
      </c>
      <c r="M111" s="352">
        <v>1</v>
      </c>
      <c r="N111" s="352">
        <f>COUNTIF(ApayaoSG,"26")</f>
        <v>1</v>
      </c>
      <c r="O111" s="352">
        <f t="shared" ref="O111:O119" si="7">+M111-N111</f>
        <v>0</v>
      </c>
    </row>
    <row r="112" spans="1:15" s="347" customFormat="1" ht="28.8">
      <c r="A112" s="358" t="str">
        <f>'staffing plan'!B74</f>
        <v>Local Government Operations Officer VIII</v>
      </c>
      <c r="B112" s="359">
        <f>+'staffing plan'!C74</f>
        <v>26</v>
      </c>
      <c r="C112" s="360" t="str">
        <f>+'staffing plan'!A74</f>
        <v>OSEC-DILGB-LGOO8-98-1998</v>
      </c>
      <c r="D112" s="361" t="str">
        <f>+'staffing plan'!AK74</f>
        <v>08</v>
      </c>
      <c r="E112" s="360" t="e">
        <f>+'staffing plan'!#REF!</f>
        <v>#REF!</v>
      </c>
      <c r="F112" s="360" t="e">
        <f>CONCATENATE('staffing plan'!#REF!," ",'staffing plan'!#REF!)</f>
        <v>#REF!</v>
      </c>
      <c r="G112" s="360" t="str">
        <f>'staffing plan'!AX74</f>
        <v>Kalinga</v>
      </c>
      <c r="H112" s="360" t="str">
        <f>'staffing plan'!AW74</f>
        <v>ADONG, Mayer Max de Guzman</v>
      </c>
      <c r="I112" s="380"/>
      <c r="J112" s="381" t="e">
        <f t="shared" ref="J112:J120" si="8">E112=G112</f>
        <v>#REF!</v>
      </c>
      <c r="L112" s="347" t="s">
        <v>157</v>
      </c>
      <c r="M112" s="347">
        <v>2</v>
      </c>
      <c r="N112" s="347">
        <f>COUNTIF(ApayaoSG,"22")+COUNTIF(ApayaoSG,"24")</f>
        <v>9</v>
      </c>
      <c r="O112" s="347">
        <f t="shared" si="7"/>
        <v>-7</v>
      </c>
    </row>
    <row r="113" spans="1:15" s="347" customFormat="1" ht="28.8">
      <c r="A113" s="358" t="str">
        <f>'staffing plan'!B94</f>
        <v>Local Government Operations Officer VI</v>
      </c>
      <c r="B113" s="359">
        <f>+'staffing plan'!C94</f>
        <v>22</v>
      </c>
      <c r="C113" s="360" t="str">
        <f>+'staffing plan'!A94</f>
        <v>OSEC-DILGB-LGOO6-11-2010</v>
      </c>
      <c r="D113" s="361" t="str">
        <f>+'staffing plan'!AK94</f>
        <v>011</v>
      </c>
      <c r="E113" s="360" t="e">
        <f>+'staffing plan'!#REF!</f>
        <v>#REF!</v>
      </c>
      <c r="F113" s="360" t="e">
        <f>CONCATENATE('staffing plan'!#REF!," ",'staffing plan'!#REF!)</f>
        <v>#REF!</v>
      </c>
      <c r="G113" s="360" t="str">
        <f>'staffing plan'!AX94</f>
        <v>Baguio City</v>
      </c>
      <c r="H113" s="360" t="str">
        <f>'staffing plan'!AW94</f>
        <v>CAMACHO, Anabelle  Laron</v>
      </c>
      <c r="I113" s="380"/>
      <c r="J113" s="381" t="e">
        <f t="shared" si="8"/>
        <v>#REF!</v>
      </c>
      <c r="L113" s="347" t="s">
        <v>165</v>
      </c>
      <c r="M113" s="347">
        <v>9</v>
      </c>
      <c r="N113" s="347">
        <f>COUNTIF(ApayaoSG,"20")</f>
        <v>2</v>
      </c>
      <c r="O113" s="347">
        <f t="shared" si="7"/>
        <v>7</v>
      </c>
    </row>
    <row r="114" spans="1:15" s="347" customFormat="1" ht="28.8">
      <c r="A114" s="358" t="str">
        <f>'staffing plan'!B77</f>
        <v>Local Government Operations Officer VII</v>
      </c>
      <c r="B114" s="359">
        <f>+'staffing plan'!C77</f>
        <v>24</v>
      </c>
      <c r="C114" s="360" t="str">
        <f>+'staffing plan'!A77</f>
        <v>OSEC-DILGB-LGOO7-1445-2017</v>
      </c>
      <c r="D114" s="245" t="str">
        <f>+'staffing plan'!AK77</f>
        <v>09</v>
      </c>
      <c r="E114" s="360" t="e">
        <f>+'staffing plan'!#REF!</f>
        <v>#REF!</v>
      </c>
      <c r="F114" s="360" t="e">
        <f>CONCATENATE('staffing plan'!#REF!," ",'staffing plan'!#REF!)</f>
        <v>#REF!</v>
      </c>
      <c r="G114" s="360" t="str">
        <f>'staffing plan'!AX77</f>
        <v>Mt. Province</v>
      </c>
      <c r="H114" s="360" t="str">
        <f>'staffing plan'!AW77</f>
        <v>CARIÑO, Maritess  Malinay</v>
      </c>
      <c r="I114" s="380" t="s">
        <v>2790</v>
      </c>
      <c r="J114" s="381" t="e">
        <f t="shared" si="8"/>
        <v>#REF!</v>
      </c>
      <c r="L114" s="347" t="s">
        <v>1074</v>
      </c>
      <c r="M114" s="347">
        <v>3</v>
      </c>
      <c r="N114" s="347">
        <f>COUNTIF(ApayaoSG,"13")</f>
        <v>3</v>
      </c>
      <c r="O114" s="347">
        <f t="shared" si="7"/>
        <v>0</v>
      </c>
    </row>
    <row r="115" spans="1:15" s="347" customFormat="1" ht="28.8">
      <c r="A115" s="358" t="str">
        <f>'staffing plan'!B109</f>
        <v>Local Government Operations Officer VI</v>
      </c>
      <c r="B115" s="359">
        <f>+'staffing plan'!C109</f>
        <v>22</v>
      </c>
      <c r="C115" s="360" t="str">
        <f>+'staffing plan'!A109</f>
        <v>OSEC-DILGB-LGOO6-25-2017</v>
      </c>
      <c r="D115" s="361" t="str">
        <f>+'staffing plan'!AK109</f>
        <v>08</v>
      </c>
      <c r="E115" s="360" t="e">
        <f>+'staffing plan'!#REF!</f>
        <v>#REF!</v>
      </c>
      <c r="F115" s="360" t="e">
        <f>CONCATENATE('staffing plan'!#REF!," ",'staffing plan'!#REF!)</f>
        <v>#REF!</v>
      </c>
      <c r="G115" s="360" t="str">
        <f>'staffing plan'!AX109</f>
        <v>Apayao</v>
      </c>
      <c r="H115" s="360" t="str">
        <f>'staffing plan'!AW109</f>
        <v>MICU, Mary Beth Agustin</v>
      </c>
      <c r="I115" s="380"/>
      <c r="J115" s="381" t="e">
        <f t="shared" si="8"/>
        <v>#REF!</v>
      </c>
      <c r="L115" s="347" t="s">
        <v>1170</v>
      </c>
      <c r="M115" s="347">
        <v>2</v>
      </c>
      <c r="N115" s="347">
        <f>COUNTIF(ApayaoSG,"8")</f>
        <v>2</v>
      </c>
      <c r="O115" s="347">
        <f t="shared" si="7"/>
        <v>0</v>
      </c>
    </row>
    <row r="116" spans="1:15" s="347" customFormat="1" ht="28.8">
      <c r="A116" s="388" t="str">
        <f>'staffing plan'!B180</f>
        <v>Local Government Operations Officer V</v>
      </c>
      <c r="B116" s="389">
        <f>+'staffing plan'!C180</f>
        <v>20</v>
      </c>
      <c r="C116" s="390" t="str">
        <f>+'staffing plan'!A180</f>
        <v>OSEC-DILGB-LGOO5-993-1998</v>
      </c>
      <c r="D116" s="391" t="str">
        <f>+'staffing plan'!AK180</f>
        <v>08</v>
      </c>
      <c r="E116" s="390" t="e">
        <f>+'staffing plan'!#REF!</f>
        <v>#REF!</v>
      </c>
      <c r="F116" s="390" t="e">
        <f>CONCATENATE('staffing plan'!#REF!," ",'staffing plan'!#REF!)</f>
        <v>#REF!</v>
      </c>
      <c r="G116" s="390" t="str">
        <f>'staffing plan'!AX180</f>
        <v>Apayao</v>
      </c>
      <c r="H116" s="390" t="str">
        <f>'staffing plan'!AW180</f>
        <v>ALVAREZ, Kristoffer Dave Rigonan</v>
      </c>
      <c r="I116" s="392"/>
      <c r="J116" s="381" t="e">
        <f t="shared" si="8"/>
        <v>#REF!</v>
      </c>
      <c r="L116" s="347" t="s">
        <v>273</v>
      </c>
      <c r="M116" s="347">
        <v>1</v>
      </c>
      <c r="N116" s="347">
        <f>COUNTIF(ApayaoSG,"6")</f>
        <v>1</v>
      </c>
      <c r="O116" s="347">
        <f t="shared" si="7"/>
        <v>0</v>
      </c>
    </row>
    <row r="117" spans="1:15" s="347" customFormat="1" ht="28.8">
      <c r="A117" s="358" t="str">
        <f>'staffing plan'!B110</f>
        <v>Local Government Operations Officer VI</v>
      </c>
      <c r="B117" s="359">
        <f>+'staffing plan'!C110</f>
        <v>22</v>
      </c>
      <c r="C117" s="360" t="str">
        <f>+'staffing plan'!A110</f>
        <v>OSEC-DILGB-LGOO6-26-2017</v>
      </c>
      <c r="D117" s="361" t="str">
        <f>+'staffing plan'!AK110</f>
        <v>08</v>
      </c>
      <c r="E117" s="360" t="e">
        <f>+'staffing plan'!#REF!</f>
        <v>#REF!</v>
      </c>
      <c r="F117" s="360" t="e">
        <f>CONCATENATE('staffing plan'!#REF!," ",'staffing plan'!#REF!)</f>
        <v>#REF!</v>
      </c>
      <c r="G117" s="360" t="str">
        <f>'staffing plan'!AX110</f>
        <v>Apayao</v>
      </c>
      <c r="H117" s="360" t="str">
        <f>'staffing plan'!AW110</f>
        <v>GALVEZ, Filipinita Marigza</v>
      </c>
      <c r="I117" s="380"/>
      <c r="J117" s="381" t="e">
        <f t="shared" si="8"/>
        <v>#REF!</v>
      </c>
      <c r="L117" s="347" t="s">
        <v>455</v>
      </c>
      <c r="M117" s="347">
        <v>1</v>
      </c>
      <c r="N117" s="347">
        <f>COUNTIF(ApayaoSG,"4")</f>
        <v>1</v>
      </c>
      <c r="O117" s="347">
        <f t="shared" si="7"/>
        <v>0</v>
      </c>
    </row>
    <row r="118" spans="1:15" s="347" customFormat="1" ht="28.8">
      <c r="A118" s="358" t="str">
        <f>'staffing plan'!B176</f>
        <v>Local Government Operations Officer V</v>
      </c>
      <c r="B118" s="359">
        <f>+'staffing plan'!C176</f>
        <v>20</v>
      </c>
      <c r="C118" s="360" t="str">
        <f>+'staffing plan'!A176</f>
        <v>OSEC-DILGB-LGOO5-972-1998</v>
      </c>
      <c r="D118" s="361" t="str">
        <f>+'staffing plan'!AK176</f>
        <v>08</v>
      </c>
      <c r="E118" s="360" t="e">
        <f>+'staffing plan'!#REF!</f>
        <v>#REF!</v>
      </c>
      <c r="F118" s="360" t="e">
        <f>CONCATENATE('staffing plan'!#REF!," ",'staffing plan'!#REF!)</f>
        <v>#REF!</v>
      </c>
      <c r="G118" s="360" t="str">
        <f>'staffing plan'!AX176</f>
        <v>Apayao</v>
      </c>
      <c r="H118" s="360" t="str">
        <f>'staffing plan'!AW176</f>
        <v>ESTELON, Juvy Jane Dumapay</v>
      </c>
      <c r="I118" s="380"/>
      <c r="J118" s="381" t="e">
        <f t="shared" si="8"/>
        <v>#REF!</v>
      </c>
      <c r="L118" s="347" t="s">
        <v>2194</v>
      </c>
      <c r="M118" s="347">
        <v>1</v>
      </c>
      <c r="N118" s="347">
        <f>COUNTIF(ApayaoSG,"3")</f>
        <v>1</v>
      </c>
      <c r="O118" s="347">
        <f t="shared" si="7"/>
        <v>0</v>
      </c>
    </row>
    <row r="119" spans="1:15" s="347" customFormat="1" ht="28.8">
      <c r="A119" s="358" t="str">
        <f>'staffing plan'!B192</f>
        <v>Local Government Operations Officer II</v>
      </c>
      <c r="B119" s="359">
        <f>+'staffing plan'!C192</f>
        <v>13</v>
      </c>
      <c r="C119" s="360" t="str">
        <f>+'staffing plan'!A192</f>
        <v>OSEC-DILGB-LGOO2-18-1998</v>
      </c>
      <c r="D119" s="245" t="str">
        <f>+'staffing plan'!AK192</f>
        <v>011</v>
      </c>
      <c r="E119" s="360" t="e">
        <f>+'staffing plan'!#REF!</f>
        <v>#REF!</v>
      </c>
      <c r="F119" s="360" t="e">
        <f>CONCATENATE('staffing plan'!#REF!," ",'staffing plan'!#REF!)</f>
        <v>#REF!</v>
      </c>
      <c r="G119" s="360" t="str">
        <f>'staffing plan'!AX192</f>
        <v>Benguet</v>
      </c>
      <c r="H119" s="360" t="str">
        <f>'staffing plan'!AW192</f>
        <v>ESCAD, Laura Valencia</v>
      </c>
      <c r="I119" s="380" t="s">
        <v>2790</v>
      </c>
      <c r="J119" s="381" t="e">
        <f t="shared" si="8"/>
        <v>#REF!</v>
      </c>
      <c r="L119" s="347" t="s">
        <v>2196</v>
      </c>
      <c r="M119" s="347">
        <v>1</v>
      </c>
      <c r="N119" s="347">
        <f>COUNTIF(ApayaoSG,"1")</f>
        <v>1</v>
      </c>
      <c r="O119" s="347">
        <f t="shared" si="7"/>
        <v>0</v>
      </c>
    </row>
    <row r="120" spans="1:15" s="347" customFormat="1" ht="28.8">
      <c r="A120" s="358" t="str">
        <f>'staffing plan'!B185</f>
        <v>Local Government Operations Officer II</v>
      </c>
      <c r="B120" s="359">
        <f>+'staffing plan'!C185</f>
        <v>13</v>
      </c>
      <c r="C120" s="360" t="str">
        <f>+'staffing plan'!A185</f>
        <v>OSEC-DILGB-LGOO2-6-1998</v>
      </c>
      <c r="D120" s="245" t="str">
        <f>+'staffing plan'!AK185</f>
        <v>011</v>
      </c>
      <c r="E120" s="360" t="e">
        <f>+'staffing plan'!#REF!</f>
        <v>#REF!</v>
      </c>
      <c r="F120" s="360" t="e">
        <f>CONCATENATE('staffing plan'!#REF!," ",'staffing plan'!#REF!)</f>
        <v>#REF!</v>
      </c>
      <c r="G120" s="360" t="str">
        <f>'staffing plan'!AX185</f>
        <v>Abra</v>
      </c>
      <c r="H120" s="360" t="str">
        <f>'staffing plan'!AW185</f>
        <v>LAYUGAN, Elizabeth Barros</v>
      </c>
      <c r="I120" s="380" t="s">
        <v>2790</v>
      </c>
      <c r="J120" s="381" t="e">
        <f t="shared" si="8"/>
        <v>#REF!</v>
      </c>
      <c r="M120" s="347">
        <f>SUM(M111:M119)</f>
        <v>21</v>
      </c>
      <c r="N120" s="347">
        <f>SUM(N111:N119)</f>
        <v>21</v>
      </c>
      <c r="O120" s="347">
        <f>SUM(O111:O119)</f>
        <v>0</v>
      </c>
    </row>
    <row r="121" spans="1:15" s="347" customFormat="1" ht="28.8">
      <c r="A121" s="358" t="str">
        <f>'staffing plan'!B216</f>
        <v>Administrative Assistant II</v>
      </c>
      <c r="B121" s="359">
        <f>+'staffing plan'!C216</f>
        <v>8</v>
      </c>
      <c r="C121" s="360" t="str">
        <f>+'staffing plan'!A216</f>
        <v>OSEC-DILGB-ADAS2-78-2005</v>
      </c>
      <c r="D121" s="245" t="str">
        <f>+'staffing plan'!AK216</f>
        <v>06</v>
      </c>
      <c r="E121" s="360" t="e">
        <f>+'staffing plan'!#REF!</f>
        <v>#REF!</v>
      </c>
      <c r="F121" s="360" t="e">
        <f>CONCATENATE('staffing plan'!#REF!," ",'staffing plan'!#REF!)</f>
        <v>#REF!</v>
      </c>
      <c r="G121" s="360" t="str">
        <f>'staffing plan'!AX216</f>
        <v>Apayao</v>
      </c>
      <c r="H121" s="360" t="str">
        <f>'staffing plan'!AW216</f>
        <v>TAMOT, Judith Bermejo</v>
      </c>
      <c r="I121" s="380" t="s">
        <v>2777</v>
      </c>
      <c r="J121" s="381"/>
    </row>
    <row r="122" spans="1:15" s="347" customFormat="1" ht="28.8">
      <c r="A122" s="358" t="str">
        <f>'staffing plan'!B205</f>
        <v>Administrative Assistant II</v>
      </c>
      <c r="B122" s="359">
        <f>+'staffing plan'!C205</f>
        <v>8</v>
      </c>
      <c r="C122" s="360" t="str">
        <f>+'staffing plan'!A205</f>
        <v>OSEC-DILGB-ADAS2-65-2005</v>
      </c>
      <c r="D122" s="245" t="str">
        <f>+'staffing plan'!AK205</f>
        <v>011</v>
      </c>
      <c r="E122" s="360" t="e">
        <f>+'staffing plan'!#REF!</f>
        <v>#REF!</v>
      </c>
      <c r="F122" s="360" t="e">
        <f>CONCATENATE('staffing plan'!#REF!," ",'staffing plan'!#REF!)</f>
        <v>#REF!</v>
      </c>
      <c r="G122" s="360" t="str">
        <f>'staffing plan'!AX205</f>
        <v>Apayao</v>
      </c>
      <c r="H122" s="360" t="str">
        <f>'staffing plan'!AW205</f>
        <v>MACLI-ING, Giezzel Danglipen</v>
      </c>
      <c r="I122" s="380" t="s">
        <v>2790</v>
      </c>
      <c r="J122" s="381" t="e">
        <f t="shared" ref="J122:J131" si="9">E122=G122</f>
        <v>#REF!</v>
      </c>
    </row>
    <row r="123" spans="1:15" s="347" customFormat="1" ht="28.8">
      <c r="A123" s="358" t="str">
        <f>'staffing plan'!B221</f>
        <v>Administrative Aide VI</v>
      </c>
      <c r="B123" s="359">
        <f>+'staffing plan'!C221</f>
        <v>6</v>
      </c>
      <c r="C123" s="360" t="str">
        <f>+'staffing plan'!A221</f>
        <v>OSEC-DILGB-ADA6-102-2005</v>
      </c>
      <c r="D123" s="361" t="str">
        <f>+'staffing plan'!AK221</f>
        <v>07</v>
      </c>
      <c r="E123" s="360" t="e">
        <f>+'staffing plan'!#REF!</f>
        <v>#REF!</v>
      </c>
      <c r="F123" s="360" t="e">
        <f>CONCATENATE('staffing plan'!#REF!," ",'staffing plan'!#REF!)</f>
        <v>#REF!</v>
      </c>
      <c r="G123" s="360" t="str">
        <f>'staffing plan'!AX221</f>
        <v>Regional Office</v>
      </c>
      <c r="H123" s="360" t="str">
        <f>'staffing plan'!AW221</f>
        <v>GONZALES, Marlene Castro</v>
      </c>
      <c r="I123" s="380"/>
      <c r="J123" s="381" t="e">
        <f t="shared" si="9"/>
        <v>#REF!</v>
      </c>
    </row>
    <row r="124" spans="1:15" s="347" customFormat="1" ht="28.8">
      <c r="A124" s="358" t="str">
        <f>'staffing plan'!B223</f>
        <v>Administrative Aide IV</v>
      </c>
      <c r="B124" s="359">
        <f>+'staffing plan'!C223</f>
        <v>4</v>
      </c>
      <c r="C124" s="360" t="str">
        <f>+'staffing plan'!A223</f>
        <v>OSEC-DILGB-ADA4-88-2005</v>
      </c>
      <c r="D124" s="361" t="str">
        <f>+'staffing plan'!AK223</f>
        <v>08</v>
      </c>
      <c r="E124" s="360" t="e">
        <f>+'staffing plan'!#REF!</f>
        <v>#REF!</v>
      </c>
      <c r="F124" s="360" t="e">
        <f>CONCATENATE('staffing plan'!#REF!," ",'staffing plan'!#REF!)</f>
        <v>#REF!</v>
      </c>
      <c r="G124" s="360">
        <f>'staffing plan'!AX223</f>
        <v>0</v>
      </c>
      <c r="H124" s="360" t="str">
        <f>'staffing plan'!AW223</f>
        <v xml:space="preserve">Vacant ANUA,  </v>
      </c>
      <c r="I124" s="380"/>
      <c r="J124" s="381" t="e">
        <f t="shared" si="9"/>
        <v>#REF!</v>
      </c>
    </row>
    <row r="125" spans="1:15" s="347" customFormat="1" ht="28.8">
      <c r="A125" s="358" t="str">
        <f>'staffing plan'!B230</f>
        <v>Administrative Aide III</v>
      </c>
      <c r="B125" s="359">
        <f>+'staffing plan'!C230</f>
        <v>3</v>
      </c>
      <c r="C125" s="360" t="str">
        <f>+'staffing plan'!A230</f>
        <v>OSEC-DILGB-ADA3-62-2005</v>
      </c>
      <c r="D125" s="361" t="str">
        <f>+'staffing plan'!AK230</f>
        <v>08</v>
      </c>
      <c r="E125" s="360" t="e">
        <f>+'staffing plan'!#REF!</f>
        <v>#REF!</v>
      </c>
      <c r="F125" s="360" t="e">
        <f>CONCATENATE('staffing plan'!#REF!," ",'staffing plan'!#REF!)</f>
        <v>#REF!</v>
      </c>
      <c r="G125" s="360" t="str">
        <f>'staffing plan'!AX230</f>
        <v>Apayao</v>
      </c>
      <c r="H125" s="360" t="str">
        <f>'staffing plan'!AW230</f>
        <v>MICU, Benelito de Jesus</v>
      </c>
      <c r="I125" s="380"/>
      <c r="J125" s="381" t="e">
        <f t="shared" si="9"/>
        <v>#REF!</v>
      </c>
    </row>
    <row r="126" spans="1:15" s="347" customFormat="1" ht="28.8">
      <c r="A126" s="358" t="str">
        <f>'staffing plan'!B236</f>
        <v>Administrative Aide I</v>
      </c>
      <c r="B126" s="359">
        <f>+'staffing plan'!C236</f>
        <v>1</v>
      </c>
      <c r="C126" s="360" t="str">
        <f>+'staffing plan'!A236</f>
        <v>OSEC-DILGB-ADA1-29-2005</v>
      </c>
      <c r="D126" s="361" t="str">
        <f>+'staffing plan'!AK236</f>
        <v>08</v>
      </c>
      <c r="E126" s="360" t="e">
        <f>+'staffing plan'!#REF!</f>
        <v>#REF!</v>
      </c>
      <c r="F126" s="360" t="e">
        <f>CONCATENATE('staffing plan'!#REF!," ",'staffing plan'!#REF!)</f>
        <v>#REF!</v>
      </c>
      <c r="G126" s="360" t="str">
        <f>'staffing plan'!AX236</f>
        <v>Apayao</v>
      </c>
      <c r="H126" s="360" t="str">
        <f>'staffing plan'!AW236</f>
        <v>DANGEL, Merlyn Majuray</v>
      </c>
      <c r="I126" s="380"/>
      <c r="J126" s="381" t="e">
        <f t="shared" si="9"/>
        <v>#REF!</v>
      </c>
    </row>
    <row r="127" spans="1:15" s="347" customFormat="1" ht="28.8">
      <c r="A127" s="358" t="str">
        <f>'staffing plan'!B123</f>
        <v>Local Government Operations Officer VI</v>
      </c>
      <c r="B127" s="359">
        <f>+'staffing plan'!C123</f>
        <v>22</v>
      </c>
      <c r="C127" s="360" t="str">
        <f>+'staffing plan'!A123</f>
        <v>OSEC-DILGB-LGOO6-39-2017</v>
      </c>
      <c r="D127" s="361" t="str">
        <f>+'staffing plan'!AK123</f>
        <v>0642</v>
      </c>
      <c r="E127" s="360" t="e">
        <f>+'staffing plan'!#REF!</f>
        <v>#REF!</v>
      </c>
      <c r="F127" s="360" t="e">
        <f>CONCATENATE('staffing plan'!#REF!," ",'staffing plan'!#REF!)</f>
        <v>#REF!</v>
      </c>
      <c r="G127" s="360" t="str">
        <f>'staffing plan'!AX123</f>
        <v>Apayao</v>
      </c>
      <c r="H127" s="360" t="str">
        <f>'staffing plan'!AW123</f>
        <v>BEGTANG, Roderick Domingo</v>
      </c>
      <c r="I127" s="380"/>
      <c r="J127" s="381" t="e">
        <f t="shared" si="9"/>
        <v>#REF!</v>
      </c>
    </row>
    <row r="128" spans="1:15" s="347" customFormat="1" ht="28.8">
      <c r="A128" s="358" t="str">
        <f>'staffing plan'!B120</f>
        <v>Local Government Operations Officer VI</v>
      </c>
      <c r="B128" s="359">
        <f>+'staffing plan'!C120</f>
        <v>22</v>
      </c>
      <c r="C128" s="360" t="str">
        <f>+'staffing plan'!A120</f>
        <v>OSEC-DILGB-LGOO6-36-2017</v>
      </c>
      <c r="D128" s="361" t="str">
        <f>+'staffing plan'!AK120</f>
        <v>0645</v>
      </c>
      <c r="E128" s="360" t="e">
        <f>+'staffing plan'!#REF!</f>
        <v>#REF!</v>
      </c>
      <c r="F128" s="360" t="e">
        <f>CONCATENATE('staffing plan'!#REF!," ",'staffing plan'!#REF!)</f>
        <v>#REF!</v>
      </c>
      <c r="G128" s="360" t="str">
        <f>'staffing plan'!AX120</f>
        <v>Apayao</v>
      </c>
      <c r="H128" s="360" t="str">
        <f>'staffing plan'!AW120</f>
        <v>VENUS, Norman Domingo</v>
      </c>
      <c r="I128" s="380"/>
      <c r="J128" s="381" t="e">
        <f t="shared" si="9"/>
        <v>#REF!</v>
      </c>
    </row>
    <row r="129" spans="1:15" s="347" customFormat="1" ht="28.8">
      <c r="A129" s="358" t="str">
        <f>'staffing plan'!B121</f>
        <v>Local Government Operations Officer VI</v>
      </c>
      <c r="B129" s="359">
        <f>+'staffing plan'!C121</f>
        <v>22</v>
      </c>
      <c r="C129" s="360" t="str">
        <f>+'staffing plan'!A121</f>
        <v>OSEC-DILGB-LGOO6-37-2017</v>
      </c>
      <c r="D129" s="361" t="str">
        <f>+'staffing plan'!AK121</f>
        <v>0648</v>
      </c>
      <c r="E129" s="360" t="e">
        <f>+'staffing plan'!#REF!</f>
        <v>#REF!</v>
      </c>
      <c r="F129" s="360" t="e">
        <f>CONCATENATE('staffing plan'!#REF!," ",'staffing plan'!#REF!)</f>
        <v>#REF!</v>
      </c>
      <c r="G129" s="360" t="str">
        <f>'staffing plan'!AX121</f>
        <v>Apayao</v>
      </c>
      <c r="H129" s="360" t="str">
        <f>'staffing plan'!AW121</f>
        <v>VISITACION, Rhiener Cardenas</v>
      </c>
      <c r="I129" s="380"/>
      <c r="J129" s="381" t="e">
        <f t="shared" si="9"/>
        <v>#REF!</v>
      </c>
    </row>
    <row r="130" spans="1:15" s="347" customFormat="1" ht="28.8">
      <c r="A130" s="358" t="str">
        <f>'staffing plan'!B122</f>
        <v>Local Government Operations Officer VI</v>
      </c>
      <c r="B130" s="359">
        <f>+'staffing plan'!C122</f>
        <v>22</v>
      </c>
      <c r="C130" s="360" t="str">
        <f>+'staffing plan'!A122</f>
        <v>OSEC-DILGB-LGOO6-38-2017</v>
      </c>
      <c r="D130" s="361" t="str">
        <f>+'staffing plan'!AK122</f>
        <v>0651</v>
      </c>
      <c r="E130" s="360" t="e">
        <f>+'staffing plan'!#REF!</f>
        <v>#REF!</v>
      </c>
      <c r="F130" s="360" t="e">
        <f>CONCATENATE('staffing plan'!#REF!," ",'staffing plan'!#REF!)</f>
        <v>#REF!</v>
      </c>
      <c r="G130" s="360" t="str">
        <f>'staffing plan'!AX122</f>
        <v>Apayao</v>
      </c>
      <c r="H130" s="360" t="str">
        <f>'staffing plan'!AW122</f>
        <v>EUGENIO, Cecile Cagurangan</v>
      </c>
      <c r="I130" s="380"/>
      <c r="J130" s="381" t="e">
        <f t="shared" si="9"/>
        <v>#REF!</v>
      </c>
    </row>
    <row r="131" spans="1:15" s="347" customFormat="1" ht="28.8">
      <c r="A131" s="358" t="str">
        <f>'staffing plan'!B126</f>
        <v>Local Government Operations Officer VI</v>
      </c>
      <c r="B131" s="359">
        <f>+'staffing plan'!C126</f>
        <v>22</v>
      </c>
      <c r="C131" s="360" t="str">
        <f>+'staffing plan'!A126</f>
        <v>OSEC-DILGB-LGOO6-42-2017</v>
      </c>
      <c r="D131" s="361" t="str">
        <f>+'staffing plan'!AK126</f>
        <v>0657</v>
      </c>
      <c r="E131" s="360" t="e">
        <f>+'staffing plan'!#REF!</f>
        <v>#REF!</v>
      </c>
      <c r="F131" s="360" t="e">
        <f>CONCATENATE('staffing plan'!#REF!," ",'staffing plan'!#REF!)</f>
        <v>#REF!</v>
      </c>
      <c r="G131" s="360" t="str">
        <f>'staffing plan'!AX126</f>
        <v>Apayao</v>
      </c>
      <c r="H131" s="360" t="str">
        <f>'staffing plan'!AW126</f>
        <v>CENU, Merina Bagasol</v>
      </c>
      <c r="I131" s="380"/>
      <c r="J131" s="381" t="e">
        <f t="shared" si="9"/>
        <v>#REF!</v>
      </c>
    </row>
    <row r="132" spans="1:15" s="347" customFormat="1" ht="30" customHeight="1">
      <c r="A132" s="273"/>
      <c r="B132" s="274"/>
      <c r="C132" s="275"/>
      <c r="D132" s="245"/>
      <c r="E132" s="275"/>
      <c r="F132" s="275" t="s">
        <v>2791</v>
      </c>
      <c r="G132" s="275"/>
      <c r="H132" s="275"/>
      <c r="I132" s="283" t="s">
        <v>2786</v>
      </c>
      <c r="J132" s="284"/>
    </row>
    <row r="133" spans="1:15" s="347" customFormat="1" ht="28.8">
      <c r="A133" s="276" t="str">
        <f>'staffing plan'!B202</f>
        <v>Local Government Operations Officer II</v>
      </c>
      <c r="B133" s="277">
        <f>+'staffing plan'!C202</f>
        <v>13</v>
      </c>
      <c r="C133" s="278" t="str">
        <f>+'staffing plan'!A202</f>
        <v>OSEC-DILGB-LGOO2-37-1998</v>
      </c>
      <c r="D133" s="279" t="str">
        <f>+'staffing plan'!AK202</f>
        <v>0672</v>
      </c>
      <c r="E133" s="278" t="e">
        <f>+'staffing plan'!#REF!</f>
        <v>#REF!</v>
      </c>
      <c r="F133" s="278" t="e">
        <f>CONCATENATE('staffing plan'!#REF!," ",'staffing plan'!#REF!)</f>
        <v>#REF!</v>
      </c>
      <c r="G133" s="278" t="str">
        <f>'staffing plan'!AX202</f>
        <v>Apayao</v>
      </c>
      <c r="H133" s="278" t="str">
        <f>'staffing plan'!AW202</f>
        <v>UCOL, Edward Errol Bumanglag</v>
      </c>
      <c r="I133" s="285" t="s">
        <v>2787</v>
      </c>
      <c r="J133" s="286" t="e">
        <f>E133=G133</f>
        <v>#REF!</v>
      </c>
    </row>
    <row r="134" spans="1:15" s="348" customFormat="1" ht="28.5" customHeight="1">
      <c r="A134" s="393"/>
      <c r="B134" s="394"/>
      <c r="C134" s="395"/>
      <c r="D134" s="396"/>
      <c r="E134" s="395"/>
      <c r="F134" s="395"/>
      <c r="G134" s="395"/>
      <c r="H134" s="395"/>
      <c r="I134" s="399"/>
      <c r="J134" s="351"/>
      <c r="K134" s="349"/>
    </row>
    <row r="135" spans="1:15">
      <c r="A135" s="355" t="s">
        <v>2792</v>
      </c>
      <c r="B135" s="375"/>
      <c r="C135" s="376"/>
      <c r="D135" s="377"/>
      <c r="E135" s="376"/>
      <c r="F135" s="376"/>
      <c r="G135" s="376"/>
      <c r="H135" s="376"/>
      <c r="I135" s="385"/>
      <c r="J135" s="386"/>
      <c r="K135" s="348"/>
      <c r="L135" s="348" t="s">
        <v>2782</v>
      </c>
      <c r="N135" s="387"/>
      <c r="O135" s="387"/>
    </row>
    <row r="136" spans="1:15" s="347" customFormat="1" ht="28.8">
      <c r="A136" s="358" t="str">
        <f>'staffing plan'!B68</f>
        <v>Local Government Operations Officer VIII</v>
      </c>
      <c r="B136" s="359">
        <f>+'staffing plan'!C68</f>
        <v>26</v>
      </c>
      <c r="C136" s="360" t="str">
        <f>+'staffing plan'!A68</f>
        <v>OSEC-DILGB-LGOO8-2-1998</v>
      </c>
      <c r="D136" s="245" t="str">
        <f>+'staffing plan'!AK68</f>
        <v>05</v>
      </c>
      <c r="E136" s="360" t="e">
        <f>+'staffing plan'!#REF!</f>
        <v>#REF!</v>
      </c>
      <c r="F136" s="360" t="e">
        <f>CONCATENATE('staffing plan'!#REF!," ",'staffing plan'!#REF!)</f>
        <v>#REF!</v>
      </c>
      <c r="G136" s="360" t="str">
        <f>'staffing plan'!AX68</f>
        <v>Abra</v>
      </c>
      <c r="H136" s="360" t="str">
        <f>'staffing plan'!AW68</f>
        <v>CARIÑO, Millicent Bamba</v>
      </c>
      <c r="I136" s="380" t="s">
        <v>2793</v>
      </c>
      <c r="J136" s="381"/>
      <c r="L136" s="347" t="s">
        <v>463</v>
      </c>
      <c r="M136" s="347">
        <v>1</v>
      </c>
      <c r="N136" s="347">
        <f>COUNTIF(BaguioSG,"26")</f>
        <v>1</v>
      </c>
      <c r="O136" s="347">
        <f>+M136-N136</f>
        <v>0</v>
      </c>
    </row>
    <row r="137" spans="1:15" s="347" customFormat="1" ht="28.8">
      <c r="A137" s="358" t="str">
        <f>'staffing plan'!B80</f>
        <v>Local Government Operations Officer VII</v>
      </c>
      <c r="B137" s="359">
        <f>+'staffing plan'!C80</f>
        <v>24</v>
      </c>
      <c r="C137" s="360" t="str">
        <f>+'staffing plan'!A80</f>
        <v>OSEC-DILGB-LGOO7-1448-2017</v>
      </c>
      <c r="D137" s="291" t="str">
        <f>+'staffing plan'!AK80</f>
        <v>05</v>
      </c>
      <c r="E137" s="360" t="e">
        <f>+'staffing plan'!#REF!</f>
        <v>#REF!</v>
      </c>
      <c r="F137" s="360" t="e">
        <f>CONCATENATE('staffing plan'!#REF!," ",'staffing plan'!#REF!)</f>
        <v>#REF!</v>
      </c>
      <c r="G137" s="360" t="str">
        <f>'staffing plan'!AX80</f>
        <v>Apayao</v>
      </c>
      <c r="H137" s="360" t="str">
        <f>'staffing plan'!AW80</f>
        <v>ABULENCIA, Emmanuel Pinlac</v>
      </c>
      <c r="I137" s="380" t="s">
        <v>2777</v>
      </c>
      <c r="J137" s="381" t="e">
        <f>E137=G137</f>
        <v>#REF!</v>
      </c>
      <c r="L137" s="347" t="s">
        <v>157</v>
      </c>
      <c r="M137" s="347">
        <v>1</v>
      </c>
      <c r="N137" s="347">
        <f>COUNTIF(BaguioSG,"22")+COUNTIF(BaguioSG,"24")</f>
        <v>1</v>
      </c>
      <c r="O137" s="347">
        <f>+M137-N137</f>
        <v>0</v>
      </c>
    </row>
    <row r="138" spans="1:15" s="347" customFormat="1" ht="28.8">
      <c r="A138" s="358" t="str">
        <f>'staffing plan'!B165</f>
        <v>Local Government Operations Officer V</v>
      </c>
      <c r="B138" s="359">
        <f>+'staffing plan'!C165</f>
        <v>20</v>
      </c>
      <c r="C138" s="360" t="str">
        <f>+'staffing plan'!A165</f>
        <v>OSEC-DILGB-LGOO5-877-1998</v>
      </c>
      <c r="D138" s="361" t="str">
        <f>+'staffing plan'!AK165</f>
        <v>100</v>
      </c>
      <c r="E138" s="360" t="e">
        <f>+'staffing plan'!#REF!</f>
        <v>#REF!</v>
      </c>
      <c r="F138" s="360" t="e">
        <f>CONCATENATE('staffing plan'!#REF!," ",'staffing plan'!#REF!)</f>
        <v>#REF!</v>
      </c>
      <c r="G138" s="360">
        <f>'staffing plan'!AX165</f>
        <v>0</v>
      </c>
      <c r="H138" s="360" t="str">
        <f>'staffing plan'!AW165</f>
        <v xml:space="preserve">Vacant gano,  </v>
      </c>
      <c r="I138" s="380"/>
      <c r="J138" s="381" t="e">
        <f>E138=G138</f>
        <v>#REF!</v>
      </c>
      <c r="L138" s="347" t="s">
        <v>165</v>
      </c>
      <c r="M138" s="347">
        <v>1</v>
      </c>
      <c r="N138" s="347">
        <f>COUNTIF(BaguioSG,"20")</f>
        <v>1</v>
      </c>
      <c r="O138" s="347">
        <f>+M138-N138</f>
        <v>0</v>
      </c>
    </row>
    <row r="139" spans="1:15" s="347" customFormat="1" ht="28.8">
      <c r="A139" s="358" t="str">
        <f>'staffing plan'!B181</f>
        <v>Local Government Operations Officer III</v>
      </c>
      <c r="B139" s="359">
        <f>+'staffing plan'!C181</f>
        <v>15</v>
      </c>
      <c r="C139" s="360" t="str">
        <f>+'staffing plan'!A181</f>
        <v>OSEC-DILGB-LGOO3-129-1998</v>
      </c>
      <c r="D139" s="245" t="str">
        <f>+'staffing plan'!AK181</f>
        <v>011</v>
      </c>
      <c r="E139" s="360" t="e">
        <f>+'staffing plan'!#REF!</f>
        <v>#REF!</v>
      </c>
      <c r="F139" s="360" t="e">
        <f>CONCATENATE('staffing plan'!#REF!," ",'staffing plan'!#REF!)</f>
        <v>#REF!</v>
      </c>
      <c r="G139" s="360" t="str">
        <f>'staffing plan'!AX181</f>
        <v>Baguio City</v>
      </c>
      <c r="H139" s="360" t="str">
        <f>'staffing plan'!AW181</f>
        <v>DUMALSIN, Joan-Ana Jacinto</v>
      </c>
      <c r="I139" s="380" t="s">
        <v>2790</v>
      </c>
      <c r="J139" s="381" t="b">
        <v>1</v>
      </c>
      <c r="L139" s="347" t="s">
        <v>1066</v>
      </c>
      <c r="M139" s="347">
        <v>3</v>
      </c>
      <c r="N139" s="347">
        <f>COUNTIF(BaguioSG,"15")</f>
        <v>3</v>
      </c>
      <c r="O139" s="347">
        <f>+M139-N139</f>
        <v>0</v>
      </c>
    </row>
    <row r="140" spans="1:15" s="347" customFormat="1" ht="28.8">
      <c r="A140" s="358" t="str">
        <f>'staffing plan'!B182</f>
        <v>Local Government Operations Officer III</v>
      </c>
      <c r="B140" s="359">
        <f>+'staffing plan'!C182</f>
        <v>15</v>
      </c>
      <c r="C140" s="360" t="str">
        <f>+'staffing plan'!A182</f>
        <v>OSEC-DILGB-LGOO3-130-1998</v>
      </c>
      <c r="D140" s="245" t="str">
        <f>+'staffing plan'!AK182</f>
        <v>011</v>
      </c>
      <c r="E140" s="360" t="e">
        <f>+'staffing plan'!#REF!</f>
        <v>#REF!</v>
      </c>
      <c r="F140" s="360" t="e">
        <f>CONCATENATE('staffing plan'!#REF!," ",'staffing plan'!#REF!)</f>
        <v>#REF!</v>
      </c>
      <c r="G140" s="360" t="str">
        <f>'staffing plan'!AX182</f>
        <v>Baguio City</v>
      </c>
      <c r="H140" s="360" t="str">
        <f>'staffing plan'!AW182</f>
        <v>GAYASO, Jereille Decoran</v>
      </c>
      <c r="I140" s="380" t="s">
        <v>2790</v>
      </c>
      <c r="J140" s="381" t="e">
        <f>E140=G140</f>
        <v>#REF!</v>
      </c>
      <c r="L140" s="347" t="s">
        <v>455</v>
      </c>
      <c r="M140" s="347">
        <v>1</v>
      </c>
      <c r="N140" s="347">
        <f>COUNTIF(BaguioSG,"4")</f>
        <v>1</v>
      </c>
      <c r="O140" s="347">
        <f>+M140-N140</f>
        <v>0</v>
      </c>
    </row>
    <row r="141" spans="1:15" s="347" customFormat="1" ht="28.8">
      <c r="A141" s="358" t="str">
        <f>'staffing plan'!B183</f>
        <v>Local Government Operations Officer III</v>
      </c>
      <c r="B141" s="359">
        <f>+'staffing plan'!C183</f>
        <v>15</v>
      </c>
      <c r="C141" s="360" t="str">
        <f>+'staffing plan'!A183</f>
        <v>OSEC-DILGB-LGOO3-131-1998</v>
      </c>
      <c r="D141" s="245" t="str">
        <f>+'staffing plan'!AK183</f>
        <v>0660</v>
      </c>
      <c r="E141" s="360" t="e">
        <f>+'staffing plan'!#REF!</f>
        <v>#REF!</v>
      </c>
      <c r="F141" s="360" t="e">
        <f>CONCATENATE('staffing plan'!#REF!," ",'staffing plan'!#REF!)</f>
        <v>#REF!</v>
      </c>
      <c r="G141" s="360" t="str">
        <f>'staffing plan'!AX183</f>
        <v>Baguio City</v>
      </c>
      <c r="H141" s="360" t="str">
        <f>'staffing plan'!AW183</f>
        <v>BURAGA, Shaquile Laniog</v>
      </c>
      <c r="I141" s="380" t="s">
        <v>2794</v>
      </c>
      <c r="J141" s="381" t="b">
        <v>1</v>
      </c>
      <c r="M141" s="347">
        <f>SUM(M136:M140)</f>
        <v>7</v>
      </c>
      <c r="N141" s="347">
        <f>SUM(N136:N140)</f>
        <v>7</v>
      </c>
      <c r="O141" s="347">
        <f>SUM(O136:O140)</f>
        <v>0</v>
      </c>
    </row>
    <row r="142" spans="1:15" s="347" customFormat="1" ht="28.8">
      <c r="A142" s="358" t="str">
        <f>'staffing plan'!B229</f>
        <v>Administrative Aide IV</v>
      </c>
      <c r="B142" s="359">
        <v>4</v>
      </c>
      <c r="C142" s="360" t="str">
        <f>+'staffing plan'!A229</f>
        <v>OSEC-DILGB-ADA4-94-2005</v>
      </c>
      <c r="D142" s="245" t="str">
        <f>+'staffing plan'!AK229</f>
        <v>06</v>
      </c>
      <c r="E142" s="360" t="e">
        <f>+'staffing plan'!#REF!</f>
        <v>#REF!</v>
      </c>
      <c r="F142" s="360" t="e">
        <f>CONCATENATE('staffing plan'!#REF!," ",'staffing plan'!#REF!)</f>
        <v>#REF!</v>
      </c>
      <c r="G142" s="360" t="str">
        <f>'staffing plan'!AX229</f>
        <v>Baguio City</v>
      </c>
      <c r="H142" s="360" t="str">
        <f>'staffing plan'!AW229</f>
        <v>ANGAWA, Lilet Ahuday</v>
      </c>
      <c r="I142" s="380"/>
      <c r="J142" s="381" t="e">
        <f>E142=G142</f>
        <v>#REF!</v>
      </c>
    </row>
    <row r="143" spans="1:15" s="348" customFormat="1">
      <c r="A143" s="362"/>
      <c r="B143" s="363"/>
      <c r="C143" s="364"/>
      <c r="D143" s="374"/>
      <c r="E143" s="364"/>
      <c r="F143" s="364"/>
      <c r="G143" s="364"/>
      <c r="H143" s="364"/>
      <c r="I143" s="382"/>
      <c r="J143" s="351"/>
      <c r="K143" s="349"/>
    </row>
    <row r="144" spans="1:15">
      <c r="A144" s="355" t="s">
        <v>2795</v>
      </c>
      <c r="B144" s="375"/>
      <c r="C144" s="376"/>
      <c r="D144" s="377"/>
      <c r="E144" s="376"/>
      <c r="F144" s="376"/>
      <c r="G144" s="376"/>
      <c r="H144" s="376"/>
      <c r="I144" s="385"/>
      <c r="J144" s="386"/>
      <c r="K144" s="348"/>
      <c r="L144" s="348" t="s">
        <v>2782</v>
      </c>
      <c r="N144" s="348"/>
      <c r="O144" s="348"/>
    </row>
    <row r="145" spans="1:15" s="347" customFormat="1" ht="28.8">
      <c r="A145" s="358" t="str">
        <f>'staffing plan'!B70</f>
        <v>Local Government Operations Officer VIII</v>
      </c>
      <c r="B145" s="359">
        <f>+'staffing plan'!C70</f>
        <v>26</v>
      </c>
      <c r="C145" s="360" t="str">
        <f>+'staffing plan'!A70</f>
        <v>OSEC-DILGB-LGOO8-56-1998</v>
      </c>
      <c r="D145" s="361" t="str">
        <f>+'staffing plan'!AK70</f>
        <v>06</v>
      </c>
      <c r="E145" s="360" t="e">
        <f>+'staffing plan'!#REF!</f>
        <v>#REF!</v>
      </c>
      <c r="F145" s="360" t="e">
        <f>CONCATENATE('staffing plan'!#REF!," ",'staffing plan'!#REF!)</f>
        <v>#REF!</v>
      </c>
      <c r="G145" s="360" t="str">
        <f>'staffing plan'!AX70</f>
        <v>Benguet</v>
      </c>
      <c r="H145" s="360" t="str">
        <f>'staffing plan'!AW70</f>
        <v>FEGCAN, Rufina Talusig</v>
      </c>
      <c r="I145" s="380"/>
      <c r="J145" s="381" t="e">
        <f t="shared" ref="J145:J159" si="10">E145=G145</f>
        <v>#REF!</v>
      </c>
      <c r="L145" s="347" t="s">
        <v>463</v>
      </c>
      <c r="M145" s="347">
        <v>1</v>
      </c>
      <c r="N145" s="347">
        <f>COUNTIF(BenguetSG,"26")</f>
        <v>1</v>
      </c>
      <c r="O145" s="347">
        <f t="shared" ref="O145:O152" si="11">+M145-N145</f>
        <v>0</v>
      </c>
    </row>
    <row r="146" spans="1:15" s="347" customFormat="1" ht="28.8">
      <c r="A146" s="358" t="str">
        <f>'staffing plan'!B79</f>
        <v>Local Government Operations Officer VII</v>
      </c>
      <c r="B146" s="359">
        <f>+'staffing plan'!C79</f>
        <v>24</v>
      </c>
      <c r="C146" s="360" t="str">
        <f>+'staffing plan'!A79</f>
        <v>OSEC-DILGB-LGOO7-1447-2017</v>
      </c>
      <c r="D146" s="361" t="str">
        <f>+'staffing plan'!AK79</f>
        <v>06</v>
      </c>
      <c r="E146" s="360" t="e">
        <f>+'staffing plan'!#REF!</f>
        <v>#REF!</v>
      </c>
      <c r="F146" s="360" t="e">
        <f>CONCATENATE('staffing plan'!#REF!," ",'staffing plan'!#REF!)</f>
        <v>#REF!</v>
      </c>
      <c r="G146" s="360">
        <f>'staffing plan'!AX79</f>
        <v>0</v>
      </c>
      <c r="H146" s="360" t="str">
        <f>'staffing plan'!AW79</f>
        <v xml:space="preserve">Vacant Guerzon,  </v>
      </c>
      <c r="I146" s="380"/>
      <c r="J146" s="381" t="e">
        <f t="shared" si="10"/>
        <v>#REF!</v>
      </c>
      <c r="L146" s="347" t="s">
        <v>157</v>
      </c>
      <c r="M146" s="347">
        <v>2</v>
      </c>
      <c r="N146" s="347">
        <f>COUNTIF(BenguetSG,"22")+COUNTIF(BenguetSG,"24")</f>
        <v>15</v>
      </c>
      <c r="O146" s="347">
        <f t="shared" si="11"/>
        <v>-13</v>
      </c>
    </row>
    <row r="147" spans="1:15" s="347" customFormat="1" ht="28.8">
      <c r="A147" s="358" t="str">
        <f>'staffing plan'!B97</f>
        <v>Local Government Operations Officer VI</v>
      </c>
      <c r="B147" s="359">
        <f>+'staffing plan'!C97</f>
        <v>22</v>
      </c>
      <c r="C147" s="360" t="str">
        <f>+'staffing plan'!A97</f>
        <v>OSEC-DILGB-LGOO6-13-2010</v>
      </c>
      <c r="D147" s="361" t="str">
        <f>+'staffing plan'!AK97</f>
        <v>06</v>
      </c>
      <c r="E147" s="360" t="e">
        <f>+'staffing plan'!#REF!</f>
        <v>#REF!</v>
      </c>
      <c r="F147" s="360" t="e">
        <f>CONCATENATE('staffing plan'!#REF!," ",'staffing plan'!#REF!)</f>
        <v>#REF!</v>
      </c>
      <c r="G147" s="360">
        <f>'staffing plan'!AX97</f>
        <v>0</v>
      </c>
      <c r="H147" s="360" t="str">
        <f>'staffing plan'!AW97</f>
        <v xml:space="preserve">Vacant APPOY,  </v>
      </c>
      <c r="I147" s="380"/>
      <c r="J147" s="381" t="e">
        <f t="shared" si="10"/>
        <v>#REF!</v>
      </c>
      <c r="L147" s="347" t="s">
        <v>165</v>
      </c>
      <c r="M147" s="347">
        <v>16</v>
      </c>
      <c r="N147" s="347">
        <f>COUNTIF(BenguetSG,"20")</f>
        <v>3</v>
      </c>
      <c r="O147" s="347">
        <f t="shared" si="11"/>
        <v>13</v>
      </c>
    </row>
    <row r="148" spans="1:15" s="347" customFormat="1" ht="28.8">
      <c r="A148" s="358" t="str">
        <f>'staffing plan'!B163</f>
        <v>Local Government Operations Officer VI</v>
      </c>
      <c r="B148" s="359">
        <f>+'staffing plan'!C163</f>
        <v>22</v>
      </c>
      <c r="C148" s="360" t="str">
        <f>+'staffing plan'!A163</f>
        <v>OSEC-DILGB-LGOO6-1268-2017</v>
      </c>
      <c r="D148" s="361" t="str">
        <f>+'staffing plan'!AK163</f>
        <v>06</v>
      </c>
      <c r="E148" s="360" t="e">
        <f>+'staffing plan'!#REF!</f>
        <v>#REF!</v>
      </c>
      <c r="F148" s="360" t="e">
        <f>CONCATENATE('staffing plan'!#REF!," ",'staffing plan'!#REF!)</f>
        <v>#REF!</v>
      </c>
      <c r="G148" s="360" t="str">
        <f>'staffing plan'!AX163</f>
        <v>Benguet</v>
      </c>
      <c r="H148" s="360" t="str">
        <f>'staffing plan'!AW163</f>
        <v>MALIG, Julie Capiato</v>
      </c>
      <c r="I148" s="380"/>
      <c r="J148" s="381" t="e">
        <f t="shared" si="10"/>
        <v>#REF!</v>
      </c>
      <c r="L148" s="347" t="s">
        <v>1074</v>
      </c>
      <c r="M148" s="347">
        <v>3</v>
      </c>
      <c r="N148" s="347">
        <f>COUNTIF(BenguetSG,"13")</f>
        <v>3</v>
      </c>
      <c r="O148" s="347">
        <f t="shared" si="11"/>
        <v>0</v>
      </c>
    </row>
    <row r="149" spans="1:15" s="347" customFormat="1" ht="28.8">
      <c r="A149" s="358" t="str">
        <f>'staffing plan'!B113</f>
        <v>Local Government Operations Officer VI</v>
      </c>
      <c r="B149" s="359">
        <f>+'staffing plan'!C113</f>
        <v>22</v>
      </c>
      <c r="C149" s="360" t="str">
        <f>+'staffing plan'!A113</f>
        <v>OSEC-DILGB-LGOO6-29-2017</v>
      </c>
      <c r="D149" s="361" t="str">
        <f>+'staffing plan'!AK113</f>
        <v>06</v>
      </c>
      <c r="E149" s="360" t="e">
        <f>+'staffing plan'!#REF!</f>
        <v>#REF!</v>
      </c>
      <c r="F149" s="360" t="e">
        <f>CONCATENATE('staffing plan'!#REF!," ",'staffing plan'!#REF!)</f>
        <v>#REF!</v>
      </c>
      <c r="G149" s="360" t="str">
        <f>'staffing plan'!AX113</f>
        <v>Benguet</v>
      </c>
      <c r="H149" s="360" t="str">
        <f>'staffing plan'!AW113</f>
        <v>ATING, Janet Belingon</v>
      </c>
      <c r="I149" s="380"/>
      <c r="J149" s="381" t="e">
        <f t="shared" si="10"/>
        <v>#REF!</v>
      </c>
      <c r="L149" s="347" t="s">
        <v>1170</v>
      </c>
      <c r="M149" s="347">
        <v>2</v>
      </c>
      <c r="N149" s="347">
        <f>COUNTIF(BenguetSG,"8")</f>
        <v>2</v>
      </c>
      <c r="O149" s="347">
        <f t="shared" si="11"/>
        <v>0</v>
      </c>
    </row>
    <row r="150" spans="1:15" s="347" customFormat="1" ht="28.8">
      <c r="A150" s="358" t="str">
        <f>'staffing plan'!B178</f>
        <v>Local Government Operations Officer V</v>
      </c>
      <c r="B150" s="359">
        <f>+'staffing plan'!C178</f>
        <v>20</v>
      </c>
      <c r="C150" s="360" t="str">
        <f>+'staffing plan'!A178</f>
        <v>OSEC-DILGB-LGOO5-983-1998</v>
      </c>
      <c r="D150" s="361" t="str">
        <f>+'staffing plan'!AK178</f>
        <v>06</v>
      </c>
      <c r="E150" s="360" t="e">
        <f>+'staffing plan'!#REF!</f>
        <v>#REF!</v>
      </c>
      <c r="F150" s="360" t="e">
        <f>CONCATENATE('staffing plan'!#REF!," ",'staffing plan'!#REF!)</f>
        <v>#REF!</v>
      </c>
      <c r="G150" s="360" t="str">
        <f>'staffing plan'!AX178</f>
        <v>Benguet</v>
      </c>
      <c r="H150" s="360" t="str">
        <f>'staffing plan'!AW178</f>
        <v>GUMANGAN, Juliet Bugagon</v>
      </c>
      <c r="I150" s="380"/>
      <c r="J150" s="381" t="e">
        <f t="shared" si="10"/>
        <v>#REF!</v>
      </c>
      <c r="L150" s="347" t="s">
        <v>273</v>
      </c>
      <c r="M150" s="347">
        <v>1</v>
      </c>
      <c r="N150" s="347">
        <f>COUNTIF(BenguetSG,"6")</f>
        <v>1</v>
      </c>
      <c r="O150" s="347">
        <f t="shared" si="11"/>
        <v>0</v>
      </c>
    </row>
    <row r="151" spans="1:15" s="347" customFormat="1" ht="28.8">
      <c r="A151" s="358" t="str">
        <f>'staffing plan'!B169</f>
        <v>Local Government Operations Officer V</v>
      </c>
      <c r="B151" s="359">
        <f>+'staffing plan'!C169</f>
        <v>20</v>
      </c>
      <c r="C151" s="360" t="str">
        <f>+'staffing plan'!A169</f>
        <v>OSEC-DILGB-LGOO5-925-1998</v>
      </c>
      <c r="D151" s="245" t="str">
        <f>+'staffing plan'!AK169</f>
        <v>011</v>
      </c>
      <c r="E151" s="360" t="e">
        <f>+'staffing plan'!#REF!</f>
        <v>#REF!</v>
      </c>
      <c r="F151" s="360" t="e">
        <f>CONCATENATE('staffing plan'!#REF!," ",'staffing plan'!#REF!)</f>
        <v>#REF!</v>
      </c>
      <c r="G151" s="360" t="str">
        <f>'staffing plan'!AX169</f>
        <v>Benguet</v>
      </c>
      <c r="H151" s="360" t="str">
        <f>'staffing plan'!AW169</f>
        <v>MANGANGEY, Ma. Teresa Ancheta</v>
      </c>
      <c r="I151" s="380" t="s">
        <v>2790</v>
      </c>
      <c r="J151" s="381" t="e">
        <f t="shared" si="10"/>
        <v>#REF!</v>
      </c>
      <c r="L151" s="347" t="s">
        <v>455</v>
      </c>
      <c r="M151" s="347">
        <v>1</v>
      </c>
      <c r="N151" s="347">
        <f>COUNTIF(BenguetSG,"4")</f>
        <v>1</v>
      </c>
      <c r="O151" s="347">
        <f t="shared" si="11"/>
        <v>0</v>
      </c>
    </row>
    <row r="152" spans="1:15" s="347" customFormat="1" ht="30.75" customHeight="1">
      <c r="A152" s="358" t="str">
        <f>'staffing plan'!B170</f>
        <v>Local Government Operations Officer V</v>
      </c>
      <c r="B152" s="359">
        <f>+'staffing plan'!C170</f>
        <v>20</v>
      </c>
      <c r="C152" s="360" t="str">
        <f>+'staffing plan'!A170</f>
        <v>OSEC-DILGB-LGOO5-934-1998</v>
      </c>
      <c r="D152" s="245" t="str">
        <f>+'staffing plan'!AK170</f>
        <v>011</v>
      </c>
      <c r="E152" s="360" t="e">
        <f>+'staffing plan'!#REF!</f>
        <v>#REF!</v>
      </c>
      <c r="F152" s="360" t="e">
        <f>CONCATENATE('staffing plan'!#REF!," ",'staffing plan'!#REF!)</f>
        <v>#REF!</v>
      </c>
      <c r="G152" s="360" t="str">
        <f>'staffing plan'!AX170</f>
        <v>Benguet</v>
      </c>
      <c r="H152" s="360" t="str">
        <f>'staffing plan'!AW170</f>
        <v>OLANGCAY, Elizabeth Saguid</v>
      </c>
      <c r="I152" s="380" t="s">
        <v>2790</v>
      </c>
      <c r="J152" s="381" t="e">
        <f t="shared" si="10"/>
        <v>#REF!</v>
      </c>
      <c r="L152" s="347" t="s">
        <v>2196</v>
      </c>
      <c r="M152" s="347">
        <v>1</v>
      </c>
      <c r="N152" s="347">
        <f>COUNTIF(BenguetSG,"1")</f>
        <v>1</v>
      </c>
      <c r="O152" s="347">
        <f t="shared" si="11"/>
        <v>0</v>
      </c>
    </row>
    <row r="153" spans="1:15" s="347" customFormat="1" ht="28.8">
      <c r="A153" s="388" t="str">
        <f>'staffing plan'!B203</f>
        <v>Local Government Operations Officer II</v>
      </c>
      <c r="B153" s="389">
        <f>+'staffing plan'!C203</f>
        <v>13</v>
      </c>
      <c r="C153" s="390" t="str">
        <f>+'staffing plan'!A203</f>
        <v>OSEC-DILGB-LGOO2-38-1998</v>
      </c>
      <c r="D153" s="391" t="str">
        <f>+'staffing plan'!AK203</f>
        <v>06</v>
      </c>
      <c r="E153" s="390" t="e">
        <f>+'staffing plan'!#REF!</f>
        <v>#REF!</v>
      </c>
      <c r="F153" s="390" t="e">
        <f>CONCATENATE('staffing plan'!#REF!," ",'staffing plan'!#REF!)</f>
        <v>#REF!</v>
      </c>
      <c r="G153" s="390" t="str">
        <f>'staffing plan'!AX203</f>
        <v>Mt. Province</v>
      </c>
      <c r="H153" s="390" t="str">
        <f>'staffing plan'!AW203</f>
        <v>FABAG, Sheren Sagsago</v>
      </c>
      <c r="I153" s="392"/>
      <c r="J153" s="381" t="e">
        <f t="shared" si="10"/>
        <v>#REF!</v>
      </c>
      <c r="M153" s="347">
        <f>SUM(M145:M152)</f>
        <v>27</v>
      </c>
      <c r="N153" s="347">
        <f>SUM(N145:N152)</f>
        <v>27</v>
      </c>
      <c r="O153" s="347">
        <f>SUM(O145:O152)</f>
        <v>0</v>
      </c>
    </row>
    <row r="154" spans="1:15" s="347" customFormat="1" ht="28.8">
      <c r="A154" s="358" t="str">
        <f>'staffing plan'!B198</f>
        <v>Local Government Operations Officer II</v>
      </c>
      <c r="B154" s="359">
        <f>+'staffing plan'!C198</f>
        <v>13</v>
      </c>
      <c r="C154" s="360" t="str">
        <f>+'staffing plan'!A198</f>
        <v>OSEC-DILGB-LGOO2-28-1998</v>
      </c>
      <c r="D154" s="291" t="str">
        <f>+'staffing plan'!AK198</f>
        <v>07</v>
      </c>
      <c r="E154" s="360" t="e">
        <f>+'staffing plan'!#REF!</f>
        <v>#REF!</v>
      </c>
      <c r="F154" s="360" t="e">
        <f>CONCATENATE('staffing plan'!#REF!," ",'staffing plan'!#REF!)</f>
        <v>#REF!</v>
      </c>
      <c r="G154" s="360" t="str">
        <f>'staffing plan'!AX198</f>
        <v>Mt. Province</v>
      </c>
      <c r="H154" s="360" t="str">
        <f>'staffing plan'!AW198</f>
        <v>BANGANAN, Imelda Farnigan</v>
      </c>
      <c r="I154" s="380" t="s">
        <v>2790</v>
      </c>
      <c r="J154" s="381" t="e">
        <f t="shared" si="10"/>
        <v>#REF!</v>
      </c>
    </row>
    <row r="155" spans="1:15" s="347" customFormat="1" ht="28.8">
      <c r="A155" s="358" t="str">
        <f>'staffing plan'!B212</f>
        <v>Administrative Assistant II</v>
      </c>
      <c r="B155" s="359">
        <f>+'staffing plan'!C212</f>
        <v>8</v>
      </c>
      <c r="C155" s="360" t="str">
        <f>+'staffing plan'!A212</f>
        <v>OSEC-DILGB-ADAS2-74-2005</v>
      </c>
      <c r="D155" s="361" t="str">
        <f>+'staffing plan'!AK212</f>
        <v>06</v>
      </c>
      <c r="E155" s="360" t="e">
        <f>+'staffing plan'!#REF!</f>
        <v>#REF!</v>
      </c>
      <c r="F155" s="360" t="e">
        <f>CONCATENATE('staffing plan'!#REF!," ",'staffing plan'!#REF!)</f>
        <v>#REF!</v>
      </c>
      <c r="G155" s="360" t="str">
        <f>'staffing plan'!AX212</f>
        <v>Benguet</v>
      </c>
      <c r="H155" s="360" t="str">
        <f>'staffing plan'!AW212</f>
        <v>VICENTE, Dominga Aglano</v>
      </c>
      <c r="I155" s="380"/>
      <c r="J155" s="381" t="e">
        <f t="shared" si="10"/>
        <v>#REF!</v>
      </c>
    </row>
    <row r="156" spans="1:15" s="347" customFormat="1" ht="28.8">
      <c r="A156" s="358" t="str">
        <f>'staffing plan'!B207</f>
        <v>Administrative Assistant II</v>
      </c>
      <c r="B156" s="359">
        <f>+'staffing plan'!C207</f>
        <v>8</v>
      </c>
      <c r="C156" s="360" t="str">
        <f>+'staffing plan'!A207</f>
        <v>OSEC-DILGB-ADAS2-67-2005</v>
      </c>
      <c r="D156" s="361" t="str">
        <f>+'staffing plan'!AK207</f>
        <v>06</v>
      </c>
      <c r="E156" s="360" t="e">
        <f>+'staffing plan'!#REF!</f>
        <v>#REF!</v>
      </c>
      <c r="F156" s="360" t="e">
        <f>CONCATENATE('staffing plan'!#REF!," ",'staffing plan'!#REF!)</f>
        <v>#REF!</v>
      </c>
      <c r="G156" s="360" t="str">
        <f>'staffing plan'!AX207</f>
        <v>Benguet</v>
      </c>
      <c r="H156" s="360" t="str">
        <f>'staffing plan'!AW207</f>
        <v>TOMAS, Prescilla Kitan</v>
      </c>
      <c r="I156" s="380"/>
      <c r="J156" s="381" t="e">
        <f t="shared" si="10"/>
        <v>#REF!</v>
      </c>
    </row>
    <row r="157" spans="1:15" s="347" customFormat="1" ht="28.8">
      <c r="A157" s="358" t="str">
        <f>'staffing plan'!B219</f>
        <v>Administrative Aide VI</v>
      </c>
      <c r="B157" s="359">
        <f>+'staffing plan'!C219</f>
        <v>6</v>
      </c>
      <c r="C157" s="360" t="str">
        <f>+'staffing plan'!A219</f>
        <v>OSEC-DILGB-ADA6-100-2005</v>
      </c>
      <c r="D157" s="245" t="str">
        <f>+'staffing plan'!AK219</f>
        <v>011</v>
      </c>
      <c r="E157" s="360" t="e">
        <f>+'staffing plan'!#REF!</f>
        <v>#REF!</v>
      </c>
      <c r="F157" s="360" t="e">
        <f>CONCATENATE('staffing plan'!#REF!," ",'staffing plan'!#REF!)</f>
        <v>#REF!</v>
      </c>
      <c r="G157" s="360" t="str">
        <f>'staffing plan'!AX219</f>
        <v>Benguet</v>
      </c>
      <c r="H157" s="360" t="str">
        <f>'staffing plan'!AW219</f>
        <v>LUCIO, Arthur Ambros</v>
      </c>
      <c r="I157" s="380" t="s">
        <v>2790</v>
      </c>
      <c r="J157" s="381" t="e">
        <f t="shared" si="10"/>
        <v>#REF!</v>
      </c>
    </row>
    <row r="158" spans="1:15" s="347" customFormat="1" ht="28.8">
      <c r="A158" s="358" t="str">
        <f>'staffing plan'!B225</f>
        <v>Administrative Aide IV</v>
      </c>
      <c r="B158" s="359">
        <f>+'staffing plan'!C225</f>
        <v>4</v>
      </c>
      <c r="C158" s="360" t="str">
        <f>+'staffing plan'!A225</f>
        <v>OSEC-DILGB-ADA4-90-2005</v>
      </c>
      <c r="D158" s="361" t="str">
        <f>+'staffing plan'!AK225</f>
        <v>06</v>
      </c>
      <c r="E158" s="360" t="e">
        <f>+'staffing plan'!#REF!</f>
        <v>#REF!</v>
      </c>
      <c r="F158" s="360" t="e">
        <f>CONCATENATE('staffing plan'!#REF!," ",'staffing plan'!#REF!)</f>
        <v>#REF!</v>
      </c>
      <c r="G158" s="360" t="str">
        <f>'staffing plan'!AX225</f>
        <v>Benguet</v>
      </c>
      <c r="H158" s="360" t="str">
        <f>'staffing plan'!AW225</f>
        <v>BALASO, Gina Garcia</v>
      </c>
      <c r="I158" s="380"/>
      <c r="J158" s="381" t="e">
        <f t="shared" si="10"/>
        <v>#REF!</v>
      </c>
    </row>
    <row r="159" spans="1:15" s="347" customFormat="1" ht="28.8">
      <c r="A159" s="358" t="str">
        <f>'staffing plan'!B235</f>
        <v>Administrative Aide I</v>
      </c>
      <c r="B159" s="359">
        <f>+'staffing plan'!C235</f>
        <v>1</v>
      </c>
      <c r="C159" s="360" t="str">
        <f>+'staffing plan'!A235</f>
        <v>OSEC-DILGB-ADA1-28-2005</v>
      </c>
      <c r="D159" s="361" t="str">
        <f>+'staffing plan'!AK235</f>
        <v>06</v>
      </c>
      <c r="E159" s="360" t="e">
        <f>+'staffing plan'!#REF!</f>
        <v>#REF!</v>
      </c>
      <c r="F159" s="360" t="e">
        <f>CONCATENATE('staffing plan'!#REF!," ",'staffing plan'!#REF!)</f>
        <v>#REF!</v>
      </c>
      <c r="G159" s="360">
        <f>'staffing plan'!AX235</f>
        <v>0</v>
      </c>
      <c r="H159" s="360" t="e">
        <f>'staffing plan'!#REF!</f>
        <v>#REF!</v>
      </c>
      <c r="I159" s="380"/>
      <c r="J159" s="381" t="e">
        <f t="shared" si="10"/>
        <v>#REF!</v>
      </c>
    </row>
    <row r="160" spans="1:15" s="347" customFormat="1">
      <c r="A160" s="273"/>
      <c r="B160" s="274"/>
      <c r="C160" s="275"/>
      <c r="D160" s="245"/>
      <c r="E160" s="275"/>
      <c r="F160" s="275" t="s">
        <v>2759</v>
      </c>
      <c r="G160" s="275"/>
      <c r="H160" s="275"/>
      <c r="I160" s="283" t="s">
        <v>2796</v>
      </c>
      <c r="J160" s="284"/>
    </row>
    <row r="161" spans="1:15" s="347" customFormat="1" ht="28.8">
      <c r="A161" s="358" t="str">
        <f>'staffing plan'!B193</f>
        <v>Local Government Operations Officer II</v>
      </c>
      <c r="B161" s="359">
        <f>+'staffing plan'!C193</f>
        <v>13</v>
      </c>
      <c r="C161" s="360" t="str">
        <f>+'staffing plan'!A193</f>
        <v>OSEC-DILGB-LGOO2-20-1998</v>
      </c>
      <c r="D161" s="361" t="str">
        <f>+'staffing plan'!AK193</f>
        <v>0543</v>
      </c>
      <c r="E161" s="360" t="e">
        <f>+'staffing plan'!#REF!</f>
        <v>#REF!</v>
      </c>
      <c r="F161" s="360" t="e">
        <f>CONCATENATE('staffing plan'!#REF!," ",'staffing plan'!#REF!)</f>
        <v>#REF!</v>
      </c>
      <c r="G161" s="360" t="str">
        <f>'staffing plan'!AX193</f>
        <v>Kalinga</v>
      </c>
      <c r="H161" s="360" t="str">
        <f>'staffing plan'!AW193</f>
        <v>LADYONG, Faith Urbino</v>
      </c>
      <c r="I161" s="285" t="s">
        <v>2787</v>
      </c>
      <c r="J161" s="286" t="e">
        <f>E161=G161</f>
        <v>#REF!</v>
      </c>
    </row>
    <row r="162" spans="1:15" s="347" customFormat="1" ht="28.8">
      <c r="A162" s="358" t="str">
        <f>'staffing plan'!B116</f>
        <v>Local Government Operations Officer VI</v>
      </c>
      <c r="B162" s="359">
        <f>+'staffing plan'!C116</f>
        <v>22</v>
      </c>
      <c r="C162" s="360" t="str">
        <f>+'staffing plan'!A116</f>
        <v>OSEC-DILGB-LGOO6-32-2017</v>
      </c>
      <c r="D162" s="361" t="str">
        <f>+'staffing plan'!AK116</f>
        <v>0546</v>
      </c>
      <c r="E162" s="360" t="e">
        <f>+'staffing plan'!#REF!</f>
        <v>#REF!</v>
      </c>
      <c r="F162" s="360" t="e">
        <f>CONCATENATE('staffing plan'!#REF!," ",'staffing plan'!#REF!)</f>
        <v>#REF!</v>
      </c>
      <c r="G162" s="360" t="str">
        <f>'staffing plan'!AX116</f>
        <v>Benguet</v>
      </c>
      <c r="H162" s="360" t="str">
        <f>'staffing plan'!AW116</f>
        <v>LUMA-ANG, Randy Thomas</v>
      </c>
      <c r="I162" s="380"/>
      <c r="J162" s="381" t="e">
        <f>E162=G162</f>
        <v>#REF!</v>
      </c>
    </row>
    <row r="163" spans="1:15" s="347" customFormat="1" ht="28.8">
      <c r="A163" s="358" t="str">
        <f>'staffing plan'!B115</f>
        <v>Local Government Operations Officer VI</v>
      </c>
      <c r="B163" s="359">
        <f>+'staffing plan'!C115</f>
        <v>22</v>
      </c>
      <c r="C163" s="360" t="str">
        <f>+'staffing plan'!A115</f>
        <v>OSEC-DILGB-LGOO6-31-2017</v>
      </c>
      <c r="D163" s="361" t="str">
        <f>+'staffing plan'!AK115</f>
        <v>0549</v>
      </c>
      <c r="E163" s="360" t="e">
        <f>+'staffing plan'!#REF!</f>
        <v>#REF!</v>
      </c>
      <c r="F163" s="360" t="e">
        <f>CONCATENATE('staffing plan'!#REF!," ",'staffing plan'!#REF!)</f>
        <v>#REF!</v>
      </c>
      <c r="G163" s="360" t="str">
        <f>'staffing plan'!AX115</f>
        <v>Benguet</v>
      </c>
      <c r="H163" s="360" t="str">
        <f>'staffing plan'!AW115</f>
        <v>ATING, Cesar Uemura</v>
      </c>
      <c r="I163" s="380"/>
      <c r="J163" s="381" t="e">
        <f>E163=G163</f>
        <v>#REF!</v>
      </c>
    </row>
    <row r="164" spans="1:15" s="347" customFormat="1" ht="28.5" customHeight="1">
      <c r="A164" s="273"/>
      <c r="B164" s="274"/>
      <c r="C164" s="275"/>
      <c r="D164" s="245"/>
      <c r="E164" s="275"/>
      <c r="F164" s="275" t="s">
        <v>2731</v>
      </c>
      <c r="G164" s="275"/>
      <c r="H164" s="275"/>
      <c r="I164" s="283" t="s">
        <v>2786</v>
      </c>
      <c r="J164" s="284"/>
    </row>
    <row r="165" spans="1:15" s="347" customFormat="1" ht="28.8">
      <c r="A165" s="358" t="str">
        <f>'staffing plan'!B118</f>
        <v>Local Government Operations Officer VI</v>
      </c>
      <c r="B165" s="359">
        <f>+'staffing plan'!C118</f>
        <v>22</v>
      </c>
      <c r="C165" s="360" t="str">
        <f>+'staffing plan'!A118</f>
        <v>OSEC-DILGB-LGOO6-34-2017</v>
      </c>
      <c r="D165" s="361" t="str">
        <f>+'staffing plan'!AK118</f>
        <v>0555</v>
      </c>
      <c r="E165" s="360" t="e">
        <f>+'staffing plan'!#REF!</f>
        <v>#REF!</v>
      </c>
      <c r="F165" s="360" t="e">
        <f>CONCATENATE('staffing plan'!#REF!," ",'staffing plan'!#REF!)</f>
        <v>#REF!</v>
      </c>
      <c r="G165" s="360" t="str">
        <f>'staffing plan'!AX118</f>
        <v>Benguet</v>
      </c>
      <c r="H165" s="360" t="str">
        <f>'staffing plan'!AW118</f>
        <v>CARDENAS, Cheryl Rose Flores</v>
      </c>
      <c r="I165" s="380"/>
      <c r="J165" s="381" t="e">
        <f t="shared" ref="J165:J173" si="12">E165=G165</f>
        <v>#REF!</v>
      </c>
    </row>
    <row r="166" spans="1:15" s="347" customFormat="1" ht="28.8">
      <c r="A166" s="358" t="str">
        <f>'staffing plan'!B111</f>
        <v>Local Government Operations Officer VI</v>
      </c>
      <c r="B166" s="359">
        <f>+'staffing plan'!C111</f>
        <v>22</v>
      </c>
      <c r="C166" s="360" t="str">
        <f>+'staffing plan'!A111</f>
        <v>OSEC-DILGB-LGOO6-27-2017</v>
      </c>
      <c r="D166" s="361" t="str">
        <f>+'staffing plan'!AK111</f>
        <v>0558</v>
      </c>
      <c r="E166" s="360" t="e">
        <f>+'staffing plan'!#REF!</f>
        <v>#REF!</v>
      </c>
      <c r="F166" s="360" t="e">
        <f>CONCATENATE('staffing plan'!#REF!," ",'staffing plan'!#REF!)</f>
        <v>#REF!</v>
      </c>
      <c r="G166" s="360" t="str">
        <f>'staffing plan'!AX111</f>
        <v>Benguet</v>
      </c>
      <c r="H166" s="360" t="str">
        <f>'staffing plan'!AW111</f>
        <v>CHAN, Virginia Lucas</v>
      </c>
      <c r="I166" s="380"/>
      <c r="J166" s="381" t="e">
        <f t="shared" si="12"/>
        <v>#REF!</v>
      </c>
    </row>
    <row r="167" spans="1:15" s="347" customFormat="1" ht="28.8">
      <c r="A167" s="358" t="str">
        <f>'staffing plan'!B124</f>
        <v>Local Government Operations Officer VI</v>
      </c>
      <c r="B167" s="359">
        <f>+'staffing plan'!C124</f>
        <v>22</v>
      </c>
      <c r="C167" s="360" t="str">
        <f>+'staffing plan'!A124</f>
        <v>OSEC-DILGB-LGOO6-40-2017</v>
      </c>
      <c r="D167" s="361" t="str">
        <f>+'staffing plan'!AK124</f>
        <v>0561</v>
      </c>
      <c r="E167" s="360" t="e">
        <f>+'staffing plan'!#REF!</f>
        <v>#REF!</v>
      </c>
      <c r="F167" s="360" t="e">
        <f>CONCATENATE('staffing plan'!#REF!," ",'staffing plan'!#REF!)</f>
        <v>#REF!</v>
      </c>
      <c r="G167" s="360" t="str">
        <f>'staffing plan'!AX124</f>
        <v>Benguet</v>
      </c>
      <c r="H167" s="360" t="str">
        <f>'staffing plan'!AW124</f>
        <v>MANACNIS, Euchols Plazo</v>
      </c>
      <c r="I167" s="380"/>
      <c r="J167" s="381" t="e">
        <f t="shared" si="12"/>
        <v>#REF!</v>
      </c>
    </row>
    <row r="168" spans="1:15" s="347" customFormat="1" ht="28.8">
      <c r="A168" s="292" t="str">
        <f>'staffing plan'!B157</f>
        <v>Local Government Operations Officer VI</v>
      </c>
      <c r="B168" s="293">
        <f>+'staffing plan'!C157</f>
        <v>22</v>
      </c>
      <c r="C168" s="360" t="str">
        <f>+'staffing plan'!A157</f>
        <v>OSEC-DILGB-LGOO6-73-2017</v>
      </c>
      <c r="D168" s="361" t="str">
        <f>+'staffing plan'!AK157</f>
        <v>0564</v>
      </c>
      <c r="E168" s="360" t="e">
        <f>+'staffing plan'!#REF!</f>
        <v>#REF!</v>
      </c>
      <c r="F168" s="268" t="e">
        <f>CONCATENATE('staffing plan'!#REF!," ",'staffing plan'!#REF!)</f>
        <v>#REF!</v>
      </c>
      <c r="G168" s="360" t="str">
        <f>'staffing plan'!AX157</f>
        <v>Benguet</v>
      </c>
      <c r="H168" s="360" t="str">
        <f>'staffing plan'!AW157</f>
        <v>WAGIAN, Cecilia Daupan</v>
      </c>
      <c r="I168" s="280" t="s">
        <v>2797</v>
      </c>
      <c r="J168" s="381" t="e">
        <f t="shared" si="12"/>
        <v>#REF!</v>
      </c>
    </row>
    <row r="169" spans="1:15" s="347" customFormat="1" ht="28.8">
      <c r="A169" s="292" t="str">
        <f>'staffing plan'!B117</f>
        <v>Local Government Operations Officer VI</v>
      </c>
      <c r="B169" s="293">
        <f>+'staffing plan'!C117</f>
        <v>22</v>
      </c>
      <c r="C169" s="360" t="str">
        <f>+'staffing plan'!A117</f>
        <v>OSEC-DILGB-LGOO6-33-2017</v>
      </c>
      <c r="D169" s="361" t="str">
        <f>+'staffing plan'!AK117</f>
        <v>0564</v>
      </c>
      <c r="E169" s="360" t="e">
        <f>+'staffing plan'!#REF!</f>
        <v>#REF!</v>
      </c>
      <c r="F169" s="268" t="e">
        <f>CONCATENATE('staffing plan'!#REF!," ",'staffing plan'!#REF!)</f>
        <v>#REF!</v>
      </c>
      <c r="G169" s="360" t="str">
        <f>'staffing plan'!AX117</f>
        <v>Benguet</v>
      </c>
      <c r="H169" s="360" t="str">
        <f>'staffing plan'!AW117</f>
        <v>CAWIS, Odemar Mendoza</v>
      </c>
      <c r="I169" s="280" t="s">
        <v>2797</v>
      </c>
      <c r="J169" s="381" t="e">
        <f t="shared" si="12"/>
        <v>#REF!</v>
      </c>
    </row>
    <row r="170" spans="1:15" s="347" customFormat="1" ht="28.8">
      <c r="A170" s="358" t="str">
        <f>'staffing plan'!B112</f>
        <v>Local Government Operations Officer VI</v>
      </c>
      <c r="B170" s="359">
        <f>+'staffing plan'!C112</f>
        <v>22</v>
      </c>
      <c r="C170" s="360" t="str">
        <f>+'staffing plan'!A112</f>
        <v>OSEC-DILGB-LGOO6-28-2017</v>
      </c>
      <c r="D170" s="361" t="str">
        <f>+'staffing plan'!AK112</f>
        <v>0567</v>
      </c>
      <c r="E170" s="360" t="e">
        <f>+'staffing plan'!#REF!</f>
        <v>#REF!</v>
      </c>
      <c r="F170" s="360" t="e">
        <f>CONCATENATE('staffing plan'!#REF!," ",'staffing plan'!#REF!)</f>
        <v>#REF!</v>
      </c>
      <c r="G170" s="360" t="str">
        <f>'staffing plan'!AX112</f>
        <v>Benguet</v>
      </c>
      <c r="H170" s="360" t="str">
        <f>'staffing plan'!AW112</f>
        <v>SAHOY, Jonilou Fukai</v>
      </c>
      <c r="I170" s="380"/>
      <c r="J170" s="381" t="e">
        <f t="shared" si="12"/>
        <v>#REF!</v>
      </c>
    </row>
    <row r="171" spans="1:15" s="347" customFormat="1" ht="28.8">
      <c r="A171" s="388" t="str">
        <f>'staffing plan'!B114</f>
        <v>Local Government Operations Officer VI</v>
      </c>
      <c r="B171" s="389">
        <f>+'staffing plan'!C114</f>
        <v>22</v>
      </c>
      <c r="C171" s="390" t="str">
        <f>+'staffing plan'!A114</f>
        <v>OSEC-DILGB-LGOO6-30-2017</v>
      </c>
      <c r="D171" s="391" t="str">
        <f>+'staffing plan'!AK114</f>
        <v>0570</v>
      </c>
      <c r="E171" s="390" t="e">
        <f>+'staffing plan'!#REF!</f>
        <v>#REF!</v>
      </c>
      <c r="F171" s="390" t="e">
        <f>CONCATENATE('staffing plan'!#REF!," ",'staffing plan'!#REF!)</f>
        <v>#REF!</v>
      </c>
      <c r="G171" s="390" t="str">
        <f>'staffing plan'!AX114</f>
        <v>Benguet</v>
      </c>
      <c r="H171" s="390" t="str">
        <f>'staffing plan'!AW114</f>
        <v>ULEP, Brigitte  Adeban</v>
      </c>
      <c r="I171" s="392"/>
      <c r="J171" s="381" t="e">
        <f t="shared" si="12"/>
        <v>#REF!</v>
      </c>
    </row>
    <row r="172" spans="1:15" s="347" customFormat="1" ht="28.8">
      <c r="A172" s="358" t="str">
        <f>'staffing plan'!B119</f>
        <v>Local Government Operations Officer VI</v>
      </c>
      <c r="B172" s="359">
        <f>+'staffing plan'!C119</f>
        <v>22</v>
      </c>
      <c r="C172" s="360" t="str">
        <f>+'staffing plan'!A119</f>
        <v>OSEC-DILGB-LGOO6-35-2017</v>
      </c>
      <c r="D172" s="361" t="str">
        <f>+'staffing plan'!AK119</f>
        <v>0573</v>
      </c>
      <c r="E172" s="360" t="e">
        <f>+'staffing plan'!#REF!</f>
        <v>#REF!</v>
      </c>
      <c r="F172" s="360" t="e">
        <f>CONCATENATE('staffing plan'!#REF!," ",'staffing plan'!#REF!)</f>
        <v>#REF!</v>
      </c>
      <c r="G172" s="360" t="str">
        <f>'staffing plan'!AX119</f>
        <v>Benguet</v>
      </c>
      <c r="H172" s="360" t="str">
        <f>'staffing plan'!AW119</f>
        <v>EBES, Linston Bolislis</v>
      </c>
      <c r="I172" s="380"/>
      <c r="J172" s="381" t="e">
        <f t="shared" si="12"/>
        <v>#REF!</v>
      </c>
    </row>
    <row r="173" spans="1:15" s="347" customFormat="1" ht="28.8">
      <c r="A173" s="358" t="str">
        <f>'staffing plan'!B125</f>
        <v>Local Government Operations Officer VI</v>
      </c>
      <c r="B173" s="359">
        <f>+'staffing plan'!C125</f>
        <v>22</v>
      </c>
      <c r="C173" s="360" t="str">
        <f>+'staffing plan'!A125</f>
        <v>OSEC-DILGB-LGOO6-41-2017</v>
      </c>
      <c r="D173" s="361" t="str">
        <f>+'staffing plan'!AK125</f>
        <v>0576</v>
      </c>
      <c r="E173" s="360" t="e">
        <f>+'staffing plan'!#REF!</f>
        <v>#REF!</v>
      </c>
      <c r="F173" s="360" t="e">
        <f>CONCATENATE('staffing plan'!#REF!," ",'staffing plan'!#REF!)</f>
        <v>#REF!</v>
      </c>
      <c r="G173" s="360" t="str">
        <f>'staffing plan'!AX125</f>
        <v>Benguet</v>
      </c>
      <c r="H173" s="360" t="str">
        <f>'staffing plan'!AW125</f>
        <v>SAINGAN, Evelyn Mensi</v>
      </c>
      <c r="I173" s="380"/>
      <c r="J173" s="381" t="e">
        <f t="shared" si="12"/>
        <v>#REF!</v>
      </c>
    </row>
    <row r="174" spans="1:15">
      <c r="A174" s="362"/>
      <c r="B174" s="363"/>
      <c r="C174" s="364"/>
      <c r="D174" s="374"/>
      <c r="E174" s="364"/>
      <c r="F174" s="364"/>
      <c r="G174" s="364"/>
      <c r="H174" s="364"/>
      <c r="I174" s="382"/>
      <c r="M174" s="349"/>
      <c r="N174" s="349"/>
      <c r="O174" s="349"/>
    </row>
    <row r="175" spans="1:15" s="348" customFormat="1">
      <c r="A175" s="355" t="s">
        <v>2798</v>
      </c>
      <c r="B175" s="375"/>
      <c r="C175" s="376"/>
      <c r="D175" s="377"/>
      <c r="E175" s="376"/>
      <c r="F175" s="376"/>
      <c r="G175" s="376"/>
      <c r="H175" s="376"/>
      <c r="I175" s="385"/>
      <c r="J175" s="386"/>
    </row>
    <row r="176" spans="1:15" s="347" customFormat="1" ht="28.8">
      <c r="A176" s="358" t="str">
        <f>'staffing plan'!B72</f>
        <v>Local Government Operations Officer VIII</v>
      </c>
      <c r="B176" s="359">
        <f>+'staffing plan'!C72</f>
        <v>26</v>
      </c>
      <c r="C176" s="360" t="str">
        <f>+'staffing plan'!A72</f>
        <v>OSEC-DILGB-LGOO8-79-1998</v>
      </c>
      <c r="D176" s="397" t="str">
        <f>+'staffing plan'!AK72</f>
        <v>07</v>
      </c>
      <c r="E176" s="360" t="e">
        <f>+'staffing plan'!#REF!</f>
        <v>#REF!</v>
      </c>
      <c r="F176" s="360" t="e">
        <f>CONCATENATE('staffing plan'!#REF!," ",'staffing plan'!#REF!)</f>
        <v>#REF!</v>
      </c>
      <c r="G176" s="360" t="str">
        <f>'staffing plan'!AX72</f>
        <v>Ifugao</v>
      </c>
      <c r="H176" s="360" t="str">
        <f>'staffing plan'!AW72</f>
        <v>MAMMAG, Regina Elizabeth Lingayo</v>
      </c>
      <c r="I176" s="380"/>
      <c r="J176" s="381" t="e">
        <f t="shared" ref="J176:J188" si="13">E176=G176</f>
        <v>#REF!</v>
      </c>
      <c r="L176" s="400" t="s">
        <v>2782</v>
      </c>
    </row>
    <row r="177" spans="1:15" s="347" customFormat="1" ht="28.8">
      <c r="A177" s="358" t="str">
        <f>'staffing plan'!B160</f>
        <v>Local Government Operations Officer VI</v>
      </c>
      <c r="B177" s="359">
        <f>+'staffing plan'!C160</f>
        <v>22</v>
      </c>
      <c r="C177" s="360" t="str">
        <f>+'staffing plan'!A160</f>
        <v>OSEC-DILGB-LGOO6-237-2010</v>
      </c>
      <c r="D177" s="397" t="str">
        <f>+'staffing plan'!AK160</f>
        <v>06</v>
      </c>
      <c r="E177" s="360" t="e">
        <f>+'staffing plan'!#REF!</f>
        <v>#REF!</v>
      </c>
      <c r="F177" s="360" t="e">
        <f>CONCATENATE('staffing plan'!#REF!," ",'staffing plan'!#REF!)</f>
        <v>#REF!</v>
      </c>
      <c r="G177" s="360" t="str">
        <f>'staffing plan'!AX160</f>
        <v>Benguet</v>
      </c>
      <c r="H177" s="360" t="str">
        <f>'staffing plan'!AW160</f>
        <v>BALLUG, Rene Vincent Ilacad</v>
      </c>
      <c r="I177" s="380"/>
      <c r="J177" s="381" t="e">
        <f t="shared" si="13"/>
        <v>#REF!</v>
      </c>
      <c r="L177" s="347" t="s">
        <v>463</v>
      </c>
      <c r="M177" s="347">
        <v>1</v>
      </c>
      <c r="N177" s="347">
        <f>COUNTIF(IfugaoSG,"26")</f>
        <v>1</v>
      </c>
      <c r="O177" s="347">
        <f t="shared" ref="O177:O183" si="14">+M177-N177</f>
        <v>0</v>
      </c>
    </row>
    <row r="178" spans="1:15" s="347" customFormat="1" ht="28.8">
      <c r="A178" s="358" t="str">
        <f>'staffing plan'!B78</f>
        <v>Local Government Operations Officer VII</v>
      </c>
      <c r="B178" s="359">
        <f>+'staffing plan'!C78</f>
        <v>24</v>
      </c>
      <c r="C178" s="360" t="str">
        <f>+'staffing plan'!A78</f>
        <v>OSEC-DILGB-LGOO7-1446-2017</v>
      </c>
      <c r="D178" s="245" t="str">
        <f>+'staffing plan'!AK78</f>
        <v>79</v>
      </c>
      <c r="E178" s="360" t="s">
        <v>174</v>
      </c>
      <c r="F178" s="360" t="e">
        <f>CONCATENATE('staffing plan'!#REF!," ",'staffing plan'!#REF!)</f>
        <v>#REF!</v>
      </c>
      <c r="G178" s="360" t="str">
        <f>'staffing plan'!AX78</f>
        <v>Kalinga</v>
      </c>
      <c r="H178" s="360" t="str">
        <f>'staffing plan'!AW78</f>
        <v>ALIÑO, Mediatrix Rubio</v>
      </c>
      <c r="I178" s="380" t="s">
        <v>2790</v>
      </c>
      <c r="J178" s="381" t="b">
        <f t="shared" si="13"/>
        <v>0</v>
      </c>
      <c r="L178" s="347" t="s">
        <v>157</v>
      </c>
      <c r="M178" s="347">
        <v>2</v>
      </c>
      <c r="N178" s="347">
        <f>COUNTIF(IfugaoSG,"22")+COUNTIF(IfugaoSG,"24")</f>
        <v>13</v>
      </c>
      <c r="O178" s="347">
        <f t="shared" si="14"/>
        <v>-11</v>
      </c>
    </row>
    <row r="179" spans="1:15" s="347" customFormat="1" ht="28.8">
      <c r="A179" s="358" t="str">
        <f>'staffing plan'!B137</f>
        <v>Local Government Operations OFFICER VI</v>
      </c>
      <c r="B179" s="359">
        <f>+'staffing plan'!C137</f>
        <v>22</v>
      </c>
      <c r="C179" s="360" t="str">
        <f>+'staffing plan'!A137</f>
        <v>OSEC-DILGB-LGOO6-53-2017</v>
      </c>
      <c r="D179" s="397" t="str">
        <f>+'staffing plan'!AK137</f>
        <v>07</v>
      </c>
      <c r="E179" s="360" t="e">
        <f>+'staffing plan'!#REF!</f>
        <v>#REF!</v>
      </c>
      <c r="F179" s="360" t="e">
        <f>CONCATENATE('staffing plan'!#REF!," ",'staffing plan'!#REF!)</f>
        <v>#REF!</v>
      </c>
      <c r="G179" s="360" t="str">
        <f>'staffing plan'!AX137</f>
        <v>Ifugao</v>
      </c>
      <c r="H179" s="360" t="str">
        <f>'staffing plan'!AW137</f>
        <v>MARCAIDA, Linda Himoldang</v>
      </c>
      <c r="I179" s="380"/>
      <c r="J179" s="381" t="e">
        <f t="shared" si="13"/>
        <v>#REF!</v>
      </c>
      <c r="L179" s="347" t="s">
        <v>165</v>
      </c>
      <c r="M179" s="347">
        <v>14</v>
      </c>
      <c r="N179" s="347">
        <f>COUNTIF(IfugaoSG,"20")</f>
        <v>3</v>
      </c>
      <c r="O179" s="347">
        <f t="shared" si="14"/>
        <v>11</v>
      </c>
    </row>
    <row r="180" spans="1:15" s="347" customFormat="1" ht="28.8">
      <c r="A180" s="358" t="str">
        <f>'staffing plan'!B173</f>
        <v>Local Government Operations Officer V</v>
      </c>
      <c r="B180" s="359">
        <f>+'staffing plan'!C173</f>
        <v>20</v>
      </c>
      <c r="C180" s="360" t="str">
        <f>+'staffing plan'!A173</f>
        <v>OSEC-DILGB-LGOO5-952-1998</v>
      </c>
      <c r="D180" s="397" t="str">
        <f>+'staffing plan'!AK173</f>
        <v>07</v>
      </c>
      <c r="E180" s="360" t="e">
        <f>+'staffing plan'!#REF!</f>
        <v>#REF!</v>
      </c>
      <c r="F180" s="360" t="e">
        <f>CONCATENATE('staffing plan'!#REF!," ",'staffing plan'!#REF!)</f>
        <v>#REF!</v>
      </c>
      <c r="G180" s="360" t="str">
        <f>'staffing plan'!AX173</f>
        <v>Ifugao</v>
      </c>
      <c r="H180" s="360" t="str">
        <f>'staffing plan'!AW173</f>
        <v>ANGGADNA, Mario Jr. Domingo</v>
      </c>
      <c r="I180" s="380"/>
      <c r="J180" s="381" t="e">
        <f t="shared" si="13"/>
        <v>#REF!</v>
      </c>
      <c r="L180" s="347" t="s">
        <v>1074</v>
      </c>
      <c r="M180" s="347">
        <v>3</v>
      </c>
      <c r="N180" s="347">
        <f>COUNTIF(IfugaoSG,"13")</f>
        <v>3</v>
      </c>
      <c r="O180" s="347">
        <f t="shared" si="14"/>
        <v>0</v>
      </c>
    </row>
    <row r="181" spans="1:15" s="347" customFormat="1" ht="28.8">
      <c r="A181" s="358" t="str">
        <f>'staffing plan'!B174</f>
        <v>Local Government Operations Officer V</v>
      </c>
      <c r="B181" s="359">
        <f>+'staffing plan'!C174</f>
        <v>20</v>
      </c>
      <c r="C181" s="360" t="str">
        <f>+'staffing plan'!A174</f>
        <v>OSEC-DILGB-LGOO5-957-1998</v>
      </c>
      <c r="D181" s="397" t="str">
        <f>+'staffing plan'!AK174</f>
        <v>07</v>
      </c>
      <c r="E181" s="360" t="e">
        <f>+'staffing plan'!#REF!</f>
        <v>#REF!</v>
      </c>
      <c r="F181" s="360" t="e">
        <f>CONCATENATE('staffing plan'!#REF!," ",'staffing plan'!#REF!)</f>
        <v>#REF!</v>
      </c>
      <c r="G181" s="360" t="str">
        <f>'staffing plan'!AX174</f>
        <v>Ifugao</v>
      </c>
      <c r="H181" s="360" t="str">
        <f>'staffing plan'!AW174</f>
        <v>NARCIZA, Florita Garcia</v>
      </c>
      <c r="I181" s="380"/>
      <c r="J181" s="381" t="e">
        <f t="shared" si="13"/>
        <v>#REF!</v>
      </c>
      <c r="L181" s="347" t="s">
        <v>1170</v>
      </c>
      <c r="M181" s="347">
        <v>2</v>
      </c>
      <c r="N181" s="347">
        <f>COUNTIF(IfugaoSG,"8")</f>
        <v>2</v>
      </c>
      <c r="O181" s="347">
        <f t="shared" si="14"/>
        <v>0</v>
      </c>
    </row>
    <row r="182" spans="1:15" s="347" customFormat="1" ht="28.8">
      <c r="A182" s="358" t="str">
        <f>'staffing plan'!B177</f>
        <v>Local Government Operations Officer V</v>
      </c>
      <c r="B182" s="359">
        <f>+'staffing plan'!C177</f>
        <v>20</v>
      </c>
      <c r="C182" s="360" t="str">
        <f>+'staffing plan'!A177</f>
        <v>OSEC-DILGB-LGOO5-976-1998</v>
      </c>
      <c r="D182" s="245" t="str">
        <f>+'staffing plan'!AK177</f>
        <v>08</v>
      </c>
      <c r="E182" s="360" t="e">
        <f>+'staffing plan'!#REF!</f>
        <v>#REF!</v>
      </c>
      <c r="F182" s="360" t="e">
        <f>CONCATENATE('staffing plan'!#REF!," ",'staffing plan'!#REF!)</f>
        <v>#REF!</v>
      </c>
      <c r="G182" s="360" t="str">
        <f>'staffing plan'!AX177</f>
        <v>Ifugao</v>
      </c>
      <c r="H182" s="360" t="str">
        <f>'staffing plan'!AW177</f>
        <v>NEHYEBAN, Arellano Lestino</v>
      </c>
      <c r="I182" s="380" t="s">
        <v>2799</v>
      </c>
      <c r="J182" s="381" t="e">
        <f t="shared" si="13"/>
        <v>#REF!</v>
      </c>
      <c r="L182" s="347" t="s">
        <v>273</v>
      </c>
      <c r="M182" s="347">
        <v>1</v>
      </c>
      <c r="N182" s="347">
        <f>COUNTIF(IfugaoSG,"6")</f>
        <v>1</v>
      </c>
      <c r="O182" s="347">
        <f t="shared" si="14"/>
        <v>0</v>
      </c>
    </row>
    <row r="183" spans="1:15" s="347" customFormat="1" ht="28.8">
      <c r="A183" s="358" t="str">
        <f>'staffing plan'!B199</f>
        <v>Local Government Operations Officer II</v>
      </c>
      <c r="B183" s="359">
        <f>+'staffing plan'!C199</f>
        <v>13</v>
      </c>
      <c r="C183" s="360" t="str">
        <f>+'staffing plan'!A199</f>
        <v>OSEC-DILGB-LGOO2-30-1998</v>
      </c>
      <c r="D183" s="397" t="str">
        <f>+'staffing plan'!AK199</f>
        <v>07</v>
      </c>
      <c r="E183" s="360" t="e">
        <f>+'staffing plan'!#REF!</f>
        <v>#REF!</v>
      </c>
      <c r="F183" s="360" t="e">
        <f>CONCATENATE('staffing plan'!#REF!," ",'staffing plan'!#REF!)</f>
        <v>#REF!</v>
      </c>
      <c r="G183" s="360" t="str">
        <f>'staffing plan'!AX199</f>
        <v>Ifugao</v>
      </c>
      <c r="H183" s="360" t="str">
        <f>'staffing plan'!AW199</f>
        <v>NAMINGIT, Gyda Hoggang</v>
      </c>
      <c r="I183" s="380"/>
      <c r="J183" s="381" t="e">
        <f t="shared" si="13"/>
        <v>#REF!</v>
      </c>
      <c r="L183" s="347" t="s">
        <v>455</v>
      </c>
      <c r="M183" s="347">
        <v>1</v>
      </c>
      <c r="N183" s="347">
        <f>COUNTIF(IfugaoSG,"4")</f>
        <v>1</v>
      </c>
      <c r="O183" s="347">
        <f t="shared" si="14"/>
        <v>0</v>
      </c>
    </row>
    <row r="184" spans="1:15" s="347" customFormat="1" ht="28.8">
      <c r="A184" s="358" t="str">
        <f>'staffing plan'!B204</f>
        <v>Local Government Operations Officer II</v>
      </c>
      <c r="B184" s="359">
        <f>+'staffing plan'!C204</f>
        <v>13</v>
      </c>
      <c r="C184" s="360" t="str">
        <f>+'staffing plan'!A204</f>
        <v>OSEC-DILGB-LGOO2-40-1998</v>
      </c>
      <c r="D184" s="291" t="str">
        <f>+'staffing plan'!AK204</f>
        <v>07</v>
      </c>
      <c r="E184" s="360" t="e">
        <f>+'staffing plan'!#REF!</f>
        <v>#REF!</v>
      </c>
      <c r="F184" s="360" t="e">
        <f>CONCATENATE('staffing plan'!#REF!," ",'staffing plan'!#REF!)</f>
        <v>#REF!</v>
      </c>
      <c r="G184" s="360" t="str">
        <f>'staffing plan'!AX204</f>
        <v>Benguet</v>
      </c>
      <c r="H184" s="360" t="str">
        <f>'staffing plan'!AW204</f>
        <v>LIGLIGON, Randolph Lacamang</v>
      </c>
      <c r="I184" s="380"/>
      <c r="J184" s="381" t="e">
        <f t="shared" si="13"/>
        <v>#REF!</v>
      </c>
      <c r="M184" s="347">
        <f>SUM(M176:M183)</f>
        <v>24</v>
      </c>
      <c r="N184" s="347">
        <f>SUM(N176:N183)</f>
        <v>24</v>
      </c>
      <c r="O184" s="347">
        <f>SUM(O176:O183)</f>
        <v>0</v>
      </c>
    </row>
    <row r="185" spans="1:15" s="347" customFormat="1" ht="28.8">
      <c r="A185" s="358" t="str">
        <f>'staffing plan'!B214</f>
        <v>Administrative Assistant II</v>
      </c>
      <c r="B185" s="359">
        <f>+'staffing plan'!C214</f>
        <v>8</v>
      </c>
      <c r="C185" s="360" t="str">
        <f>+'staffing plan'!A214</f>
        <v>OSEC-DILGB-ADAS2-76-2005</v>
      </c>
      <c r="D185" s="397" t="str">
        <f>+'staffing plan'!AK214</f>
        <v>07</v>
      </c>
      <c r="E185" s="360" t="e">
        <f>+'staffing plan'!#REF!</f>
        <v>#REF!</v>
      </c>
      <c r="F185" s="360" t="e">
        <f>CONCATENATE('staffing plan'!#REF!," ",'staffing plan'!#REF!)</f>
        <v>#REF!</v>
      </c>
      <c r="G185" s="360" t="str">
        <f>'staffing plan'!AX214</f>
        <v>Ifugao</v>
      </c>
      <c r="H185" s="360" t="str">
        <f>'staffing plan'!AW214</f>
        <v>BINTUDAN, Rosemarie Bumidang</v>
      </c>
      <c r="I185" s="380"/>
      <c r="J185" s="381" t="e">
        <f t="shared" si="13"/>
        <v>#REF!</v>
      </c>
    </row>
    <row r="186" spans="1:15" s="347" customFormat="1" ht="28.8">
      <c r="A186" s="358" t="str">
        <f>'staffing plan'!B209</f>
        <v>Administrative Assistant II</v>
      </c>
      <c r="B186" s="359">
        <f>+'staffing plan'!C209</f>
        <v>8</v>
      </c>
      <c r="C186" s="360" t="str">
        <f>+'staffing plan'!A209</f>
        <v>OSEC-DILGB-ADAS2-70-2005</v>
      </c>
      <c r="D186" s="291" t="str">
        <f>+'staffing plan'!AK209</f>
        <v>011</v>
      </c>
      <c r="E186" s="360" t="e">
        <f>+'staffing plan'!#REF!</f>
        <v>#REF!</v>
      </c>
      <c r="F186" s="360" t="e">
        <f>CONCATENATE('staffing plan'!#REF!," ",'staffing plan'!#REF!)</f>
        <v>#REF!</v>
      </c>
      <c r="G186" s="360" t="str">
        <f>'staffing plan'!AX209</f>
        <v>Ifugao</v>
      </c>
      <c r="H186" s="360" t="str">
        <f>'staffing plan'!AW209</f>
        <v>ALCAYNA, Dennis Bantiyan</v>
      </c>
      <c r="I186" s="380" t="s">
        <v>2790</v>
      </c>
      <c r="J186" s="381" t="e">
        <f t="shared" si="13"/>
        <v>#REF!</v>
      </c>
    </row>
    <row r="187" spans="1:15" s="347" customFormat="1" ht="28.8">
      <c r="A187" s="358" t="str">
        <f>'staffing plan'!B217</f>
        <v>Administrative Aide VI</v>
      </c>
      <c r="B187" s="359">
        <f>+'staffing plan'!C217</f>
        <v>6</v>
      </c>
      <c r="C187" s="360" t="str">
        <f>+'staffing plan'!A217</f>
        <v>OSEC-DILGB-ADA6-95-2005</v>
      </c>
      <c r="D187" s="291" t="str">
        <f>+'staffing plan'!AK217</f>
        <v>011</v>
      </c>
      <c r="E187" s="360" t="e">
        <f>+'staffing plan'!#REF!</f>
        <v>#REF!</v>
      </c>
      <c r="F187" s="360" t="e">
        <f>CONCATENATE('staffing plan'!#REF!," ",'staffing plan'!#REF!)</f>
        <v>#REF!</v>
      </c>
      <c r="G187" s="360" t="str">
        <f>'staffing plan'!AX217</f>
        <v>Regional Office</v>
      </c>
      <c r="H187" s="360" t="str">
        <f>'staffing plan'!AW217</f>
        <v>DEDUQUE, Katherine  Pablo</v>
      </c>
      <c r="I187" s="380" t="s">
        <v>2790</v>
      </c>
      <c r="J187" s="381" t="e">
        <f t="shared" si="13"/>
        <v>#REF!</v>
      </c>
    </row>
    <row r="188" spans="1:15" s="347" customFormat="1" ht="28.8">
      <c r="A188" s="358" t="str">
        <f>'staffing plan'!B227</f>
        <v>Administrative Aide IV</v>
      </c>
      <c r="B188" s="359">
        <f>+'staffing plan'!C227</f>
        <v>4</v>
      </c>
      <c r="C188" s="360" t="str">
        <f>+'staffing plan'!A227</f>
        <v>OSEC-DILGB-ADA4-92-2005</v>
      </c>
      <c r="D188" s="397" t="str">
        <f>+'staffing plan'!AK227</f>
        <v>07</v>
      </c>
      <c r="E188" s="360" t="e">
        <f>+'staffing plan'!#REF!</f>
        <v>#REF!</v>
      </c>
      <c r="F188" s="360" t="e">
        <f>CONCATENATE('staffing plan'!#REF!," ",'staffing plan'!#REF!)</f>
        <v>#REF!</v>
      </c>
      <c r="G188" s="360" t="str">
        <f>'staffing plan'!AX227</f>
        <v>Ifugao</v>
      </c>
      <c r="H188" s="360" t="str">
        <f>'staffing plan'!AW227</f>
        <v>PATAUEG, Clifford Pungod</v>
      </c>
      <c r="I188" s="380"/>
      <c r="J188" s="381" t="e">
        <f t="shared" si="13"/>
        <v>#REF!</v>
      </c>
    </row>
    <row r="189" spans="1:15" s="347" customFormat="1" ht="30" customHeight="1">
      <c r="A189" s="273" t="s">
        <v>1388</v>
      </c>
      <c r="B189" s="274"/>
      <c r="C189" s="275"/>
      <c r="D189" s="245"/>
      <c r="E189" s="275"/>
      <c r="F189" s="275" t="s">
        <v>2755</v>
      </c>
      <c r="G189" s="275"/>
      <c r="H189" s="275"/>
      <c r="I189" s="283" t="s">
        <v>2786</v>
      </c>
      <c r="J189" s="284"/>
    </row>
    <row r="190" spans="1:15" s="347" customFormat="1" ht="28.8">
      <c r="A190" s="388" t="str">
        <f>'staffing plan'!B129</f>
        <v>Local Government Operations OFFICER VI</v>
      </c>
      <c r="B190" s="389">
        <f>+'staffing plan'!C129</f>
        <v>22</v>
      </c>
      <c r="C190" s="390" t="str">
        <f>+'staffing plan'!A129</f>
        <v>OSEC-DILGB-LGOO6-45-2017</v>
      </c>
      <c r="D190" s="398" t="str">
        <f>+'staffing plan'!AK129</f>
        <v>0611</v>
      </c>
      <c r="E190" s="390" t="e">
        <f>+'staffing plan'!#REF!</f>
        <v>#REF!</v>
      </c>
      <c r="F190" s="390" t="e">
        <f>CONCATENATE('staffing plan'!#REF!," ",'staffing plan'!#REF!)</f>
        <v>#REF!</v>
      </c>
      <c r="G190" s="390" t="str">
        <f>'staffing plan'!AX129</f>
        <v>Ifugao</v>
      </c>
      <c r="H190" s="390" t="str">
        <f>'staffing plan'!AW129</f>
        <v>BULAYUNGAN, Isabel Allaga</v>
      </c>
      <c r="I190" s="392"/>
      <c r="J190" s="381" t="e">
        <f t="shared" ref="J190:J200" si="15">E190=G190</f>
        <v>#REF!</v>
      </c>
    </row>
    <row r="191" spans="1:15" s="347" customFormat="1" ht="28.8">
      <c r="A191" s="358" t="str">
        <f>'staffing plan'!B134</f>
        <v>Local Government Operations OFFICER VI</v>
      </c>
      <c r="B191" s="359">
        <f>+'staffing plan'!C134</f>
        <v>22</v>
      </c>
      <c r="C191" s="360" t="str">
        <f>+'staffing plan'!A134</f>
        <v>OSEC-DILGB-LGOO6-50-2017</v>
      </c>
      <c r="D191" s="397" t="str">
        <f>+'staffing plan'!AK134</f>
        <v>0612</v>
      </c>
      <c r="E191" s="360" t="e">
        <f>+'staffing plan'!#REF!</f>
        <v>#REF!</v>
      </c>
      <c r="F191" s="360" t="e">
        <f>CONCATENATE('staffing plan'!#REF!," ",'staffing plan'!#REF!)</f>
        <v>#REF!</v>
      </c>
      <c r="G191" s="360" t="str">
        <f>'staffing plan'!AX134</f>
        <v>Ifugao</v>
      </c>
      <c r="H191" s="360" t="str">
        <f>'staffing plan'!AW134</f>
        <v>APLOSEN, Roselle Nanglegan</v>
      </c>
      <c r="I191" s="380"/>
      <c r="J191" s="381" t="e">
        <f t="shared" si="15"/>
        <v>#REF!</v>
      </c>
    </row>
    <row r="192" spans="1:15" s="347" customFormat="1" ht="28.8">
      <c r="A192" s="358" t="str">
        <f>'staffing plan'!B136</f>
        <v>Local Government Operations OFFICER VI</v>
      </c>
      <c r="B192" s="359">
        <f>+'staffing plan'!C136</f>
        <v>22</v>
      </c>
      <c r="C192" s="360" t="str">
        <f>+'staffing plan'!A136</f>
        <v>OSEC-DILGB-LGOO6-52-2017</v>
      </c>
      <c r="D192" s="397" t="str">
        <f>+'staffing plan'!AK136</f>
        <v>0615</v>
      </c>
      <c r="E192" s="360" t="e">
        <f>+'staffing plan'!#REF!</f>
        <v>#REF!</v>
      </c>
      <c r="F192" s="360" t="e">
        <f>CONCATENATE('staffing plan'!#REF!," ",'staffing plan'!#REF!)</f>
        <v>#REF!</v>
      </c>
      <c r="G192" s="360" t="str">
        <f>'staffing plan'!AX136</f>
        <v>Ifugao</v>
      </c>
      <c r="H192" s="360" t="str">
        <f>'staffing plan'!AW136</f>
        <v>LINDAWAN, Gilbert Nayahangan</v>
      </c>
      <c r="I192" s="380"/>
      <c r="J192" s="381" t="e">
        <f t="shared" si="15"/>
        <v>#REF!</v>
      </c>
    </row>
    <row r="193" spans="1:15" s="347" customFormat="1" ht="28.8">
      <c r="A193" s="358" t="str">
        <f>'staffing plan'!B131</f>
        <v>Local Government Operations OFFICER VI</v>
      </c>
      <c r="B193" s="359">
        <f>+'staffing plan'!C131</f>
        <v>22</v>
      </c>
      <c r="C193" s="360" t="str">
        <f>+'staffing plan'!A131</f>
        <v>OSEC-DILGB-LGOO6-47-2017</v>
      </c>
      <c r="D193" s="397" t="str">
        <f>+'staffing plan'!AK131</f>
        <v>0618</v>
      </c>
      <c r="E193" s="360" t="e">
        <f>+'staffing plan'!#REF!</f>
        <v>#REF!</v>
      </c>
      <c r="F193" s="360" t="e">
        <f>CONCATENATE('staffing plan'!#REF!," ",'staffing plan'!#REF!)</f>
        <v>#REF!</v>
      </c>
      <c r="G193" s="360" t="str">
        <f>'staffing plan'!AX131</f>
        <v>Ifugao</v>
      </c>
      <c r="H193" s="360" t="str">
        <f>'staffing plan'!AW131</f>
        <v>DONG-E, Regina Tayaban</v>
      </c>
      <c r="I193" s="380"/>
      <c r="J193" s="381" t="e">
        <f t="shared" si="15"/>
        <v>#REF!</v>
      </c>
    </row>
    <row r="194" spans="1:15" s="347" customFormat="1" ht="28.8">
      <c r="A194" s="358" t="str">
        <f>'staffing plan'!B128</f>
        <v>Local Government Operations OFFICER VI</v>
      </c>
      <c r="B194" s="359">
        <f>+'staffing plan'!C128</f>
        <v>22</v>
      </c>
      <c r="C194" s="360" t="str">
        <f>+'staffing plan'!A128</f>
        <v>OSEC-DILGB-LGOO6-44-2017</v>
      </c>
      <c r="D194" s="397" t="str">
        <f>+'staffing plan'!AK128</f>
        <v>0621</v>
      </c>
      <c r="E194" s="360" t="e">
        <f>+'staffing plan'!#REF!</f>
        <v>#REF!</v>
      </c>
      <c r="F194" s="360" t="e">
        <f>CONCATENATE('staffing plan'!#REF!," ",'staffing plan'!#REF!)</f>
        <v>#REF!</v>
      </c>
      <c r="G194" s="360" t="str">
        <f>'staffing plan'!AX128</f>
        <v>Ifugao</v>
      </c>
      <c r="H194" s="360" t="str">
        <f>'staffing plan'!AW128</f>
        <v>PAGADDUT, Jimmy Bantiyan</v>
      </c>
      <c r="I194" s="380"/>
      <c r="J194" s="381" t="e">
        <f t="shared" si="15"/>
        <v>#REF!</v>
      </c>
    </row>
    <row r="195" spans="1:15" s="347" customFormat="1" ht="28.8">
      <c r="A195" s="358" t="str">
        <f>'staffing plan'!B132</f>
        <v>Local Government Operations OFFICER VI</v>
      </c>
      <c r="B195" s="359">
        <f>+'staffing plan'!C132</f>
        <v>22</v>
      </c>
      <c r="C195" s="360" t="str">
        <f>+'staffing plan'!A132</f>
        <v>OSEC-DILGB-LGOO6-48-2017</v>
      </c>
      <c r="D195" s="397" t="str">
        <f>+'staffing plan'!AK132</f>
        <v>0624</v>
      </c>
      <c r="E195" s="360" t="e">
        <f>+'staffing plan'!#REF!</f>
        <v>#REF!</v>
      </c>
      <c r="F195" s="360" t="e">
        <f>CONCATENATE('staffing plan'!#REF!," ",'staffing plan'!#REF!)</f>
        <v>#REF!</v>
      </c>
      <c r="G195" s="360" t="str">
        <f>'staffing plan'!AX132</f>
        <v>Ifugao</v>
      </c>
      <c r="H195" s="360" t="str">
        <f>'staffing plan'!AW132</f>
        <v>BANGO, Emmanuel Hiadan</v>
      </c>
      <c r="I195" s="380"/>
      <c r="J195" s="381" t="e">
        <f t="shared" si="15"/>
        <v>#REF!</v>
      </c>
    </row>
    <row r="196" spans="1:15" s="347" customFormat="1" ht="28.8">
      <c r="A196" s="358" t="str">
        <f>'staffing plan'!B127</f>
        <v>Local Government Operations OFFICER VI</v>
      </c>
      <c r="B196" s="359">
        <f>+'staffing plan'!C127</f>
        <v>22</v>
      </c>
      <c r="C196" s="360" t="str">
        <f>+'staffing plan'!A127</f>
        <v>OSEC-DILGB-LGOO6-43-2017</v>
      </c>
      <c r="D196" s="397" t="str">
        <f>+'staffing plan'!AK127</f>
        <v>0627</v>
      </c>
      <c r="E196" s="360" t="e">
        <f>+'staffing plan'!#REF!</f>
        <v>#REF!</v>
      </c>
      <c r="F196" s="360" t="e">
        <f>CONCATENATE('staffing plan'!#REF!," ",'staffing plan'!#REF!)</f>
        <v>#REF!</v>
      </c>
      <c r="G196" s="360" t="str">
        <f>'staffing plan'!AX127</f>
        <v>Ifugao</v>
      </c>
      <c r="H196" s="360" t="str">
        <f>'staffing plan'!AW127</f>
        <v>CABANAYAN, Carol Chulipa</v>
      </c>
      <c r="I196" s="380"/>
      <c r="J196" s="381" t="e">
        <f t="shared" si="15"/>
        <v>#REF!</v>
      </c>
    </row>
    <row r="197" spans="1:15" s="347" customFormat="1" ht="28.8">
      <c r="A197" s="358" t="str">
        <f>'staffing plan'!B133</f>
        <v>Local Government Operations OFFICER VI</v>
      </c>
      <c r="B197" s="359">
        <f>+'staffing plan'!C133</f>
        <v>22</v>
      </c>
      <c r="C197" s="360" t="str">
        <f>+'staffing plan'!A133</f>
        <v>OSEC-DILGB-LGOO6-49-2017</v>
      </c>
      <c r="D197" s="397" t="str">
        <f>+'staffing plan'!AK133</f>
        <v>0630</v>
      </c>
      <c r="E197" s="360" t="e">
        <f>+'staffing plan'!#REF!</f>
        <v>#REF!</v>
      </c>
      <c r="F197" s="360" t="e">
        <f>CONCATENATE('staffing plan'!#REF!," ",'staffing plan'!#REF!)</f>
        <v>#REF!</v>
      </c>
      <c r="G197" s="360" t="str">
        <f>'staffing plan'!AX133</f>
        <v>Ifugao</v>
      </c>
      <c r="H197" s="360" t="str">
        <f>'staffing plan'!AW133</f>
        <v>ADAWE, Guillaume Lebbet</v>
      </c>
      <c r="I197" s="380"/>
      <c r="J197" s="381" t="e">
        <f t="shared" si="15"/>
        <v>#REF!</v>
      </c>
    </row>
    <row r="198" spans="1:15" s="347" customFormat="1" ht="28.8">
      <c r="A198" s="358" t="str">
        <f>'staffing plan'!B130</f>
        <v>Local Government Operations OFFICER VI</v>
      </c>
      <c r="B198" s="359">
        <f>+'staffing plan'!C130</f>
        <v>22</v>
      </c>
      <c r="C198" s="360" t="str">
        <f>+'staffing plan'!A130</f>
        <v>OSEC-DILGB-LGOO6-46-2017</v>
      </c>
      <c r="D198" s="397" t="str">
        <f>+'staffing plan'!AK130</f>
        <v>0633</v>
      </c>
      <c r="E198" s="360" t="e">
        <f>+'staffing plan'!#REF!</f>
        <v>#REF!</v>
      </c>
      <c r="F198" s="360" t="e">
        <f>CONCATENATE('staffing plan'!#REF!," ",'staffing plan'!#REF!)</f>
        <v>#REF!</v>
      </c>
      <c r="G198" s="360" t="str">
        <f>'staffing plan'!AX130</f>
        <v>Ifugao</v>
      </c>
      <c r="H198" s="360" t="str">
        <f>'staffing plan'!AW130</f>
        <v>MONAYAO, Jeda Paulha</v>
      </c>
      <c r="I198" s="380"/>
      <c r="J198" s="381" t="e">
        <f t="shared" si="15"/>
        <v>#REF!</v>
      </c>
    </row>
    <row r="199" spans="1:15" s="347" customFormat="1" ht="28.8">
      <c r="A199" s="358" t="str">
        <f>'staffing plan'!B135</f>
        <v>Local Government Operations OFFICER VI</v>
      </c>
      <c r="B199" s="359">
        <f>+'staffing plan'!C135</f>
        <v>22</v>
      </c>
      <c r="C199" s="360" t="str">
        <f>+'staffing plan'!A135</f>
        <v>OSEC-DILGB-LGOO6-51-2017</v>
      </c>
      <c r="D199" s="397" t="str">
        <f>+'staffing plan'!AK135</f>
        <v>0636</v>
      </c>
      <c r="E199" s="360" t="e">
        <f>+'staffing plan'!#REF!</f>
        <v>#REF!</v>
      </c>
      <c r="F199" s="360" t="e">
        <f>CONCATENATE('staffing plan'!#REF!," ",'staffing plan'!#REF!)</f>
        <v>#REF!</v>
      </c>
      <c r="G199" s="360" t="str">
        <f>'staffing plan'!AX135</f>
        <v>Ifugao</v>
      </c>
      <c r="H199" s="360" t="str">
        <f>'staffing plan'!AW135</f>
        <v>UMALCO, Wilbert Mayam-o</v>
      </c>
      <c r="I199" s="380"/>
      <c r="J199" s="381" t="e">
        <f t="shared" si="15"/>
        <v>#REF!</v>
      </c>
    </row>
    <row r="200" spans="1:15" s="347" customFormat="1" ht="28.8">
      <c r="A200" s="358" t="str">
        <f>'staffing plan'!B197</f>
        <v>Local Government Operations Officer II</v>
      </c>
      <c r="B200" s="359">
        <f>+'staffing plan'!C197</f>
        <v>13</v>
      </c>
      <c r="C200" s="360" t="str">
        <f>+'staffing plan'!A197</f>
        <v>OSEC-DILGB-LGOO2-27-1998</v>
      </c>
      <c r="D200" s="397" t="str">
        <f>+'staffing plan'!AK197</f>
        <v>0636</v>
      </c>
      <c r="E200" s="360" t="e">
        <f>+'staffing plan'!#REF!</f>
        <v>#REF!</v>
      </c>
      <c r="F200" s="360" t="e">
        <f>CONCATENATE('staffing plan'!#REF!," ",'staffing plan'!#REF!)</f>
        <v>#REF!</v>
      </c>
      <c r="G200" s="360" t="str">
        <f>'staffing plan'!AX197</f>
        <v>Kalinga</v>
      </c>
      <c r="H200" s="360" t="str">
        <f>'staffing plan'!AW197</f>
        <v>GARNACE, Baldo Jr Nolasco</v>
      </c>
      <c r="I200" s="380" t="s">
        <v>2762</v>
      </c>
      <c r="J200" s="381" t="e">
        <f t="shared" si="15"/>
        <v>#REF!</v>
      </c>
    </row>
    <row r="201" spans="1:15">
      <c r="A201" s="362"/>
      <c r="B201" s="363"/>
      <c r="C201" s="364"/>
      <c r="D201" s="374"/>
      <c r="E201" s="364"/>
      <c r="F201" s="364"/>
      <c r="G201" s="364"/>
      <c r="H201" s="364"/>
      <c r="I201" s="382"/>
      <c r="N201" s="387"/>
      <c r="O201" s="387"/>
    </row>
    <row r="202" spans="1:15" s="348" customFormat="1">
      <c r="A202" s="355" t="s">
        <v>2800</v>
      </c>
      <c r="B202" s="375"/>
      <c r="C202" s="376"/>
      <c r="D202" s="377"/>
      <c r="E202" s="376"/>
      <c r="F202" s="376"/>
      <c r="G202" s="376"/>
      <c r="H202" s="376"/>
      <c r="I202" s="385"/>
      <c r="J202" s="386"/>
      <c r="L202" s="349"/>
      <c r="M202" s="352"/>
      <c r="N202" s="352"/>
      <c r="O202" s="352"/>
    </row>
    <row r="203" spans="1:15" s="347" customFormat="1" ht="28.8">
      <c r="A203" s="358" t="str">
        <f>'staffing plan'!B73</f>
        <v>Local Government Operations Officer VIII</v>
      </c>
      <c r="B203" s="359">
        <f>+'staffing plan'!C73</f>
        <v>26</v>
      </c>
      <c r="C203" s="360" t="str">
        <f>+'staffing plan'!A73</f>
        <v>OSEC-DILGB-LGOO8-91-1998</v>
      </c>
      <c r="D203" s="361" t="str">
        <f>+'staffing plan'!AK73</f>
        <v>79</v>
      </c>
      <c r="E203" s="360" t="e">
        <f>+'staffing plan'!#REF!</f>
        <v>#REF!</v>
      </c>
      <c r="F203" s="360" t="e">
        <f>CONCATENATE('staffing plan'!#REF!," ",'staffing plan'!#REF!)</f>
        <v>#REF!</v>
      </c>
      <c r="G203" s="360" t="str">
        <f>'staffing plan'!AX73</f>
        <v>Apayao</v>
      </c>
      <c r="H203" s="360" t="str">
        <f>'staffing plan'!AW73</f>
        <v>BASQUEZ, Marvin Amanonce</v>
      </c>
      <c r="I203" s="380"/>
      <c r="J203" s="381" t="e">
        <f t="shared" ref="J203:J219" si="16">E203=G203</f>
        <v>#REF!</v>
      </c>
      <c r="L203" s="400" t="s">
        <v>2782</v>
      </c>
    </row>
    <row r="204" spans="1:15" s="347" customFormat="1" ht="28.8">
      <c r="A204" s="358" t="str">
        <f>'staffing plan'!B76</f>
        <v>Local Government Operations Officer VII</v>
      </c>
      <c r="B204" s="359">
        <f>+'staffing plan'!C76</f>
        <v>24</v>
      </c>
      <c r="C204" s="360" t="str">
        <f>+'staffing plan'!A76</f>
        <v>OSEC-DILGB-LGOO7-1444-2017</v>
      </c>
      <c r="D204" s="361" t="str">
        <f>+'staffing plan'!AK76</f>
        <v>07</v>
      </c>
      <c r="E204" s="360" t="e">
        <f>+'staffing plan'!#REF!</f>
        <v>#REF!</v>
      </c>
      <c r="F204" s="360" t="e">
        <f>CONCATENATE('staffing plan'!#REF!," ",'staffing plan'!#REF!)</f>
        <v>#REF!</v>
      </c>
      <c r="G204" s="360" t="str">
        <f>'staffing plan'!AX76</f>
        <v>Ifugao</v>
      </c>
      <c r="H204" s="360" t="str">
        <f>'staffing plan'!AW76</f>
        <v>APPOY, Samson Benlangan</v>
      </c>
      <c r="I204" s="380"/>
      <c r="J204" s="381" t="e">
        <f t="shared" si="16"/>
        <v>#REF!</v>
      </c>
      <c r="L204" s="347" t="s">
        <v>463</v>
      </c>
      <c r="M204" s="347">
        <v>1</v>
      </c>
      <c r="N204" s="347">
        <f>COUNTIF(KalingaSG,"26")</f>
        <v>1</v>
      </c>
      <c r="O204" s="347">
        <f t="shared" ref="O204:O210" si="17">+M204-N204</f>
        <v>0</v>
      </c>
    </row>
    <row r="205" spans="1:15" s="347" customFormat="1" ht="28.8">
      <c r="A205" s="358" t="str">
        <f>'staffing plan'!B90</f>
        <v>Local Government Operations Officer VI</v>
      </c>
      <c r="B205" s="359">
        <f>+'staffing plan'!C90</f>
        <v>22</v>
      </c>
      <c r="C205" s="360" t="str">
        <f>+'staffing plan'!A90</f>
        <v>OSEC-DILGB-LGOO6-9-2013</v>
      </c>
      <c r="D205" s="361" t="str">
        <f>+'staffing plan'!AK90</f>
        <v>000</v>
      </c>
      <c r="E205" s="360" t="e">
        <f>+'staffing plan'!#REF!</f>
        <v>#REF!</v>
      </c>
      <c r="F205" s="360" t="e">
        <f>CONCATENATE('staffing plan'!#REF!," ",'staffing plan'!#REF!)</f>
        <v>#REF!</v>
      </c>
      <c r="G205" s="360">
        <f>'staffing plan'!AX90</f>
        <v>0</v>
      </c>
      <c r="H205" s="360" t="str">
        <f>'staffing plan'!AW90</f>
        <v xml:space="preserve">Vacant ALIÑO,  </v>
      </c>
      <c r="I205" s="380"/>
      <c r="J205" s="381" t="e">
        <f t="shared" si="16"/>
        <v>#REF!</v>
      </c>
      <c r="L205" s="347" t="s">
        <v>157</v>
      </c>
      <c r="M205" s="347">
        <v>3</v>
      </c>
      <c r="N205" s="347">
        <f>COUNTIF(KalingaSG,"22")+COUNTIF(KalingaSG,"24")</f>
        <v>10</v>
      </c>
      <c r="O205" s="347">
        <f t="shared" si="17"/>
        <v>-7</v>
      </c>
    </row>
    <row r="206" spans="1:15" s="347" customFormat="1" ht="28.8">
      <c r="A206" s="358" t="str">
        <f>'staffing plan'!B161</f>
        <v>Local Government Operations Officer VI</v>
      </c>
      <c r="B206" s="359">
        <f>+'staffing plan'!C161</f>
        <v>22</v>
      </c>
      <c r="C206" s="360" t="str">
        <f>+'staffing plan'!A161</f>
        <v>OSEC-DILGB-LGOO6-238-2010</v>
      </c>
      <c r="D206" s="361" t="str">
        <f>+'staffing plan'!AK161</f>
        <v>09</v>
      </c>
      <c r="E206" s="360" t="e">
        <f>+'staffing plan'!#REF!</f>
        <v>#REF!</v>
      </c>
      <c r="F206" s="360" t="e">
        <f>CONCATENATE('staffing plan'!#REF!," ",'staffing plan'!#REF!)</f>
        <v>#REF!</v>
      </c>
      <c r="G206" s="360" t="str">
        <f>'staffing plan'!AX161</f>
        <v>Mt. Province</v>
      </c>
      <c r="H206" s="360" t="str">
        <f>'staffing plan'!AW161</f>
        <v>GRIBA, Mary Ann Javier</v>
      </c>
      <c r="I206" s="380"/>
      <c r="J206" s="381" t="e">
        <f t="shared" si="16"/>
        <v>#REF!</v>
      </c>
      <c r="L206" s="347" t="s">
        <v>165</v>
      </c>
      <c r="M206" s="347">
        <v>9</v>
      </c>
      <c r="N206" s="347">
        <f>COUNTIF(KalingaSG,"20")</f>
        <v>2</v>
      </c>
      <c r="O206" s="347">
        <f t="shared" si="17"/>
        <v>7</v>
      </c>
    </row>
    <row r="207" spans="1:15" s="347" customFormat="1" ht="28.8">
      <c r="A207" s="358" t="str">
        <f>'staffing plan'!B175</f>
        <v>Local Government Operations Officer V</v>
      </c>
      <c r="B207" s="359">
        <f>+'staffing plan'!C175</f>
        <v>20</v>
      </c>
      <c r="C207" s="360" t="str">
        <f>+'staffing plan'!A175</f>
        <v>OSEC-DILGB-LGOO5-965-1998</v>
      </c>
      <c r="D207" s="361" t="str">
        <f>+'staffing plan'!AK175</f>
        <v>79</v>
      </c>
      <c r="E207" s="360" t="e">
        <f>+'staffing plan'!#REF!</f>
        <v>#REF!</v>
      </c>
      <c r="F207" s="360" t="e">
        <f>CONCATENATE('staffing plan'!#REF!," ",'staffing plan'!#REF!)</f>
        <v>#REF!</v>
      </c>
      <c r="G207" s="360" t="str">
        <f>'staffing plan'!AX175</f>
        <v>Kalinga</v>
      </c>
      <c r="H207" s="360" t="str">
        <f>'staffing plan'!AW175</f>
        <v>ELVEÑA, Hanna Lynel Gullayan</v>
      </c>
      <c r="I207" s="380"/>
      <c r="J207" s="381" t="e">
        <f t="shared" si="16"/>
        <v>#REF!</v>
      </c>
      <c r="L207" s="347" t="s">
        <v>1066</v>
      </c>
      <c r="M207" s="347">
        <v>1</v>
      </c>
      <c r="N207" s="347">
        <f>COUNTIF(KalingaSG,"15")</f>
        <v>1</v>
      </c>
      <c r="O207" s="347">
        <f t="shared" si="17"/>
        <v>0</v>
      </c>
    </row>
    <row r="208" spans="1:15" s="347" customFormat="1" ht="28.8">
      <c r="A208" s="358" t="str">
        <f>'staffing plan'!B179</f>
        <v>Local Government Operations Officer V</v>
      </c>
      <c r="B208" s="359">
        <f>+'staffing plan'!C179</f>
        <v>20</v>
      </c>
      <c r="C208" s="360" t="str">
        <f>+'staffing plan'!A179</f>
        <v>OSEC-DILGB-LGOO5-991-1998</v>
      </c>
      <c r="D208" s="361" t="str">
        <f>+'staffing plan'!AK179</f>
        <v>79</v>
      </c>
      <c r="E208" s="360" t="e">
        <f>+'staffing plan'!#REF!</f>
        <v>#REF!</v>
      </c>
      <c r="F208" s="360" t="e">
        <f>CONCATENATE('staffing plan'!#REF!," ",'staffing plan'!#REF!)</f>
        <v>#REF!</v>
      </c>
      <c r="G208" s="360" t="e">
        <f>'staffing plan'!#REF!</f>
        <v>#REF!</v>
      </c>
      <c r="H208" s="360" t="str">
        <f>'staffing plan'!AW179</f>
        <v xml:space="preserve">Vacant CHUNANON,  </v>
      </c>
      <c r="I208" s="380"/>
      <c r="J208" s="381" t="e">
        <f t="shared" si="16"/>
        <v>#REF!</v>
      </c>
      <c r="L208" s="347" t="s">
        <v>1074</v>
      </c>
      <c r="M208" s="347">
        <v>2</v>
      </c>
      <c r="N208" s="347">
        <f>COUNTIF(KalingaSG,"13")</f>
        <v>2</v>
      </c>
      <c r="O208" s="347">
        <f t="shared" si="17"/>
        <v>0</v>
      </c>
    </row>
    <row r="209" spans="1:15" s="347" customFormat="1" ht="28.8">
      <c r="A209" s="388" t="str">
        <f>'staffing plan'!B184</f>
        <v>Local Government Operations Officer III</v>
      </c>
      <c r="B209" s="389">
        <f>+'staffing plan'!C184</f>
        <v>15</v>
      </c>
      <c r="C209" s="390" t="str">
        <f>+'staffing plan'!A184</f>
        <v>OSEC-DILGB-LGOO3-241-2010</v>
      </c>
      <c r="D209" s="298" t="str">
        <f>+'staffing plan'!AK184</f>
        <v>011</v>
      </c>
      <c r="E209" s="390" t="e">
        <f>+'staffing plan'!#REF!</f>
        <v>#REF!</v>
      </c>
      <c r="F209" s="390" t="e">
        <f>CONCATENATE('staffing plan'!#REF!," ",'staffing plan'!#REF!)</f>
        <v>#REF!</v>
      </c>
      <c r="G209" s="390" t="str">
        <f>'staffing plan'!AX184</f>
        <v>Kalinga</v>
      </c>
      <c r="H209" s="390" t="str">
        <f>'staffing plan'!AW184</f>
        <v>DOGUI-IS, Thyrza Shoey Leusen</v>
      </c>
      <c r="I209" s="392" t="s">
        <v>2790</v>
      </c>
      <c r="J209" s="381" t="e">
        <f t="shared" si="16"/>
        <v>#REF!</v>
      </c>
      <c r="L209" s="347" t="s">
        <v>1170</v>
      </c>
      <c r="M209" s="347">
        <v>2</v>
      </c>
      <c r="N209" s="347">
        <f>COUNTIF(KalingaSG,"8")</f>
        <v>2</v>
      </c>
      <c r="O209" s="347">
        <f t="shared" si="17"/>
        <v>0</v>
      </c>
    </row>
    <row r="210" spans="1:15" s="347" customFormat="1" ht="28.8">
      <c r="A210" s="358" t="str">
        <f>'staffing plan'!B191</f>
        <v>Local Government Operations Officer II</v>
      </c>
      <c r="B210" s="359">
        <f>+'staffing plan'!C191</f>
        <v>13</v>
      </c>
      <c r="C210" s="360" t="str">
        <f>+'staffing plan'!A191</f>
        <v>OSEC-DILGB-LGOO2-17-1998</v>
      </c>
      <c r="D210" s="929" t="str">
        <f>+'staffing plan'!AK191</f>
        <v>09</v>
      </c>
      <c r="E210" s="360" t="e">
        <f>+'staffing plan'!#REF!</f>
        <v>#REF!</v>
      </c>
      <c r="F210" s="360" t="e">
        <f>CONCATENATE('staffing plan'!#REF!," ",'staffing plan'!#REF!)</f>
        <v>#REF!</v>
      </c>
      <c r="G210" s="360" t="str">
        <f>'staffing plan'!AX191</f>
        <v>Mt. Province</v>
      </c>
      <c r="H210" s="360" t="str">
        <f>'staffing plan'!AW191</f>
        <v>DOGUP, Trisha Marie Alangsab</v>
      </c>
      <c r="I210" s="380" t="s">
        <v>2790</v>
      </c>
      <c r="J210" s="381" t="e">
        <f t="shared" si="16"/>
        <v>#REF!</v>
      </c>
      <c r="L210" s="347" t="s">
        <v>273</v>
      </c>
      <c r="M210" s="347">
        <v>1</v>
      </c>
      <c r="N210" s="347">
        <f>COUNTIF(KalingaSG,"6")</f>
        <v>1</v>
      </c>
      <c r="O210" s="347">
        <f t="shared" si="17"/>
        <v>0</v>
      </c>
    </row>
    <row r="211" spans="1:15" s="347" customFormat="1" ht="28.8">
      <c r="A211" s="358" t="str">
        <f>'staffing plan'!B200</f>
        <v>Local Government Operations Officer II</v>
      </c>
      <c r="B211" s="359">
        <f>+'staffing plan'!C200</f>
        <v>13</v>
      </c>
      <c r="C211" s="360" t="str">
        <f>+'staffing plan'!A200</f>
        <v>OSEC-DILGB-LGOO2-32-1998</v>
      </c>
      <c r="D211" s="361" t="str">
        <f>+'staffing plan'!AK200</f>
        <v>79</v>
      </c>
      <c r="E211" s="360" t="e">
        <f>+'staffing plan'!#REF!</f>
        <v>#REF!</v>
      </c>
      <c r="F211" s="360" t="e">
        <f>CONCATENATE('staffing plan'!#REF!," ",'staffing plan'!#REF!)</f>
        <v>#REF!</v>
      </c>
      <c r="G211" s="360" t="str">
        <f>'staffing plan'!AX200</f>
        <v>Abra</v>
      </c>
      <c r="H211" s="360" t="str">
        <f>'staffing plan'!AW200</f>
        <v>BALANAY, Mark Anthony Gumabay</v>
      </c>
      <c r="I211" s="380"/>
      <c r="J211" s="381" t="e">
        <f t="shared" si="16"/>
        <v>#REF!</v>
      </c>
      <c r="L211" s="347" t="s">
        <v>455</v>
      </c>
      <c r="M211" s="347">
        <v>1</v>
      </c>
      <c r="N211" s="347">
        <f>COUNTIF(KalingaSG,"4")</f>
        <v>1</v>
      </c>
      <c r="O211" s="347">
        <f>SUM(O203:O210)</f>
        <v>0</v>
      </c>
    </row>
    <row r="212" spans="1:15" s="347" customFormat="1" ht="28.8">
      <c r="A212" s="358" t="str">
        <f>'staffing plan'!B215</f>
        <v>Administrative Assistant II</v>
      </c>
      <c r="B212" s="359">
        <f>+'staffing plan'!C215</f>
        <v>8</v>
      </c>
      <c r="C212" s="360" t="str">
        <f>+'staffing plan'!A215</f>
        <v>OSEC-DILGB-ADAS2-77-2005</v>
      </c>
      <c r="D212" s="361" t="str">
        <f>+'staffing plan'!AK215</f>
        <v>79</v>
      </c>
      <c r="E212" s="360" t="e">
        <f>+'staffing plan'!#REF!</f>
        <v>#REF!</v>
      </c>
      <c r="F212" s="360" t="e">
        <f>CONCATENATE('staffing plan'!#REF!," ",'staffing plan'!#REF!)</f>
        <v>#REF!</v>
      </c>
      <c r="G212" s="360" t="str">
        <f>'staffing plan'!AX215</f>
        <v>Kalinga</v>
      </c>
      <c r="H212" s="360" t="str">
        <f>'staffing plan'!AW215</f>
        <v>GALLEMA, Michelle  Ignacio</v>
      </c>
      <c r="I212" s="380"/>
      <c r="J212" s="381" t="e">
        <f t="shared" si="16"/>
        <v>#REF!</v>
      </c>
      <c r="L212" s="347" t="s">
        <v>2195</v>
      </c>
      <c r="M212" s="347">
        <v>1</v>
      </c>
      <c r="N212" s="347">
        <f>COUNTIF(KalingaSG,"2")</f>
        <v>1</v>
      </c>
      <c r="O212" s="347">
        <f>SUM(O204:O211)</f>
        <v>0</v>
      </c>
    </row>
    <row r="213" spans="1:15" s="347" customFormat="1" ht="28.8">
      <c r="A213" s="358" t="str">
        <f>'staffing plan'!B213</f>
        <v>Administrative Assistant II</v>
      </c>
      <c r="B213" s="359">
        <f>+'staffing plan'!C213</f>
        <v>8</v>
      </c>
      <c r="C213" s="360" t="str">
        <f>+'staffing plan'!A213</f>
        <v>OSEC-DILGB-ADAS2-75-2005</v>
      </c>
      <c r="D213" s="245" t="str">
        <f>+'staffing plan'!AK213</f>
        <v>09</v>
      </c>
      <c r="E213" s="360" t="e">
        <f>+'staffing plan'!#REF!</f>
        <v>#REF!</v>
      </c>
      <c r="F213" s="360" t="e">
        <f>CONCATENATE('staffing plan'!#REF!," ",'staffing plan'!#REF!)</f>
        <v>#REF!</v>
      </c>
      <c r="G213" s="360" t="str">
        <f>'staffing plan'!AX213</f>
        <v>Kalinga</v>
      </c>
      <c r="H213" s="360" t="str">
        <f>'staffing plan'!AW213</f>
        <v>KILLIA-EN, Unice Lipawen</v>
      </c>
      <c r="I213" s="380" t="s">
        <v>2801</v>
      </c>
      <c r="J213" s="381" t="e">
        <f t="shared" si="16"/>
        <v>#REF!</v>
      </c>
      <c r="L213" s="347" t="s">
        <v>2196</v>
      </c>
      <c r="M213" s="347">
        <v>1</v>
      </c>
      <c r="N213" s="347">
        <f>COUNTIF(KalingaSG,"1")</f>
        <v>1</v>
      </c>
      <c r="O213" s="347">
        <f>SUM(O205:O212)</f>
        <v>0</v>
      </c>
    </row>
    <row r="214" spans="1:15" s="347" customFormat="1" ht="28.8">
      <c r="A214" s="358" t="str">
        <f>'staffing plan'!B222</f>
        <v>Administrative Aide VI</v>
      </c>
      <c r="B214" s="359">
        <f>+'staffing plan'!C222</f>
        <v>6</v>
      </c>
      <c r="C214" s="360" t="str">
        <f>+'staffing plan'!A222</f>
        <v>OSEC-DILGB-ADA6-103-2005</v>
      </c>
      <c r="D214" s="361" t="str">
        <f>+'staffing plan'!AK222</f>
        <v>79</v>
      </c>
      <c r="E214" s="360" t="e">
        <f>+'staffing plan'!#REF!</f>
        <v>#REF!</v>
      </c>
      <c r="F214" s="360" t="e">
        <f>CONCATENATE('staffing plan'!#REF!," ",'staffing plan'!#REF!)</f>
        <v>#REF!</v>
      </c>
      <c r="G214" s="360" t="str">
        <f>'staffing plan'!AX222</f>
        <v>Kalinga</v>
      </c>
      <c r="H214" s="360" t="str">
        <f>'staffing plan'!AW222</f>
        <v>BACDAYAN, Wilfred Ramirez</v>
      </c>
      <c r="I214" s="380"/>
      <c r="J214" s="381" t="e">
        <f t="shared" si="16"/>
        <v>#REF!</v>
      </c>
      <c r="M214" s="347">
        <f>SUM(M204:M213)</f>
        <v>22</v>
      </c>
      <c r="N214" s="347">
        <f>SUM(N204:N213)</f>
        <v>22</v>
      </c>
      <c r="O214" s="347">
        <f>SUM(O204:O213)</f>
        <v>0</v>
      </c>
    </row>
    <row r="215" spans="1:15" s="347" customFormat="1" ht="28.8">
      <c r="A215" s="358" t="str">
        <f>'staffing plan'!B228</f>
        <v>Administrative Aide IV</v>
      </c>
      <c r="B215" s="359">
        <f>+'staffing plan'!C228</f>
        <v>4</v>
      </c>
      <c r="C215" s="360" t="str">
        <f>+'staffing plan'!A228</f>
        <v>OSEC-DILGB-ADA4-93-2005</v>
      </c>
      <c r="D215" s="361" t="str">
        <f>+'staffing plan'!AK228</f>
        <v>79</v>
      </c>
      <c r="E215" s="360" t="e">
        <f>+'staffing plan'!#REF!</f>
        <v>#REF!</v>
      </c>
      <c r="F215" s="360" t="e">
        <f>CONCATENATE('staffing plan'!#REF!," ",'staffing plan'!#REF!)</f>
        <v>#REF!</v>
      </c>
      <c r="G215" s="360" t="str">
        <f>'staffing plan'!AX228</f>
        <v>Apayao</v>
      </c>
      <c r="H215" s="360" t="str">
        <f>'staffing plan'!AW228</f>
        <v>CAMPO, Nilo Palsic</v>
      </c>
      <c r="I215" s="380"/>
      <c r="J215" s="381" t="e">
        <f t="shared" si="16"/>
        <v>#REF!</v>
      </c>
    </row>
    <row r="216" spans="1:15" s="347" customFormat="1" ht="28.8">
      <c r="A216" s="358" t="str">
        <f>'staffing plan'!B234</f>
        <v xml:space="preserve">Administrative Aide II   </v>
      </c>
      <c r="B216" s="359">
        <f>+'staffing plan'!C234</f>
        <v>2</v>
      </c>
      <c r="C216" s="360" t="str">
        <f>+'staffing plan'!A234</f>
        <v>OSEC-DILGB-ADA2-57-2005</v>
      </c>
      <c r="D216" s="361" t="str">
        <f>+'staffing plan'!AK234</f>
        <v>79</v>
      </c>
      <c r="E216" s="360" t="e">
        <f>+'staffing plan'!#REF!</f>
        <v>#REF!</v>
      </c>
      <c r="F216" s="360" t="e">
        <f>CONCATENATE('staffing plan'!#REF!," ",'staffing plan'!#REF!)</f>
        <v>#REF!</v>
      </c>
      <c r="G216" s="360" t="str">
        <f>'staffing plan'!AX234</f>
        <v>Kalinga</v>
      </c>
      <c r="H216" s="360" t="str">
        <f>'staffing plan'!AW234</f>
        <v>FERNANDO, Marvin Flores</v>
      </c>
      <c r="I216" s="380"/>
      <c r="J216" s="381" t="e">
        <f t="shared" si="16"/>
        <v>#REF!</v>
      </c>
    </row>
    <row r="217" spans="1:15" s="347" customFormat="1" ht="28.8">
      <c r="A217" s="358" t="str">
        <f>'staffing plan'!B238</f>
        <v>Administrative Aide I</v>
      </c>
      <c r="B217" s="359">
        <f>+'staffing plan'!C238</f>
        <v>1</v>
      </c>
      <c r="C217" s="360" t="str">
        <f>+'staffing plan'!A238</f>
        <v>OSEC-DILGB-ADA1-32-2005</v>
      </c>
      <c r="D217" s="361" t="str">
        <f>+'staffing plan'!AK238</f>
        <v>79</v>
      </c>
      <c r="E217" s="360" t="e">
        <f>+'staffing plan'!#REF!</f>
        <v>#REF!</v>
      </c>
      <c r="F217" s="360" t="e">
        <f>CONCATENATE('staffing plan'!#REF!," ",'staffing plan'!#REF!)</f>
        <v>#REF!</v>
      </c>
      <c r="G217" s="360" t="str">
        <f>'staffing plan'!AX238</f>
        <v>Kalinga</v>
      </c>
      <c r="H217" s="360" t="str">
        <f>'staffing plan'!AW238</f>
        <v>KIBAYEN, Nelson Malnawan</v>
      </c>
      <c r="I217" s="380"/>
      <c r="J217" s="381" t="e">
        <f t="shared" si="16"/>
        <v>#REF!</v>
      </c>
    </row>
    <row r="218" spans="1:15" s="347" customFormat="1" ht="28.8">
      <c r="A218" s="358" t="str">
        <f>'staffing plan'!B138</f>
        <v>Local Government Operations OFFICER VI</v>
      </c>
      <c r="B218" s="359">
        <f>+'staffing plan'!C138</f>
        <v>22</v>
      </c>
      <c r="C218" s="360" t="str">
        <f>+'staffing plan'!A138</f>
        <v>OSEC-DILGB-LGOO6-54-2017</v>
      </c>
      <c r="D218" s="361" t="str">
        <f>+'staffing plan'!AK138</f>
        <v>0639</v>
      </c>
      <c r="E218" s="360" t="e">
        <f>+'staffing plan'!#REF!</f>
        <v>#REF!</v>
      </c>
      <c r="F218" s="360" t="e">
        <f>CONCATENATE('staffing plan'!#REF!," ",'staffing plan'!#REF!)</f>
        <v>#REF!</v>
      </c>
      <c r="G218" s="360" t="str">
        <f>'staffing plan'!AX138</f>
        <v>Kalinga</v>
      </c>
      <c r="H218" s="360" t="str">
        <f>'staffing plan'!AW138</f>
        <v>LUCAS, Chris Berana</v>
      </c>
      <c r="I218" s="380"/>
      <c r="J218" s="381" t="e">
        <f t="shared" si="16"/>
        <v>#REF!</v>
      </c>
    </row>
    <row r="219" spans="1:15" s="347" customFormat="1" ht="28.8">
      <c r="A219" s="358" t="str">
        <f>'staffing plan'!B139</f>
        <v>Local Government Operations OFFICER VI</v>
      </c>
      <c r="B219" s="359">
        <f>+'staffing plan'!C139</f>
        <v>22</v>
      </c>
      <c r="C219" s="360" t="str">
        <f>+'staffing plan'!A139</f>
        <v>OSEC-DILGB-LGOO6-55-2017</v>
      </c>
      <c r="D219" s="361" t="str">
        <f>+'staffing plan'!AK139</f>
        <v>0654</v>
      </c>
      <c r="E219" s="360" t="e">
        <f>+'staffing plan'!#REF!</f>
        <v>#REF!</v>
      </c>
      <c r="F219" s="360" t="e">
        <f>CONCATENATE('staffing plan'!#REF!," ",'staffing plan'!#REF!)</f>
        <v>#REF!</v>
      </c>
      <c r="G219" s="360" t="str">
        <f>'staffing plan'!AX139</f>
        <v>Kalinga</v>
      </c>
      <c r="H219" s="360" t="str">
        <f>'staffing plan'!AW139</f>
        <v>ACUAT, Alexander Gacuya</v>
      </c>
      <c r="I219" s="380"/>
      <c r="J219" s="381" t="e">
        <f t="shared" si="16"/>
        <v>#REF!</v>
      </c>
    </row>
    <row r="220" spans="1:15" s="347" customFormat="1" ht="28.8">
      <c r="A220" s="273" t="s">
        <v>1388</v>
      </c>
      <c r="B220" s="274"/>
      <c r="C220" s="275"/>
      <c r="D220" s="245"/>
      <c r="E220" s="275"/>
      <c r="F220" s="275" t="s">
        <v>2563</v>
      </c>
      <c r="G220" s="275"/>
      <c r="H220" s="278" t="s">
        <v>2802</v>
      </c>
      <c r="I220" s="283" t="s">
        <v>2786</v>
      </c>
      <c r="J220" s="284"/>
    </row>
    <row r="221" spans="1:15" s="347" customFormat="1" ht="28.8">
      <c r="A221" s="358" t="str">
        <f>'staffing plan'!B142</f>
        <v>Local Government Operations OFFICER VI</v>
      </c>
      <c r="B221" s="359">
        <f>+'staffing plan'!C142</f>
        <v>22</v>
      </c>
      <c r="C221" s="360" t="str">
        <f>+'staffing plan'!A142</f>
        <v>OSEC-DILGB-LGOO6-58-2017</v>
      </c>
      <c r="D221" s="361" t="str">
        <f>+'staffing plan'!AK142</f>
        <v>0663</v>
      </c>
      <c r="E221" s="360" t="e">
        <f>+'staffing plan'!#REF!</f>
        <v>#REF!</v>
      </c>
      <c r="F221" s="360" t="e">
        <f>CONCATENATE('staffing plan'!#REF!," ",'staffing plan'!#REF!)</f>
        <v>#REF!</v>
      </c>
      <c r="G221" s="360" t="str">
        <f>'staffing plan'!AX142</f>
        <v>Kalinga</v>
      </c>
      <c r="H221" s="360" t="str">
        <f>'staffing plan'!AW142</f>
        <v>ATING, Lucas Alsiyao</v>
      </c>
      <c r="I221" s="380"/>
      <c r="J221" s="381" t="e">
        <f>E221=G221</f>
        <v>#REF!</v>
      </c>
    </row>
    <row r="222" spans="1:15" s="347" customFormat="1" ht="28.8">
      <c r="A222" s="358" t="str">
        <f>'staffing plan'!B141</f>
        <v>Local Government Operations OFFICER VI</v>
      </c>
      <c r="B222" s="359">
        <f>+'staffing plan'!C141</f>
        <v>22</v>
      </c>
      <c r="C222" s="360" t="str">
        <f>+'staffing plan'!A141</f>
        <v>OSEC-DILGB-LGOO6-57-2017</v>
      </c>
      <c r="D222" s="361" t="str">
        <f>+'staffing plan'!AK141</f>
        <v>0669</v>
      </c>
      <c r="E222" s="360" t="e">
        <f>+'staffing plan'!#REF!</f>
        <v>#REF!</v>
      </c>
      <c r="F222" s="360" t="e">
        <f>CONCATENATE('staffing plan'!#REF!," ",'staffing plan'!#REF!)</f>
        <v>#REF!</v>
      </c>
      <c r="G222" s="360" t="str">
        <f>'staffing plan'!AX141</f>
        <v>Kalinga</v>
      </c>
      <c r="H222" s="360" t="str">
        <f>'staffing plan'!AW141</f>
        <v>LACUESTA, Helen Espita</v>
      </c>
      <c r="I222" s="380"/>
      <c r="J222" s="381" t="e">
        <f>E222=G222</f>
        <v>#REF!</v>
      </c>
    </row>
    <row r="223" spans="1:15" s="347" customFormat="1" ht="28.8">
      <c r="A223" s="358" t="str">
        <f>'staffing plan'!B144</f>
        <v>Local Government Operations OFFICER VI</v>
      </c>
      <c r="B223" s="359">
        <f>+'staffing plan'!C144</f>
        <v>22</v>
      </c>
      <c r="C223" s="360" t="str">
        <f>+'staffing plan'!A144</f>
        <v>OSEC-DILGB-LGOO6-60-2017</v>
      </c>
      <c r="D223" s="361" t="str">
        <f>+'staffing plan'!AK144</f>
        <v>0675</v>
      </c>
      <c r="E223" s="360" t="e">
        <f>+'staffing plan'!#REF!</f>
        <v>#REF!</v>
      </c>
      <c r="F223" s="360" t="e">
        <f>CONCATENATE('staffing plan'!#REF!," ",'staffing plan'!#REF!)</f>
        <v>#REF!</v>
      </c>
      <c r="G223" s="360" t="str">
        <f>'staffing plan'!AX144</f>
        <v>Kalinga</v>
      </c>
      <c r="H223" s="360" t="str">
        <f>'staffing plan'!AW144</f>
        <v>GAYUDAN, Franchita Lucob</v>
      </c>
      <c r="I223" s="380"/>
      <c r="J223" s="381" t="e">
        <f>E223=G223</f>
        <v>#REF!</v>
      </c>
    </row>
    <row r="224" spans="1:15" s="347" customFormat="1" ht="28.8">
      <c r="A224" s="358" t="str">
        <f>'staffing plan'!B143</f>
        <v>Local Government Operations OFFICER VI</v>
      </c>
      <c r="B224" s="359">
        <f>+'staffing plan'!C143</f>
        <v>22</v>
      </c>
      <c r="C224" s="360" t="str">
        <f>+'staffing plan'!A143</f>
        <v>OSEC-DILGB-LGOO6-59-2017</v>
      </c>
      <c r="D224" s="361" t="str">
        <f>+'staffing plan'!AK143</f>
        <v>0678</v>
      </c>
      <c r="E224" s="360" t="e">
        <f>+'staffing plan'!#REF!</f>
        <v>#REF!</v>
      </c>
      <c r="F224" s="360" t="e">
        <f>CONCATENATE('staffing plan'!#REF!," ",'staffing plan'!#REF!)</f>
        <v>#REF!</v>
      </c>
      <c r="G224" s="360" t="str">
        <f>'staffing plan'!AX143</f>
        <v>Kalinga</v>
      </c>
      <c r="H224" s="360" t="str">
        <f>'staffing plan'!AW143</f>
        <v>BAWANTA, Gemma Oga-oy</v>
      </c>
      <c r="I224" s="380"/>
      <c r="J224" s="381" t="e">
        <f>E224=G224</f>
        <v>#REF!</v>
      </c>
    </row>
    <row r="225" spans="1:15" s="347" customFormat="1" ht="28.8">
      <c r="A225" s="358" t="str">
        <f>'staffing plan'!B140</f>
        <v>Local Government Operations OFFICER VI</v>
      </c>
      <c r="B225" s="359">
        <f>+'staffing plan'!C140</f>
        <v>22</v>
      </c>
      <c r="C225" s="360" t="str">
        <f>+'staffing plan'!A140</f>
        <v>OSEC-DILGB-LGOO6-56-2017</v>
      </c>
      <c r="D225" s="361" t="str">
        <f>+'staffing plan'!AK140</f>
        <v>0681</v>
      </c>
      <c r="E225" s="360" t="e">
        <f>+'staffing plan'!#REF!</f>
        <v>#REF!</v>
      </c>
      <c r="F225" s="360" t="e">
        <f>CONCATENATE('staffing plan'!#REF!," ",'staffing plan'!#REF!)</f>
        <v>#REF!</v>
      </c>
      <c r="G225" s="360" t="str">
        <f>'staffing plan'!AX140</f>
        <v>Kalinga</v>
      </c>
      <c r="H225" s="360" t="str">
        <f>'staffing plan'!AW140</f>
        <v>LORENZO, Elizabeth Perpetua Baylon</v>
      </c>
      <c r="I225" s="380"/>
      <c r="J225" s="381" t="e">
        <f>E225=G225</f>
        <v>#REF!</v>
      </c>
    </row>
    <row r="226" spans="1:15">
      <c r="A226" s="362"/>
      <c r="B226" s="363"/>
      <c r="C226" s="364"/>
      <c r="D226" s="374"/>
      <c r="E226" s="364"/>
      <c r="F226" s="364"/>
      <c r="G226" s="364"/>
      <c r="H226" s="364"/>
      <c r="I226" s="382"/>
      <c r="N226" s="387"/>
      <c r="O226" s="387"/>
    </row>
    <row r="227" spans="1:15" s="348" customFormat="1">
      <c r="A227" s="355" t="s">
        <v>2803</v>
      </c>
      <c r="B227" s="375"/>
      <c r="C227" s="376"/>
      <c r="D227" s="377"/>
      <c r="E227" s="376"/>
      <c r="F227" s="376"/>
      <c r="G227" s="376"/>
      <c r="H227" s="376"/>
      <c r="I227" s="385"/>
      <c r="J227" s="386"/>
      <c r="L227" s="349"/>
      <c r="M227" s="352"/>
      <c r="N227" s="352"/>
      <c r="O227" s="352"/>
    </row>
    <row r="228" spans="1:15" s="347" customFormat="1" ht="28.8">
      <c r="A228" s="388" t="str">
        <f>'staffing plan'!B71</f>
        <v>Local Government Operations Officer VIII</v>
      </c>
      <c r="B228" s="389">
        <f>+'staffing plan'!C71</f>
        <v>26</v>
      </c>
      <c r="C228" s="390" t="str">
        <f>+'staffing plan'!A71</f>
        <v>OSEC-DILGB-LGOO8-67-1998</v>
      </c>
      <c r="D228" s="391" t="str">
        <f>+'staffing plan'!AK71</f>
        <v>09</v>
      </c>
      <c r="E228" s="390" t="e">
        <f>+'staffing plan'!#REF!</f>
        <v>#REF!</v>
      </c>
      <c r="F228" s="390" t="e">
        <f>CONCATENATE('staffing plan'!#REF!," ",'staffing plan'!#REF!)</f>
        <v>#REF!</v>
      </c>
      <c r="G228" s="390" t="str">
        <f>'staffing plan'!AX71</f>
        <v>Baguio City</v>
      </c>
      <c r="H228" s="390" t="str">
        <f>'staffing plan'!AW71</f>
        <v>TRINIDAD, Evelyn Ballug</v>
      </c>
      <c r="I228" s="392"/>
      <c r="J228" s="381" t="e">
        <f t="shared" ref="J228:J251" si="18">E228=G228</f>
        <v>#REF!</v>
      </c>
      <c r="L228" s="400" t="s">
        <v>2782</v>
      </c>
    </row>
    <row r="229" spans="1:15" s="347" customFormat="1" ht="28.8">
      <c r="A229" s="358" t="str">
        <f>'staffing plan'!B91</f>
        <v>Local Government Operations Officer VI</v>
      </c>
      <c r="B229" s="359">
        <f>+'staffing plan'!C91</f>
        <v>22</v>
      </c>
      <c r="C229" s="360" t="str">
        <f>+'staffing plan'!A91</f>
        <v>OSEC-DILGB-LGOO6-10-2010</v>
      </c>
      <c r="D229" s="361" t="str">
        <f>+'staffing plan'!AK91</f>
        <v>011</v>
      </c>
      <c r="E229" s="360" t="e">
        <f>+'staffing plan'!#REF!</f>
        <v>#REF!</v>
      </c>
      <c r="F229" s="360" t="e">
        <f>CONCATENATE('staffing plan'!#REF!," ",'staffing plan'!#REF!)</f>
        <v>#REF!</v>
      </c>
      <c r="G229" s="360">
        <f>'staffing plan'!AX91</f>
        <v>0</v>
      </c>
      <c r="H229" s="360" t="str">
        <f>'staffing plan'!AW91</f>
        <v xml:space="preserve">Vacant ABULENCIA,  </v>
      </c>
      <c r="I229" s="380"/>
      <c r="J229" s="381" t="e">
        <f t="shared" si="18"/>
        <v>#REF!</v>
      </c>
      <c r="L229" s="347" t="s">
        <v>463</v>
      </c>
      <c r="M229" s="347">
        <v>1</v>
      </c>
      <c r="N229" s="347">
        <f>COUNTIF(MtProvinceSG,"26")</f>
        <v>1</v>
      </c>
      <c r="O229" s="347">
        <f t="shared" ref="O229:O236" si="19">+M229-N229</f>
        <v>0</v>
      </c>
    </row>
    <row r="230" spans="1:15" s="347" customFormat="1" ht="28.8">
      <c r="A230" s="358" t="str">
        <f>'staffing plan'!B159</f>
        <v>Local Government Operations Officer VI</v>
      </c>
      <c r="B230" s="359">
        <f>+'staffing plan'!C159</f>
        <v>22</v>
      </c>
      <c r="C230" s="360" t="str">
        <f>+'staffing plan'!A159</f>
        <v>OSEC-DILGB-LGOO6-236-2010</v>
      </c>
      <c r="D230" s="361" t="str">
        <f>+'staffing plan'!AK159</f>
        <v>08</v>
      </c>
      <c r="E230" s="360" t="e">
        <f>+'staffing plan'!#REF!</f>
        <v>#REF!</v>
      </c>
      <c r="F230" s="360" t="e">
        <f>CONCATENATE('staffing plan'!#REF!," ",'staffing plan'!#REF!)</f>
        <v>#REF!</v>
      </c>
      <c r="G230" s="360" t="str">
        <f>'staffing plan'!AX159</f>
        <v>Apayao</v>
      </c>
      <c r="H230" s="360" t="str">
        <f>'staffing plan'!AW159</f>
        <v>ACERET, Wilnelia Martinez</v>
      </c>
      <c r="I230" s="380"/>
      <c r="J230" s="381" t="e">
        <f t="shared" si="18"/>
        <v>#REF!</v>
      </c>
      <c r="L230" s="347" t="s">
        <v>157</v>
      </c>
      <c r="M230" s="347">
        <v>2</v>
      </c>
      <c r="N230" s="347">
        <f>COUNTIF(MtProvinceSG,"22")+COUNTIF(MtProvinceSG,"24")</f>
        <v>12</v>
      </c>
      <c r="O230" s="347">
        <f t="shared" si="19"/>
        <v>-10</v>
      </c>
    </row>
    <row r="231" spans="1:15" s="347" customFormat="1" ht="28.8">
      <c r="A231" s="358" t="str">
        <f>'staffing plan'!B158</f>
        <v>Local Government Operations Officer VI</v>
      </c>
      <c r="B231" s="359">
        <f>+'staffing plan'!C158</f>
        <v>22</v>
      </c>
      <c r="C231" s="360" t="str">
        <f>+'staffing plan'!A158</f>
        <v>OSEC-DILGB-LGOO6-74-2017</v>
      </c>
      <c r="D231" s="361" t="str">
        <f>+'staffing plan'!AK158</f>
        <v>09</v>
      </c>
      <c r="E231" s="360" t="e">
        <f>+'staffing plan'!#REF!</f>
        <v>#REF!</v>
      </c>
      <c r="F231" s="360" t="e">
        <f>CONCATENATE('staffing plan'!#REF!," ",'staffing plan'!#REF!)</f>
        <v>#REF!</v>
      </c>
      <c r="G231" s="360" t="str">
        <f>'staffing plan'!AX158</f>
        <v>Mt. Province</v>
      </c>
      <c r="H231" s="360" t="str">
        <f>'staffing plan'!AW158</f>
        <v>FIAR-OD, Ray Bomas-ang</v>
      </c>
      <c r="I231" s="380"/>
      <c r="J231" s="381" t="e">
        <f t="shared" si="18"/>
        <v>#REF!</v>
      </c>
      <c r="L231" s="347" t="s">
        <v>165</v>
      </c>
      <c r="M231" s="347">
        <v>13</v>
      </c>
      <c r="N231" s="347">
        <f>COUNTIF(MtProvinceSG,"20")</f>
        <v>3</v>
      </c>
      <c r="O231" s="347">
        <f t="shared" si="19"/>
        <v>10</v>
      </c>
    </row>
    <row r="232" spans="1:15" s="347" customFormat="1" ht="28.8">
      <c r="A232" s="358" t="str">
        <f>'staffing plan'!B164</f>
        <v>Local Government Operations Officer V</v>
      </c>
      <c r="B232" s="359">
        <f>+'staffing plan'!C164</f>
        <v>20</v>
      </c>
      <c r="C232" s="360" t="str">
        <f>+'staffing plan'!A164</f>
        <v>OSEC-DILGB-LGOO5-101-2010</v>
      </c>
      <c r="D232" s="361" t="str">
        <f>+'staffing plan'!AK164</f>
        <v>09</v>
      </c>
      <c r="E232" s="360" t="e">
        <f>+'staffing plan'!#REF!</f>
        <v>#REF!</v>
      </c>
      <c r="F232" s="360" t="e">
        <f>CONCATENATE('staffing plan'!#REF!," ",'staffing plan'!#REF!)</f>
        <v>#REF!</v>
      </c>
      <c r="G232" s="360" t="str">
        <f>'staffing plan'!AX164</f>
        <v>Mt. Province</v>
      </c>
      <c r="H232" s="360" t="str">
        <f>'staffing plan'!AW164</f>
        <v>MABIASAN, Domingo Gaw-i</v>
      </c>
      <c r="I232" s="380"/>
      <c r="J232" s="381" t="e">
        <f t="shared" si="18"/>
        <v>#REF!</v>
      </c>
      <c r="L232" s="347" t="s">
        <v>1074</v>
      </c>
      <c r="M232" s="347">
        <v>3</v>
      </c>
      <c r="N232" s="347">
        <f>COUNTIF(MtProvinceSG,"13")</f>
        <v>3</v>
      </c>
      <c r="O232" s="347">
        <f t="shared" si="19"/>
        <v>0</v>
      </c>
    </row>
    <row r="233" spans="1:15" s="347" customFormat="1" ht="28.8">
      <c r="A233" s="358" t="str">
        <f>'staffing plan'!B172</f>
        <v>Local Government Operations Officer V</v>
      </c>
      <c r="B233" s="359">
        <f>+'staffing plan'!C172</f>
        <v>20</v>
      </c>
      <c r="C233" s="360" t="str">
        <f>+'staffing plan'!A172</f>
        <v>OSEC-DILGB-LGOO5-947-1998</v>
      </c>
      <c r="D233" s="361" t="str">
        <f>+'staffing plan'!AK172</f>
        <v>09</v>
      </c>
      <c r="E233" s="360" t="e">
        <f>+'staffing plan'!#REF!</f>
        <v>#REF!</v>
      </c>
      <c r="F233" s="360" t="e">
        <f>CONCATENATE('staffing plan'!#REF!," ",'staffing plan'!#REF!)</f>
        <v>#REF!</v>
      </c>
      <c r="G233" s="360" t="str">
        <f>'staffing plan'!AX172</f>
        <v>Mt. Province</v>
      </c>
      <c r="H233" s="360" t="str">
        <f>'staffing plan'!AW172</f>
        <v>LICYAYO, Jennifer Lablabong</v>
      </c>
      <c r="I233" s="380"/>
      <c r="J233" s="381" t="e">
        <f t="shared" si="18"/>
        <v>#REF!</v>
      </c>
      <c r="L233" s="347" t="s">
        <v>1170</v>
      </c>
      <c r="M233" s="347">
        <v>2</v>
      </c>
      <c r="N233" s="347">
        <f>COUNTIF(MtProvinceSG,"8")</f>
        <v>2</v>
      </c>
      <c r="O233" s="347">
        <f t="shared" si="19"/>
        <v>0</v>
      </c>
    </row>
    <row r="234" spans="1:15" s="347" customFormat="1" ht="28.8">
      <c r="A234" s="358" t="str">
        <f>'staffing plan'!B171</f>
        <v>Local Government Operations Officer V</v>
      </c>
      <c r="B234" s="359">
        <f>+'staffing plan'!C171</f>
        <v>20</v>
      </c>
      <c r="C234" s="360" t="str">
        <f>+'staffing plan'!A171</f>
        <v>OSEC-DILGB-LGOO5-943-1998</v>
      </c>
      <c r="D234" s="361" t="str">
        <f>+'staffing plan'!AK171</f>
        <v>09</v>
      </c>
      <c r="E234" s="360" t="e">
        <f>+'staffing plan'!#REF!</f>
        <v>#REF!</v>
      </c>
      <c r="F234" s="360" t="e">
        <f>CONCATENATE('staffing plan'!#REF!," ",'staffing plan'!#REF!)</f>
        <v>#REF!</v>
      </c>
      <c r="G234" s="360" t="str">
        <f>'staffing plan'!AX171</f>
        <v>Mt. Province</v>
      </c>
      <c r="H234" s="360" t="str">
        <f>'staffing plan'!AW171</f>
        <v>BACWADEN, Perry  Daoas</v>
      </c>
      <c r="I234" s="380"/>
      <c r="J234" s="381" t="e">
        <f t="shared" si="18"/>
        <v>#REF!</v>
      </c>
      <c r="L234" s="347" t="s">
        <v>273</v>
      </c>
      <c r="M234" s="347">
        <v>1</v>
      </c>
      <c r="N234" s="347">
        <f>COUNTIF(MtProvinceSG,"6")</f>
        <v>1</v>
      </c>
      <c r="O234" s="347">
        <f t="shared" si="19"/>
        <v>0</v>
      </c>
    </row>
    <row r="235" spans="1:15" s="347" customFormat="1" ht="28.8">
      <c r="A235" s="358" t="str">
        <f>'staffing plan'!B194</f>
        <v>Local Government Operations Officer II</v>
      </c>
      <c r="B235" s="359">
        <f>+'staffing plan'!C194</f>
        <v>13</v>
      </c>
      <c r="C235" s="360" t="str">
        <f>+'staffing plan'!A194</f>
        <v>OSEC-DILGB-LGOO2-22-1998</v>
      </c>
      <c r="D235" s="361" t="str">
        <f>+'staffing plan'!AK194</f>
        <v>09</v>
      </c>
      <c r="E235" s="360" t="e">
        <f>+'staffing plan'!#REF!</f>
        <v>#REF!</v>
      </c>
      <c r="F235" s="360" t="e">
        <f>CONCATENATE('staffing plan'!#REF!," ",'staffing plan'!#REF!)</f>
        <v>#REF!</v>
      </c>
      <c r="G235" s="360" t="str">
        <f>'staffing plan'!AX194</f>
        <v>Abra</v>
      </c>
      <c r="H235" s="360" t="str">
        <f>'staffing plan'!AW194</f>
        <v>ANDANAN, Jaleemar Bosque</v>
      </c>
      <c r="I235" s="380"/>
      <c r="J235" s="381" t="e">
        <f t="shared" si="18"/>
        <v>#REF!</v>
      </c>
      <c r="L235" s="347" t="s">
        <v>455</v>
      </c>
      <c r="M235" s="347">
        <v>1</v>
      </c>
      <c r="N235" s="347">
        <f>COUNTIF(MtProvinceSG,"4")</f>
        <v>1</v>
      </c>
      <c r="O235" s="347">
        <f t="shared" si="19"/>
        <v>0</v>
      </c>
    </row>
    <row r="236" spans="1:15" s="347" customFormat="1" ht="28.8">
      <c r="A236" s="358" t="str">
        <f>'staffing plan'!B208</f>
        <v>Administrative Assistant II</v>
      </c>
      <c r="B236" s="359">
        <f>+'staffing plan'!C208</f>
        <v>8</v>
      </c>
      <c r="C236" s="360" t="str">
        <f>+'staffing plan'!A208</f>
        <v>OSEC-DILGB-ADAS2-68-2005</v>
      </c>
      <c r="D236" s="361" t="str">
        <f>+'staffing plan'!AK208</f>
        <v>09</v>
      </c>
      <c r="E236" s="360" t="e">
        <f>+'staffing plan'!#REF!</f>
        <v>#REF!</v>
      </c>
      <c r="F236" s="360" t="e">
        <f>CONCATENATE('staffing plan'!#REF!," ",'staffing plan'!#REF!)</f>
        <v>#REF!</v>
      </c>
      <c r="G236" s="360" t="str">
        <f>'staffing plan'!AX208</f>
        <v>Mt. Province</v>
      </c>
      <c r="H236" s="360" t="str">
        <f>'staffing plan'!AW208</f>
        <v>DEPALOG, Kharla Lhyn Bagwan</v>
      </c>
      <c r="I236" s="380"/>
      <c r="J236" s="381" t="e">
        <f t="shared" si="18"/>
        <v>#REF!</v>
      </c>
      <c r="L236" s="347" t="s">
        <v>2196</v>
      </c>
      <c r="M236" s="347">
        <v>1</v>
      </c>
      <c r="N236" s="347">
        <f>COUNTIF(MtProvinceSG,"1")</f>
        <v>1</v>
      </c>
      <c r="O236" s="347">
        <f t="shared" si="19"/>
        <v>0</v>
      </c>
    </row>
    <row r="237" spans="1:15" s="347" customFormat="1" ht="28.8">
      <c r="A237" s="358" t="str">
        <f>'staffing plan'!B210</f>
        <v>Administrative Assistant II</v>
      </c>
      <c r="B237" s="359">
        <f>+'staffing plan'!C210</f>
        <v>8</v>
      </c>
      <c r="C237" s="360" t="str">
        <f>+'staffing plan'!A210</f>
        <v>OSEC-DILGB-ADAS2-71-2005</v>
      </c>
      <c r="D237" s="245" t="str">
        <f>+'staffing plan'!AK210</f>
        <v>06</v>
      </c>
      <c r="E237" s="360" t="e">
        <f>+'staffing plan'!#REF!</f>
        <v>#REF!</v>
      </c>
      <c r="F237" s="360" t="e">
        <f>CONCATENATE('staffing plan'!#REF!," ",'staffing plan'!#REF!)</f>
        <v>#REF!</v>
      </c>
      <c r="G237" s="360" t="str">
        <f>'staffing plan'!AX210</f>
        <v>Mt. Province</v>
      </c>
      <c r="H237" s="360" t="str">
        <f>'staffing plan'!AW210</f>
        <v>TAMI-ING, Marilyn Kilayon</v>
      </c>
      <c r="I237" s="380" t="s">
        <v>2777</v>
      </c>
      <c r="J237" s="381" t="e">
        <f t="shared" si="18"/>
        <v>#REF!</v>
      </c>
      <c r="M237" s="347">
        <f>SUM(M229:M236)</f>
        <v>24</v>
      </c>
      <c r="N237" s="347">
        <f>SUM(N229:N236)</f>
        <v>24</v>
      </c>
      <c r="O237" s="347">
        <f>SUM(O229:O236)</f>
        <v>0</v>
      </c>
    </row>
    <row r="238" spans="1:15" s="347" customFormat="1" ht="28.8">
      <c r="A238" s="358" t="str">
        <f>'staffing plan'!B220</f>
        <v>Administrative Aide VI</v>
      </c>
      <c r="B238" s="359">
        <f>+'staffing plan'!C220</f>
        <v>6</v>
      </c>
      <c r="C238" s="360" t="str">
        <f>+'staffing plan'!A220</f>
        <v>OSEC-DILGB-ADA6-101-2005</v>
      </c>
      <c r="D238" s="361" t="str">
        <f>+'staffing plan'!AK220</f>
        <v>09</v>
      </c>
      <c r="E238" s="360" t="e">
        <f>+'staffing plan'!#REF!</f>
        <v>#REF!</v>
      </c>
      <c r="F238" s="360" t="e">
        <f>CONCATENATE('staffing plan'!#REF!," ",'staffing plan'!#REF!)</f>
        <v>#REF!</v>
      </c>
      <c r="G238" s="360">
        <f>'staffing plan'!AX220</f>
        <v>0</v>
      </c>
      <c r="H238" s="360" t="str">
        <f>'staffing plan'!AW220</f>
        <v xml:space="preserve">vacant FABAG,  </v>
      </c>
      <c r="I238" s="380"/>
      <c r="J238" s="381" t="e">
        <f t="shared" si="18"/>
        <v>#REF!</v>
      </c>
    </row>
    <row r="239" spans="1:15" s="347" customFormat="1" ht="28.8">
      <c r="A239" s="358" t="str">
        <f>'staffing plan'!B226</f>
        <v>Administrative Aide IV</v>
      </c>
      <c r="B239" s="359">
        <f>+'staffing plan'!C226</f>
        <v>4</v>
      </c>
      <c r="C239" s="360" t="str">
        <f>+'staffing plan'!A226</f>
        <v>OSEC-DILGB-ADA4-91-2005</v>
      </c>
      <c r="D239" s="361" t="str">
        <f>+'staffing plan'!AK226</f>
        <v>09</v>
      </c>
      <c r="E239" s="360" t="e">
        <f>+'staffing plan'!#REF!</f>
        <v>#REF!</v>
      </c>
      <c r="F239" s="360" t="e">
        <f>CONCATENATE('staffing plan'!#REF!," ",'staffing plan'!#REF!)</f>
        <v>#REF!</v>
      </c>
      <c r="G239" s="360" t="str">
        <f>'staffing plan'!AX226</f>
        <v>Mt. Province</v>
      </c>
      <c r="H239" s="360" t="str">
        <f>'staffing plan'!AW226</f>
        <v>LOMAS-E, Rose Mere Manarop</v>
      </c>
      <c r="I239" s="380"/>
      <c r="J239" s="381" t="e">
        <f t="shared" si="18"/>
        <v>#REF!</v>
      </c>
    </row>
    <row r="240" spans="1:15" s="347" customFormat="1" ht="28.8">
      <c r="A240" s="358" t="str">
        <f>'staffing plan'!B237</f>
        <v>Administrative Aide I</v>
      </c>
      <c r="B240" s="359">
        <f>+'staffing plan'!C237</f>
        <v>1</v>
      </c>
      <c r="C240" s="360" t="str">
        <f>+'staffing plan'!A237</f>
        <v>OSEC-DILGB-ADA1-30-2005</v>
      </c>
      <c r="D240" s="361" t="str">
        <f>+'staffing plan'!AK237</f>
        <v>09</v>
      </c>
      <c r="E240" s="360" t="e">
        <f>+'staffing plan'!#REF!</f>
        <v>#REF!</v>
      </c>
      <c r="F240" s="360" t="e">
        <f>CONCATENATE('staffing plan'!#REF!," ",'staffing plan'!#REF!)</f>
        <v>#REF!</v>
      </c>
      <c r="G240" s="360" t="str">
        <f>'staffing plan'!AX237</f>
        <v>Mt. Province</v>
      </c>
      <c r="H240" s="360" t="str">
        <f>'staffing plan'!AW237</f>
        <v>LOMAS-E, Wilmon Finotton</v>
      </c>
      <c r="I240" s="380"/>
      <c r="J240" s="381" t="e">
        <f t="shared" si="18"/>
        <v>#REF!</v>
      </c>
    </row>
    <row r="241" spans="1:15" s="347" customFormat="1" ht="28.8">
      <c r="A241" s="358" t="str">
        <f>'staffing plan'!B152</f>
        <v>Local Government Operations Officer VI</v>
      </c>
      <c r="B241" s="359">
        <f>+'staffing plan'!C152</f>
        <v>22</v>
      </c>
      <c r="C241" s="360" t="str">
        <f>+'staffing plan'!A152</f>
        <v>OSEC-DILGB-LGOO6-68-2017</v>
      </c>
      <c r="D241" s="361" t="str">
        <f>+'staffing plan'!AK152</f>
        <v>0579</v>
      </c>
      <c r="E241" s="360" t="e">
        <f>+'staffing plan'!#REF!</f>
        <v>#REF!</v>
      </c>
      <c r="F241" s="360" t="e">
        <f>CONCATENATE('staffing plan'!#REF!," ",'staffing plan'!#REF!)</f>
        <v>#REF!</v>
      </c>
      <c r="G241" s="360" t="str">
        <f>'staffing plan'!AX152</f>
        <v>Mt. Province</v>
      </c>
      <c r="H241" s="360" t="str">
        <f>'staffing plan'!AW152</f>
        <v>GUIAWAN, Maria Addalay</v>
      </c>
      <c r="I241" s="380"/>
      <c r="J241" s="381" t="e">
        <f t="shared" si="18"/>
        <v>#REF!</v>
      </c>
    </row>
    <row r="242" spans="1:15" s="347" customFormat="1" ht="28.8">
      <c r="A242" s="358" t="str">
        <f>'staffing plan'!B195</f>
        <v>Local Government Operations Officer II</v>
      </c>
      <c r="B242" s="359">
        <f>+'staffing plan'!C195</f>
        <v>13</v>
      </c>
      <c r="C242" s="360" t="str">
        <f>+'staffing plan'!A195</f>
        <v>OSEC-DILGB-LGOO2-23-1998</v>
      </c>
      <c r="D242" s="361" t="str">
        <f>+'staffing plan'!AK195</f>
        <v>0582</v>
      </c>
      <c r="E242" s="360" t="e">
        <f>+'staffing plan'!#REF!</f>
        <v>#REF!</v>
      </c>
      <c r="F242" s="360" t="e">
        <f>CONCATENATE('staffing plan'!#REF!," ",'staffing plan'!#REF!)</f>
        <v>#REF!</v>
      </c>
      <c r="G242" s="360" t="str">
        <f>'staffing plan'!AX195</f>
        <v>Apayao</v>
      </c>
      <c r="H242" s="360" t="str">
        <f>'staffing plan'!AW195</f>
        <v>ALCANTARA, Joey Paul Bistayan</v>
      </c>
      <c r="I242" s="285" t="s">
        <v>2787</v>
      </c>
      <c r="J242" s="286" t="e">
        <f t="shared" si="18"/>
        <v>#REF!</v>
      </c>
    </row>
    <row r="243" spans="1:15" s="347" customFormat="1" ht="28.8">
      <c r="A243" s="358" t="str">
        <f>'staffing plan'!B146</f>
        <v>Local Government Operations Officer VI</v>
      </c>
      <c r="B243" s="359">
        <f>+'staffing plan'!C146</f>
        <v>22</v>
      </c>
      <c r="C243" s="360" t="str">
        <f>+'staffing plan'!A146</f>
        <v>OSEC-DILGB-LGOO6-62-2017</v>
      </c>
      <c r="D243" s="361" t="str">
        <f>+'staffing plan'!AK146</f>
        <v>0585</v>
      </c>
      <c r="E243" s="360" t="e">
        <f>+'staffing plan'!#REF!</f>
        <v>#REF!</v>
      </c>
      <c r="F243" s="360" t="e">
        <f>CONCATENATE('staffing plan'!#REF!," ",'staffing plan'!#REF!)</f>
        <v>#REF!</v>
      </c>
      <c r="G243" s="360" t="str">
        <f>'staffing plan'!AX146</f>
        <v>Mt. Province</v>
      </c>
      <c r="H243" s="360" t="str">
        <f>'staffing plan'!AW146</f>
        <v>FEGCAN, Erwin Gerald Talusig</v>
      </c>
      <c r="I243" s="380"/>
      <c r="J243" s="381" t="e">
        <f t="shared" si="18"/>
        <v>#REF!</v>
      </c>
      <c r="L243" s="347" t="s">
        <v>2197</v>
      </c>
      <c r="M243" s="347">
        <f>+M237+M214+M184+M153+M141+M120+M72</f>
        <v>170</v>
      </c>
    </row>
    <row r="244" spans="1:15" s="347" customFormat="1" ht="28.8">
      <c r="A244" s="358" t="str">
        <f>'staffing plan'!B148</f>
        <v>Local Government Operations Officer VI</v>
      </c>
      <c r="B244" s="359">
        <f>+'staffing plan'!C148</f>
        <v>22</v>
      </c>
      <c r="C244" s="360" t="str">
        <f>+'staffing plan'!A148</f>
        <v>OSEC-DILGB-LGOO6-64-2017</v>
      </c>
      <c r="D244" s="361" t="str">
        <f>+'staffing plan'!AK148</f>
        <v>0588</v>
      </c>
      <c r="E244" s="360" t="e">
        <f>+'staffing plan'!#REF!</f>
        <v>#REF!</v>
      </c>
      <c r="F244" s="360" t="e">
        <f>CONCATENATE('staffing plan'!#REF!," ",'staffing plan'!#REF!)</f>
        <v>#REF!</v>
      </c>
      <c r="G244" s="360" t="str">
        <f>'staffing plan'!AX148</f>
        <v>Mt. Province</v>
      </c>
      <c r="H244" s="360" t="str">
        <f>'staffing plan'!AW148</f>
        <v>FA-ED, Jill  Fanged</v>
      </c>
      <c r="I244" s="380"/>
      <c r="J244" s="381" t="e">
        <f t="shared" si="18"/>
        <v>#REF!</v>
      </c>
    </row>
    <row r="245" spans="1:15" s="347" customFormat="1" ht="28.8">
      <c r="A245" s="358" t="str">
        <f>'staffing plan'!B151</f>
        <v>Local Government Operations Officer VI</v>
      </c>
      <c r="B245" s="359">
        <f>+'staffing plan'!C151</f>
        <v>22</v>
      </c>
      <c r="C245" s="360" t="str">
        <f>+'staffing plan'!A151</f>
        <v>OSEC-DILGB-LGOO6-67-2017</v>
      </c>
      <c r="D245" s="361" t="str">
        <f>+'staffing plan'!AK151</f>
        <v>0591</v>
      </c>
      <c r="E245" s="360" t="e">
        <f>+'staffing plan'!#REF!</f>
        <v>#REF!</v>
      </c>
      <c r="F245" s="360" t="e">
        <f>CONCATENATE('staffing plan'!#REF!," ",'staffing plan'!#REF!)</f>
        <v>#REF!</v>
      </c>
      <c r="G245" s="360" t="str">
        <f>'staffing plan'!AX151</f>
        <v>Mt. Province</v>
      </c>
      <c r="H245" s="360" t="str">
        <f>'staffing plan'!AW151</f>
        <v>MAYMAYA, Johnny Jr.  Mukay</v>
      </c>
      <c r="I245" s="380"/>
      <c r="J245" s="381" t="e">
        <f t="shared" si="18"/>
        <v>#REF!</v>
      </c>
    </row>
    <row r="246" spans="1:15" s="347" customFormat="1" ht="28.8">
      <c r="A246" s="388" t="str">
        <f>'staffing plan'!B147</f>
        <v>Local Government Operations Officer VI</v>
      </c>
      <c r="B246" s="389">
        <f>+'staffing plan'!C147</f>
        <v>22</v>
      </c>
      <c r="C246" s="390" t="str">
        <f>+'staffing plan'!A147</f>
        <v>OSEC-DILGB-LGOO6-63-2017</v>
      </c>
      <c r="D246" s="391" t="str">
        <f>+'staffing plan'!AK147</f>
        <v>0594</v>
      </c>
      <c r="E246" s="390" t="e">
        <f>+'staffing plan'!#REF!</f>
        <v>#REF!</v>
      </c>
      <c r="F246" s="390" t="e">
        <f>CONCATENATE('staffing plan'!#REF!," ",'staffing plan'!#REF!)</f>
        <v>#REF!</v>
      </c>
      <c r="G246" s="390" t="str">
        <f>'staffing plan'!AX147</f>
        <v>Mt. Province</v>
      </c>
      <c r="H246" s="390" t="str">
        <f>'staffing plan'!AW147</f>
        <v>MANGANGEY, Robert Jr.  Palog</v>
      </c>
      <c r="I246" s="392"/>
      <c r="J246" s="381" t="e">
        <f t="shared" si="18"/>
        <v>#REF!</v>
      </c>
    </row>
    <row r="247" spans="1:15" s="347" customFormat="1" ht="28.8">
      <c r="A247" s="358" t="str">
        <f>'staffing plan'!B153</f>
        <v>Local Government Operations Officer VI</v>
      </c>
      <c r="B247" s="359">
        <f>+'staffing plan'!C153</f>
        <v>22</v>
      </c>
      <c r="C247" s="360" t="str">
        <f>+'staffing plan'!A153</f>
        <v>OSEC-DILGB-LGOO6-69-2017</v>
      </c>
      <c r="D247" s="361" t="str">
        <f>+'staffing plan'!AK153</f>
        <v>0597</v>
      </c>
      <c r="E247" s="268" t="e">
        <f>+'staffing plan'!#REF!</f>
        <v>#REF!</v>
      </c>
      <c r="F247" s="268" t="e">
        <f>CONCATENATE('staffing plan'!#REF!," ",'staffing plan'!#REF!)</f>
        <v>#REF!</v>
      </c>
      <c r="G247" s="360" t="str">
        <f>'staffing plan'!AX153</f>
        <v>Mt. Province</v>
      </c>
      <c r="H247" s="268" t="str">
        <f>'staffing plan'!AW153</f>
        <v>BASILIO, Caridad  Ballang</v>
      </c>
      <c r="I247" s="280" t="s">
        <v>2804</v>
      </c>
      <c r="J247" s="381" t="e">
        <f t="shared" si="18"/>
        <v>#REF!</v>
      </c>
    </row>
    <row r="248" spans="1:15" s="347" customFormat="1" ht="28.8">
      <c r="A248" s="358" t="str">
        <f>'staffing plan'!B196</f>
        <v>Local Government Operations Officer II</v>
      </c>
      <c r="B248" s="359">
        <f>+'staffing plan'!C196</f>
        <v>13</v>
      </c>
      <c r="C248" s="360" t="str">
        <f>+'staffing plan'!A196</f>
        <v>OSEC-DILGB-LGOO2-25-1998</v>
      </c>
      <c r="D248" s="361" t="str">
        <f>+'staffing plan'!AK196</f>
        <v>0597</v>
      </c>
      <c r="E248" s="268" t="e">
        <f>+'staffing plan'!#REF!</f>
        <v>#REF!</v>
      </c>
      <c r="F248" s="268" t="e">
        <f>CONCATENATE('staffing plan'!#REF!," ",'staffing plan'!#REF!)</f>
        <v>#REF!</v>
      </c>
      <c r="G248" s="360">
        <f>'staffing plan'!AX196</f>
        <v>0</v>
      </c>
      <c r="H248" s="268" t="str">
        <f>'staffing plan'!AW196</f>
        <v xml:space="preserve">vacant GAYASO,  </v>
      </c>
      <c r="I248" s="280" t="s">
        <v>2762</v>
      </c>
      <c r="J248" s="381" t="e">
        <f t="shared" si="18"/>
        <v>#REF!</v>
      </c>
    </row>
    <row r="249" spans="1:15" s="347" customFormat="1" ht="28.8">
      <c r="A249" s="358" t="str">
        <f>'staffing plan'!B149</f>
        <v>Local Government Operations Officer VI</v>
      </c>
      <c r="B249" s="359">
        <f>+'staffing plan'!C149</f>
        <v>22</v>
      </c>
      <c r="C249" s="360" t="str">
        <f>+'staffing plan'!A149</f>
        <v>OSEC-DILGB-LGOO6-65-2017</v>
      </c>
      <c r="D249" s="361" t="str">
        <f>+'staffing plan'!AK149</f>
        <v>0600</v>
      </c>
      <c r="E249" s="360" t="e">
        <f>+'staffing plan'!#REF!</f>
        <v>#REF!</v>
      </c>
      <c r="F249" s="360" t="e">
        <f>CONCATENATE('staffing plan'!#REF!," ",'staffing plan'!#REF!)</f>
        <v>#REF!</v>
      </c>
      <c r="G249" s="360" t="str">
        <f>'staffing plan'!AX149</f>
        <v>Mt. Province</v>
      </c>
      <c r="H249" s="360" t="str">
        <f>'staffing plan'!AW149</f>
        <v>BASCO, Raymundo Jacinto Pandoyos</v>
      </c>
      <c r="I249" s="380"/>
      <c r="J249" s="381" t="e">
        <f t="shared" si="18"/>
        <v>#REF!</v>
      </c>
    </row>
    <row r="250" spans="1:15" s="347" customFormat="1" ht="28.8">
      <c r="A250" s="358" t="str">
        <f>'staffing plan'!B145</f>
        <v>Local Government Operations Officer VI</v>
      </c>
      <c r="B250" s="359">
        <f>+'staffing plan'!C145</f>
        <v>22</v>
      </c>
      <c r="C250" s="360" t="str">
        <f>+'staffing plan'!A145</f>
        <v>OSEC-DILGB-LGOO6-61-2017</v>
      </c>
      <c r="D250" s="361" t="str">
        <f>+'staffing plan'!AK145</f>
        <v>0603</v>
      </c>
      <c r="E250" s="360" t="e">
        <f>+'staffing plan'!#REF!</f>
        <v>#REF!</v>
      </c>
      <c r="F250" s="360" t="e">
        <f>CONCATENATE('staffing plan'!#REF!," ",'staffing plan'!#REF!)</f>
        <v>#REF!</v>
      </c>
      <c r="G250" s="360" t="str">
        <f>'staffing plan'!AX145</f>
        <v>Mt. Province</v>
      </c>
      <c r="H250" s="360" t="str">
        <f>'staffing plan'!AW145</f>
        <v>PEEL, Lourdes Claire Fanusan</v>
      </c>
      <c r="I250" s="380"/>
      <c r="J250" s="381" t="e">
        <f t="shared" si="18"/>
        <v>#REF!</v>
      </c>
    </row>
    <row r="251" spans="1:15" s="347" customFormat="1" ht="28.8">
      <c r="A251" s="388" t="str">
        <f>'staffing plan'!B150</f>
        <v>Local Government Operations Officer VI</v>
      </c>
      <c r="B251" s="389">
        <f>+'staffing plan'!C150</f>
        <v>22</v>
      </c>
      <c r="C251" s="390" t="str">
        <f>+'staffing plan'!A150</f>
        <v>OSEC-DILGB-LGOO6-66-2017</v>
      </c>
      <c r="D251" s="391" t="str">
        <f>+'staffing plan'!AK150</f>
        <v>0606</v>
      </c>
      <c r="E251" s="390" t="e">
        <f>+'staffing plan'!#REF!</f>
        <v>#REF!</v>
      </c>
      <c r="F251" s="390" t="e">
        <f>CONCATENATE('staffing plan'!#REF!," ",'staffing plan'!#REF!)</f>
        <v>#REF!</v>
      </c>
      <c r="G251" s="390" t="str">
        <f>'staffing plan'!AX150</f>
        <v>Mt. Province</v>
      </c>
      <c r="H251" s="390" t="str">
        <f>'staffing plan'!AW150</f>
        <v>PILUDEN, Judy Colabot</v>
      </c>
      <c r="I251" s="392"/>
      <c r="J251" s="381" t="e">
        <f t="shared" si="18"/>
        <v>#REF!</v>
      </c>
    </row>
    <row r="252" spans="1:15">
      <c r="N252" s="349"/>
      <c r="O252" s="349"/>
    </row>
  </sheetData>
  <mergeCells count="9">
    <mergeCell ref="A1:I1"/>
    <mergeCell ref="A2:I2"/>
    <mergeCell ref="D4:F4"/>
    <mergeCell ref="A4:A5"/>
    <mergeCell ref="B4:B5"/>
    <mergeCell ref="C4:C5"/>
    <mergeCell ref="G4:G5"/>
    <mergeCell ref="H4:H5"/>
    <mergeCell ref="I4:I5"/>
  </mergeCells>
  <conditionalFormatting sqref="H7:H251">
    <cfRule type="containsText" dxfId="283" priority="1" operator="containsText" text="*VACANT*">
      <formula>NOT(ISERROR(SEARCH("*VACANT*",H7)))</formula>
    </cfRule>
  </conditionalFormatting>
  <printOptions horizontalCentered="1"/>
  <pageMargins left="0.21875" right="0.21875" top="0.27916666666666701" bottom="0.33888888888888902" header="0.3" footer="0.13888888888888901"/>
  <pageSetup paperSize="10000" orientation="landscape"/>
  <headerFooter>
    <oddFooter>&amp;LQMS Special RMC&amp;RPage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Y434"/>
  <sheetViews>
    <sheetView topLeftCell="B267" zoomScale="115" zoomScaleNormal="115" workbookViewId="0">
      <selection activeCell="D84" sqref="D84:O84"/>
    </sheetView>
  </sheetViews>
  <sheetFormatPr defaultColWidth="9" defaultRowHeight="14.4"/>
  <cols>
    <col min="3" max="3" width="13.109375" customWidth="1"/>
    <col min="4" max="4" width="27.109375" customWidth="1"/>
    <col min="5" max="5" width="36.88671875" customWidth="1"/>
    <col min="6" max="6" width="3.88671875" customWidth="1"/>
    <col min="7" max="7" width="6.109375" customWidth="1"/>
    <col min="8" max="11" width="13.109375" customWidth="1"/>
    <col min="12" max="12" width="6.6640625" customWidth="1"/>
    <col min="13" max="13" width="12.88671875" customWidth="1"/>
    <col min="14" max="15" width="11.109375" customWidth="1"/>
    <col min="16" max="18" width="13.109375" customWidth="1"/>
    <col min="19" max="19" width="15.33203125" customWidth="1"/>
  </cols>
  <sheetData>
    <row r="1" spans="1:25" ht="18.75" customHeight="1">
      <c r="A1" t="s">
        <v>2765</v>
      </c>
      <c r="B1" t="s">
        <v>2765</v>
      </c>
      <c r="C1" s="138" t="s">
        <v>18</v>
      </c>
      <c r="D1" s="139" t="s">
        <v>2204</v>
      </c>
      <c r="E1" s="140" t="s">
        <v>7</v>
      </c>
      <c r="F1" s="141" t="s">
        <v>8</v>
      </c>
      <c r="G1" s="143" t="s">
        <v>10</v>
      </c>
      <c r="H1" s="139" t="s">
        <v>2216</v>
      </c>
      <c r="I1" s="143" t="s">
        <v>2201</v>
      </c>
      <c r="J1" s="144" t="s">
        <v>2805</v>
      </c>
      <c r="K1" s="144" t="s">
        <v>2806</v>
      </c>
      <c r="L1" s="143" t="s">
        <v>2202</v>
      </c>
      <c r="M1" s="141" t="s">
        <v>2807</v>
      </c>
      <c r="N1" s="141" t="s">
        <v>2808</v>
      </c>
      <c r="O1" s="141" t="s">
        <v>2809</v>
      </c>
      <c r="P1" s="142" t="s">
        <v>2810</v>
      </c>
      <c r="Q1" s="142" t="s">
        <v>2811</v>
      </c>
      <c r="R1" s="146" t="s">
        <v>21</v>
      </c>
      <c r="S1" s="147"/>
      <c r="T1" s="148"/>
      <c r="U1" s="148"/>
      <c r="V1" s="148"/>
      <c r="W1" s="148"/>
      <c r="X1" s="148"/>
      <c r="Y1" s="149"/>
    </row>
    <row r="2" spans="1:25">
      <c r="A2">
        <v>2015</v>
      </c>
      <c r="B2">
        <f>(YEAR(C2))</f>
        <v>2018</v>
      </c>
      <c r="C2">
        <f>+'staffing plan'!BK12</f>
        <v>43146</v>
      </c>
      <c r="D2" t="str">
        <f>'staffing plan'!A12</f>
        <v>OSEC-DILGB-DIR4-18-1998</v>
      </c>
      <c r="E2" t="str">
        <f>+'staffing plan'!B12</f>
        <v>Director IV</v>
      </c>
      <c r="F2">
        <f>+'staffing plan'!C12</f>
        <v>28</v>
      </c>
      <c r="G2" s="131">
        <f>+'staffing plan'!AJ12</f>
        <v>2</v>
      </c>
      <c r="H2" t="str">
        <f>+'staffing plan'!AX12</f>
        <v>Regional Office</v>
      </c>
      <c r="I2" t="str">
        <f>+'staffing plan'!AW12</f>
        <v>IRINGAN, Marlo Lingan</v>
      </c>
      <c r="J2" t="e">
        <f>+'staffing plan'!#REF!</f>
        <v>#REF!</v>
      </c>
      <c r="K2" t="e">
        <f>+'staffing plan'!#REF!</f>
        <v>#REF!</v>
      </c>
      <c r="L2" t="str">
        <f>+'staffing plan'!AY12</f>
        <v>M</v>
      </c>
      <c r="M2" s="145" t="e">
        <f>+'staffing plan'!#REF!</f>
        <v>#REF!</v>
      </c>
      <c r="N2" s="145" t="e">
        <f>'staffing plan'!#REF!</f>
        <v>#REF!</v>
      </c>
      <c r="O2" s="145" t="e">
        <f>+'staffing plan'!#REF!</f>
        <v>#REF!</v>
      </c>
      <c r="P2" s="131">
        <f>+'staffing plan'!AH12</f>
        <v>1646340</v>
      </c>
      <c r="Q2" s="131">
        <f>+'staffing plan'!AI12</f>
        <v>1673208</v>
      </c>
      <c r="R2">
        <f>+'staffing plan'!BP12</f>
        <v>0</v>
      </c>
      <c r="S2">
        <v>1</v>
      </c>
    </row>
    <row r="3" spans="1:25" hidden="1">
      <c r="A3">
        <f t="shared" ref="A3:A9" si="0">+A2-3</f>
        <v>2012</v>
      </c>
      <c r="B3">
        <f t="shared" ref="B3:B67" si="1">(YEAR(C3))</f>
        <v>2019</v>
      </c>
      <c r="C3">
        <f>+'staffing plan'!BK13</f>
        <v>43549</v>
      </c>
      <c r="D3" t="str">
        <f>'staffing plan'!A13</f>
        <v>OSEC-DILGB-DIR3-4-1998</v>
      </c>
      <c r="E3" t="str">
        <f>+'staffing plan'!B13</f>
        <v>Director III</v>
      </c>
      <c r="F3">
        <f>+'staffing plan'!C13</f>
        <v>27</v>
      </c>
      <c r="G3" s="131">
        <f>+'staffing plan'!AJ13</f>
        <v>2</v>
      </c>
      <c r="H3" t="str">
        <f>+'staffing plan'!AX13</f>
        <v>Regional Office</v>
      </c>
      <c r="I3" t="str">
        <f>+'staffing plan'!AW13</f>
        <v>SAN JOSE, Araceli Arruejo</v>
      </c>
      <c r="J3" t="e">
        <f>+'staffing plan'!#REF!</f>
        <v>#REF!</v>
      </c>
      <c r="K3" t="e">
        <f>+'staffing plan'!#REF!</f>
        <v>#REF!</v>
      </c>
      <c r="L3" t="str">
        <f>+'staffing plan'!AY13</f>
        <v>F</v>
      </c>
      <c r="M3" s="145" t="e">
        <f>+'staffing plan'!#REF!</f>
        <v>#REF!</v>
      </c>
      <c r="N3" s="145" t="e">
        <f>'staffing plan'!#REF!</f>
        <v>#REF!</v>
      </c>
      <c r="O3" s="145" t="e">
        <f>+'staffing plan'!#REF!</f>
        <v>#REF!</v>
      </c>
      <c r="P3" s="131">
        <f>+'staffing plan'!AH13</f>
        <v>1456932</v>
      </c>
      <c r="Q3" s="131">
        <f>+'staffing plan'!AI13</f>
        <v>1480716</v>
      </c>
      <c r="R3">
        <f>+'staffing plan'!BP13</f>
        <v>0</v>
      </c>
      <c r="S3">
        <v>2</v>
      </c>
    </row>
    <row r="4" spans="1:25" hidden="1">
      <c r="A4">
        <f t="shared" si="0"/>
        <v>2009</v>
      </c>
      <c r="B4">
        <f t="shared" si="1"/>
        <v>2018</v>
      </c>
      <c r="C4">
        <f>+'staffing plan'!BK14</f>
        <v>43360</v>
      </c>
      <c r="D4" t="str">
        <f>'staffing plan'!A14</f>
        <v>OSEC-DILGB-ATTY4-9-1998</v>
      </c>
      <c r="E4" t="str">
        <f>+'staffing plan'!B14</f>
        <v>Attorney IV</v>
      </c>
      <c r="F4">
        <f>+'staffing plan'!C14</f>
        <v>23</v>
      </c>
      <c r="G4" s="131">
        <f>+'staffing plan'!AJ14</f>
        <v>1</v>
      </c>
      <c r="H4" t="str">
        <f>+'staffing plan'!AX14</f>
        <v>Regional Office</v>
      </c>
      <c r="I4" t="str">
        <f>+'staffing plan'!AW14</f>
        <v>SHONTOGAN, Genevieve Miguel</v>
      </c>
      <c r="J4" t="e">
        <f>+'staffing plan'!#REF!</f>
        <v>#REF!</v>
      </c>
      <c r="K4" t="e">
        <f>+'staffing plan'!#REF!</f>
        <v>#REF!</v>
      </c>
      <c r="L4" t="str">
        <f>+'staffing plan'!AY14</f>
        <v>F</v>
      </c>
      <c r="M4" s="145" t="e">
        <f>+'staffing plan'!#REF!</f>
        <v>#REF!</v>
      </c>
      <c r="N4" s="145" t="e">
        <f>'staffing plan'!#REF!</f>
        <v>#REF!</v>
      </c>
      <c r="O4" s="145" t="e">
        <f>+'staffing plan'!#REF!</f>
        <v>#REF!</v>
      </c>
      <c r="P4" s="131">
        <f>+'staffing plan'!AH14</f>
        <v>885732</v>
      </c>
      <c r="Q4" s="131">
        <f>+'staffing plan'!AI14</f>
        <v>885732</v>
      </c>
      <c r="R4">
        <f>+'staffing plan'!BP14</f>
        <v>0</v>
      </c>
      <c r="S4">
        <v>3</v>
      </c>
    </row>
    <row r="5" spans="1:25">
      <c r="A5">
        <f t="shared" si="0"/>
        <v>2006</v>
      </c>
      <c r="B5">
        <f t="shared" si="1"/>
        <v>2012</v>
      </c>
      <c r="C5">
        <f>+'staffing plan'!BK15</f>
        <v>40969</v>
      </c>
      <c r="D5" t="str">
        <f>'staffing plan'!A15</f>
        <v>OSEC-DILGB-ITO1-2-2010</v>
      </c>
      <c r="E5" t="str">
        <f>+'staffing plan'!B15</f>
        <v>Information Technology Officer I</v>
      </c>
      <c r="F5">
        <f>+'staffing plan'!C15</f>
        <v>19</v>
      </c>
      <c r="G5" s="131">
        <f>+'staffing plan'!AJ15</f>
        <v>3</v>
      </c>
      <c r="H5" t="str">
        <f>+'staffing plan'!AX15</f>
        <v>Regional Office</v>
      </c>
      <c r="I5" t="str">
        <f>+'staffing plan'!AW15</f>
        <v>PAPAT-IW, Zaldy Bugtong</v>
      </c>
      <c r="J5" t="e">
        <f>+'staffing plan'!#REF!</f>
        <v>#REF!</v>
      </c>
      <c r="K5" t="e">
        <f>+'staffing plan'!#REF!</f>
        <v>#REF!</v>
      </c>
      <c r="L5" t="str">
        <f>+'staffing plan'!AY15</f>
        <v>M</v>
      </c>
      <c r="M5" s="145" t="e">
        <f>+'staffing plan'!#REF!</f>
        <v>#REF!</v>
      </c>
      <c r="N5" s="145" t="e">
        <f>'staffing plan'!#REF!</f>
        <v>#REF!</v>
      </c>
      <c r="O5" s="145" t="e">
        <f>+'staffing plan'!#REF!</f>
        <v>#REF!</v>
      </c>
      <c r="P5" s="131">
        <f>+'staffing plan'!AH15</f>
        <v>543228</v>
      </c>
      <c r="Q5" s="131">
        <f>+'staffing plan'!AI15</f>
        <v>561108</v>
      </c>
      <c r="R5">
        <f>+'staffing plan'!BP15</f>
        <v>0</v>
      </c>
      <c r="S5">
        <v>4</v>
      </c>
    </row>
    <row r="6" spans="1:25">
      <c r="A6">
        <f t="shared" si="0"/>
        <v>2003</v>
      </c>
      <c r="B6">
        <f t="shared" si="1"/>
        <v>2016</v>
      </c>
      <c r="C6">
        <f>+'staffing plan'!BK16</f>
        <v>42653</v>
      </c>
      <c r="D6" t="str">
        <f>'staffing plan'!A16</f>
        <v>OSEC-DILGB-PLO3-93-2010</v>
      </c>
      <c r="E6" t="str">
        <f>+'staffing plan'!B16</f>
        <v>Planning Officer III</v>
      </c>
      <c r="F6">
        <f>+'staffing plan'!C16</f>
        <v>18</v>
      </c>
      <c r="G6" s="131">
        <f>+'staffing plan'!AJ16</f>
        <v>1</v>
      </c>
      <c r="H6" t="str">
        <f>+'staffing plan'!AX16</f>
        <v>Regional Office</v>
      </c>
      <c r="I6" t="str">
        <f>+'staffing plan'!AW16</f>
        <v>BINAY-AN, Fe Suerte</v>
      </c>
      <c r="J6" t="e">
        <f>+'staffing plan'!#REF!</f>
        <v>#REF!</v>
      </c>
      <c r="K6" t="e">
        <f>+'staffing plan'!#REF!</f>
        <v>#REF!</v>
      </c>
      <c r="L6" t="str">
        <f>+'staffing plan'!AY16</f>
        <v>F</v>
      </c>
      <c r="M6" s="145" t="e">
        <f>+'staffing plan'!#REF!</f>
        <v>#REF!</v>
      </c>
      <c r="N6" s="145" t="e">
        <f>'staffing plan'!#REF!</f>
        <v>#REF!</v>
      </c>
      <c r="O6" s="145" t="e">
        <f>+'staffing plan'!#REF!</f>
        <v>#REF!</v>
      </c>
      <c r="P6" s="131">
        <f>+'staffing plan'!AH16</f>
        <v>487644</v>
      </c>
      <c r="Q6" s="131">
        <f>+'staffing plan'!AI16</f>
        <v>487644</v>
      </c>
      <c r="R6">
        <f>+'staffing plan'!BP16</f>
        <v>0</v>
      </c>
      <c r="S6">
        <v>5</v>
      </c>
    </row>
    <row r="7" spans="1:25">
      <c r="A7">
        <f t="shared" si="0"/>
        <v>2000</v>
      </c>
      <c r="B7">
        <f t="shared" si="1"/>
        <v>1998</v>
      </c>
      <c r="C7">
        <f>+'staffing plan'!BK17</f>
        <v>36069</v>
      </c>
      <c r="D7" t="str">
        <f>'staffing plan'!A17</f>
        <v>OSEC-DILGB-ADAS3-64-2005</v>
      </c>
      <c r="E7" t="str">
        <f>+'staffing plan'!B17</f>
        <v>Administrative Assistant III</v>
      </c>
      <c r="F7">
        <f>+'staffing plan'!C17</f>
        <v>9</v>
      </c>
      <c r="G7" s="131">
        <f>+'staffing plan'!AJ17</f>
        <v>7</v>
      </c>
      <c r="H7" t="str">
        <f>+'staffing plan'!AX17</f>
        <v>Regional Office</v>
      </c>
      <c r="I7" t="str">
        <f>+'staffing plan'!AW17</f>
        <v>DAOAS, Marian Pait Bigsang</v>
      </c>
      <c r="J7" t="e">
        <f>+'staffing plan'!#REF!</f>
        <v>#REF!</v>
      </c>
      <c r="K7" t="e">
        <f>+'staffing plan'!#REF!</f>
        <v>#REF!</v>
      </c>
      <c r="L7" t="str">
        <f>+'staffing plan'!AY17</f>
        <v>F</v>
      </c>
      <c r="M7" s="145" t="e">
        <f>+'staffing plan'!#REF!</f>
        <v>#REF!</v>
      </c>
      <c r="N7" s="145" t="e">
        <f>'staffing plan'!#REF!</f>
        <v>#REF!</v>
      </c>
      <c r="O7" s="145" t="e">
        <f>+'staffing plan'!#REF!</f>
        <v>#REF!</v>
      </c>
      <c r="P7" s="131">
        <f>+'staffing plan'!AH17</f>
        <v>215700</v>
      </c>
      <c r="Q7" s="131">
        <f>+'staffing plan'!AI17</f>
        <v>226752</v>
      </c>
      <c r="R7">
        <f>+'staffing plan'!BP17</f>
        <v>0</v>
      </c>
      <c r="S7">
        <v>6</v>
      </c>
    </row>
    <row r="8" spans="1:25">
      <c r="A8">
        <f t="shared" si="0"/>
        <v>1997</v>
      </c>
      <c r="B8">
        <f t="shared" si="1"/>
        <v>2017</v>
      </c>
      <c r="C8">
        <f>+'staffing plan'!BK18</f>
        <v>42891</v>
      </c>
      <c r="D8" t="str">
        <f>'staffing plan'!A18</f>
        <v>OSEC-DILGB-ADA4-83-2005</v>
      </c>
      <c r="E8" t="str">
        <f>+'staffing plan'!B18</f>
        <v>Administrative Aide IV (Driver II)</v>
      </c>
      <c r="F8">
        <f>+'staffing plan'!C18</f>
        <v>4</v>
      </c>
      <c r="G8" s="131">
        <f>+'staffing plan'!AJ18</f>
        <v>1</v>
      </c>
      <c r="H8" t="str">
        <f>+'staffing plan'!AX18</f>
        <v>Regional Office</v>
      </c>
      <c r="I8" t="str">
        <f>+'staffing plan'!AW18</f>
        <v>PULTZ, El-wood Duane  Lingbawan</v>
      </c>
      <c r="J8" t="e">
        <f>+'staffing plan'!#REF!</f>
        <v>#REF!</v>
      </c>
      <c r="K8" t="e">
        <f>+'staffing plan'!#REF!</f>
        <v>#REF!</v>
      </c>
      <c r="L8" t="str">
        <f>+'staffing plan'!AY18</f>
        <v>M</v>
      </c>
      <c r="M8" s="145" t="e">
        <f>+'staffing plan'!#REF!</f>
        <v>#REF!</v>
      </c>
      <c r="N8" s="145" t="e">
        <f>'staffing plan'!#REF!</f>
        <v>#REF!</v>
      </c>
      <c r="O8" s="145" t="e">
        <f>+'staffing plan'!#REF!</f>
        <v>#REF!</v>
      </c>
      <c r="P8" s="131">
        <f>+'staffing plan'!AH18</f>
        <v>158568</v>
      </c>
      <c r="Q8" s="131">
        <f>+'staffing plan'!AI18</f>
        <v>158568</v>
      </c>
      <c r="R8">
        <f>+'staffing plan'!BP18</f>
        <v>0</v>
      </c>
      <c r="S8">
        <v>7</v>
      </c>
    </row>
    <row r="9" spans="1:25" hidden="1">
      <c r="A9">
        <f t="shared" si="0"/>
        <v>1994</v>
      </c>
      <c r="B9">
        <f t="shared" si="1"/>
        <v>1900</v>
      </c>
      <c r="C9">
        <f>+'staffing plan'!BK19</f>
        <v>0</v>
      </c>
      <c r="D9" t="str">
        <f>'staffing plan'!A19</f>
        <v>Sub-Total</v>
      </c>
      <c r="E9">
        <f>+'staffing plan'!B19</f>
        <v>0</v>
      </c>
      <c r="F9">
        <f>+'staffing plan'!C19</f>
        <v>0</v>
      </c>
      <c r="G9" s="131">
        <f>+'staffing plan'!AJ19</f>
        <v>7</v>
      </c>
      <c r="H9">
        <f>+'staffing plan'!AX19</f>
        <v>0</v>
      </c>
      <c r="I9">
        <f>+'staffing plan'!AW19</f>
        <v>0</v>
      </c>
      <c r="J9" t="e">
        <f>+'staffing plan'!#REF!</f>
        <v>#REF!</v>
      </c>
      <c r="K9" t="e">
        <f>+'staffing plan'!#REF!</f>
        <v>#REF!</v>
      </c>
      <c r="L9">
        <f>+'staffing plan'!AY19</f>
        <v>0</v>
      </c>
      <c r="M9" s="145" t="e">
        <f>+'staffing plan'!#REF!</f>
        <v>#REF!</v>
      </c>
      <c r="N9" s="145" t="e">
        <f>'staffing plan'!#REF!</f>
        <v>#REF!</v>
      </c>
      <c r="O9" s="145" t="e">
        <f>+'staffing plan'!#REF!</f>
        <v>#REF!</v>
      </c>
      <c r="P9" s="131">
        <f>+'staffing plan'!AH19</f>
        <v>0</v>
      </c>
      <c r="Q9" s="131">
        <f>+'staffing plan'!AI19</f>
        <v>0</v>
      </c>
      <c r="R9">
        <f>+'staffing plan'!BP19</f>
        <v>0</v>
      </c>
      <c r="S9">
        <v>8</v>
      </c>
    </row>
    <row r="10" spans="1:25" hidden="1">
      <c r="B10">
        <f t="shared" si="1"/>
        <v>1900</v>
      </c>
      <c r="C10">
        <f>+'staffing plan'!BK20</f>
        <v>0</v>
      </c>
      <c r="D10" t="str">
        <f>'staffing plan'!A20</f>
        <v>62,000          Capability Development Division</v>
      </c>
      <c r="E10">
        <f>+'staffing plan'!B20</f>
        <v>0</v>
      </c>
      <c r="F10">
        <f>+'staffing plan'!C20</f>
        <v>0</v>
      </c>
      <c r="G10" s="131">
        <f>+'staffing plan'!AJ20</f>
        <v>0</v>
      </c>
      <c r="H10">
        <f>+'staffing plan'!AX20</f>
        <v>0</v>
      </c>
      <c r="I10">
        <f>+'staffing plan'!AW20</f>
        <v>0</v>
      </c>
      <c r="J10" t="e">
        <f>+'staffing plan'!#REF!</f>
        <v>#REF!</v>
      </c>
      <c r="K10" t="e">
        <f>+'staffing plan'!#REF!</f>
        <v>#REF!</v>
      </c>
      <c r="L10">
        <f>+'staffing plan'!AY20</f>
        <v>0</v>
      </c>
      <c r="M10" s="145" t="e">
        <f>+'staffing plan'!#REF!</f>
        <v>#REF!</v>
      </c>
      <c r="N10" s="145" t="e">
        <f>'staffing plan'!#REF!</f>
        <v>#REF!</v>
      </c>
      <c r="O10" s="145" t="e">
        <f>+'staffing plan'!#REF!</f>
        <v>#REF!</v>
      </c>
      <c r="P10" s="131">
        <f>+'staffing plan'!AH20</f>
        <v>0</v>
      </c>
      <c r="Q10" s="131">
        <f>+'staffing plan'!AI20</f>
        <v>0</v>
      </c>
      <c r="R10">
        <f>+'staffing plan'!BP20</f>
        <v>0</v>
      </c>
      <c r="S10">
        <v>9</v>
      </c>
    </row>
    <row r="11" spans="1:25">
      <c r="B11">
        <f t="shared" si="1"/>
        <v>2016</v>
      </c>
      <c r="C11">
        <f>+'staffing plan'!BK21</f>
        <v>42569</v>
      </c>
      <c r="D11" t="str">
        <f>'staffing plan'!A21</f>
        <v>OSEC-DILGB-LGOO7-37-1998</v>
      </c>
      <c r="E11" t="str">
        <f>+'staffing plan'!B21</f>
        <v>Local Government Operations Officer VII</v>
      </c>
      <c r="F11">
        <f>+'staffing plan'!C21</f>
        <v>24</v>
      </c>
      <c r="G11" s="131">
        <f>+'staffing plan'!AJ21</f>
        <v>1</v>
      </c>
      <c r="H11" t="str">
        <f>+'staffing plan'!AX21</f>
        <v>Regional Office</v>
      </c>
      <c r="I11" t="str">
        <f>+'staffing plan'!AW21</f>
        <v>PAYANG, Daisy Amoy</v>
      </c>
      <c r="J11" t="e">
        <f>+'staffing plan'!#REF!</f>
        <v>#REF!</v>
      </c>
      <c r="K11" t="e">
        <f>+'staffing plan'!#REF!</f>
        <v>#REF!</v>
      </c>
      <c r="L11" t="str">
        <f>+'staffing plan'!AY21</f>
        <v>F</v>
      </c>
      <c r="M11" s="145" t="e">
        <f>+'staffing plan'!#REF!</f>
        <v>#REF!</v>
      </c>
      <c r="N11" s="145" t="e">
        <f>'staffing plan'!#REF!</f>
        <v>#REF!</v>
      </c>
      <c r="O11" s="145" t="e">
        <f>+'staffing plan'!#REF!</f>
        <v>#REF!</v>
      </c>
      <c r="P11" s="131">
        <f>+'staffing plan'!AH21</f>
        <v>1000872</v>
      </c>
      <c r="Q11" s="131">
        <f>+'staffing plan'!AI21</f>
        <v>1000872</v>
      </c>
      <c r="R11">
        <f>+'staffing plan'!BP21</f>
        <v>0</v>
      </c>
      <c r="S11">
        <v>10</v>
      </c>
    </row>
    <row r="12" spans="1:25">
      <c r="A12">
        <f t="shared" ref="A12:A19" si="2">+A2-1</f>
        <v>2014</v>
      </c>
      <c r="B12">
        <f t="shared" si="1"/>
        <v>2008</v>
      </c>
      <c r="C12">
        <f>+'staffing plan'!BK22</f>
        <v>39510</v>
      </c>
      <c r="D12" t="str">
        <f>'staffing plan'!A22</f>
        <v>OSEC-DILGB-LGOO6-12-1998</v>
      </c>
      <c r="E12" t="str">
        <f>+'staffing plan'!B22</f>
        <v>Local Government Operations Officer VI</v>
      </c>
      <c r="F12">
        <f>+'staffing plan'!C22</f>
        <v>22</v>
      </c>
      <c r="G12" s="131">
        <f>+'staffing plan'!AJ22</f>
        <v>4</v>
      </c>
      <c r="H12" t="str">
        <f>+'staffing plan'!AX22</f>
        <v>Benguet</v>
      </c>
      <c r="I12" t="str">
        <f>+'staffing plan'!AW22</f>
        <v>CLAUDIO, Ofelia Linggon</v>
      </c>
      <c r="J12" t="e">
        <f>+'staffing plan'!#REF!</f>
        <v>#REF!</v>
      </c>
      <c r="K12" t="e">
        <f>+'staffing plan'!#REF!</f>
        <v>#REF!</v>
      </c>
      <c r="L12" t="str">
        <f>+'staffing plan'!AY22</f>
        <v>F</v>
      </c>
      <c r="M12" s="145" t="e">
        <f>+'staffing plan'!#REF!</f>
        <v>#REF!</v>
      </c>
      <c r="N12" s="145" t="e">
        <f>'staffing plan'!#REF!</f>
        <v>#REF!</v>
      </c>
      <c r="O12" s="145" t="e">
        <f>+'staffing plan'!#REF!</f>
        <v>#REF!</v>
      </c>
      <c r="P12" s="131">
        <f>+'staffing plan'!AH22</f>
        <v>783828</v>
      </c>
      <c r="Q12" s="131">
        <f>+'staffing plan'!AI22</f>
        <v>822840</v>
      </c>
      <c r="R12">
        <f>+'staffing plan'!BP22</f>
        <v>0</v>
      </c>
      <c r="S12">
        <v>11</v>
      </c>
    </row>
    <row r="13" spans="1:25">
      <c r="A13">
        <f t="shared" si="2"/>
        <v>2011</v>
      </c>
      <c r="B13">
        <f t="shared" si="1"/>
        <v>2005</v>
      </c>
      <c r="C13">
        <f>+'staffing plan'!BK23</f>
        <v>38607</v>
      </c>
      <c r="D13" t="str">
        <f>'staffing plan'!A23</f>
        <v>OSEC-DILGB-LGOO5-791-1998</v>
      </c>
      <c r="E13" t="str">
        <f>+'staffing plan'!B23</f>
        <v>Local Government Operations Officer V</v>
      </c>
      <c r="F13">
        <f>+'staffing plan'!C23</f>
        <v>20</v>
      </c>
      <c r="G13" s="131">
        <f>+'staffing plan'!AJ23</f>
        <v>5</v>
      </c>
      <c r="H13" t="str">
        <f>+'staffing plan'!AX23</f>
        <v>Regional Office</v>
      </c>
      <c r="I13" t="str">
        <f>+'staffing plan'!AW23</f>
        <v>GONZALES, Rolando Ronquillo</v>
      </c>
      <c r="J13" t="e">
        <f>+'staffing plan'!#REF!</f>
        <v>#REF!</v>
      </c>
      <c r="K13" t="e">
        <f>+'staffing plan'!#REF!</f>
        <v>#REF!</v>
      </c>
      <c r="L13" t="str">
        <f>+'staffing plan'!AY23</f>
        <v>M</v>
      </c>
      <c r="M13" s="145" t="e">
        <f>+'staffing plan'!#REF!</f>
        <v>#REF!</v>
      </c>
      <c r="N13" s="145" t="e">
        <f>'staffing plan'!#REF!</f>
        <v>#REF!</v>
      </c>
      <c r="O13" s="145" t="e">
        <f>+'staffing plan'!#REF!</f>
        <v>#REF!</v>
      </c>
      <c r="P13" s="131">
        <f>+'staffing plan'!AH23</f>
        <v>613860</v>
      </c>
      <c r="Q13" s="131">
        <f>+'staffing plan'!AI23</f>
        <v>654924</v>
      </c>
      <c r="R13" t="str">
        <f>+'staffing plan'!BP23</f>
        <v>Shifting</v>
      </c>
      <c r="S13">
        <v>12</v>
      </c>
    </row>
    <row r="14" spans="1:25">
      <c r="A14">
        <f t="shared" si="2"/>
        <v>2008</v>
      </c>
      <c r="B14">
        <f t="shared" si="1"/>
        <v>2002</v>
      </c>
      <c r="C14">
        <f>+'staffing plan'!BK24</f>
        <v>37355</v>
      </c>
      <c r="D14" t="str">
        <f>'staffing plan'!A24</f>
        <v>OSEC-DILGB-LGOO5-802-1998</v>
      </c>
      <c r="E14" t="str">
        <f>+'staffing plan'!B24</f>
        <v>Local Government Operations Officer V</v>
      </c>
      <c r="F14">
        <f>+'staffing plan'!C24</f>
        <v>20</v>
      </c>
      <c r="G14" s="131">
        <f>+'staffing plan'!AJ24</f>
        <v>6</v>
      </c>
      <c r="H14" t="str">
        <f>+'staffing plan'!AX24</f>
        <v>Regional Office</v>
      </c>
      <c r="I14" t="str">
        <f>+'staffing plan'!AW24</f>
        <v>MAUTING, Johnny Laayon</v>
      </c>
      <c r="J14" t="e">
        <f>+'staffing plan'!#REF!</f>
        <v>#REF!</v>
      </c>
      <c r="K14" t="e">
        <f>+'staffing plan'!#REF!</f>
        <v>#REF!</v>
      </c>
      <c r="L14" t="str">
        <f>+'staffing plan'!AY24</f>
        <v>M</v>
      </c>
      <c r="M14" s="145" t="e">
        <f>+'staffing plan'!#REF!</f>
        <v>#REF!</v>
      </c>
      <c r="N14" s="145" t="e">
        <f>'staffing plan'!#REF!</f>
        <v>#REF!</v>
      </c>
      <c r="O14" s="145" t="e">
        <f>+'staffing plan'!#REF!</f>
        <v>#REF!</v>
      </c>
      <c r="P14" s="131">
        <f>+'staffing plan'!AH24</f>
        <v>613860</v>
      </c>
      <c r="Q14" s="131">
        <f>+'staffing plan'!AI24</f>
        <v>665616</v>
      </c>
      <c r="R14" t="str">
        <f>+'staffing plan'!BP24</f>
        <v>Shifting</v>
      </c>
      <c r="S14">
        <v>13</v>
      </c>
    </row>
    <row r="15" spans="1:25">
      <c r="A15">
        <f t="shared" si="2"/>
        <v>2005</v>
      </c>
      <c r="B15">
        <f t="shared" si="1"/>
        <v>1900</v>
      </c>
      <c r="C15">
        <f>+'staffing plan'!BK25</f>
        <v>0</v>
      </c>
      <c r="D15" t="str">
        <f>'staffing plan'!A25</f>
        <v>OSEC-DILGB-LGOO5-813-1998</v>
      </c>
      <c r="E15" t="str">
        <f>+'staffing plan'!B25</f>
        <v>Local Government Operations Officer V</v>
      </c>
      <c r="F15">
        <f>+'staffing plan'!C25</f>
        <v>20</v>
      </c>
      <c r="G15" s="131">
        <f>+'staffing plan'!AJ25</f>
        <v>0</v>
      </c>
      <c r="H15">
        <f>+'staffing plan'!AX25</f>
        <v>0</v>
      </c>
      <c r="I15" t="str">
        <f>+'staffing plan'!AW25</f>
        <v xml:space="preserve">Vacant GRIBA,  </v>
      </c>
      <c r="J15" t="e">
        <f>+'staffing plan'!#REF!</f>
        <v>#REF!</v>
      </c>
      <c r="K15" t="e">
        <f>+'staffing plan'!#REF!</f>
        <v>#REF!</v>
      </c>
      <c r="L15">
        <f>+'staffing plan'!AY25</f>
        <v>0</v>
      </c>
      <c r="M15" s="145" t="e">
        <f>+'staffing plan'!#REF!</f>
        <v>#REF!</v>
      </c>
      <c r="N15" s="145" t="e">
        <f>'staffing plan'!#REF!</f>
        <v>#REF!</v>
      </c>
      <c r="O15" s="145" t="e">
        <f>+'staffing plan'!#REF!</f>
        <v>#REF!</v>
      </c>
      <c r="P15" s="131">
        <f>+'staffing plan'!AH25</f>
        <v>613860</v>
      </c>
      <c r="Q15" s="131">
        <f>+'staffing plan'!AI25</f>
        <v>0</v>
      </c>
      <c r="R15">
        <f>+'staffing plan'!BP25</f>
        <v>0</v>
      </c>
      <c r="S15">
        <v>14</v>
      </c>
    </row>
    <row r="16" spans="1:25" hidden="1">
      <c r="A16">
        <f t="shared" si="2"/>
        <v>2002</v>
      </c>
      <c r="B16">
        <f t="shared" si="1"/>
        <v>2018</v>
      </c>
      <c r="C16">
        <f>+'staffing plan'!BK26</f>
        <v>43129</v>
      </c>
      <c r="D16" t="str">
        <f>'staffing plan'!A26</f>
        <v>OSEC-DILGB-LGOO4-161-1998</v>
      </c>
      <c r="E16" t="str">
        <f>+'staffing plan'!B26</f>
        <v>Local Government Operations Officer IV</v>
      </c>
      <c r="F16">
        <f>+'staffing plan'!C26</f>
        <v>18</v>
      </c>
      <c r="G16" s="131">
        <f>+'staffing plan'!AJ26</f>
        <v>1</v>
      </c>
      <c r="H16" t="str">
        <f>+'staffing plan'!AX26</f>
        <v>Regional Office</v>
      </c>
      <c r="I16" t="str">
        <f>+'staffing plan'!AW26</f>
        <v>DAEP, Sherwin Ray Ochoco</v>
      </c>
      <c r="J16" t="e">
        <f>+'staffing plan'!#REF!</f>
        <v>#REF!</v>
      </c>
      <c r="K16" t="e">
        <f>+'staffing plan'!#REF!</f>
        <v>#REF!</v>
      </c>
      <c r="L16" t="str">
        <f>+'staffing plan'!AY26</f>
        <v>M</v>
      </c>
      <c r="M16" s="145" t="e">
        <f>+'staffing plan'!#REF!</f>
        <v>#REF!</v>
      </c>
      <c r="N16" s="145" t="e">
        <f>'staffing plan'!#REF!</f>
        <v>#REF!</v>
      </c>
      <c r="O16" s="145" t="e">
        <f>+'staffing plan'!#REF!</f>
        <v>#REF!</v>
      </c>
      <c r="P16" s="131">
        <f>+'staffing plan'!AH26</f>
        <v>487644</v>
      </c>
      <c r="Q16" s="131">
        <f>+'staffing plan'!AI26</f>
        <v>487644</v>
      </c>
      <c r="R16" t="str">
        <f>+'staffing plan'!BP26</f>
        <v>Region</v>
      </c>
      <c r="S16">
        <v>15</v>
      </c>
    </row>
    <row r="17" spans="1:19">
      <c r="A17">
        <f t="shared" si="2"/>
        <v>1999</v>
      </c>
      <c r="B17">
        <f t="shared" si="1"/>
        <v>2018</v>
      </c>
      <c r="C17">
        <f>+'staffing plan'!BK27</f>
        <v>43283</v>
      </c>
      <c r="D17" t="str">
        <f>'staffing plan'!A27</f>
        <v>OSEC-DILGB-LGOO4-164-1998</v>
      </c>
      <c r="E17" t="str">
        <f>+'staffing plan'!B27</f>
        <v>Local Government Operations Officer IV</v>
      </c>
      <c r="F17">
        <f>+'staffing plan'!C27</f>
        <v>18</v>
      </c>
      <c r="G17" s="131">
        <f>+'staffing plan'!AJ27</f>
        <v>1</v>
      </c>
      <c r="H17" t="str">
        <f>+'staffing plan'!AX27</f>
        <v>Regional Office</v>
      </c>
      <c r="I17" t="str">
        <f>+'staffing plan'!AW27</f>
        <v>BRETT, Ralph Kevin Bacagan</v>
      </c>
      <c r="J17" t="e">
        <f>+'staffing plan'!#REF!</f>
        <v>#REF!</v>
      </c>
      <c r="K17" t="e">
        <f>+'staffing plan'!#REF!</f>
        <v>#REF!</v>
      </c>
      <c r="L17" t="str">
        <f>+'staffing plan'!AY27</f>
        <v>M</v>
      </c>
      <c r="M17" s="145" t="e">
        <f>+'staffing plan'!#REF!</f>
        <v>#REF!</v>
      </c>
      <c r="N17" s="145" t="e">
        <f>'staffing plan'!#REF!</f>
        <v>#REF!</v>
      </c>
      <c r="O17" s="145" t="e">
        <f>+'staffing plan'!#REF!</f>
        <v>#REF!</v>
      </c>
      <c r="P17" s="131">
        <f>+'staffing plan'!AH27</f>
        <v>487644</v>
      </c>
      <c r="Q17" s="131">
        <f>+'staffing plan'!AI27</f>
        <v>487644</v>
      </c>
      <c r="R17">
        <f>+'staffing plan'!BP27</f>
        <v>0</v>
      </c>
      <c r="S17">
        <v>16</v>
      </c>
    </row>
    <row r="18" spans="1:19">
      <c r="A18">
        <f t="shared" si="2"/>
        <v>1996</v>
      </c>
      <c r="B18">
        <f t="shared" si="1"/>
        <v>1900</v>
      </c>
      <c r="C18">
        <f>+'staffing plan'!BK28</f>
        <v>0</v>
      </c>
      <c r="D18" t="str">
        <f>'staffing plan'!A28</f>
        <v>OSEC-DILGB-ADA6-97-2005</v>
      </c>
      <c r="E18" t="str">
        <f>+'staffing plan'!B28</f>
        <v>Administrative Aide VI</v>
      </c>
      <c r="F18">
        <f>+'staffing plan'!C28</f>
        <v>6</v>
      </c>
      <c r="G18" s="131">
        <f>+'staffing plan'!AJ28</f>
        <v>0</v>
      </c>
      <c r="H18">
        <f>+'staffing plan'!AX28</f>
        <v>0</v>
      </c>
      <c r="I18" t="str">
        <f>+'staffing plan'!AW28</f>
        <v xml:space="preserve">Vacant MAGO,  </v>
      </c>
      <c r="J18" t="e">
        <f>+'staffing plan'!#REF!</f>
        <v>#REF!</v>
      </c>
      <c r="K18" t="e">
        <f>+'staffing plan'!#REF!</f>
        <v>#REF!</v>
      </c>
      <c r="L18">
        <f>+'staffing plan'!AY28</f>
        <v>0</v>
      </c>
      <c r="M18" s="145" t="e">
        <f>+'staffing plan'!#REF!</f>
        <v>#REF!</v>
      </c>
      <c r="N18" s="145" t="e">
        <f>'staffing plan'!#REF!</f>
        <v>#REF!</v>
      </c>
      <c r="O18" s="145" t="e">
        <f>+'staffing plan'!#REF!</f>
        <v>#REF!</v>
      </c>
      <c r="P18" s="131">
        <f>+'staffing plan'!AH28</f>
        <v>178164</v>
      </c>
      <c r="Q18" s="131">
        <f>+'staffing plan'!AI28</f>
        <v>0</v>
      </c>
      <c r="R18">
        <f>+'staffing plan'!BP28</f>
        <v>0</v>
      </c>
      <c r="S18">
        <v>17</v>
      </c>
    </row>
    <row r="19" spans="1:19" hidden="1">
      <c r="A19">
        <f t="shared" si="2"/>
        <v>1993</v>
      </c>
      <c r="B19">
        <f t="shared" si="1"/>
        <v>1900</v>
      </c>
      <c r="C19">
        <f>+'staffing plan'!BK29</f>
        <v>0</v>
      </c>
      <c r="D19" t="str">
        <f>'staffing plan'!A29</f>
        <v>Sub-Total</v>
      </c>
      <c r="E19">
        <f>+'staffing plan'!B29</f>
        <v>0</v>
      </c>
      <c r="F19">
        <f>+'staffing plan'!C29</f>
        <v>0</v>
      </c>
      <c r="G19" s="131">
        <f>+'staffing plan'!AJ29</f>
        <v>8</v>
      </c>
      <c r="H19">
        <f>+'staffing plan'!AX29</f>
        <v>0</v>
      </c>
      <c r="I19">
        <f>+'staffing plan'!AW29</f>
        <v>0</v>
      </c>
      <c r="J19" t="e">
        <f>+'staffing plan'!#REF!</f>
        <v>#REF!</v>
      </c>
      <c r="K19" t="e">
        <f>+'staffing plan'!#REF!</f>
        <v>#REF!</v>
      </c>
      <c r="L19">
        <f>+'staffing plan'!AY29</f>
        <v>0</v>
      </c>
      <c r="M19" s="145" t="e">
        <f>+'staffing plan'!#REF!</f>
        <v>#REF!</v>
      </c>
      <c r="N19" s="145" t="e">
        <f>'staffing plan'!#REF!</f>
        <v>#REF!</v>
      </c>
      <c r="O19" s="145" t="e">
        <f>+'staffing plan'!#REF!</f>
        <v>#REF!</v>
      </c>
      <c r="P19" s="131">
        <f>+'staffing plan'!AH29</f>
        <v>0</v>
      </c>
      <c r="Q19" s="131">
        <f>+'staffing plan'!AI29</f>
        <v>0</v>
      </c>
      <c r="R19">
        <f>+'staffing plan'!BP29</f>
        <v>0</v>
      </c>
      <c r="S19">
        <v>18</v>
      </c>
    </row>
    <row r="20" spans="1:19" hidden="1">
      <c r="B20">
        <f t="shared" si="1"/>
        <v>1900</v>
      </c>
      <c r="C20">
        <f>+'staffing plan'!BK30</f>
        <v>0</v>
      </c>
      <c r="D20" t="str">
        <f>'staffing plan'!A30</f>
        <v>63,000          Monitoring and Evaluation Division</v>
      </c>
      <c r="E20">
        <f>+'staffing plan'!B30</f>
        <v>0</v>
      </c>
      <c r="F20">
        <f>+'staffing plan'!C30</f>
        <v>0</v>
      </c>
      <c r="G20" s="131">
        <f>+'staffing plan'!AJ30</f>
        <v>0</v>
      </c>
      <c r="H20">
        <f>+'staffing plan'!AX30</f>
        <v>0</v>
      </c>
      <c r="I20">
        <f>+'staffing plan'!AW30</f>
        <v>0</v>
      </c>
      <c r="J20" t="e">
        <f>+'staffing plan'!#REF!</f>
        <v>#REF!</v>
      </c>
      <c r="K20" t="e">
        <f>+'staffing plan'!#REF!</f>
        <v>#REF!</v>
      </c>
      <c r="L20">
        <f>+'staffing plan'!AY30</f>
        <v>0</v>
      </c>
      <c r="M20" s="145" t="e">
        <f>+'staffing plan'!#REF!</f>
        <v>#REF!</v>
      </c>
      <c r="N20" s="145" t="e">
        <f>'staffing plan'!#REF!</f>
        <v>#REF!</v>
      </c>
      <c r="O20" s="145" t="e">
        <f>+'staffing plan'!#REF!</f>
        <v>#REF!</v>
      </c>
      <c r="P20" s="131">
        <f>+'staffing plan'!AH30</f>
        <v>0</v>
      </c>
      <c r="Q20" s="131">
        <f>+'staffing plan'!AI30</f>
        <v>0</v>
      </c>
      <c r="R20">
        <f>+'staffing plan'!BP30</f>
        <v>0</v>
      </c>
      <c r="S20">
        <v>19</v>
      </c>
    </row>
    <row r="21" spans="1:19">
      <c r="B21">
        <f t="shared" si="1"/>
        <v>2018</v>
      </c>
      <c r="C21">
        <f>+'staffing plan'!BK31</f>
        <v>43132</v>
      </c>
      <c r="D21" t="str">
        <f>'staffing plan'!A31</f>
        <v>OSEC-DILGB-LGOO7-38-1998</v>
      </c>
      <c r="E21" t="str">
        <f>+'staffing plan'!B31</f>
        <v>Local Government Operations Officer VII</v>
      </c>
      <c r="F21">
        <f>+'staffing plan'!C31</f>
        <v>24</v>
      </c>
      <c r="G21" s="131">
        <f>+'staffing plan'!AJ31</f>
        <v>1</v>
      </c>
      <c r="H21" t="str">
        <f>+'staffing plan'!AX31</f>
        <v>Regional Office</v>
      </c>
      <c r="I21" t="str">
        <f>+'staffing plan'!AW31</f>
        <v>GUERZON, Marleen Montano</v>
      </c>
      <c r="J21" t="e">
        <f>+'staffing plan'!#REF!</f>
        <v>#REF!</v>
      </c>
      <c r="K21" t="e">
        <f>+'staffing plan'!#REF!</f>
        <v>#REF!</v>
      </c>
      <c r="L21" t="str">
        <f>+'staffing plan'!AY31</f>
        <v>F</v>
      </c>
      <c r="M21" s="145" t="e">
        <f>+'staffing plan'!#REF!</f>
        <v>#REF!</v>
      </c>
      <c r="N21" s="145" t="e">
        <f>'staffing plan'!#REF!</f>
        <v>#REF!</v>
      </c>
      <c r="O21" s="145" t="e">
        <f>+'staffing plan'!#REF!</f>
        <v>#REF!</v>
      </c>
      <c r="P21" s="131">
        <f>+'staffing plan'!AH31</f>
        <v>1000872</v>
      </c>
      <c r="Q21" s="131">
        <f>+'staffing plan'!AI31</f>
        <v>1000872</v>
      </c>
      <c r="R21" t="str">
        <f>+'staffing plan'!BP31</f>
        <v>transfer from PO - CH Benguet feb 2019</v>
      </c>
      <c r="S21">
        <v>20</v>
      </c>
    </row>
    <row r="22" spans="1:19">
      <c r="A22">
        <f t="shared" ref="A22:A29" si="3">+A12-1</f>
        <v>2013</v>
      </c>
      <c r="B22">
        <f t="shared" si="1"/>
        <v>2010</v>
      </c>
      <c r="C22">
        <f>+'staffing plan'!BK32</f>
        <v>40262</v>
      </c>
      <c r="D22" t="str">
        <f>'staffing plan'!A32</f>
        <v>OSEC-DILGB-LGOO6-14-1998</v>
      </c>
      <c r="E22" t="str">
        <f>+'staffing plan'!B32</f>
        <v>Local Government Operations Officer VI</v>
      </c>
      <c r="F22">
        <f>+'staffing plan'!C32</f>
        <v>22</v>
      </c>
      <c r="G22" s="131">
        <f>+'staffing plan'!AJ32</f>
        <v>3</v>
      </c>
      <c r="H22" t="str">
        <f>+'staffing plan'!AX32</f>
        <v>Regional Office</v>
      </c>
      <c r="I22" t="str">
        <f>+'staffing plan'!AW32</f>
        <v>ADNOL, Bable Ged-ang</v>
      </c>
      <c r="J22" t="e">
        <f>+'staffing plan'!#REF!</f>
        <v>#REF!</v>
      </c>
      <c r="K22" t="e">
        <f>+'staffing plan'!#REF!</f>
        <v>#REF!</v>
      </c>
      <c r="L22" t="str">
        <f>+'staffing plan'!AY32</f>
        <v>F</v>
      </c>
      <c r="M22" s="145" t="e">
        <f>+'staffing plan'!#REF!</f>
        <v>#REF!</v>
      </c>
      <c r="N22" s="145" t="e">
        <f>'staffing plan'!#REF!</f>
        <v>#REF!</v>
      </c>
      <c r="O22" s="145" t="e">
        <f>+'staffing plan'!#REF!</f>
        <v>#REF!</v>
      </c>
      <c r="P22" s="131">
        <f>+'staffing plan'!AH32</f>
        <v>783828</v>
      </c>
      <c r="Q22" s="131">
        <f>+'staffing plan'!AI32</f>
        <v>809628</v>
      </c>
      <c r="R22">
        <f>+'staffing plan'!BP32</f>
        <v>0</v>
      </c>
      <c r="S22">
        <v>21</v>
      </c>
    </row>
    <row r="23" spans="1:19">
      <c r="A23">
        <f t="shared" si="3"/>
        <v>2010</v>
      </c>
      <c r="B23">
        <f t="shared" si="1"/>
        <v>2013</v>
      </c>
      <c r="C23">
        <f>+'staffing plan'!BK33</f>
        <v>41526</v>
      </c>
      <c r="D23" t="str">
        <f>'staffing plan'!A33</f>
        <v>OSEC-DILGB-LGOO5-99-2010</v>
      </c>
      <c r="E23" t="str">
        <f>+'staffing plan'!B33</f>
        <v>Local Government Operations Officer V</v>
      </c>
      <c r="F23">
        <f>+'staffing plan'!C33</f>
        <v>20</v>
      </c>
      <c r="G23" s="131">
        <f>+'staffing plan'!AJ33</f>
        <v>2</v>
      </c>
      <c r="H23" t="str">
        <f>+'staffing plan'!AX33</f>
        <v>Regional Office</v>
      </c>
      <c r="I23" t="str">
        <f>+'staffing plan'!AW33</f>
        <v>RIMANDO, Marie Cris Lim</v>
      </c>
      <c r="J23" t="e">
        <f>+'staffing plan'!#REF!</f>
        <v>#REF!</v>
      </c>
      <c r="K23" t="e">
        <f>+'staffing plan'!#REF!</f>
        <v>#REF!</v>
      </c>
      <c r="L23" t="str">
        <f>+'staffing plan'!AY33</f>
        <v>F</v>
      </c>
      <c r="M23" s="145" t="e">
        <f>+'staffing plan'!#REF!</f>
        <v>#REF!</v>
      </c>
      <c r="N23" s="145" t="e">
        <f>'staffing plan'!#REF!</f>
        <v>#REF!</v>
      </c>
      <c r="O23" s="145" t="e">
        <f>+'staffing plan'!#REF!</f>
        <v>#REF!</v>
      </c>
      <c r="P23" s="131">
        <f>+'staffing plan'!AH33</f>
        <v>613860</v>
      </c>
      <c r="Q23" s="131">
        <f>+'staffing plan'!AI33</f>
        <v>623868</v>
      </c>
      <c r="R23" t="str">
        <f>+'staffing plan'!BP33</f>
        <v>Shifting</v>
      </c>
      <c r="S23">
        <v>22</v>
      </c>
    </row>
    <row r="24" spans="1:19">
      <c r="A24">
        <f t="shared" si="3"/>
        <v>2007</v>
      </c>
      <c r="B24">
        <f t="shared" si="1"/>
        <v>2012</v>
      </c>
      <c r="C24">
        <f>+'staffing plan'!BK34</f>
        <v>41149</v>
      </c>
      <c r="D24" t="str">
        <f>'staffing plan'!A34</f>
        <v>OSEC-DILGB-LGOO5-824-1998</v>
      </c>
      <c r="E24" t="str">
        <f>+'staffing plan'!B34</f>
        <v>Local Government Operations Officer V</v>
      </c>
      <c r="F24">
        <f>+'staffing plan'!C34</f>
        <v>20</v>
      </c>
      <c r="G24" s="131">
        <f>+'staffing plan'!AJ34</f>
        <v>3</v>
      </c>
      <c r="H24" t="str">
        <f>+'staffing plan'!AX34</f>
        <v>Regional Office</v>
      </c>
      <c r="I24" t="str">
        <f>+'staffing plan'!AW34</f>
        <v>GARCIA, Florinda Manuyag</v>
      </c>
      <c r="J24" t="e">
        <f>+'staffing plan'!#REF!</f>
        <v>#REF!</v>
      </c>
      <c r="K24" t="e">
        <f>+'staffing plan'!#REF!</f>
        <v>#REF!</v>
      </c>
      <c r="L24" t="str">
        <f>+'staffing plan'!AY34</f>
        <v>F</v>
      </c>
      <c r="M24" s="145" t="e">
        <f>+'staffing plan'!#REF!</f>
        <v>#REF!</v>
      </c>
      <c r="N24" s="145" t="e">
        <f>'staffing plan'!#REF!</f>
        <v>#REF!</v>
      </c>
      <c r="O24" s="145" t="e">
        <f>+'staffing plan'!#REF!</f>
        <v>#REF!</v>
      </c>
      <c r="P24" s="131">
        <f>+'staffing plan'!AH34</f>
        <v>613860</v>
      </c>
      <c r="Q24" s="131">
        <f>+'staffing plan'!AI34</f>
        <v>634056</v>
      </c>
      <c r="R24" t="str">
        <f>+'staffing plan'!BP34</f>
        <v>Shifting</v>
      </c>
      <c r="S24">
        <v>23</v>
      </c>
    </row>
    <row r="25" spans="1:19">
      <c r="A25">
        <f t="shared" si="3"/>
        <v>2004</v>
      </c>
      <c r="B25">
        <f t="shared" si="1"/>
        <v>2018</v>
      </c>
      <c r="C25">
        <f>+'staffing plan'!BK35</f>
        <v>43168</v>
      </c>
      <c r="D25" t="str">
        <f>'staffing plan'!A35</f>
        <v>OSEC-DILGB-LGOO5-835-1998</v>
      </c>
      <c r="E25" t="str">
        <f>+'staffing plan'!B35</f>
        <v>Local Government Operations Officer V</v>
      </c>
      <c r="F25">
        <f>+'staffing plan'!C35</f>
        <v>20</v>
      </c>
      <c r="G25" s="131">
        <f>+'staffing plan'!AJ35</f>
        <v>1</v>
      </c>
      <c r="H25" t="str">
        <f>+'staffing plan'!AX35</f>
        <v>Regional Office</v>
      </c>
      <c r="I25" t="str">
        <f>+'staffing plan'!AW35</f>
        <v>TINDUNGAN, Kenneth Cuyapi</v>
      </c>
      <c r="J25" t="e">
        <f>+'staffing plan'!#REF!</f>
        <v>#REF!</v>
      </c>
      <c r="K25" t="e">
        <f>+'staffing plan'!#REF!</f>
        <v>#REF!</v>
      </c>
      <c r="L25" t="str">
        <f>+'staffing plan'!AY35</f>
        <v>M</v>
      </c>
      <c r="M25" s="145" t="e">
        <f>+'staffing plan'!#REF!</f>
        <v>#REF!</v>
      </c>
      <c r="N25" s="145" t="e">
        <f>'staffing plan'!#REF!</f>
        <v>#REF!</v>
      </c>
      <c r="O25" s="145" t="e">
        <f>+'staffing plan'!#REF!</f>
        <v>#REF!</v>
      </c>
      <c r="P25" s="131">
        <f>+'staffing plan'!AH35</f>
        <v>613860</v>
      </c>
      <c r="Q25" s="131">
        <f>+'staffing plan'!AI35</f>
        <v>613860</v>
      </c>
      <c r="R25">
        <f>+'staffing plan'!BP35</f>
        <v>0</v>
      </c>
      <c r="S25">
        <v>24</v>
      </c>
    </row>
    <row r="26" spans="1:19" hidden="1">
      <c r="A26">
        <f t="shared" si="3"/>
        <v>2001</v>
      </c>
      <c r="B26">
        <f t="shared" si="1"/>
        <v>2018</v>
      </c>
      <c r="C26">
        <f>+'staffing plan'!BK36</f>
        <v>43129</v>
      </c>
      <c r="D26" t="str">
        <f>'staffing plan'!A36</f>
        <v>OSEC-DILGB-LGOO4-166-1998</v>
      </c>
      <c r="E26" t="str">
        <f>+'staffing plan'!B36</f>
        <v>Local Government Operations Officer IV</v>
      </c>
      <c r="F26">
        <f>+'staffing plan'!C36</f>
        <v>18</v>
      </c>
      <c r="G26" s="131">
        <f>+'staffing plan'!AJ36</f>
        <v>1</v>
      </c>
      <c r="H26" t="str">
        <f>+'staffing plan'!AX36</f>
        <v>Regional Office</v>
      </c>
      <c r="I26" t="str">
        <f>+'staffing plan'!AW36</f>
        <v>CANULLAS, Mary Jheama Rachine  Esperanzate</v>
      </c>
      <c r="J26" t="e">
        <f>+'staffing plan'!#REF!</f>
        <v>#REF!</v>
      </c>
      <c r="K26" t="e">
        <f>+'staffing plan'!#REF!</f>
        <v>#REF!</v>
      </c>
      <c r="L26" t="str">
        <f>+'staffing plan'!AY36</f>
        <v>F</v>
      </c>
      <c r="M26" s="145" t="e">
        <f>+'staffing plan'!#REF!</f>
        <v>#REF!</v>
      </c>
      <c r="N26" s="145" t="e">
        <f>'staffing plan'!#REF!</f>
        <v>#REF!</v>
      </c>
      <c r="O26" s="145" t="e">
        <f>+'staffing plan'!#REF!</f>
        <v>#REF!</v>
      </c>
      <c r="P26" s="131">
        <f>+'staffing plan'!AH36</f>
        <v>487644</v>
      </c>
      <c r="Q26" s="131">
        <f>+'staffing plan'!AI36</f>
        <v>487644</v>
      </c>
      <c r="R26" t="str">
        <f>+'staffing plan'!BP36</f>
        <v>Region</v>
      </c>
      <c r="S26">
        <v>25</v>
      </c>
    </row>
    <row r="27" spans="1:19">
      <c r="A27">
        <f t="shared" si="3"/>
        <v>1998</v>
      </c>
      <c r="B27">
        <f t="shared" si="1"/>
        <v>2012</v>
      </c>
      <c r="C27">
        <f>+'staffing plan'!BK37</f>
        <v>41254</v>
      </c>
      <c r="D27" t="str">
        <f>'staffing plan'!A37</f>
        <v>OSEC-DILGB-LGOO4-167-1998</v>
      </c>
      <c r="E27" t="str">
        <f>+'staffing plan'!B37</f>
        <v>Local Government Operations Officer IV</v>
      </c>
      <c r="F27">
        <f>+'staffing plan'!C37</f>
        <v>18</v>
      </c>
      <c r="G27" s="131">
        <f>+'staffing plan'!AJ37</f>
        <v>3</v>
      </c>
      <c r="H27" t="str">
        <f>+'staffing plan'!AX37</f>
        <v>Regional Office</v>
      </c>
      <c r="I27" t="str">
        <f>+'staffing plan'!AW37</f>
        <v>BUENA, Maria Consolacion Salibad</v>
      </c>
      <c r="J27" t="e">
        <f>+'staffing plan'!#REF!</f>
        <v>#REF!</v>
      </c>
      <c r="K27" t="e">
        <f>+'staffing plan'!#REF!</f>
        <v>#REF!</v>
      </c>
      <c r="L27" t="str">
        <f>+'staffing plan'!AY37</f>
        <v>F</v>
      </c>
      <c r="M27" s="145" t="e">
        <f>+'staffing plan'!#REF!</f>
        <v>#REF!</v>
      </c>
      <c r="N27" s="145" t="e">
        <f>'staffing plan'!#REF!</f>
        <v>#REF!</v>
      </c>
      <c r="O27" s="145" t="e">
        <f>+'staffing plan'!#REF!</f>
        <v>#REF!</v>
      </c>
      <c r="P27" s="131">
        <f>+'staffing plan'!AH37</f>
        <v>487644</v>
      </c>
      <c r="Q27" s="131">
        <f>+'staffing plan'!AI37</f>
        <v>499800</v>
      </c>
      <c r="R27" t="str">
        <f>+'staffing plan'!BP37</f>
        <v>06/08/16 transfer frm PLO</v>
      </c>
      <c r="S27">
        <v>26</v>
      </c>
    </row>
    <row r="28" spans="1:19">
      <c r="A28">
        <f t="shared" si="3"/>
        <v>1995</v>
      </c>
      <c r="B28">
        <f t="shared" si="1"/>
        <v>2017</v>
      </c>
      <c r="C28">
        <f>+'staffing plan'!BK38</f>
        <v>42835</v>
      </c>
      <c r="D28" t="str">
        <f>'staffing plan'!A38</f>
        <v>OSEC-DILGB-STAT2-101-2010</v>
      </c>
      <c r="E28" t="str">
        <f>+'staffing plan'!B38</f>
        <v>Statistician II</v>
      </c>
      <c r="F28">
        <f>+'staffing plan'!C38</f>
        <v>15</v>
      </c>
      <c r="G28" s="131">
        <f>+'staffing plan'!AJ38</f>
        <v>1</v>
      </c>
      <c r="H28" t="str">
        <f>+'staffing plan'!AX38</f>
        <v>Regional Office</v>
      </c>
      <c r="I28" t="str">
        <f>+'staffing plan'!AW38</f>
        <v>AZARCON, Danilo Jr Estrella</v>
      </c>
      <c r="J28" t="e">
        <f>+'staffing plan'!#REF!</f>
        <v>#REF!</v>
      </c>
      <c r="K28" t="e">
        <f>+'staffing plan'!#REF!</f>
        <v>#REF!</v>
      </c>
      <c r="L28" t="str">
        <f>+'staffing plan'!AY38</f>
        <v>M</v>
      </c>
      <c r="M28" s="145" t="e">
        <f>+'staffing plan'!#REF!</f>
        <v>#REF!</v>
      </c>
      <c r="N28" s="145" t="e">
        <f>'staffing plan'!#REF!</f>
        <v>#REF!</v>
      </c>
      <c r="O28" s="145" t="e">
        <f>+'staffing plan'!#REF!</f>
        <v>#REF!</v>
      </c>
      <c r="P28" s="131">
        <f>+'staffing plan'!AH38</f>
        <v>366372</v>
      </c>
      <c r="Q28" s="131">
        <f>+'staffing plan'!AI38</f>
        <v>366372</v>
      </c>
      <c r="R28">
        <f>+'staffing plan'!BP38</f>
        <v>0</v>
      </c>
      <c r="S28">
        <v>27</v>
      </c>
    </row>
    <row r="29" spans="1:19">
      <c r="A29">
        <f t="shared" si="3"/>
        <v>1992</v>
      </c>
      <c r="B29">
        <f t="shared" si="1"/>
        <v>2014</v>
      </c>
      <c r="C29">
        <f>+'staffing plan'!BK39</f>
        <v>41967</v>
      </c>
      <c r="D29" t="str">
        <f>'staffing plan'!A39</f>
        <v>OSEC-DILGB-STAT1-3-1998</v>
      </c>
      <c r="E29" t="str">
        <f>+'staffing plan'!B39</f>
        <v>Statistician I</v>
      </c>
      <c r="F29">
        <f>+'staffing plan'!C39</f>
        <v>11</v>
      </c>
      <c r="G29" s="131">
        <f>+'staffing plan'!AJ39</f>
        <v>2</v>
      </c>
      <c r="H29" t="str">
        <f>+'staffing plan'!AX39</f>
        <v>Regional Office</v>
      </c>
      <c r="I29" t="str">
        <f>+'staffing plan'!AW39</f>
        <v>LOPEZ, Sesvir Castañeda</v>
      </c>
      <c r="J29" t="e">
        <f>+'staffing plan'!#REF!</f>
        <v>#REF!</v>
      </c>
      <c r="K29" t="e">
        <f>+'staffing plan'!#REF!</f>
        <v>#REF!</v>
      </c>
      <c r="L29" t="str">
        <f>+'staffing plan'!AY39</f>
        <v>F</v>
      </c>
      <c r="M29" s="145" t="e">
        <f>+'staffing plan'!#REF!</f>
        <v>#REF!</v>
      </c>
      <c r="N29" s="145" t="e">
        <f>'staffing plan'!#REF!</f>
        <v>#REF!</v>
      </c>
      <c r="O29" s="145" t="e">
        <f>+'staffing plan'!#REF!</f>
        <v>#REF!</v>
      </c>
      <c r="P29" s="131">
        <f>+'staffing plan'!AH39</f>
        <v>249048</v>
      </c>
      <c r="Q29" s="131">
        <f>+'staffing plan'!AI39</f>
        <v>252456</v>
      </c>
      <c r="R29">
        <f>+'staffing plan'!BP39</f>
        <v>0</v>
      </c>
      <c r="S29">
        <v>28</v>
      </c>
    </row>
    <row r="30" spans="1:19">
      <c r="B30">
        <f t="shared" si="1"/>
        <v>2015</v>
      </c>
      <c r="C30">
        <f>+'staffing plan'!BK40</f>
        <v>42186</v>
      </c>
      <c r="D30" t="str">
        <f>'staffing plan'!A40</f>
        <v>OSEC-DILGB-ADA6-88-2010</v>
      </c>
      <c r="E30" t="str">
        <f>+'staffing plan'!B40</f>
        <v>Administrative Aide VI</v>
      </c>
      <c r="F30">
        <f>+'staffing plan'!C40</f>
        <v>6</v>
      </c>
      <c r="G30" s="131">
        <f>+'staffing plan'!AJ40</f>
        <v>2</v>
      </c>
      <c r="H30" t="str">
        <f>+'staffing plan'!AX40</f>
        <v>Ifugao</v>
      </c>
      <c r="I30" t="str">
        <f>+'staffing plan'!AW40</f>
        <v>MAGCIANO, Juden Beth Uybaan</v>
      </c>
      <c r="J30" t="e">
        <f>+'staffing plan'!#REF!</f>
        <v>#REF!</v>
      </c>
      <c r="K30" t="e">
        <f>+'staffing plan'!#REF!</f>
        <v>#REF!</v>
      </c>
      <c r="L30" t="str">
        <f>+'staffing plan'!AY40</f>
        <v>F</v>
      </c>
      <c r="M30" s="145" t="e">
        <f>+'staffing plan'!#REF!</f>
        <v>#REF!</v>
      </c>
      <c r="N30" s="145" t="e">
        <f>'staffing plan'!#REF!</f>
        <v>#REF!</v>
      </c>
      <c r="O30" s="145" t="e">
        <f>+'staffing plan'!#REF!</f>
        <v>#REF!</v>
      </c>
      <c r="P30" s="131">
        <f>+'staffing plan'!AH40</f>
        <v>178164</v>
      </c>
      <c r="Q30" s="131">
        <f>+'staffing plan'!AI40</f>
        <v>179532</v>
      </c>
      <c r="R30">
        <f>+'staffing plan'!BP40</f>
        <v>0</v>
      </c>
      <c r="S30">
        <v>29</v>
      </c>
    </row>
    <row r="31" spans="1:19" hidden="1">
      <c r="B31">
        <f t="shared" si="1"/>
        <v>1900</v>
      </c>
      <c r="C31">
        <f>+'staffing plan'!BK41</f>
        <v>0</v>
      </c>
      <c r="D31" t="str">
        <f>'staffing plan'!A41</f>
        <v>Sub-Total</v>
      </c>
      <c r="E31">
        <f>+'staffing plan'!B41</f>
        <v>0</v>
      </c>
      <c r="F31">
        <f>+'staffing plan'!C41</f>
        <v>0</v>
      </c>
      <c r="G31" s="131">
        <f>+'staffing plan'!AJ41</f>
        <v>10</v>
      </c>
      <c r="H31">
        <f>+'staffing plan'!AX41</f>
        <v>0</v>
      </c>
      <c r="I31">
        <f>+'staffing plan'!AW41</f>
        <v>0</v>
      </c>
      <c r="J31" t="e">
        <f>+'staffing plan'!#REF!</f>
        <v>#REF!</v>
      </c>
      <c r="K31" t="e">
        <f>+'staffing plan'!#REF!</f>
        <v>#REF!</v>
      </c>
      <c r="L31">
        <f>+'staffing plan'!AY41</f>
        <v>0</v>
      </c>
      <c r="M31" s="145" t="e">
        <f>+'staffing plan'!#REF!</f>
        <v>#REF!</v>
      </c>
      <c r="N31" s="145" t="e">
        <f>'staffing plan'!#REF!</f>
        <v>#REF!</v>
      </c>
      <c r="O31" s="145" t="e">
        <f>+'staffing plan'!#REF!</f>
        <v>#REF!</v>
      </c>
      <c r="P31" s="131">
        <f>+'staffing plan'!AH41</f>
        <v>0</v>
      </c>
      <c r="Q31" s="131">
        <f>+'staffing plan'!AI41</f>
        <v>0</v>
      </c>
      <c r="R31">
        <f>+'staffing plan'!BP41</f>
        <v>0</v>
      </c>
      <c r="S31">
        <v>30</v>
      </c>
    </row>
    <row r="32" spans="1:19" hidden="1">
      <c r="B32">
        <f t="shared" si="1"/>
        <v>1900</v>
      </c>
      <c r="C32">
        <f>+'staffing plan'!BK42</f>
        <v>0</v>
      </c>
      <c r="D32" t="str">
        <f>'staffing plan'!A42</f>
        <v>64,000          Finance and Administrative Division</v>
      </c>
      <c r="E32">
        <f>+'staffing plan'!B42</f>
        <v>0</v>
      </c>
      <c r="F32">
        <f>+'staffing plan'!C42</f>
        <v>0</v>
      </c>
      <c r="G32" s="131">
        <f>+'staffing plan'!AJ42</f>
        <v>0</v>
      </c>
      <c r="H32">
        <f>+'staffing plan'!AX42</f>
        <v>0</v>
      </c>
      <c r="I32">
        <f>+'staffing plan'!AW42</f>
        <v>0</v>
      </c>
      <c r="J32" t="e">
        <f>+'staffing plan'!#REF!</f>
        <v>#REF!</v>
      </c>
      <c r="K32" t="e">
        <f>+'staffing plan'!#REF!</f>
        <v>#REF!</v>
      </c>
      <c r="L32">
        <f>+'staffing plan'!AY42</f>
        <v>0</v>
      </c>
      <c r="M32" s="145" t="e">
        <f>+'staffing plan'!#REF!</f>
        <v>#REF!</v>
      </c>
      <c r="N32" s="145" t="e">
        <f>'staffing plan'!#REF!</f>
        <v>#REF!</v>
      </c>
      <c r="O32" s="145" t="e">
        <f>+'staffing plan'!#REF!</f>
        <v>#REF!</v>
      </c>
      <c r="P32" s="131">
        <f>+'staffing plan'!AH42</f>
        <v>0</v>
      </c>
      <c r="Q32" s="131">
        <f>+'staffing plan'!AI42</f>
        <v>0</v>
      </c>
      <c r="R32">
        <f>+'staffing plan'!BP42</f>
        <v>0</v>
      </c>
      <c r="S32">
        <v>31</v>
      </c>
    </row>
    <row r="33" spans="2:19">
      <c r="B33">
        <f t="shared" si="1"/>
        <v>2012</v>
      </c>
      <c r="C33">
        <f>+'staffing plan'!BK43</f>
        <v>40924</v>
      </c>
      <c r="D33" t="str">
        <f>'staffing plan'!A43</f>
        <v>OSEC-DILGB-CADOF-19-2005</v>
      </c>
      <c r="E33" t="str">
        <f>+'staffing plan'!B43</f>
        <v>Chief Administrative Officer</v>
      </c>
      <c r="F33">
        <f>+'staffing plan'!C43</f>
        <v>24</v>
      </c>
      <c r="G33" s="131">
        <f>+'staffing plan'!AJ43</f>
        <v>3</v>
      </c>
      <c r="H33" t="str">
        <f>+'staffing plan'!AX43</f>
        <v>Regional Office</v>
      </c>
      <c r="I33" t="str">
        <f>+'staffing plan'!AW43</f>
        <v>MON, Shirley Evangeline Vergara</v>
      </c>
      <c r="J33" t="e">
        <f>+'staffing plan'!#REF!</f>
        <v>#REF!</v>
      </c>
      <c r="K33" t="e">
        <f>+'staffing plan'!#REF!</f>
        <v>#REF!</v>
      </c>
      <c r="L33" t="str">
        <f>+'staffing plan'!AY43</f>
        <v>F</v>
      </c>
      <c r="M33" s="145" t="e">
        <f>+'staffing plan'!#REF!</f>
        <v>#REF!</v>
      </c>
      <c r="N33" s="145" t="e">
        <f>'staffing plan'!#REF!</f>
        <v>#REF!</v>
      </c>
      <c r="O33" s="145" t="e">
        <f>+'staffing plan'!#REF!</f>
        <v>#REF!</v>
      </c>
      <c r="P33" s="131">
        <f>+'staffing plan'!AH43</f>
        <v>1000872</v>
      </c>
      <c r="Q33" s="131">
        <f>+'staffing plan'!AI43</f>
        <v>1033812</v>
      </c>
      <c r="R33">
        <f>+'staffing plan'!BP43</f>
        <v>0</v>
      </c>
      <c r="S33">
        <v>32</v>
      </c>
    </row>
    <row r="34" spans="2:19">
      <c r="B34">
        <f t="shared" si="1"/>
        <v>2012</v>
      </c>
      <c r="C34">
        <f>+'staffing plan'!BK44</f>
        <v>41138</v>
      </c>
      <c r="D34" t="str">
        <f>'staffing plan'!A44</f>
        <v>OSEC-DILGB-SAD0F-34-2005</v>
      </c>
      <c r="E34" t="str">
        <f>+'staffing plan'!B44</f>
        <v>Supervising Administrative Officer</v>
      </c>
      <c r="F34">
        <f>+'staffing plan'!C44</f>
        <v>22</v>
      </c>
      <c r="G34" s="131">
        <f>+'staffing plan'!AJ44</f>
        <v>3</v>
      </c>
      <c r="H34" t="str">
        <f>+'staffing plan'!AX44</f>
        <v>Regional Office</v>
      </c>
      <c r="I34" t="str">
        <f>+'staffing plan'!AW44</f>
        <v>BALANG, Gerry Cobcobo</v>
      </c>
      <c r="J34" t="e">
        <f>+'staffing plan'!#REF!</f>
        <v>#REF!</v>
      </c>
      <c r="K34" t="e">
        <f>+'staffing plan'!#REF!</f>
        <v>#REF!</v>
      </c>
      <c r="L34" t="str">
        <f>+'staffing plan'!AY44</f>
        <v>M</v>
      </c>
      <c r="M34" s="145" t="e">
        <f>+'staffing plan'!#REF!</f>
        <v>#REF!</v>
      </c>
      <c r="N34" s="145" t="e">
        <f>'staffing plan'!#REF!</f>
        <v>#REF!</v>
      </c>
      <c r="O34" s="145" t="e">
        <f>+'staffing plan'!#REF!</f>
        <v>#REF!</v>
      </c>
      <c r="P34" s="131">
        <f>+'staffing plan'!AH44</f>
        <v>783828</v>
      </c>
      <c r="Q34" s="131">
        <f>+'staffing plan'!AI44</f>
        <v>809628</v>
      </c>
      <c r="R34">
        <f>+'staffing plan'!BP44</f>
        <v>0</v>
      </c>
      <c r="S34">
        <v>33</v>
      </c>
    </row>
    <row r="35" spans="2:19">
      <c r="B35">
        <f t="shared" si="1"/>
        <v>2010</v>
      </c>
      <c r="C35">
        <f>+'staffing plan'!BK45</f>
        <v>40256</v>
      </c>
      <c r="D35" t="str">
        <f>'staffing plan'!A45</f>
        <v>OSEC-DILGB-A3-16-1998</v>
      </c>
      <c r="E35" t="str">
        <f>+'staffing plan'!B45</f>
        <v>Accountant III</v>
      </c>
      <c r="F35">
        <f>+'staffing plan'!C45</f>
        <v>19</v>
      </c>
      <c r="G35" s="131">
        <f>+'staffing plan'!AJ45</f>
        <v>3</v>
      </c>
      <c r="H35" t="str">
        <f>+'staffing plan'!AX45</f>
        <v>Regional Office</v>
      </c>
      <c r="I35" t="str">
        <f>+'staffing plan'!AW45</f>
        <v>CHAOKAS, Jennifer Sokoken</v>
      </c>
      <c r="J35" t="e">
        <f>+'staffing plan'!#REF!</f>
        <v>#REF!</v>
      </c>
      <c r="K35" t="e">
        <f>+'staffing plan'!#REF!</f>
        <v>#REF!</v>
      </c>
      <c r="L35" t="str">
        <f>+'staffing plan'!AY45</f>
        <v>F</v>
      </c>
      <c r="M35" s="145" t="e">
        <f>+'staffing plan'!#REF!</f>
        <v>#REF!</v>
      </c>
      <c r="N35" s="145" t="e">
        <f>'staffing plan'!#REF!</f>
        <v>#REF!</v>
      </c>
      <c r="O35" s="145" t="e">
        <f>+'staffing plan'!#REF!</f>
        <v>#REF!</v>
      </c>
      <c r="P35" s="131">
        <f>+'staffing plan'!AH45</f>
        <v>543228</v>
      </c>
      <c r="Q35" s="131">
        <f>+'staffing plan'!AI45</f>
        <v>561108</v>
      </c>
      <c r="R35">
        <f>+'staffing plan'!BP45</f>
        <v>0</v>
      </c>
      <c r="S35">
        <v>34</v>
      </c>
    </row>
    <row r="36" spans="2:19">
      <c r="B36">
        <f t="shared" si="1"/>
        <v>2012</v>
      </c>
      <c r="C36">
        <f>+'staffing plan'!BK46</f>
        <v>41260</v>
      </c>
      <c r="D36" t="str">
        <f>'staffing plan'!A46</f>
        <v>OSEC-DILGB-ADOF5-52-2005</v>
      </c>
      <c r="E36" t="str">
        <f>+'staffing plan'!B46</f>
        <v xml:space="preserve">Administrative Officer V </v>
      </c>
      <c r="F36">
        <f>+'staffing plan'!C46</f>
        <v>18</v>
      </c>
      <c r="G36" s="131">
        <f>+'staffing plan'!AJ46</f>
        <v>3</v>
      </c>
      <c r="H36" t="str">
        <f>+'staffing plan'!AX46</f>
        <v>Regional Office</v>
      </c>
      <c r="I36" t="str">
        <f>+'staffing plan'!AW46</f>
        <v>ESDEN, Iris Balabag</v>
      </c>
      <c r="J36" t="e">
        <f>+'staffing plan'!#REF!</f>
        <v>#REF!</v>
      </c>
      <c r="K36" t="e">
        <f>+'staffing plan'!#REF!</f>
        <v>#REF!</v>
      </c>
      <c r="L36" t="str">
        <f>+'staffing plan'!AY46</f>
        <v>F</v>
      </c>
      <c r="M36" s="145" t="e">
        <f>+'staffing plan'!#REF!</f>
        <v>#REF!</v>
      </c>
      <c r="N36" s="145" t="e">
        <f>'staffing plan'!#REF!</f>
        <v>#REF!</v>
      </c>
      <c r="O36" s="145" t="e">
        <f>+'staffing plan'!#REF!</f>
        <v>#REF!</v>
      </c>
      <c r="P36" s="131">
        <f>+'staffing plan'!AH46</f>
        <v>487644</v>
      </c>
      <c r="Q36" s="131">
        <f>+'staffing plan'!AI46</f>
        <v>499800</v>
      </c>
      <c r="R36">
        <f>+'staffing plan'!BP46</f>
        <v>0</v>
      </c>
      <c r="S36">
        <v>35</v>
      </c>
    </row>
    <row r="37" spans="2:19">
      <c r="B37">
        <f t="shared" si="1"/>
        <v>2015</v>
      </c>
      <c r="C37">
        <f>+'staffing plan'!BK47</f>
        <v>42184</v>
      </c>
      <c r="D37" t="str">
        <f>'staffing plan'!A47</f>
        <v>OSEC-DILGB-ADOF5-53-2005</v>
      </c>
      <c r="E37" t="str">
        <f>+'staffing plan'!B47</f>
        <v xml:space="preserve">Administrative Officer V </v>
      </c>
      <c r="F37">
        <f>+'staffing plan'!C47</f>
        <v>18</v>
      </c>
      <c r="G37" s="131">
        <f>+'staffing plan'!AJ47</f>
        <v>2</v>
      </c>
      <c r="H37" t="str">
        <f>+'staffing plan'!AX47</f>
        <v>Regional Office</v>
      </c>
      <c r="I37" t="str">
        <f>+'staffing plan'!AW47</f>
        <v>MATIB, Louven Longbuan</v>
      </c>
      <c r="J37" t="e">
        <f>+'staffing plan'!#REF!</f>
        <v>#REF!</v>
      </c>
      <c r="K37" t="e">
        <f>+'staffing plan'!#REF!</f>
        <v>#REF!</v>
      </c>
      <c r="L37" t="str">
        <f>+'staffing plan'!AY47</f>
        <v>M</v>
      </c>
      <c r="M37" s="145" t="e">
        <f>+'staffing plan'!#REF!</f>
        <v>#REF!</v>
      </c>
      <c r="N37" s="145" t="e">
        <f>'staffing plan'!#REF!</f>
        <v>#REF!</v>
      </c>
      <c r="O37" s="145" t="e">
        <f>+'staffing plan'!#REF!</f>
        <v>#REF!</v>
      </c>
      <c r="P37" s="131">
        <f>+'staffing plan'!AH47</f>
        <v>487644</v>
      </c>
      <c r="Q37" s="131">
        <f>+'staffing plan'!AI47</f>
        <v>493680</v>
      </c>
      <c r="R37">
        <f>+'staffing plan'!BP47</f>
        <v>0</v>
      </c>
      <c r="S37">
        <v>36</v>
      </c>
    </row>
    <row r="38" spans="2:19">
      <c r="B38">
        <f t="shared" si="1"/>
        <v>2006</v>
      </c>
      <c r="C38">
        <f>+'staffing plan'!BK48</f>
        <v>38926</v>
      </c>
      <c r="D38" t="str">
        <f>'staffing plan'!A48</f>
        <v>OSEC-DILGB-ADOF5-54-2005</v>
      </c>
      <c r="E38" t="str">
        <f>+'staffing plan'!B48</f>
        <v xml:space="preserve">Administrative Officer V </v>
      </c>
      <c r="F38">
        <f>+'staffing plan'!C48</f>
        <v>18</v>
      </c>
      <c r="G38" s="131">
        <f>+'staffing plan'!AJ48</f>
        <v>5</v>
      </c>
      <c r="H38" t="str">
        <f>+'staffing plan'!AX48</f>
        <v>Regional Office</v>
      </c>
      <c r="I38" t="str">
        <f>+'staffing plan'!AW48</f>
        <v>BARNACHEA, Norman Idica</v>
      </c>
      <c r="J38" t="e">
        <f>+'staffing plan'!#REF!</f>
        <v>#REF!</v>
      </c>
      <c r="K38" t="e">
        <f>+'staffing plan'!#REF!</f>
        <v>#REF!</v>
      </c>
      <c r="L38" t="str">
        <f>+'staffing plan'!AY48</f>
        <v>M</v>
      </c>
      <c r="M38" s="145" t="e">
        <f>+'staffing plan'!#REF!</f>
        <v>#REF!</v>
      </c>
      <c r="N38" s="145" t="e">
        <f>'staffing plan'!#REF!</f>
        <v>#REF!</v>
      </c>
      <c r="O38" s="145" t="e">
        <f>+'staffing plan'!#REF!</f>
        <v>#REF!</v>
      </c>
      <c r="P38" s="131">
        <f>+'staffing plan'!AH48</f>
        <v>487644</v>
      </c>
      <c r="Q38" s="131">
        <f>+'staffing plan'!AI48</f>
        <v>512256</v>
      </c>
      <c r="R38">
        <f>+'staffing plan'!BP48</f>
        <v>0</v>
      </c>
      <c r="S38">
        <v>37</v>
      </c>
    </row>
    <row r="39" spans="2:19">
      <c r="B39">
        <f t="shared" si="1"/>
        <v>2017</v>
      </c>
      <c r="C39">
        <f>+'staffing plan'!BK49</f>
        <v>42821</v>
      </c>
      <c r="D39" t="str">
        <f>'staffing plan'!A49</f>
        <v>OSEC-DILGB-A2-6-1998</v>
      </c>
      <c r="E39" t="str">
        <f>+'staffing plan'!B49</f>
        <v>Accountant II</v>
      </c>
      <c r="F39">
        <f>+'staffing plan'!C49</f>
        <v>16</v>
      </c>
      <c r="G39" s="131">
        <f>+'staffing plan'!AJ49</f>
        <v>1</v>
      </c>
      <c r="H39" t="str">
        <f>+'staffing plan'!AX49</f>
        <v>Regional Office</v>
      </c>
      <c r="I39" t="str">
        <f>+'staffing plan'!AW49</f>
        <v>MACASIEB, Marlyn Pilot</v>
      </c>
      <c r="J39" t="e">
        <f>+'staffing plan'!#REF!</f>
        <v>#REF!</v>
      </c>
      <c r="K39" t="e">
        <f>+'staffing plan'!#REF!</f>
        <v>#REF!</v>
      </c>
      <c r="L39" t="str">
        <f>+'staffing plan'!AY49</f>
        <v>F</v>
      </c>
      <c r="M39" s="145" t="e">
        <f>+'staffing plan'!#REF!</f>
        <v>#REF!</v>
      </c>
      <c r="N39" s="145" t="e">
        <f>'staffing plan'!#REF!</f>
        <v>#REF!</v>
      </c>
      <c r="O39" s="145" t="e">
        <f>+'staffing plan'!#REF!</f>
        <v>#REF!</v>
      </c>
      <c r="P39" s="131">
        <f>+'staffing plan'!AH49</f>
        <v>403008</v>
      </c>
      <c r="Q39" s="131">
        <f>+'staffing plan'!AI49</f>
        <v>403008</v>
      </c>
      <c r="R39">
        <f>+'staffing plan'!BP49</f>
        <v>0</v>
      </c>
      <c r="S39">
        <v>38</v>
      </c>
    </row>
    <row r="40" spans="2:19">
      <c r="B40">
        <f t="shared" si="1"/>
        <v>2012</v>
      </c>
      <c r="C40">
        <f>+'staffing plan'!BK50</f>
        <v>41260</v>
      </c>
      <c r="D40" t="str">
        <f>'staffing plan'!A50</f>
        <v>OSEC-DILGB-ADOF4-70-2005</v>
      </c>
      <c r="E40" t="str">
        <f>+'staffing plan'!B50</f>
        <v xml:space="preserve">Administrative Officer IV </v>
      </c>
      <c r="F40">
        <f>+'staffing plan'!C50</f>
        <v>15</v>
      </c>
      <c r="G40" s="131">
        <f>+'staffing plan'!AJ50</f>
        <v>3</v>
      </c>
      <c r="H40" t="str">
        <f>+'staffing plan'!AX50</f>
        <v>Regional Office</v>
      </c>
      <c r="I40" t="str">
        <f>+'staffing plan'!AW50</f>
        <v>WONG, Arlene Eustaquio</v>
      </c>
      <c r="J40" t="e">
        <f>+'staffing plan'!#REF!</f>
        <v>#REF!</v>
      </c>
      <c r="K40" t="e">
        <f>+'staffing plan'!#REF!</f>
        <v>#REF!</v>
      </c>
      <c r="L40" t="str">
        <f>+'staffing plan'!AY50</f>
        <v>F</v>
      </c>
      <c r="M40" s="145" t="e">
        <f>+'staffing plan'!#REF!</f>
        <v>#REF!</v>
      </c>
      <c r="N40" s="145" t="e">
        <f>'staffing plan'!#REF!</f>
        <v>#REF!</v>
      </c>
      <c r="O40" s="145" t="e">
        <f>+'staffing plan'!#REF!</f>
        <v>#REF!</v>
      </c>
      <c r="P40" s="131">
        <f>+'staffing plan'!AH50</f>
        <v>366372</v>
      </c>
      <c r="Q40" s="131">
        <f>+'staffing plan'!AI50</f>
        <v>375504</v>
      </c>
      <c r="R40">
        <f>+'staffing plan'!BP50</f>
        <v>0</v>
      </c>
      <c r="S40">
        <v>39</v>
      </c>
    </row>
    <row r="41" spans="2:19">
      <c r="B41">
        <f t="shared" si="1"/>
        <v>2011</v>
      </c>
      <c r="C41">
        <f>+'staffing plan'!BK51</f>
        <v>40893</v>
      </c>
      <c r="D41" t="str">
        <f>'staffing plan'!A51</f>
        <v>OSEC-DILGB-ADOF4-79-2005</v>
      </c>
      <c r="E41" t="str">
        <f>+'staffing plan'!B51</f>
        <v>Administrative Officer IV</v>
      </c>
      <c r="F41">
        <f>+'staffing plan'!C51</f>
        <v>15</v>
      </c>
      <c r="G41" s="131">
        <f>+'staffing plan'!AJ51</f>
        <v>3</v>
      </c>
      <c r="H41" t="str">
        <f>+'staffing plan'!AX51</f>
        <v>Regional Office</v>
      </c>
      <c r="I41" t="str">
        <f>+'staffing plan'!AW51</f>
        <v>GED-ANG, Chrysantine Chan</v>
      </c>
      <c r="J41" t="e">
        <f>+'staffing plan'!#REF!</f>
        <v>#REF!</v>
      </c>
      <c r="K41" t="e">
        <f>+'staffing plan'!#REF!</f>
        <v>#REF!</v>
      </c>
      <c r="L41" t="str">
        <f>+'staffing plan'!AY51</f>
        <v>F</v>
      </c>
      <c r="M41" s="145" t="e">
        <f>+'staffing plan'!#REF!</f>
        <v>#REF!</v>
      </c>
      <c r="N41" s="145" t="e">
        <f>'staffing plan'!#REF!</f>
        <v>#REF!</v>
      </c>
      <c r="O41" s="145" t="e">
        <f>+'staffing plan'!#REF!</f>
        <v>#REF!</v>
      </c>
      <c r="P41" s="131">
        <f>+'staffing plan'!AH51</f>
        <v>366372</v>
      </c>
      <c r="Q41" s="131">
        <f>+'staffing plan'!AI51</f>
        <v>375504</v>
      </c>
      <c r="R41">
        <f>+'staffing plan'!BP51</f>
        <v>0</v>
      </c>
      <c r="S41">
        <v>40</v>
      </c>
    </row>
    <row r="42" spans="2:19">
      <c r="B42">
        <f t="shared" si="1"/>
        <v>2019</v>
      </c>
      <c r="C42">
        <f>+'staffing plan'!BK52</f>
        <v>43531</v>
      </c>
      <c r="D42" t="str">
        <f>'staffing plan'!A52</f>
        <v>OSEC-DILGB-ADOF3-43-2005</v>
      </c>
      <c r="E42" t="str">
        <f>+'staffing plan'!B52</f>
        <v xml:space="preserve">Administrative Officer III </v>
      </c>
      <c r="F42">
        <f>+'staffing plan'!C52</f>
        <v>14</v>
      </c>
      <c r="G42" s="131">
        <f>+'staffing plan'!AJ52</f>
        <v>1</v>
      </c>
      <c r="H42" t="str">
        <f>+'staffing plan'!AX52</f>
        <v>Regional Office</v>
      </c>
      <c r="I42" t="str">
        <f>+'staffing plan'!AW52</f>
        <v>ESNARA, Myra Golingab</v>
      </c>
      <c r="J42" t="e">
        <f>+'staffing plan'!#REF!</f>
        <v>#REF!</v>
      </c>
      <c r="K42" t="e">
        <f>+'staffing plan'!#REF!</f>
        <v>#REF!</v>
      </c>
      <c r="L42" t="str">
        <f>+'staffing plan'!AY52</f>
        <v>F</v>
      </c>
      <c r="M42" s="145" t="e">
        <f>+'staffing plan'!#REF!</f>
        <v>#REF!</v>
      </c>
      <c r="N42" s="145" t="e">
        <f>'staffing plan'!#REF!</f>
        <v>#REF!</v>
      </c>
      <c r="O42" s="145" t="e">
        <f>+'staffing plan'!#REF!</f>
        <v>#REF!</v>
      </c>
      <c r="P42" s="131">
        <f>+'staffing plan'!AH52</f>
        <v>333060</v>
      </c>
      <c r="Q42" s="131">
        <f>+'staffing plan'!AI52</f>
        <v>333060</v>
      </c>
      <c r="R42">
        <f>+'staffing plan'!BP52</f>
        <v>0</v>
      </c>
      <c r="S42">
        <v>41</v>
      </c>
    </row>
    <row r="43" spans="2:19">
      <c r="B43">
        <f t="shared" si="1"/>
        <v>2014</v>
      </c>
      <c r="C43">
        <f>+'staffing plan'!BK53</f>
        <v>41946</v>
      </c>
      <c r="D43" t="str">
        <f>'staffing plan'!A53</f>
        <v>OSEC-DILGB-ADOF3-44-2005</v>
      </c>
      <c r="E43" t="str">
        <f>+'staffing plan'!B53</f>
        <v xml:space="preserve">Administrative Officer III </v>
      </c>
      <c r="F43">
        <f>+'staffing plan'!C53</f>
        <v>14</v>
      </c>
      <c r="G43" s="131">
        <f>+'staffing plan'!AJ53</f>
        <v>2</v>
      </c>
      <c r="H43" t="str">
        <f>+'staffing plan'!AX53</f>
        <v>Regional Office</v>
      </c>
      <c r="I43" t="str">
        <f>+'staffing plan'!AW53</f>
        <v>RAMIREZ, Ronnel Fronda</v>
      </c>
      <c r="J43" t="e">
        <f>+'staffing plan'!#REF!</f>
        <v>#REF!</v>
      </c>
      <c r="K43" t="e">
        <f>+'staffing plan'!#REF!</f>
        <v>#REF!</v>
      </c>
      <c r="L43" t="str">
        <f>+'staffing plan'!AY53</f>
        <v>M</v>
      </c>
      <c r="M43" s="145" t="e">
        <f>+'staffing plan'!#REF!</f>
        <v>#REF!</v>
      </c>
      <c r="N43" s="145" t="e">
        <f>'staffing plan'!#REF!</f>
        <v>#REF!</v>
      </c>
      <c r="O43" s="145" t="e">
        <f>+'staffing plan'!#REF!</f>
        <v>#REF!</v>
      </c>
      <c r="P43" s="131">
        <f>+'staffing plan'!AH53</f>
        <v>333060</v>
      </c>
      <c r="Q43" s="131">
        <f>+'staffing plan'!AI53</f>
        <v>337188</v>
      </c>
      <c r="R43">
        <f>+'staffing plan'!BP53</f>
        <v>0</v>
      </c>
      <c r="S43">
        <v>42</v>
      </c>
    </row>
    <row r="44" spans="2:19">
      <c r="B44">
        <f t="shared" si="1"/>
        <v>2003</v>
      </c>
      <c r="C44">
        <f>+'staffing plan'!BK54</f>
        <v>37658</v>
      </c>
      <c r="D44" t="str">
        <f>'staffing plan'!A54</f>
        <v>OSEC-DILGB-ADAS3-65-2005</v>
      </c>
      <c r="E44" t="str">
        <f>+'staffing plan'!B54</f>
        <v xml:space="preserve">Administrative Assistant III </v>
      </c>
      <c r="F44">
        <f>+'staffing plan'!C54</f>
        <v>9</v>
      </c>
      <c r="G44" s="131">
        <f>+'staffing plan'!AJ54</f>
        <v>6</v>
      </c>
      <c r="H44" t="str">
        <f>+'staffing plan'!AX54</f>
        <v>Regional Office</v>
      </c>
      <c r="I44" t="str">
        <f>+'staffing plan'!AW54</f>
        <v>CASTRO, Angelito Gaddi</v>
      </c>
      <c r="J44" t="e">
        <f>+'staffing plan'!#REF!</f>
        <v>#REF!</v>
      </c>
      <c r="K44" t="e">
        <f>+'staffing plan'!#REF!</f>
        <v>#REF!</v>
      </c>
      <c r="L44" t="str">
        <f>+'staffing plan'!AY54</f>
        <v>M</v>
      </c>
      <c r="M44" s="145" t="e">
        <f>+'staffing plan'!#REF!</f>
        <v>#REF!</v>
      </c>
      <c r="N44" s="145" t="e">
        <f>'staffing plan'!#REF!</f>
        <v>#REF!</v>
      </c>
      <c r="O44" s="145" t="e">
        <f>+'staffing plan'!#REF!</f>
        <v>#REF!</v>
      </c>
      <c r="P44" s="131">
        <f>+'staffing plan'!AH54</f>
        <v>215700</v>
      </c>
      <c r="Q44" s="131">
        <f>+'staffing plan'!AI54</f>
        <v>224868</v>
      </c>
      <c r="R44">
        <f>+'staffing plan'!BP54</f>
        <v>0</v>
      </c>
      <c r="S44">
        <v>43</v>
      </c>
    </row>
    <row r="45" spans="2:19">
      <c r="B45">
        <f t="shared" si="1"/>
        <v>2012</v>
      </c>
      <c r="C45">
        <f>+'staffing plan'!BK55</f>
        <v>41127</v>
      </c>
      <c r="D45" t="str">
        <f>'staffing plan'!A55</f>
        <v>OSEC-DILGB-ADAS3-109-2010</v>
      </c>
      <c r="E45" t="str">
        <f>+'staffing plan'!B55</f>
        <v>Administrative Assistant III</v>
      </c>
      <c r="F45">
        <f>+'staffing plan'!C55</f>
        <v>9</v>
      </c>
      <c r="G45" s="131">
        <f>+'staffing plan'!AJ55</f>
        <v>3</v>
      </c>
      <c r="H45" t="str">
        <f>+'staffing plan'!AX55</f>
        <v>Regional Office</v>
      </c>
      <c r="I45" t="str">
        <f>+'staffing plan'!AW55</f>
        <v>LOPEZ, Jessica Kim Angeles</v>
      </c>
      <c r="J45" t="e">
        <f>+'staffing plan'!#REF!</f>
        <v>#REF!</v>
      </c>
      <c r="K45" t="e">
        <f>+'staffing plan'!#REF!</f>
        <v>#REF!</v>
      </c>
      <c r="L45" t="str">
        <f>+'staffing plan'!AY55</f>
        <v>F</v>
      </c>
      <c r="M45" s="145" t="e">
        <f>+'staffing plan'!#REF!</f>
        <v>#REF!</v>
      </c>
      <c r="N45" s="145" t="e">
        <f>'staffing plan'!#REF!</f>
        <v>#REF!</v>
      </c>
      <c r="O45" s="145" t="e">
        <f>+'staffing plan'!#REF!</f>
        <v>#REF!</v>
      </c>
      <c r="P45" s="131">
        <f>+'staffing plan'!AH55</f>
        <v>215700</v>
      </c>
      <c r="Q45" s="131">
        <f>+'staffing plan'!AI55</f>
        <v>219324</v>
      </c>
      <c r="R45">
        <f>+'staffing plan'!BP55</f>
        <v>0</v>
      </c>
      <c r="S45">
        <v>44</v>
      </c>
    </row>
    <row r="46" spans="2:19">
      <c r="B46">
        <f t="shared" si="1"/>
        <v>2018</v>
      </c>
      <c r="C46">
        <f>+'staffing plan'!BK56</f>
        <v>43193</v>
      </c>
      <c r="D46" t="str">
        <f>'staffing plan'!A56</f>
        <v>OSEC-DILGB-ADAS2-61-2005</v>
      </c>
      <c r="E46" t="str">
        <f>+'staffing plan'!B56</f>
        <v>Administrative Assistant II</v>
      </c>
      <c r="F46">
        <f>+'staffing plan'!C56</f>
        <v>8</v>
      </c>
      <c r="G46" s="131">
        <f>+'staffing plan'!AJ56</f>
        <v>1</v>
      </c>
      <c r="H46" t="str">
        <f>+'staffing plan'!AX56</f>
        <v>Regional Office</v>
      </c>
      <c r="I46" t="str">
        <f>+'staffing plan'!AW56</f>
        <v>BOGNADON, Kylee Russel Rebollido</v>
      </c>
      <c r="J46" t="e">
        <f>+'staffing plan'!#REF!</f>
        <v>#REF!</v>
      </c>
      <c r="K46" t="e">
        <f>+'staffing plan'!#REF!</f>
        <v>#REF!</v>
      </c>
      <c r="L46" t="str">
        <f>+'staffing plan'!AY56</f>
        <v>M</v>
      </c>
      <c r="M46" s="145" t="e">
        <f>+'staffing plan'!#REF!</f>
        <v>#REF!</v>
      </c>
      <c r="N46" s="145" t="e">
        <f>'staffing plan'!#REF!</f>
        <v>#REF!</v>
      </c>
      <c r="O46" s="145" t="e">
        <f>+'staffing plan'!#REF!</f>
        <v>#REF!</v>
      </c>
      <c r="P46" s="131">
        <f>+'staffing plan'!AH56</f>
        <v>201096</v>
      </c>
      <c r="Q46" s="131">
        <f>+'staffing plan'!AI56</f>
        <v>201096</v>
      </c>
      <c r="R46" t="str">
        <f>+'staffing plan'!BP56</f>
        <v>change of item 1-25-18</v>
      </c>
      <c r="S46">
        <v>45</v>
      </c>
    </row>
    <row r="47" spans="2:19">
      <c r="B47">
        <f t="shared" si="1"/>
        <v>1900</v>
      </c>
      <c r="C47">
        <f>+'staffing plan'!BK57</f>
        <v>0</v>
      </c>
      <c r="D47" t="str">
        <f>'staffing plan'!A57</f>
        <v>OSEC-DILGB-ADAS2-64-2005</v>
      </c>
      <c r="E47" t="str">
        <f>+'staffing plan'!B57</f>
        <v>Administrative Assistant II</v>
      </c>
      <c r="F47">
        <f>+'staffing plan'!C57</f>
        <v>8</v>
      </c>
      <c r="G47" s="131">
        <f>+'staffing plan'!AJ57</f>
        <v>0</v>
      </c>
      <c r="H47">
        <f>+'staffing plan'!AX57</f>
        <v>0</v>
      </c>
      <c r="I47" t="str">
        <f>+'staffing plan'!AW57</f>
        <v xml:space="preserve">ESNARA, VacantMyra </v>
      </c>
      <c r="J47" t="e">
        <f>+'staffing plan'!#REF!</f>
        <v>#REF!</v>
      </c>
      <c r="K47" t="e">
        <f>+'staffing plan'!#REF!</f>
        <v>#REF!</v>
      </c>
      <c r="L47">
        <f>+'staffing plan'!AY57</f>
        <v>0</v>
      </c>
      <c r="M47" s="145" t="e">
        <f>+'staffing plan'!#REF!</f>
        <v>#REF!</v>
      </c>
      <c r="N47" s="145" t="e">
        <f>'staffing plan'!#REF!</f>
        <v>#REF!</v>
      </c>
      <c r="O47" s="145" t="e">
        <f>+'staffing plan'!#REF!</f>
        <v>#REF!</v>
      </c>
      <c r="P47" s="131">
        <f>+'staffing plan'!AH57</f>
        <v>201096</v>
      </c>
      <c r="Q47" s="131">
        <f>+'staffing plan'!AI57</f>
        <v>0</v>
      </c>
      <c r="R47">
        <f>+'staffing plan'!BP57</f>
        <v>0</v>
      </c>
      <c r="S47">
        <v>46</v>
      </c>
    </row>
    <row r="48" spans="2:19" hidden="1">
      <c r="B48">
        <f t="shared" si="1"/>
        <v>2018</v>
      </c>
      <c r="C48">
        <f>+'staffing plan'!BK58</f>
        <v>43193</v>
      </c>
      <c r="D48" t="str">
        <f>'staffing plan'!A58</f>
        <v>OSEC-DILGB-ADA4-85-2005</v>
      </c>
      <c r="E48" t="str">
        <f>+'staffing plan'!B58</f>
        <v>Administrative Aide IV</v>
      </c>
      <c r="F48">
        <f>+'staffing plan'!C58</f>
        <v>4</v>
      </c>
      <c r="G48" s="131">
        <f>+'staffing plan'!AJ58</f>
        <v>1</v>
      </c>
      <c r="H48" t="str">
        <f>+'staffing plan'!AX58</f>
        <v>Regional Office</v>
      </c>
      <c r="I48" t="str">
        <f>+'staffing plan'!AW58</f>
        <v>GERNALE, Joe Pablo Maculada</v>
      </c>
      <c r="J48" t="e">
        <f>+'staffing plan'!#REF!</f>
        <v>#REF!</v>
      </c>
      <c r="K48" t="e">
        <f>+'staffing plan'!#REF!</f>
        <v>#REF!</v>
      </c>
      <c r="L48" t="str">
        <f>+'staffing plan'!AY58</f>
        <v>M</v>
      </c>
      <c r="M48" s="145" t="e">
        <f>+'staffing plan'!#REF!</f>
        <v>#REF!</v>
      </c>
      <c r="N48" s="145" t="e">
        <f>'staffing plan'!#REF!</f>
        <v>#REF!</v>
      </c>
      <c r="O48" s="145" t="e">
        <f>+'staffing plan'!#REF!</f>
        <v>#REF!</v>
      </c>
      <c r="P48" s="131">
        <f>+'staffing plan'!AH58</f>
        <v>158568</v>
      </c>
      <c r="Q48" s="131">
        <f>+'staffing plan'!AI58</f>
        <v>158568</v>
      </c>
      <c r="R48">
        <f>+'staffing plan'!BP58</f>
        <v>0</v>
      </c>
      <c r="S48">
        <v>47</v>
      </c>
    </row>
    <row r="49" spans="2:19">
      <c r="B49">
        <f t="shared" si="1"/>
        <v>1900</v>
      </c>
      <c r="C49">
        <f>+'staffing plan'!BK59</f>
        <v>0</v>
      </c>
      <c r="D49" t="str">
        <f>'staffing plan'!A59</f>
        <v>OSEC-DILGB-ADA4-86-2005</v>
      </c>
      <c r="E49" t="str">
        <f>+'staffing plan'!B59</f>
        <v>Administrative Aide IV</v>
      </c>
      <c r="F49">
        <f>+'staffing plan'!C59</f>
        <v>4</v>
      </c>
      <c r="G49" s="131">
        <f>+'staffing plan'!AJ59</f>
        <v>0</v>
      </c>
      <c r="H49">
        <f>+'staffing plan'!AX59</f>
        <v>0</v>
      </c>
      <c r="I49" t="str">
        <f>+'staffing plan'!AW59</f>
        <v xml:space="preserve">Vacant ESCAD,  </v>
      </c>
      <c r="J49" t="e">
        <f>+'staffing plan'!#REF!</f>
        <v>#REF!</v>
      </c>
      <c r="K49" t="e">
        <f>+'staffing plan'!#REF!</f>
        <v>#REF!</v>
      </c>
      <c r="L49">
        <f>+'staffing plan'!AY59</f>
        <v>0</v>
      </c>
      <c r="M49" s="145" t="e">
        <f>+'staffing plan'!#REF!</f>
        <v>#REF!</v>
      </c>
      <c r="N49" s="145" t="e">
        <f>'staffing plan'!#REF!</f>
        <v>#REF!</v>
      </c>
      <c r="O49" s="145" t="e">
        <f>+'staffing plan'!#REF!</f>
        <v>#REF!</v>
      </c>
      <c r="P49" s="131">
        <f>+'staffing plan'!AH59</f>
        <v>158568</v>
      </c>
      <c r="Q49" s="131">
        <f>+'staffing plan'!AI59</f>
        <v>0</v>
      </c>
      <c r="R49">
        <f>+'staffing plan'!BP59</f>
        <v>0</v>
      </c>
      <c r="S49">
        <v>48</v>
      </c>
    </row>
    <row r="50" spans="2:19">
      <c r="B50">
        <f t="shared" si="1"/>
        <v>2014</v>
      </c>
      <c r="C50">
        <f>+'staffing plan'!BK60</f>
        <v>41988</v>
      </c>
      <c r="D50" t="str">
        <f>'staffing plan'!A60</f>
        <v>OSEC-DILGB-ADA4-87-2005</v>
      </c>
      <c r="E50" t="str">
        <f>+'staffing plan'!B60</f>
        <v>Administrative Aide IV</v>
      </c>
      <c r="F50">
        <f>+'staffing plan'!C60</f>
        <v>4</v>
      </c>
      <c r="G50" s="131">
        <f>+'staffing plan'!AJ60</f>
        <v>2</v>
      </c>
      <c r="H50" t="str">
        <f>+'staffing plan'!AX60</f>
        <v>Regional Office</v>
      </c>
      <c r="I50" t="str">
        <f>+'staffing plan'!AW60</f>
        <v>MONANG, Veronica Gadgad</v>
      </c>
      <c r="J50" t="e">
        <f>+'staffing plan'!#REF!</f>
        <v>#REF!</v>
      </c>
      <c r="K50" t="e">
        <f>+'staffing plan'!#REF!</f>
        <v>#REF!</v>
      </c>
      <c r="L50" t="str">
        <f>+'staffing plan'!AY60</f>
        <v>F</v>
      </c>
      <c r="M50" s="145" t="e">
        <f>+'staffing plan'!#REF!</f>
        <v>#REF!</v>
      </c>
      <c r="N50" s="145" t="e">
        <f>'staffing plan'!#REF!</f>
        <v>#REF!</v>
      </c>
      <c r="O50" s="145" t="e">
        <f>+'staffing plan'!#REF!</f>
        <v>#REF!</v>
      </c>
      <c r="P50" s="131">
        <f>+'staffing plan'!AH60</f>
        <v>158568</v>
      </c>
      <c r="Q50" s="131">
        <f>+'staffing plan'!AI60</f>
        <v>159792</v>
      </c>
      <c r="R50">
        <f>+'staffing plan'!BP60</f>
        <v>0</v>
      </c>
      <c r="S50">
        <v>49</v>
      </c>
    </row>
    <row r="51" spans="2:19">
      <c r="B51">
        <f t="shared" si="1"/>
        <v>2011</v>
      </c>
      <c r="C51">
        <f>+'staffing plan'!BK61</f>
        <v>40634</v>
      </c>
      <c r="D51" t="str">
        <f>'staffing plan'!A61</f>
        <v>OSEC-DILGB-ADA4-91-2010</v>
      </c>
      <c r="E51" t="str">
        <f>+'staffing plan'!B61</f>
        <v>Administrative Aide IV</v>
      </c>
      <c r="F51">
        <f>+'staffing plan'!C61</f>
        <v>4</v>
      </c>
      <c r="G51" s="131">
        <f>+'staffing plan'!AJ61</f>
        <v>3</v>
      </c>
      <c r="H51" t="str">
        <f>+'staffing plan'!AX61</f>
        <v>Regional Office</v>
      </c>
      <c r="I51" t="str">
        <f>+'staffing plan'!AW61</f>
        <v>PASCUA, Diosdado Aquino</v>
      </c>
      <c r="J51" t="e">
        <f>+'staffing plan'!#REF!</f>
        <v>#REF!</v>
      </c>
      <c r="K51" t="e">
        <f>+'staffing plan'!#REF!</f>
        <v>#REF!</v>
      </c>
      <c r="L51" t="str">
        <f>+'staffing plan'!AY61</f>
        <v>M</v>
      </c>
      <c r="M51" s="145" t="e">
        <f>+'staffing plan'!#REF!</f>
        <v>#REF!</v>
      </c>
      <c r="N51" s="145" t="e">
        <f>'staffing plan'!#REF!</f>
        <v>#REF!</v>
      </c>
      <c r="O51" s="145" t="e">
        <f>+'staffing plan'!#REF!</f>
        <v>#REF!</v>
      </c>
      <c r="P51" s="131">
        <f>+'staffing plan'!AH61</f>
        <v>158568</v>
      </c>
      <c r="Q51" s="131">
        <f>+'staffing plan'!AI61</f>
        <v>161016</v>
      </c>
      <c r="R51">
        <f>+'staffing plan'!BP61</f>
        <v>0</v>
      </c>
      <c r="S51">
        <v>50</v>
      </c>
    </row>
    <row r="52" spans="2:19">
      <c r="B52">
        <f t="shared" si="1"/>
        <v>1998</v>
      </c>
      <c r="C52">
        <f>+'staffing plan'!BK62</f>
        <v>36054</v>
      </c>
      <c r="D52" t="str">
        <f>'staffing plan'!A62</f>
        <v>OSEC-DILGB-ADA3-61-2005</v>
      </c>
      <c r="E52" t="str">
        <f>+'staffing plan'!B62</f>
        <v>Administrative Aide III</v>
      </c>
      <c r="F52">
        <f>+'staffing plan'!C62</f>
        <v>3</v>
      </c>
      <c r="G52" s="131">
        <f>+'staffing plan'!AJ62</f>
        <v>7</v>
      </c>
      <c r="H52" t="str">
        <f>+'staffing plan'!AX62</f>
        <v>Regional Office</v>
      </c>
      <c r="I52" t="str">
        <f>+'staffing plan'!AW62</f>
        <v>TAMONDONG, Jonathan Ambat</v>
      </c>
      <c r="J52" t="e">
        <f>+'staffing plan'!#REF!</f>
        <v>#REF!</v>
      </c>
      <c r="K52" t="e">
        <f>+'staffing plan'!#REF!</f>
        <v>#REF!</v>
      </c>
      <c r="L52" t="str">
        <f>+'staffing plan'!AY62</f>
        <v>M</v>
      </c>
      <c r="M52" s="145" t="e">
        <f>+'staffing plan'!#REF!</f>
        <v>#REF!</v>
      </c>
      <c r="N52" s="145" t="e">
        <f>'staffing plan'!#REF!</f>
        <v>#REF!</v>
      </c>
      <c r="O52" s="145" t="e">
        <f>+'staffing plan'!#REF!</f>
        <v>#REF!</v>
      </c>
      <c r="P52" s="131">
        <f>+'staffing plan'!AH62</f>
        <v>149592</v>
      </c>
      <c r="Q52" s="131">
        <f>+'staffing plan'!AI62</f>
        <v>156624</v>
      </c>
      <c r="R52">
        <f>+'staffing plan'!BP62</f>
        <v>0</v>
      </c>
      <c r="S52">
        <v>51</v>
      </c>
    </row>
    <row r="53" spans="2:19">
      <c r="B53">
        <f t="shared" si="1"/>
        <v>1988</v>
      </c>
      <c r="C53">
        <f>+'staffing plan'!BK63</f>
        <v>32371</v>
      </c>
      <c r="D53" t="str">
        <f>'staffing plan'!A63</f>
        <v>OSEC-DILGB-SECG1-8-1998</v>
      </c>
      <c r="E53" t="str">
        <f>+'staffing plan'!B63</f>
        <v>Security Guard I</v>
      </c>
      <c r="F53">
        <f>+'staffing plan'!C63</f>
        <v>3</v>
      </c>
      <c r="G53" s="131">
        <f>+'staffing plan'!AJ63</f>
        <v>8</v>
      </c>
      <c r="H53" t="str">
        <f>+'staffing plan'!AX63</f>
        <v>Regional Office</v>
      </c>
      <c r="I53" t="str">
        <f>+'staffing plan'!AW63</f>
        <v>ROJO, Gerardo Rontos</v>
      </c>
      <c r="J53" t="e">
        <f>+'staffing plan'!#REF!</f>
        <v>#REF!</v>
      </c>
      <c r="K53" t="e">
        <f>+'staffing plan'!#REF!</f>
        <v>#REF!</v>
      </c>
      <c r="L53" t="str">
        <f>+'staffing plan'!AY63</f>
        <v>M</v>
      </c>
      <c r="M53" s="145" t="e">
        <f>+'staffing plan'!#REF!</f>
        <v>#REF!</v>
      </c>
      <c r="N53" s="145" t="e">
        <f>'staffing plan'!#REF!</f>
        <v>#REF!</v>
      </c>
      <c r="O53" s="145" t="e">
        <f>+'staffing plan'!#REF!</f>
        <v>#REF!</v>
      </c>
      <c r="P53" s="131">
        <f>+'staffing plan'!AH63</f>
        <v>149592</v>
      </c>
      <c r="Q53" s="131">
        <f>+'staffing plan'!AI63</f>
        <v>157824</v>
      </c>
      <c r="R53">
        <f>+'staffing plan'!BP63</f>
        <v>0</v>
      </c>
      <c r="S53">
        <v>52</v>
      </c>
    </row>
    <row r="54" spans="2:19">
      <c r="B54">
        <f t="shared" si="1"/>
        <v>2004</v>
      </c>
      <c r="C54">
        <f>+'staffing plan'!BK64</f>
        <v>38018</v>
      </c>
      <c r="D54" t="str">
        <f>'staffing plan'!A64</f>
        <v>OSEC-DILGB-SECG1-9-1998</v>
      </c>
      <c r="E54" t="str">
        <f>+'staffing plan'!B64</f>
        <v>Security Guard I</v>
      </c>
      <c r="F54">
        <f>+'staffing plan'!C64</f>
        <v>3</v>
      </c>
      <c r="G54" s="131">
        <f>+'staffing plan'!AJ64</f>
        <v>5</v>
      </c>
      <c r="H54" t="str">
        <f>+'staffing plan'!AX64</f>
        <v>Regional Office</v>
      </c>
      <c r="I54" t="str">
        <f>+'staffing plan'!AW64</f>
        <v>PEREZ, Roberto Aquino</v>
      </c>
      <c r="J54" t="e">
        <f>+'staffing plan'!#REF!</f>
        <v>#REF!</v>
      </c>
      <c r="K54" t="e">
        <f>+'staffing plan'!#REF!</f>
        <v>#REF!</v>
      </c>
      <c r="L54" t="str">
        <f>+'staffing plan'!AY64</f>
        <v>M</v>
      </c>
      <c r="M54" s="145" t="e">
        <f>+'staffing plan'!#REF!</f>
        <v>#REF!</v>
      </c>
      <c r="N54" s="145" t="e">
        <f>'staffing plan'!#REF!</f>
        <v>#REF!</v>
      </c>
      <c r="O54" s="145" t="e">
        <f>+'staffing plan'!#REF!</f>
        <v>#REF!</v>
      </c>
      <c r="P54" s="131">
        <f>+'staffing plan'!AH64</f>
        <v>149592</v>
      </c>
      <c r="Q54" s="131">
        <f>+'staffing plan'!AI64</f>
        <v>154248</v>
      </c>
      <c r="R54">
        <f>+'staffing plan'!BP64</f>
        <v>0</v>
      </c>
      <c r="S54">
        <v>53</v>
      </c>
    </row>
    <row r="55" spans="2:19">
      <c r="B55">
        <f t="shared" si="1"/>
        <v>2001</v>
      </c>
      <c r="C55">
        <f>+'staffing plan'!BK65</f>
        <v>37173</v>
      </c>
      <c r="D55" t="str">
        <f>'staffing plan'!A65</f>
        <v>OSEC-DILGB-SEC1-10-1998</v>
      </c>
      <c r="E55" t="str">
        <f>+'staffing plan'!B65</f>
        <v>Security Guard I</v>
      </c>
      <c r="F55">
        <f>+'staffing plan'!C65</f>
        <v>3</v>
      </c>
      <c r="G55" s="131">
        <f>+'staffing plan'!AJ65</f>
        <v>6</v>
      </c>
      <c r="H55" t="str">
        <f>+'staffing plan'!AX65</f>
        <v>Regional Office</v>
      </c>
      <c r="I55" t="str">
        <f>+'staffing plan'!AW65</f>
        <v>NONOG, Edward Bolda</v>
      </c>
      <c r="J55" t="e">
        <f>+'staffing plan'!#REF!</f>
        <v>#REF!</v>
      </c>
      <c r="K55" t="e">
        <f>+'staffing plan'!#REF!</f>
        <v>#REF!</v>
      </c>
      <c r="L55" t="str">
        <f>+'staffing plan'!AY65</f>
        <v>M</v>
      </c>
      <c r="M55" s="145" t="e">
        <f>+'staffing plan'!#REF!</f>
        <v>#REF!</v>
      </c>
      <c r="N55" s="145" t="e">
        <f>'staffing plan'!#REF!</f>
        <v>#REF!</v>
      </c>
      <c r="O55" s="145" t="e">
        <f>+'staffing plan'!#REF!</f>
        <v>#REF!</v>
      </c>
      <c r="P55" s="131">
        <f>+'staffing plan'!AH65</f>
        <v>149592</v>
      </c>
      <c r="Q55" s="131">
        <f>+'staffing plan'!AI65</f>
        <v>155424</v>
      </c>
      <c r="R55">
        <f>+'staffing plan'!BP65</f>
        <v>0</v>
      </c>
      <c r="S55">
        <v>54</v>
      </c>
    </row>
    <row r="56" spans="2:19" hidden="1">
      <c r="B56">
        <f t="shared" si="1"/>
        <v>1900</v>
      </c>
      <c r="C56">
        <f>+'staffing plan'!BK66</f>
        <v>0</v>
      </c>
      <c r="D56" t="str">
        <f>'staffing plan'!A66</f>
        <v>Sub-Total</v>
      </c>
      <c r="E56">
        <f>+'staffing plan'!B66</f>
        <v>0</v>
      </c>
      <c r="F56">
        <f>+'staffing plan'!C66</f>
        <v>0</v>
      </c>
      <c r="G56" s="131">
        <f>+'staffing plan'!AJ66</f>
        <v>23</v>
      </c>
      <c r="H56">
        <f>+'staffing plan'!AX66</f>
        <v>0</v>
      </c>
      <c r="I56">
        <f>+'staffing plan'!AW66</f>
        <v>0</v>
      </c>
      <c r="J56" t="e">
        <f>+'staffing plan'!#REF!</f>
        <v>#REF!</v>
      </c>
      <c r="K56" t="e">
        <f>+'staffing plan'!#REF!</f>
        <v>#REF!</v>
      </c>
      <c r="L56">
        <f>+'staffing plan'!AY66</f>
        <v>0</v>
      </c>
      <c r="M56" s="145" t="e">
        <f>+'staffing plan'!#REF!</f>
        <v>#REF!</v>
      </c>
      <c r="N56" s="145" t="e">
        <f>'staffing plan'!#REF!</f>
        <v>#REF!</v>
      </c>
      <c r="O56" s="145" t="e">
        <f>+'staffing plan'!#REF!</f>
        <v>#REF!</v>
      </c>
      <c r="P56" s="131">
        <f>+'staffing plan'!AH66</f>
        <v>0</v>
      </c>
      <c r="Q56" s="131">
        <f>+'staffing plan'!AI66</f>
        <v>0</v>
      </c>
      <c r="R56">
        <f>+'staffing plan'!BP66</f>
        <v>0</v>
      </c>
      <c r="S56">
        <v>55</v>
      </c>
    </row>
    <row r="57" spans="2:19" hidden="1">
      <c r="B57">
        <f t="shared" si="1"/>
        <v>1900</v>
      </c>
      <c r="C57">
        <f>+'staffing plan'!BK67</f>
        <v>0</v>
      </c>
      <c r="D57" t="str">
        <f>'staffing plan'!A67</f>
        <v>65,000          Provincial / City Offices</v>
      </c>
      <c r="E57">
        <f>+'staffing plan'!B67</f>
        <v>0</v>
      </c>
      <c r="F57">
        <f>+'staffing plan'!C67</f>
        <v>0</v>
      </c>
      <c r="G57" s="131">
        <f>+'staffing plan'!AJ67</f>
        <v>0</v>
      </c>
      <c r="H57">
        <f>+'staffing plan'!AX67</f>
        <v>0</v>
      </c>
      <c r="I57">
        <f>+'staffing plan'!AW67</f>
        <v>0</v>
      </c>
      <c r="J57" t="e">
        <f>+'staffing plan'!#REF!</f>
        <v>#REF!</v>
      </c>
      <c r="K57" t="e">
        <f>+'staffing plan'!#REF!</f>
        <v>#REF!</v>
      </c>
      <c r="L57">
        <f>+'staffing plan'!AY67</f>
        <v>0</v>
      </c>
      <c r="M57" s="145" t="e">
        <f>+'staffing plan'!#REF!</f>
        <v>#REF!</v>
      </c>
      <c r="N57" s="145" t="e">
        <f>'staffing plan'!#REF!</f>
        <v>#REF!</v>
      </c>
      <c r="O57" s="145" t="e">
        <f>+'staffing plan'!#REF!</f>
        <v>#REF!</v>
      </c>
      <c r="P57" s="131">
        <f>+'staffing plan'!AH67</f>
        <v>0</v>
      </c>
      <c r="Q57" s="131">
        <f>+'staffing plan'!AI67</f>
        <v>0</v>
      </c>
      <c r="R57">
        <f>+'staffing plan'!BP67</f>
        <v>0</v>
      </c>
      <c r="S57">
        <v>56</v>
      </c>
    </row>
    <row r="58" spans="2:19">
      <c r="B58">
        <f t="shared" si="1"/>
        <v>2016</v>
      </c>
      <c r="C58">
        <f>+'staffing plan'!BK68</f>
        <v>42391</v>
      </c>
      <c r="D58" t="str">
        <f>'staffing plan'!A68</f>
        <v>OSEC-DILGB-LGOO8-2-1998</v>
      </c>
      <c r="E58" t="str">
        <f>+'staffing plan'!B68</f>
        <v>Local Government Operations Officer VIII</v>
      </c>
      <c r="F58">
        <f>+'staffing plan'!C68</f>
        <v>26</v>
      </c>
      <c r="G58" s="131">
        <f>+'staffing plan'!AJ68</f>
        <v>1</v>
      </c>
      <c r="H58" t="str">
        <f>+'staffing plan'!AX68</f>
        <v>Abra</v>
      </c>
      <c r="I58" t="str">
        <f>+'staffing plan'!AW68</f>
        <v>CARIÑO, Millicent Bamba</v>
      </c>
      <c r="J58" t="e">
        <f>+'staffing plan'!#REF!</f>
        <v>#REF!</v>
      </c>
      <c r="K58" t="e">
        <f>+'staffing plan'!#REF!</f>
        <v>#REF!</v>
      </c>
      <c r="L58" t="str">
        <f>+'staffing plan'!AY68</f>
        <v>F</v>
      </c>
      <c r="M58" s="145" t="e">
        <f>+'staffing plan'!#REF!</f>
        <v>#REF!</v>
      </c>
      <c r="N58" s="145" t="e">
        <f>'staffing plan'!#REF!</f>
        <v>#REF!</v>
      </c>
      <c r="O58" s="145" t="e">
        <f>+'staffing plan'!#REF!</f>
        <v>#REF!</v>
      </c>
      <c r="P58" s="131">
        <f>+'staffing plan'!AH68</f>
        <v>1289328</v>
      </c>
      <c r="Q58" s="131">
        <f>+'staffing plan'!AI68</f>
        <v>1289328</v>
      </c>
      <c r="R58">
        <f>+'staffing plan'!BP68</f>
        <v>0</v>
      </c>
      <c r="S58">
        <v>57</v>
      </c>
    </row>
    <row r="59" spans="2:19">
      <c r="B59">
        <f t="shared" si="1"/>
        <v>2012</v>
      </c>
      <c r="C59">
        <f>+'staffing plan'!BK69</f>
        <v>41165</v>
      </c>
      <c r="D59" t="str">
        <f>'staffing plan'!A69</f>
        <v>OSEC-DILGB-LGOO8-45-1998</v>
      </c>
      <c r="E59" t="str">
        <f>+'staffing plan'!B69</f>
        <v>Local Government Operations Officer VIII</v>
      </c>
      <c r="F59">
        <f>+'staffing plan'!C69</f>
        <v>26</v>
      </c>
      <c r="G59" s="131">
        <f>+'staffing plan'!AJ69</f>
        <v>5</v>
      </c>
      <c r="H59" t="str">
        <f>+'staffing plan'!AX69</f>
        <v>Mt. Province</v>
      </c>
      <c r="I59" t="str">
        <f>+'staffing plan'!AW69</f>
        <v>BALLUG, Anthony Manolo Ilacad</v>
      </c>
      <c r="J59" t="e">
        <f>+'staffing plan'!#REF!</f>
        <v>#REF!</v>
      </c>
      <c r="K59" t="e">
        <f>+'staffing plan'!#REF!</f>
        <v>#REF!</v>
      </c>
      <c r="L59" t="str">
        <f>+'staffing plan'!AY69</f>
        <v>M</v>
      </c>
      <c r="M59" s="145" t="e">
        <f>+'staffing plan'!#REF!</f>
        <v>#REF!</v>
      </c>
      <c r="N59" s="145" t="e">
        <f>'staffing plan'!#REF!</f>
        <v>#REF!</v>
      </c>
      <c r="O59" s="145" t="e">
        <f>+'staffing plan'!#REF!</f>
        <v>#REF!</v>
      </c>
      <c r="P59" s="131">
        <f>+'staffing plan'!AH69</f>
        <v>1289328</v>
      </c>
      <c r="Q59" s="131">
        <f>+'staffing plan'!AI69</f>
        <v>1375584</v>
      </c>
      <c r="R59">
        <f>+'staffing plan'!BP69</f>
        <v>0</v>
      </c>
      <c r="S59">
        <v>58</v>
      </c>
    </row>
    <row r="60" spans="2:19">
      <c r="B60">
        <f t="shared" si="1"/>
        <v>2007</v>
      </c>
      <c r="C60">
        <f>+'staffing plan'!BK70</f>
        <v>39230</v>
      </c>
      <c r="D60" t="str">
        <f>'staffing plan'!A70</f>
        <v>OSEC-DILGB-LGOO8-56-1998</v>
      </c>
      <c r="E60" t="str">
        <f>+'staffing plan'!B70</f>
        <v>Local Government Operations Officer VIII</v>
      </c>
      <c r="F60">
        <f>+'staffing plan'!C70</f>
        <v>26</v>
      </c>
      <c r="G60" s="131">
        <f>+'staffing plan'!AJ70</f>
        <v>5</v>
      </c>
      <c r="H60" t="str">
        <f>+'staffing plan'!AX70</f>
        <v>Benguet</v>
      </c>
      <c r="I60" t="str">
        <f>+'staffing plan'!AW70</f>
        <v>FEGCAN, Rufina Talusig</v>
      </c>
      <c r="J60" t="e">
        <f>+'staffing plan'!#REF!</f>
        <v>#REF!</v>
      </c>
      <c r="K60" t="e">
        <f>+'staffing plan'!#REF!</f>
        <v>#REF!</v>
      </c>
      <c r="L60" t="str">
        <f>+'staffing plan'!AY70</f>
        <v>F</v>
      </c>
      <c r="M60" s="145" t="e">
        <f>+'staffing plan'!#REF!</f>
        <v>#REF!</v>
      </c>
      <c r="N60" s="145" t="e">
        <f>'staffing plan'!#REF!</f>
        <v>#REF!</v>
      </c>
      <c r="O60" s="145" t="e">
        <f>+'staffing plan'!#REF!</f>
        <v>#REF!</v>
      </c>
      <c r="P60" s="131">
        <f>+'staffing plan'!AH70</f>
        <v>1289328</v>
      </c>
      <c r="Q60" s="131">
        <f>+'staffing plan'!AI70</f>
        <v>1375584</v>
      </c>
      <c r="R60">
        <f>+'staffing plan'!BP70</f>
        <v>0</v>
      </c>
      <c r="S60">
        <v>59</v>
      </c>
    </row>
    <row r="61" spans="2:19">
      <c r="B61">
        <f t="shared" si="1"/>
        <v>2011</v>
      </c>
      <c r="C61">
        <f>+'staffing plan'!BK71</f>
        <v>40603</v>
      </c>
      <c r="D61" t="str">
        <f>'staffing plan'!A71</f>
        <v>OSEC-DILGB-LGOO8-67-1998</v>
      </c>
      <c r="E61" t="str">
        <f>+'staffing plan'!B71</f>
        <v>Local Government Operations Officer VIII</v>
      </c>
      <c r="F61">
        <f>+'staffing plan'!C71</f>
        <v>26</v>
      </c>
      <c r="G61" s="131">
        <f>+'staffing plan'!AJ71</f>
        <v>4</v>
      </c>
      <c r="H61" t="str">
        <f>+'staffing plan'!AX71</f>
        <v>Baguio City</v>
      </c>
      <c r="I61" t="str">
        <f>+'staffing plan'!AW71</f>
        <v>TRINIDAD, Evelyn Ballug</v>
      </c>
      <c r="J61" t="e">
        <f>+'staffing plan'!#REF!</f>
        <v>#REF!</v>
      </c>
      <c r="K61" t="e">
        <f>+'staffing plan'!#REF!</f>
        <v>#REF!</v>
      </c>
      <c r="L61" t="str">
        <f>+'staffing plan'!AY71</f>
        <v>F</v>
      </c>
      <c r="M61" s="145" t="e">
        <f>+'staffing plan'!#REF!</f>
        <v>#REF!</v>
      </c>
      <c r="N61" s="145" t="e">
        <f>'staffing plan'!#REF!</f>
        <v>#REF!</v>
      </c>
      <c r="O61" s="145" t="e">
        <f>+'staffing plan'!#REF!</f>
        <v>#REF!</v>
      </c>
      <c r="P61" s="131">
        <f>+'staffing plan'!AH71</f>
        <v>1289328</v>
      </c>
      <c r="Q61" s="131">
        <f>+'staffing plan'!AI71</f>
        <v>1353492</v>
      </c>
      <c r="R61" t="str">
        <f>+'staffing plan'!BP71</f>
        <v>Step 2</v>
      </c>
      <c r="S61">
        <v>60</v>
      </c>
    </row>
    <row r="62" spans="2:19" hidden="1">
      <c r="B62">
        <f t="shared" si="1"/>
        <v>2018</v>
      </c>
      <c r="C62">
        <f>+'staffing plan'!BK72</f>
        <v>43132</v>
      </c>
      <c r="D62" t="str">
        <f>'staffing plan'!A72</f>
        <v>OSEC-DILGB-LGOO8-79-1998</v>
      </c>
      <c r="E62" t="str">
        <f>+'staffing plan'!B72</f>
        <v>Local Government Operations Officer VIII</v>
      </c>
      <c r="F62">
        <f>+'staffing plan'!C72</f>
        <v>26</v>
      </c>
      <c r="G62" s="131">
        <f>+'staffing plan'!AJ72</f>
        <v>1</v>
      </c>
      <c r="H62" t="str">
        <f>+'staffing plan'!AX72</f>
        <v>Ifugao</v>
      </c>
      <c r="I62" t="str">
        <f>+'staffing plan'!AW72</f>
        <v>MAMMAG, Regina Elizabeth Lingayo</v>
      </c>
      <c r="J62" t="e">
        <f>+'staffing plan'!#REF!</f>
        <v>#REF!</v>
      </c>
      <c r="K62" t="e">
        <f>+'staffing plan'!#REF!</f>
        <v>#REF!</v>
      </c>
      <c r="L62" t="str">
        <f>+'staffing plan'!AY72</f>
        <v>F</v>
      </c>
      <c r="M62" s="145" t="e">
        <f>+'staffing plan'!#REF!</f>
        <v>#REF!</v>
      </c>
      <c r="N62" s="145" t="e">
        <f>'staffing plan'!#REF!</f>
        <v>#REF!</v>
      </c>
      <c r="O62" s="145" t="e">
        <f>+'staffing plan'!#REF!</f>
        <v>#REF!</v>
      </c>
      <c r="P62" s="131">
        <f>+'staffing plan'!AH72</f>
        <v>1289328</v>
      </c>
      <c r="Q62" s="131">
        <f>+'staffing plan'!AI72</f>
        <v>1289328</v>
      </c>
      <c r="R62">
        <f>+'staffing plan'!BP72</f>
        <v>0</v>
      </c>
      <c r="S62">
        <v>61</v>
      </c>
    </row>
    <row r="63" spans="2:19">
      <c r="B63">
        <f t="shared" si="1"/>
        <v>2016</v>
      </c>
      <c r="C63">
        <f>+'staffing plan'!BK73</f>
        <v>42436</v>
      </c>
      <c r="D63" t="str">
        <f>'staffing plan'!A73</f>
        <v>OSEC-DILGB-LGOO8-91-1998</v>
      </c>
      <c r="E63" t="str">
        <f>+'staffing plan'!B73</f>
        <v>Local Government Operations Officer VIII</v>
      </c>
      <c r="F63">
        <f>+'staffing plan'!C73</f>
        <v>26</v>
      </c>
      <c r="G63" s="131">
        <f>+'staffing plan'!AJ73</f>
        <v>2</v>
      </c>
      <c r="H63" t="str">
        <f>+'staffing plan'!AX73</f>
        <v>Apayao</v>
      </c>
      <c r="I63" t="str">
        <f>+'staffing plan'!AW73</f>
        <v>BASQUEZ, Marvin Amanonce</v>
      </c>
      <c r="J63" t="e">
        <f>+'staffing plan'!#REF!</f>
        <v>#REF!</v>
      </c>
      <c r="K63" t="e">
        <f>+'staffing plan'!#REF!</f>
        <v>#REF!</v>
      </c>
      <c r="L63" t="str">
        <f>+'staffing plan'!AY73</f>
        <v>M</v>
      </c>
      <c r="M63" s="145" t="e">
        <f>+'staffing plan'!#REF!</f>
        <v>#REF!</v>
      </c>
      <c r="N63" s="145" t="e">
        <f>'staffing plan'!#REF!</f>
        <v>#REF!</v>
      </c>
      <c r="O63" s="145" t="e">
        <f>+'staffing plan'!#REF!</f>
        <v>#REF!</v>
      </c>
      <c r="P63" s="131">
        <f>+'staffing plan'!AH73</f>
        <v>1289328</v>
      </c>
      <c r="Q63" s="131">
        <f>+'staffing plan'!AI73</f>
        <v>1310364</v>
      </c>
      <c r="R63" t="str">
        <f>+'staffing plan'!BP73</f>
        <v>CESO step 2</v>
      </c>
      <c r="S63">
        <v>62</v>
      </c>
    </row>
    <row r="64" spans="2:19" hidden="1">
      <c r="B64">
        <f t="shared" si="1"/>
        <v>2018</v>
      </c>
      <c r="C64">
        <f>+'staffing plan'!BK74</f>
        <v>43146</v>
      </c>
      <c r="D64" t="str">
        <f>'staffing plan'!A74</f>
        <v>OSEC-DILGB-LGOO8-98-1998</v>
      </c>
      <c r="E64" t="str">
        <f>+'staffing plan'!B74</f>
        <v>Local Government Operations Officer VIII</v>
      </c>
      <c r="F64">
        <f>+'staffing plan'!C74</f>
        <v>26</v>
      </c>
      <c r="G64" s="131">
        <f>+'staffing plan'!AJ74</f>
        <v>1</v>
      </c>
      <c r="H64" t="str">
        <f>+'staffing plan'!AX74</f>
        <v>Kalinga</v>
      </c>
      <c r="I64" t="str">
        <f>+'staffing plan'!AW74</f>
        <v>ADONG, Mayer Max de Guzman</v>
      </c>
      <c r="J64" t="e">
        <f>+'staffing plan'!#REF!</f>
        <v>#REF!</v>
      </c>
      <c r="K64" t="e">
        <f>+'staffing plan'!#REF!</f>
        <v>#REF!</v>
      </c>
      <c r="L64" t="str">
        <f>+'staffing plan'!AY74</f>
        <v>M</v>
      </c>
      <c r="M64" s="145" t="e">
        <f>+'staffing plan'!#REF!</f>
        <v>#REF!</v>
      </c>
      <c r="N64" s="145" t="e">
        <f>'staffing plan'!#REF!</f>
        <v>#REF!</v>
      </c>
      <c r="O64" s="145" t="e">
        <f>+'staffing plan'!#REF!</f>
        <v>#REF!</v>
      </c>
      <c r="P64" s="131">
        <f>+'staffing plan'!AH74</f>
        <v>1289328</v>
      </c>
      <c r="Q64" s="131">
        <f>+'staffing plan'!AI74</f>
        <v>1289328</v>
      </c>
      <c r="R64">
        <f>+'staffing plan'!BP74</f>
        <v>0</v>
      </c>
      <c r="S64">
        <v>63</v>
      </c>
    </row>
    <row r="65" spans="2:19">
      <c r="B65" t="e">
        <f t="shared" si="1"/>
        <v>#REF!</v>
      </c>
      <c r="C65" t="e">
        <f>+'staffing plan'!#REF!</f>
        <v>#REF!</v>
      </c>
      <c r="D65" t="e">
        <f>'staffing plan'!#REF!</f>
        <v>#REF!</v>
      </c>
      <c r="E65" t="e">
        <f>+'staffing plan'!#REF!</f>
        <v>#REF!</v>
      </c>
      <c r="F65" t="e">
        <f>+'staffing plan'!#REF!</f>
        <v>#REF!</v>
      </c>
      <c r="G65" s="131" t="e">
        <f>+'staffing plan'!#REF!</f>
        <v>#REF!</v>
      </c>
      <c r="H65" t="e">
        <f>+'staffing plan'!#REF!</f>
        <v>#REF!</v>
      </c>
      <c r="I65" t="e">
        <f>+'staffing plan'!#REF!</f>
        <v>#REF!</v>
      </c>
      <c r="J65" t="e">
        <f>+'staffing plan'!#REF!</f>
        <v>#REF!</v>
      </c>
      <c r="K65" t="e">
        <f>+'staffing plan'!#REF!</f>
        <v>#REF!</v>
      </c>
      <c r="L65" t="e">
        <f>+'staffing plan'!#REF!</f>
        <v>#REF!</v>
      </c>
      <c r="M65" s="145" t="e">
        <f>+'staffing plan'!#REF!</f>
        <v>#REF!</v>
      </c>
      <c r="N65" s="145" t="e">
        <f>'staffing plan'!#REF!</f>
        <v>#REF!</v>
      </c>
      <c r="O65" s="145" t="e">
        <f>+'staffing plan'!#REF!</f>
        <v>#REF!</v>
      </c>
      <c r="P65" s="131" t="e">
        <f>+'staffing plan'!#REF!</f>
        <v>#REF!</v>
      </c>
      <c r="Q65" s="131" t="e">
        <f>+'staffing plan'!#REF!</f>
        <v>#REF!</v>
      </c>
      <c r="R65" t="e">
        <f>+'staffing plan'!#REF!</f>
        <v>#REF!</v>
      </c>
      <c r="S65">
        <v>64</v>
      </c>
    </row>
    <row r="66" spans="2:19">
      <c r="B66">
        <f t="shared" si="1"/>
        <v>2019</v>
      </c>
      <c r="C66">
        <f>+'staffing plan'!BK76</f>
        <v>43531</v>
      </c>
      <c r="D66" t="str">
        <f>'staffing plan'!A76</f>
        <v>OSEC-DILGB-LGOO7-1444-2017</v>
      </c>
      <c r="E66" t="str">
        <f>+'staffing plan'!B76</f>
        <v>Local Government Operations Officer VII</v>
      </c>
      <c r="F66">
        <f>+'staffing plan'!C76</f>
        <v>24</v>
      </c>
      <c r="G66" s="131">
        <f>+'staffing plan'!AJ76</f>
        <v>1</v>
      </c>
      <c r="H66" t="str">
        <f>+'staffing plan'!AX76</f>
        <v>Ifugao</v>
      </c>
      <c r="I66" t="str">
        <f>+'staffing plan'!AW76</f>
        <v>APPOY, Samson Benlangan</v>
      </c>
      <c r="J66" t="e">
        <f>+'staffing plan'!#REF!</f>
        <v>#REF!</v>
      </c>
      <c r="K66" t="e">
        <f>+'staffing plan'!#REF!</f>
        <v>#REF!</v>
      </c>
      <c r="L66" t="str">
        <f>+'staffing plan'!AY76</f>
        <v>M</v>
      </c>
      <c r="M66" s="145" t="e">
        <f>+'staffing plan'!#REF!</f>
        <v>#REF!</v>
      </c>
      <c r="N66" s="145" t="e">
        <f>'staffing plan'!#REF!</f>
        <v>#REF!</v>
      </c>
      <c r="O66" s="145" t="e">
        <f>+'staffing plan'!#REF!</f>
        <v>#REF!</v>
      </c>
      <c r="P66" s="131">
        <f>+'staffing plan'!AH76</f>
        <v>1000872</v>
      </c>
      <c r="Q66" s="131">
        <f>+'staffing plan'!AI76</f>
        <v>1000872</v>
      </c>
      <c r="R66">
        <f>+'staffing plan'!BP76</f>
        <v>0</v>
      </c>
      <c r="S66">
        <v>65</v>
      </c>
    </row>
    <row r="67" spans="2:19">
      <c r="B67">
        <f t="shared" si="1"/>
        <v>2018</v>
      </c>
      <c r="C67">
        <f>+'staffing plan'!BK77</f>
        <v>43132</v>
      </c>
      <c r="D67" t="str">
        <f>'staffing plan'!A77</f>
        <v>OSEC-DILGB-LGOO7-1445-2017</v>
      </c>
      <c r="E67" t="str">
        <f>+'staffing plan'!B77</f>
        <v>Local Government Operations Officer VII</v>
      </c>
      <c r="F67">
        <f>+'staffing plan'!C77</f>
        <v>24</v>
      </c>
      <c r="G67" s="131">
        <f>+'staffing plan'!AJ77</f>
        <v>1</v>
      </c>
      <c r="H67" t="str">
        <f>+'staffing plan'!AX77</f>
        <v>Mt. Province</v>
      </c>
      <c r="I67" t="str">
        <f>+'staffing plan'!AW77</f>
        <v>CARIÑO, Maritess  Malinay</v>
      </c>
      <c r="J67" t="e">
        <f>+'staffing plan'!#REF!</f>
        <v>#REF!</v>
      </c>
      <c r="K67" t="e">
        <f>+'staffing plan'!#REF!</f>
        <v>#REF!</v>
      </c>
      <c r="L67" t="str">
        <f>+'staffing plan'!AY77</f>
        <v>F</v>
      </c>
      <c r="M67" s="145" t="e">
        <f>+'staffing plan'!#REF!</f>
        <v>#REF!</v>
      </c>
      <c r="N67" s="145" t="e">
        <f>'staffing plan'!#REF!</f>
        <v>#REF!</v>
      </c>
      <c r="O67" s="145" t="e">
        <f>+'staffing plan'!#REF!</f>
        <v>#REF!</v>
      </c>
      <c r="P67" s="131">
        <f>+'staffing plan'!AH77</f>
        <v>1000872</v>
      </c>
      <c r="Q67" s="131">
        <f>+'staffing plan'!AI77</f>
        <v>1000872</v>
      </c>
      <c r="R67">
        <f>+'staffing plan'!BP77</f>
        <v>0</v>
      </c>
      <c r="S67">
        <v>66</v>
      </c>
    </row>
    <row r="68" spans="2:19">
      <c r="B68">
        <f t="shared" ref="B68:B86" si="4">(YEAR(C68))</f>
        <v>2019</v>
      </c>
      <c r="C68">
        <f>+'staffing plan'!BK78</f>
        <v>43531</v>
      </c>
      <c r="D68" t="str">
        <f>'staffing plan'!A78</f>
        <v>OSEC-DILGB-LGOO7-1446-2017</v>
      </c>
      <c r="E68" t="str">
        <f>+'staffing plan'!B78</f>
        <v>Local Government Operations Officer VII</v>
      </c>
      <c r="F68">
        <f>+'staffing plan'!C78</f>
        <v>24</v>
      </c>
      <c r="G68" s="131">
        <f>+'staffing plan'!AJ78</f>
        <v>1</v>
      </c>
      <c r="H68" t="str">
        <f>+'staffing plan'!AX78</f>
        <v>Kalinga</v>
      </c>
      <c r="I68" t="str">
        <f>+'staffing plan'!AW78</f>
        <v>ALIÑO, Mediatrix Rubio</v>
      </c>
      <c r="J68" t="e">
        <f>+'staffing plan'!#REF!</f>
        <v>#REF!</v>
      </c>
      <c r="K68" t="e">
        <f>+'staffing plan'!#REF!</f>
        <v>#REF!</v>
      </c>
      <c r="L68" t="str">
        <f>+'staffing plan'!AY78</f>
        <v>F</v>
      </c>
      <c r="M68" s="145" t="e">
        <f>+'staffing plan'!#REF!</f>
        <v>#REF!</v>
      </c>
      <c r="N68" s="145" t="e">
        <f>'staffing plan'!#REF!</f>
        <v>#REF!</v>
      </c>
      <c r="O68" s="145" t="e">
        <f>+'staffing plan'!#REF!</f>
        <v>#REF!</v>
      </c>
      <c r="P68" s="131">
        <f>+'staffing plan'!AH78</f>
        <v>1000872</v>
      </c>
      <c r="Q68" s="131">
        <f>+'staffing plan'!AI78</f>
        <v>1000872</v>
      </c>
      <c r="R68">
        <f>+'staffing plan'!BP78</f>
        <v>0</v>
      </c>
      <c r="S68">
        <v>67</v>
      </c>
    </row>
    <row r="69" spans="2:19">
      <c r="B69">
        <f t="shared" si="4"/>
        <v>1900</v>
      </c>
      <c r="C69">
        <f>+'staffing plan'!BK79</f>
        <v>0</v>
      </c>
      <c r="D69" t="str">
        <f>'staffing plan'!A79</f>
        <v>OSEC-DILGB-LGOO7-1447-2017</v>
      </c>
      <c r="E69" t="str">
        <f>+'staffing plan'!B79</f>
        <v>Local Government Operations Officer VII</v>
      </c>
      <c r="F69">
        <f>+'staffing plan'!C79</f>
        <v>24</v>
      </c>
      <c r="G69" s="131">
        <f>+'staffing plan'!AJ79</f>
        <v>0</v>
      </c>
      <c r="H69">
        <f>+'staffing plan'!AX79</f>
        <v>0</v>
      </c>
      <c r="I69" t="str">
        <f>+'staffing plan'!AW79</f>
        <v xml:space="preserve">Vacant Guerzon,  </v>
      </c>
      <c r="J69" t="e">
        <f>+'staffing plan'!#REF!</f>
        <v>#REF!</v>
      </c>
      <c r="K69" t="e">
        <f>+'staffing plan'!#REF!</f>
        <v>#REF!</v>
      </c>
      <c r="L69">
        <f>+'staffing plan'!AY79</f>
        <v>0</v>
      </c>
      <c r="M69" s="145" t="e">
        <f>+'staffing plan'!#REF!</f>
        <v>#REF!</v>
      </c>
      <c r="N69" s="145" t="e">
        <f>'staffing plan'!#REF!</f>
        <v>#REF!</v>
      </c>
      <c r="O69" s="145" t="e">
        <f>+'staffing plan'!#REF!</f>
        <v>#REF!</v>
      </c>
      <c r="P69" s="131">
        <f>+'staffing plan'!AH79</f>
        <v>1000872</v>
      </c>
      <c r="Q69" s="131">
        <f>+'staffing plan'!AI79</f>
        <v>0</v>
      </c>
      <c r="R69">
        <f>+'staffing plan'!BP79</f>
        <v>0</v>
      </c>
      <c r="S69">
        <v>68</v>
      </c>
    </row>
    <row r="70" spans="2:19">
      <c r="B70">
        <f t="shared" si="4"/>
        <v>2019</v>
      </c>
      <c r="C70">
        <f>+'staffing plan'!BK80</f>
        <v>43531</v>
      </c>
      <c r="D70" t="str">
        <f>'staffing plan'!A80</f>
        <v>OSEC-DILGB-LGOO7-1448-2017</v>
      </c>
      <c r="E70" t="str">
        <f>+'staffing plan'!B80</f>
        <v>Local Government Operations Officer VII</v>
      </c>
      <c r="F70">
        <f>+'staffing plan'!C80</f>
        <v>24</v>
      </c>
      <c r="G70" s="131">
        <f>+'staffing plan'!AJ80</f>
        <v>1</v>
      </c>
      <c r="H70" t="str">
        <f>+'staffing plan'!AX80</f>
        <v>Apayao</v>
      </c>
      <c r="I70" t="str">
        <f>+'staffing plan'!AW80</f>
        <v>ABULENCIA, Emmanuel Pinlac</v>
      </c>
      <c r="J70" t="e">
        <f>+'staffing plan'!#REF!</f>
        <v>#REF!</v>
      </c>
      <c r="K70" t="e">
        <f>+'staffing plan'!#REF!</f>
        <v>#REF!</v>
      </c>
      <c r="L70" t="str">
        <f>+'staffing plan'!AY80</f>
        <v>M</v>
      </c>
      <c r="M70" s="145" t="e">
        <f>+'staffing plan'!#REF!</f>
        <v>#REF!</v>
      </c>
      <c r="N70" s="145" t="e">
        <f>'staffing plan'!#REF!</f>
        <v>#REF!</v>
      </c>
      <c r="O70" s="145" t="e">
        <f>+'staffing plan'!#REF!</f>
        <v>#REF!</v>
      </c>
      <c r="P70" s="131">
        <f>+'staffing plan'!AH80</f>
        <v>1000872</v>
      </c>
      <c r="Q70" s="131">
        <f>+'staffing plan'!AI80</f>
        <v>1000872</v>
      </c>
      <c r="R70">
        <f>+'staffing plan'!BP80</f>
        <v>0</v>
      </c>
      <c r="S70">
        <v>69</v>
      </c>
    </row>
    <row r="71" spans="2:19">
      <c r="B71">
        <f t="shared" si="4"/>
        <v>1900</v>
      </c>
      <c r="C71">
        <f>+'staffing plan'!BK90</f>
        <v>0</v>
      </c>
      <c r="D71" t="str">
        <f>'staffing plan'!A90</f>
        <v>OSEC-DILGB-LGOO6-9-2013</v>
      </c>
      <c r="E71" t="str">
        <f>+'staffing plan'!B90</f>
        <v>Local Government Operations Officer VI</v>
      </c>
      <c r="F71">
        <f>+'staffing plan'!C90</f>
        <v>22</v>
      </c>
      <c r="G71" s="131">
        <f>+'staffing plan'!AJ90</f>
        <v>0</v>
      </c>
      <c r="H71">
        <f>+'staffing plan'!AX90</f>
        <v>0</v>
      </c>
      <c r="I71" t="str">
        <f>+'staffing plan'!AW90</f>
        <v xml:space="preserve">Vacant ALIÑO,  </v>
      </c>
      <c r="J71" t="e">
        <f>+'staffing plan'!#REF!</f>
        <v>#REF!</v>
      </c>
      <c r="K71" t="e">
        <f>+'staffing plan'!#REF!</f>
        <v>#REF!</v>
      </c>
      <c r="L71">
        <f>+'staffing plan'!AY90</f>
        <v>0</v>
      </c>
      <c r="M71" s="145" t="e">
        <f>+'staffing plan'!#REF!</f>
        <v>#REF!</v>
      </c>
      <c r="N71" s="145" t="e">
        <f>'staffing plan'!#REF!</f>
        <v>#REF!</v>
      </c>
      <c r="O71" s="145" t="e">
        <f>+'staffing plan'!#REF!</f>
        <v>#REF!</v>
      </c>
      <c r="P71" s="131">
        <f>+'staffing plan'!AH90</f>
        <v>783828</v>
      </c>
      <c r="Q71" s="131">
        <f>+'staffing plan'!AI90</f>
        <v>0</v>
      </c>
      <c r="R71">
        <f>+'staffing plan'!BP90</f>
        <v>0</v>
      </c>
      <c r="S71">
        <v>70</v>
      </c>
    </row>
    <row r="72" spans="2:19">
      <c r="B72">
        <f t="shared" si="4"/>
        <v>1900</v>
      </c>
      <c r="C72">
        <f>+'staffing plan'!BK91</f>
        <v>0</v>
      </c>
      <c r="D72" t="str">
        <f>'staffing plan'!A91</f>
        <v>OSEC-DILGB-LGOO6-10-2010</v>
      </c>
      <c r="E72" t="str">
        <f>+'staffing plan'!B91</f>
        <v>Local Government Operations Officer VI</v>
      </c>
      <c r="F72">
        <f>+'staffing plan'!C91</f>
        <v>22</v>
      </c>
      <c r="G72" s="131">
        <f>+'staffing plan'!AJ91</f>
        <v>0</v>
      </c>
      <c r="H72">
        <f>+'staffing plan'!AX91</f>
        <v>0</v>
      </c>
      <c r="I72" t="str">
        <f>+'staffing plan'!AW91</f>
        <v xml:space="preserve">Vacant ABULENCIA,  </v>
      </c>
      <c r="J72" t="e">
        <f>+'staffing plan'!#REF!</f>
        <v>#REF!</v>
      </c>
      <c r="K72" t="e">
        <f>+'staffing plan'!#REF!</f>
        <v>#REF!</v>
      </c>
      <c r="L72">
        <f>+'staffing plan'!AY91</f>
        <v>0</v>
      </c>
      <c r="M72" s="145" t="e">
        <f>+'staffing plan'!#REF!</f>
        <v>#REF!</v>
      </c>
      <c r="N72" s="145" t="e">
        <f>'staffing plan'!#REF!</f>
        <v>#REF!</v>
      </c>
      <c r="O72" s="145" t="e">
        <f>+'staffing plan'!#REF!</f>
        <v>#REF!</v>
      </c>
      <c r="P72" s="131">
        <f>+'staffing plan'!AH91</f>
        <v>783828</v>
      </c>
      <c r="Q72" s="131">
        <f>+'staffing plan'!AI91</f>
        <v>0</v>
      </c>
      <c r="R72">
        <f>+'staffing plan'!BP91</f>
        <v>0</v>
      </c>
      <c r="S72">
        <v>71</v>
      </c>
    </row>
    <row r="73" spans="2:19">
      <c r="B73">
        <f t="shared" si="4"/>
        <v>2014</v>
      </c>
      <c r="C73">
        <f>+'staffing plan'!BK94</f>
        <v>41711</v>
      </c>
      <c r="D73" t="str">
        <f>'staffing plan'!A94</f>
        <v>OSEC-DILGB-LGOO6-11-2010</v>
      </c>
      <c r="E73" t="str">
        <f>+'staffing plan'!B94</f>
        <v>Local Government Operations Officer VI</v>
      </c>
      <c r="F73">
        <f>+'staffing plan'!C94</f>
        <v>22</v>
      </c>
      <c r="G73" s="131">
        <f>+'staffing plan'!AJ94</f>
        <v>2</v>
      </c>
      <c r="H73" t="str">
        <f>+'staffing plan'!AX94</f>
        <v>Baguio City</v>
      </c>
      <c r="I73" t="str">
        <f>+'staffing plan'!AW94</f>
        <v>CAMACHO, Anabelle  Laron</v>
      </c>
      <c r="J73" t="e">
        <f>+'staffing plan'!#REF!</f>
        <v>#REF!</v>
      </c>
      <c r="K73" t="e">
        <f>+'staffing plan'!#REF!</f>
        <v>#REF!</v>
      </c>
      <c r="L73" t="str">
        <f>+'staffing plan'!AY94</f>
        <v>F</v>
      </c>
      <c r="M73" s="145" t="e">
        <f>+'staffing plan'!#REF!</f>
        <v>#REF!</v>
      </c>
      <c r="N73" s="145" t="e">
        <f>'staffing plan'!#REF!</f>
        <v>#REF!</v>
      </c>
      <c r="O73" s="145" t="e">
        <f>+'staffing plan'!#REF!</f>
        <v>#REF!</v>
      </c>
      <c r="P73" s="131">
        <f>+'staffing plan'!AH94</f>
        <v>783828</v>
      </c>
      <c r="Q73" s="131">
        <f>+'staffing plan'!AI94</f>
        <v>796620</v>
      </c>
      <c r="R73">
        <f>+'staffing plan'!BP94</f>
        <v>0</v>
      </c>
      <c r="S73">
        <v>72</v>
      </c>
    </row>
    <row r="74" spans="2:19" hidden="1">
      <c r="B74">
        <f t="shared" si="4"/>
        <v>1900</v>
      </c>
      <c r="C74">
        <f>+'staffing plan'!BK97</f>
        <v>0</v>
      </c>
      <c r="D74" t="str">
        <f>'staffing plan'!A97</f>
        <v>OSEC-DILGB-LGOO6-13-2010</v>
      </c>
      <c r="E74" t="str">
        <f>+'staffing plan'!B97</f>
        <v>Local Government Operations Officer VI</v>
      </c>
      <c r="F74">
        <f>+'staffing plan'!C97</f>
        <v>22</v>
      </c>
      <c r="G74" s="131">
        <f>+'staffing plan'!AJ97</f>
        <v>0</v>
      </c>
      <c r="H74">
        <f>+'staffing plan'!AX97</f>
        <v>0</v>
      </c>
      <c r="I74" t="str">
        <f>+'staffing plan'!AW97</f>
        <v xml:space="preserve">Vacant APPOY,  </v>
      </c>
      <c r="J74" t="e">
        <f>+'staffing plan'!#REF!</f>
        <v>#REF!</v>
      </c>
      <c r="K74" t="e">
        <f>+'staffing plan'!#REF!</f>
        <v>#REF!</v>
      </c>
      <c r="L74">
        <f>+'staffing plan'!AY97</f>
        <v>0</v>
      </c>
      <c r="M74" s="145" t="e">
        <f>+'staffing plan'!#REF!</f>
        <v>#REF!</v>
      </c>
      <c r="N74" s="145" t="e">
        <f>'staffing plan'!#REF!</f>
        <v>#REF!</v>
      </c>
      <c r="O74" s="145" t="e">
        <f>+'staffing plan'!#REF!</f>
        <v>#REF!</v>
      </c>
      <c r="P74" s="131">
        <f>+'staffing plan'!AH97</f>
        <v>783828</v>
      </c>
      <c r="Q74" s="131">
        <f>+'staffing plan'!AI97</f>
        <v>0</v>
      </c>
      <c r="R74">
        <f>+'staffing plan'!BP97</f>
        <v>0</v>
      </c>
      <c r="S74">
        <v>73</v>
      </c>
    </row>
    <row r="75" spans="2:19">
      <c r="B75">
        <f t="shared" si="4"/>
        <v>2015</v>
      </c>
      <c r="C75">
        <f>+'staffing plan'!BK159</f>
        <v>42354</v>
      </c>
      <c r="D75" t="str">
        <f>'staffing plan'!A159</f>
        <v>OSEC-DILGB-LGOO6-236-2010</v>
      </c>
      <c r="E75" t="str">
        <f>+'staffing plan'!B159</f>
        <v>Local Government Operations Officer VI</v>
      </c>
      <c r="F75">
        <f>+'staffing plan'!C159</f>
        <v>22</v>
      </c>
      <c r="G75" s="131">
        <f>+'staffing plan'!AJ159</f>
        <v>2</v>
      </c>
      <c r="H75" t="str">
        <f>+'staffing plan'!AX159</f>
        <v>Apayao</v>
      </c>
      <c r="I75" t="str">
        <f>+'staffing plan'!AW159</f>
        <v>ACERET, Wilnelia Martinez</v>
      </c>
      <c r="J75" t="e">
        <f>+'staffing plan'!#REF!</f>
        <v>#REF!</v>
      </c>
      <c r="K75" t="e">
        <f>+'staffing plan'!#REF!</f>
        <v>#REF!</v>
      </c>
      <c r="L75" t="str">
        <f>+'staffing plan'!AY159</f>
        <v>F</v>
      </c>
      <c r="M75" s="145" t="e">
        <f>+'staffing plan'!#REF!</f>
        <v>#REF!</v>
      </c>
      <c r="N75" s="145" t="e">
        <f>'staffing plan'!#REF!</f>
        <v>#REF!</v>
      </c>
      <c r="O75" s="145" t="e">
        <f>+'staffing plan'!#REF!</f>
        <v>#REF!</v>
      </c>
      <c r="P75" s="131">
        <f>+'staffing plan'!AH159</f>
        <v>783828</v>
      </c>
      <c r="Q75" s="131">
        <f>+'staffing plan'!AI159</f>
        <v>796620</v>
      </c>
      <c r="R75">
        <f>+'staffing plan'!BP159</f>
        <v>0</v>
      </c>
      <c r="S75">
        <v>74</v>
      </c>
    </row>
    <row r="76" spans="2:19">
      <c r="B76">
        <f t="shared" si="4"/>
        <v>2018</v>
      </c>
      <c r="C76">
        <f>+'staffing plan'!BK160</f>
        <v>43129</v>
      </c>
      <c r="D76" t="str">
        <f>'staffing plan'!A160</f>
        <v>OSEC-DILGB-LGOO6-237-2010</v>
      </c>
      <c r="E76" t="str">
        <f>+'staffing plan'!B160</f>
        <v>Local Government Operations Officer VI</v>
      </c>
      <c r="F76">
        <f>+'staffing plan'!C160</f>
        <v>22</v>
      </c>
      <c r="G76" s="131">
        <f>+'staffing plan'!AJ160</f>
        <v>1</v>
      </c>
      <c r="H76" t="str">
        <f>+'staffing plan'!AX160</f>
        <v>Benguet</v>
      </c>
      <c r="I76" t="str">
        <f>+'staffing plan'!AW160</f>
        <v>BALLUG, Rene Vincent Ilacad</v>
      </c>
      <c r="J76" t="e">
        <f>+'staffing plan'!#REF!</f>
        <v>#REF!</v>
      </c>
      <c r="K76" t="e">
        <f>+'staffing plan'!#REF!</f>
        <v>#REF!</v>
      </c>
      <c r="L76" t="str">
        <f>+'staffing plan'!AY160</f>
        <v>M</v>
      </c>
      <c r="M76" s="145" t="e">
        <f>+'staffing plan'!#REF!</f>
        <v>#REF!</v>
      </c>
      <c r="N76" s="145" t="e">
        <f>'staffing plan'!#REF!</f>
        <v>#REF!</v>
      </c>
      <c r="O76" s="145" t="e">
        <f>+'staffing plan'!#REF!</f>
        <v>#REF!</v>
      </c>
      <c r="P76" s="131">
        <f>+'staffing plan'!AH160</f>
        <v>783828</v>
      </c>
      <c r="Q76" s="131">
        <f>+'staffing plan'!AI160</f>
        <v>783828</v>
      </c>
      <c r="R76" t="str">
        <f>+'staffing plan'!BP160</f>
        <v>Benguet Transfer to MLGOO 1/3/18</v>
      </c>
      <c r="S76">
        <v>75</v>
      </c>
    </row>
    <row r="77" spans="2:19">
      <c r="B77">
        <f t="shared" si="4"/>
        <v>2019</v>
      </c>
      <c r="C77">
        <f>+'staffing plan'!BK161</f>
        <v>43497</v>
      </c>
      <c r="D77" t="str">
        <f>'staffing plan'!A161</f>
        <v>OSEC-DILGB-LGOO6-238-2010</v>
      </c>
      <c r="E77" t="str">
        <f>+'staffing plan'!B161</f>
        <v>Local Government Operations Officer VI</v>
      </c>
      <c r="F77">
        <f>+'staffing plan'!C161</f>
        <v>22</v>
      </c>
      <c r="G77" s="131">
        <f>+'staffing plan'!AJ161</f>
        <v>1</v>
      </c>
      <c r="H77" t="str">
        <f>+'staffing plan'!AX161</f>
        <v>Mt. Province</v>
      </c>
      <c r="I77" t="str">
        <f>+'staffing plan'!AW161</f>
        <v>GRIBA, Mary Ann Javier</v>
      </c>
      <c r="J77" t="e">
        <f>+'staffing plan'!#REF!</f>
        <v>#REF!</v>
      </c>
      <c r="K77" t="e">
        <f>+'staffing plan'!#REF!</f>
        <v>#REF!</v>
      </c>
      <c r="L77" t="str">
        <f>+'staffing plan'!AY161</f>
        <v>F</v>
      </c>
      <c r="M77" s="145" t="e">
        <f>+'staffing plan'!#REF!</f>
        <v>#REF!</v>
      </c>
      <c r="N77" s="145" t="e">
        <f>'staffing plan'!#REF!</f>
        <v>#REF!</v>
      </c>
      <c r="O77" s="145" t="e">
        <f>+'staffing plan'!#REF!</f>
        <v>#REF!</v>
      </c>
      <c r="P77" s="131">
        <f>+'staffing plan'!AH161</f>
        <v>783828</v>
      </c>
      <c r="Q77" s="131">
        <f>+'staffing plan'!AI161</f>
        <v>783828</v>
      </c>
      <c r="R77">
        <f>+'staffing plan'!BP161</f>
        <v>0</v>
      </c>
      <c r="S77">
        <v>76</v>
      </c>
    </row>
    <row r="78" spans="2:19">
      <c r="B78">
        <f t="shared" si="4"/>
        <v>2019</v>
      </c>
      <c r="C78">
        <f>+'staffing plan'!BK162</f>
        <v>43518</v>
      </c>
      <c r="D78" t="str">
        <f>'staffing plan'!A162</f>
        <v>OSEC-DILGB-LGOO6-240-2010</v>
      </c>
      <c r="E78" t="str">
        <f>+'staffing plan'!B162</f>
        <v>Local Government Operations Officer VI</v>
      </c>
      <c r="F78">
        <f>+'staffing plan'!C162</f>
        <v>22</v>
      </c>
      <c r="G78" s="131">
        <f>+'staffing plan'!AJ162</f>
        <v>1</v>
      </c>
      <c r="H78" t="str">
        <f>+'staffing plan'!AX162</f>
        <v>Kalinga</v>
      </c>
      <c r="I78" t="str">
        <f>+'staffing plan'!AW162</f>
        <v>CHUNANON, Kliene Pasaraba</v>
      </c>
      <c r="J78" t="e">
        <f>+'staffing plan'!#REF!</f>
        <v>#REF!</v>
      </c>
      <c r="K78" t="e">
        <f>+'staffing plan'!#REF!</f>
        <v>#REF!</v>
      </c>
      <c r="L78" t="str">
        <f>+'staffing plan'!AY162</f>
        <v>M</v>
      </c>
      <c r="M78" s="145" t="e">
        <f>+'staffing plan'!#REF!</f>
        <v>#REF!</v>
      </c>
      <c r="N78" s="145" t="e">
        <f>'staffing plan'!#REF!</f>
        <v>#REF!</v>
      </c>
      <c r="O78" s="145" t="e">
        <f>+'staffing plan'!#REF!</f>
        <v>#REF!</v>
      </c>
      <c r="P78" s="131">
        <f>+'staffing plan'!AH162</f>
        <v>783828</v>
      </c>
      <c r="Q78" s="131">
        <f>+'staffing plan'!AI162</f>
        <v>783828</v>
      </c>
      <c r="R78">
        <f>+'staffing plan'!BP162</f>
        <v>0</v>
      </c>
      <c r="S78">
        <v>77</v>
      </c>
    </row>
    <row r="79" spans="2:19">
      <c r="B79">
        <f t="shared" si="4"/>
        <v>2018</v>
      </c>
      <c r="C79">
        <f>+'staffing plan'!BK163</f>
        <v>43132</v>
      </c>
      <c r="D79" t="str">
        <f>'staffing plan'!A163</f>
        <v>OSEC-DILGB-LGOO6-1268-2017</v>
      </c>
      <c r="E79" t="str">
        <f>+'staffing plan'!B163</f>
        <v>Local Government Operations Officer VI</v>
      </c>
      <c r="F79">
        <f>+'staffing plan'!C163</f>
        <v>22</v>
      </c>
      <c r="G79" s="131">
        <f>+'staffing plan'!AJ163</f>
        <v>1</v>
      </c>
      <c r="H79" t="str">
        <f>+'staffing plan'!AX163</f>
        <v>Benguet</v>
      </c>
      <c r="I79" t="str">
        <f>+'staffing plan'!AW163</f>
        <v>MALIG, Julie Capiato</v>
      </c>
      <c r="J79" t="e">
        <f>+'staffing plan'!#REF!</f>
        <v>#REF!</v>
      </c>
      <c r="K79" t="e">
        <f>+'staffing plan'!#REF!</f>
        <v>#REF!</v>
      </c>
      <c r="L79" t="str">
        <f>+'staffing plan'!AY163</f>
        <v>F</v>
      </c>
      <c r="M79" s="145" t="e">
        <f>+'staffing plan'!#REF!</f>
        <v>#REF!</v>
      </c>
      <c r="N79" s="145" t="e">
        <f>'staffing plan'!#REF!</f>
        <v>#REF!</v>
      </c>
      <c r="O79" s="145" t="e">
        <f>+'staffing plan'!#REF!</f>
        <v>#REF!</v>
      </c>
      <c r="P79" s="131">
        <f>+'staffing plan'!AH163</f>
        <v>783828</v>
      </c>
      <c r="Q79" s="131">
        <f>+'staffing plan'!AI163</f>
        <v>783828</v>
      </c>
      <c r="R79">
        <f>+'staffing plan'!BP163</f>
        <v>0</v>
      </c>
      <c r="S79">
        <v>78</v>
      </c>
    </row>
    <row r="80" spans="2:19">
      <c r="B80">
        <f t="shared" si="4"/>
        <v>2011</v>
      </c>
      <c r="C80">
        <f>+'staffing plan'!BK164</f>
        <v>40896</v>
      </c>
      <c r="D80" t="str">
        <f>'staffing plan'!A164</f>
        <v>OSEC-DILGB-LGOO5-101-2010</v>
      </c>
      <c r="E80" t="str">
        <f>+'staffing plan'!B164</f>
        <v>Local Government Operations Officer V</v>
      </c>
      <c r="F80">
        <f>+'staffing plan'!C164</f>
        <v>20</v>
      </c>
      <c r="G80" s="131">
        <f>+'staffing plan'!AJ164</f>
        <v>3</v>
      </c>
      <c r="H80" t="str">
        <f>+'staffing plan'!AX164</f>
        <v>Mt. Province</v>
      </c>
      <c r="I80" t="str">
        <f>+'staffing plan'!AW164</f>
        <v>MABIASAN, Domingo Gaw-i</v>
      </c>
      <c r="J80" t="e">
        <f>+'staffing plan'!#REF!</f>
        <v>#REF!</v>
      </c>
      <c r="K80" t="e">
        <f>+'staffing plan'!#REF!</f>
        <v>#REF!</v>
      </c>
      <c r="L80" t="str">
        <f>+'staffing plan'!AY164</f>
        <v>M</v>
      </c>
      <c r="M80" s="145" t="e">
        <f>+'staffing plan'!#REF!</f>
        <v>#REF!</v>
      </c>
      <c r="N80" s="145" t="e">
        <f>'staffing plan'!#REF!</f>
        <v>#REF!</v>
      </c>
      <c r="O80" s="145" t="e">
        <f>+'staffing plan'!#REF!</f>
        <v>#REF!</v>
      </c>
      <c r="P80" s="131">
        <f>+'staffing plan'!AH164</f>
        <v>613860</v>
      </c>
      <c r="Q80" s="131">
        <f>+'staffing plan'!AI164</f>
        <v>634056</v>
      </c>
      <c r="R80">
        <f>+'staffing plan'!BP164</f>
        <v>0</v>
      </c>
      <c r="S80">
        <v>79</v>
      </c>
    </row>
    <row r="81" spans="2:19">
      <c r="B81">
        <f t="shared" si="4"/>
        <v>2019</v>
      </c>
      <c r="C81">
        <f>+'staffing plan'!BK155</f>
        <v>43518</v>
      </c>
      <c r="D81" t="str">
        <f>'staffing plan'!A155</f>
        <v>OSEC-DILGB-LGOO6-71-2017</v>
      </c>
      <c r="E81" t="str">
        <f>+'staffing plan'!B155</f>
        <v>Local Government Operations Officer VI</v>
      </c>
      <c r="F81">
        <f>+'staffing plan'!C155</f>
        <v>22</v>
      </c>
      <c r="G81" s="131">
        <f>+'staffing plan'!AJ155</f>
        <v>1</v>
      </c>
      <c r="H81" t="str">
        <f>+'staffing plan'!AX155</f>
        <v>Abra</v>
      </c>
      <c r="I81" t="str">
        <f>+'staffing plan'!AW155</f>
        <v>GANO, Carol Guidangen</v>
      </c>
      <c r="J81" t="e">
        <f>+'staffing plan'!#REF!</f>
        <v>#REF!</v>
      </c>
      <c r="K81" t="e">
        <f>+'staffing plan'!#REF!</f>
        <v>#REF!</v>
      </c>
      <c r="L81" t="str">
        <f>+'staffing plan'!AY155</f>
        <v>F</v>
      </c>
      <c r="M81" s="145" t="e">
        <f>+'staffing plan'!#REF!</f>
        <v>#REF!</v>
      </c>
      <c r="N81" s="145" t="e">
        <f>'staffing plan'!#REF!</f>
        <v>#REF!</v>
      </c>
      <c r="O81" s="145" t="e">
        <f>+'staffing plan'!#REF!</f>
        <v>#REF!</v>
      </c>
      <c r="P81" s="131">
        <f>+'staffing plan'!AH155</f>
        <v>783828</v>
      </c>
      <c r="Q81" s="131">
        <f>+'staffing plan'!AI155</f>
        <v>783828</v>
      </c>
      <c r="R81">
        <f>+'staffing plan'!BP155</f>
        <v>0</v>
      </c>
      <c r="S81">
        <v>80</v>
      </c>
    </row>
    <row r="82" spans="2:19">
      <c r="B82">
        <f t="shared" si="4"/>
        <v>2017</v>
      </c>
      <c r="C82">
        <f>+'staffing plan'!BK154</f>
        <v>43070</v>
      </c>
      <c r="D82" t="str">
        <f>'staffing plan'!A154</f>
        <v>OSEC-DILGB-LGOO6-70-2017</v>
      </c>
      <c r="E82" t="str">
        <f>+'staffing plan'!B154</f>
        <v>Local Government Operations Officer VI</v>
      </c>
      <c r="F82">
        <f>+'staffing plan'!C154</f>
        <v>22</v>
      </c>
      <c r="G82" s="131">
        <f>+'staffing plan'!AJ154</f>
        <v>1</v>
      </c>
      <c r="H82" t="str">
        <f>+'staffing plan'!AX154</f>
        <v>Abra</v>
      </c>
      <c r="I82" t="str">
        <f>+'staffing plan'!AW154</f>
        <v>BALDERAMA, Antonio Badere</v>
      </c>
      <c r="J82" t="e">
        <f>+'staffing plan'!#REF!</f>
        <v>#REF!</v>
      </c>
      <c r="K82" t="e">
        <f>+'staffing plan'!#REF!</f>
        <v>#REF!</v>
      </c>
      <c r="L82" t="str">
        <f>+'staffing plan'!AY154</f>
        <v>M</v>
      </c>
      <c r="M82" s="145" t="e">
        <f>+'staffing plan'!#REF!</f>
        <v>#REF!</v>
      </c>
      <c r="N82" s="145" t="e">
        <f>'staffing plan'!#REF!</f>
        <v>#REF!</v>
      </c>
      <c r="O82" s="145" t="e">
        <f>+'staffing plan'!#REF!</f>
        <v>#REF!</v>
      </c>
      <c r="P82" s="131">
        <f>+'staffing plan'!AH154</f>
        <v>783828</v>
      </c>
      <c r="Q82" s="131">
        <f>+'staffing plan'!AI154</f>
        <v>783828</v>
      </c>
      <c r="R82">
        <f>+'staffing plan'!BP154</f>
        <v>0</v>
      </c>
      <c r="S82">
        <v>81</v>
      </c>
    </row>
    <row r="83" spans="2:19">
      <c r="B83">
        <f t="shared" si="4"/>
        <v>2017</v>
      </c>
      <c r="C83">
        <f>+'staffing plan'!BK104</f>
        <v>43070</v>
      </c>
      <c r="D83" t="str">
        <f>'staffing plan'!A104</f>
        <v>OSEC-DILGB-LGOO6-20-2017</v>
      </c>
      <c r="E83" t="str">
        <f>+'staffing plan'!B104</f>
        <v>Local Government Operations Officer VI</v>
      </c>
      <c r="F83">
        <f>+'staffing plan'!C104</f>
        <v>22</v>
      </c>
      <c r="G83" s="131">
        <f>+'staffing plan'!AJ104</f>
        <v>1</v>
      </c>
      <c r="H83" t="str">
        <f>+'staffing plan'!AX104</f>
        <v>Abra</v>
      </c>
      <c r="I83" t="str">
        <f>+'staffing plan'!AW104</f>
        <v>TON, Janice Cristine Barreras</v>
      </c>
      <c r="J83" t="e">
        <f>+'staffing plan'!#REF!</f>
        <v>#REF!</v>
      </c>
      <c r="K83" t="e">
        <f>+'staffing plan'!#REF!</f>
        <v>#REF!</v>
      </c>
      <c r="L83" t="str">
        <f>+'staffing plan'!AY104</f>
        <v>F</v>
      </c>
      <c r="M83" s="145" t="e">
        <f>+'staffing plan'!#REF!</f>
        <v>#REF!</v>
      </c>
      <c r="N83" s="145" t="e">
        <f>'staffing plan'!#REF!</f>
        <v>#REF!</v>
      </c>
      <c r="O83" s="145" t="e">
        <f>+'staffing plan'!#REF!</f>
        <v>#REF!</v>
      </c>
      <c r="P83" s="131">
        <f>+'staffing plan'!AH104</f>
        <v>783828</v>
      </c>
      <c r="Q83" s="131">
        <f>+'staffing plan'!AI104</f>
        <v>783828</v>
      </c>
      <c r="R83">
        <f>+'staffing plan'!BP104</f>
        <v>0</v>
      </c>
      <c r="S83">
        <v>82</v>
      </c>
    </row>
    <row r="84" spans="2:19">
      <c r="B84">
        <f t="shared" si="4"/>
        <v>1900</v>
      </c>
      <c r="C84">
        <f>+'staffing plan'!BK165</f>
        <v>0</v>
      </c>
      <c r="D84" t="str">
        <f>'staffing plan'!A165</f>
        <v>OSEC-DILGB-LGOO5-877-1998</v>
      </c>
      <c r="E84" t="str">
        <f>+'staffing plan'!B165</f>
        <v>Local Government Operations Officer V</v>
      </c>
      <c r="F84">
        <f>+'staffing plan'!C165</f>
        <v>20</v>
      </c>
      <c r="G84" s="131">
        <f>+'staffing plan'!AJ165</f>
        <v>0</v>
      </c>
      <c r="H84">
        <f>+'staffing plan'!AX165</f>
        <v>0</v>
      </c>
      <c r="I84" t="str">
        <f>+'staffing plan'!AW165</f>
        <v xml:space="preserve">Vacant gano,  </v>
      </c>
      <c r="J84" t="e">
        <f>+'staffing plan'!#REF!</f>
        <v>#REF!</v>
      </c>
      <c r="K84" t="e">
        <f>+'staffing plan'!#REF!</f>
        <v>#REF!</v>
      </c>
      <c r="L84">
        <f>+'staffing plan'!AY165</f>
        <v>0</v>
      </c>
      <c r="M84" s="145" t="e">
        <f>+'staffing plan'!#REF!</f>
        <v>#REF!</v>
      </c>
      <c r="N84" s="145" t="e">
        <f>'staffing plan'!#REF!</f>
        <v>#REF!</v>
      </c>
      <c r="O84" s="145" t="e">
        <f>+'staffing plan'!#REF!</f>
        <v>#REF!</v>
      </c>
      <c r="P84" s="131">
        <f>+'staffing plan'!AH165</f>
        <v>613860</v>
      </c>
      <c r="Q84" s="131">
        <f>+'staffing plan'!AI165</f>
        <v>0</v>
      </c>
      <c r="R84">
        <f>+'staffing plan'!BP165</f>
        <v>0</v>
      </c>
      <c r="S84">
        <v>83</v>
      </c>
    </row>
    <row r="85" spans="2:19">
      <c r="B85">
        <f t="shared" si="4"/>
        <v>2017</v>
      </c>
      <c r="C85">
        <f>+'staffing plan'!BK81</f>
        <v>43070</v>
      </c>
      <c r="D85" t="str">
        <f>'staffing plan'!A81</f>
        <v>OSEC-DILGB-LGOO6-1-2017</v>
      </c>
      <c r="E85" t="str">
        <f>+'staffing plan'!B81</f>
        <v>Local Government Operations Officer VI</v>
      </c>
      <c r="F85">
        <f>+'staffing plan'!C81</f>
        <v>22</v>
      </c>
      <c r="G85" s="131">
        <f>+'staffing plan'!AJ81</f>
        <v>1</v>
      </c>
      <c r="H85" t="str">
        <f>+'staffing plan'!AX81</f>
        <v>Abra</v>
      </c>
      <c r="I85" t="str">
        <f>+'staffing plan'!AW81</f>
        <v>VILLAMOR, Juvenal Hufano</v>
      </c>
      <c r="J85" t="e">
        <f>+'staffing plan'!#REF!</f>
        <v>#REF!</v>
      </c>
      <c r="K85" t="e">
        <f>+'staffing plan'!#REF!</f>
        <v>#REF!</v>
      </c>
      <c r="L85" t="str">
        <f>+'staffing plan'!AY81</f>
        <v>M</v>
      </c>
      <c r="M85" s="145" t="e">
        <f>+'staffing plan'!#REF!</f>
        <v>#REF!</v>
      </c>
      <c r="N85" s="145" t="e">
        <f>'staffing plan'!#REF!</f>
        <v>#REF!</v>
      </c>
      <c r="O85" s="145" t="e">
        <f>+'staffing plan'!#REF!</f>
        <v>#REF!</v>
      </c>
      <c r="P85" s="131">
        <f>+'staffing plan'!AH81</f>
        <v>783828</v>
      </c>
      <c r="Q85" s="131">
        <f>+'staffing plan'!AI81</f>
        <v>783828</v>
      </c>
      <c r="R85">
        <f>+'staffing plan'!BP81</f>
        <v>0</v>
      </c>
      <c r="S85">
        <v>84</v>
      </c>
    </row>
    <row r="86" spans="2:19">
      <c r="B86">
        <f t="shared" si="4"/>
        <v>2017</v>
      </c>
      <c r="C86">
        <f>+'staffing plan'!BK82</f>
        <v>43070</v>
      </c>
      <c r="D86" t="str">
        <f>'staffing plan'!A82</f>
        <v>OSEC-DILGB-LGOO6-2-2017</v>
      </c>
      <c r="E86" t="str">
        <f>+'staffing plan'!B82</f>
        <v>Local Government Operations Officer VI</v>
      </c>
      <c r="F86">
        <f>+'staffing plan'!C82</f>
        <v>22</v>
      </c>
      <c r="G86" s="131">
        <f>+'staffing plan'!AJ82</f>
        <v>1</v>
      </c>
      <c r="H86" t="str">
        <f>+'staffing plan'!AX82</f>
        <v>Abra</v>
      </c>
      <c r="I86" t="str">
        <f>+'staffing plan'!AW82</f>
        <v>TURQUEZA, Emmanuel Astudillo</v>
      </c>
      <c r="J86" t="e">
        <f>+'staffing plan'!#REF!</f>
        <v>#REF!</v>
      </c>
      <c r="K86" t="e">
        <f>+'staffing plan'!#REF!</f>
        <v>#REF!</v>
      </c>
      <c r="L86" t="str">
        <f>+'staffing plan'!AY82</f>
        <v>M</v>
      </c>
      <c r="M86" s="145" t="e">
        <f>+'staffing plan'!#REF!</f>
        <v>#REF!</v>
      </c>
      <c r="N86" s="145" t="e">
        <f>'staffing plan'!#REF!</f>
        <v>#REF!</v>
      </c>
      <c r="O86" s="145" t="e">
        <f>+'staffing plan'!#REF!</f>
        <v>#REF!</v>
      </c>
      <c r="P86" s="131">
        <f>+'staffing plan'!AH82</f>
        <v>783828</v>
      </c>
      <c r="Q86" s="131">
        <f>+'staffing plan'!AI82</f>
        <v>783828</v>
      </c>
      <c r="R86">
        <f>+'staffing plan'!BP82</f>
        <v>0</v>
      </c>
      <c r="S86">
        <v>85</v>
      </c>
    </row>
    <row r="87" spans="2:19">
      <c r="B87">
        <f t="shared" ref="B87:B150" si="5">(YEAR(C87))</f>
        <v>2017</v>
      </c>
      <c r="C87">
        <f>+'staffing plan'!BK109</f>
        <v>43070</v>
      </c>
      <c r="D87" t="str">
        <f>'staffing plan'!A109</f>
        <v>OSEC-DILGB-LGOO6-25-2017</v>
      </c>
      <c r="E87" t="str">
        <f>+'staffing plan'!B109</f>
        <v>Local Government Operations Officer VI</v>
      </c>
      <c r="F87">
        <f>+'staffing plan'!C109</f>
        <v>22</v>
      </c>
      <c r="G87" s="131">
        <f>+'staffing plan'!AJ109</f>
        <v>1</v>
      </c>
      <c r="H87" t="str">
        <f>+'staffing plan'!AX109</f>
        <v>Apayao</v>
      </c>
      <c r="I87" t="str">
        <f>+'staffing plan'!AW109</f>
        <v>MICU, Mary Beth Agustin</v>
      </c>
      <c r="J87" t="e">
        <f>+'staffing plan'!#REF!</f>
        <v>#REF!</v>
      </c>
      <c r="K87" t="e">
        <f>+'staffing plan'!#REF!</f>
        <v>#REF!</v>
      </c>
      <c r="L87" t="str">
        <f>+'staffing plan'!AY109</f>
        <v>F</v>
      </c>
      <c r="M87" s="145" t="e">
        <f>+'staffing plan'!#REF!</f>
        <v>#REF!</v>
      </c>
      <c r="N87" s="145" t="e">
        <f>'staffing plan'!#REF!</f>
        <v>#REF!</v>
      </c>
      <c r="O87" s="145" t="e">
        <f>+'staffing plan'!#REF!</f>
        <v>#REF!</v>
      </c>
      <c r="P87" s="131">
        <f>+'staffing plan'!AH109</f>
        <v>783828</v>
      </c>
      <c r="Q87" s="131">
        <f>+'staffing plan'!AI109</f>
        <v>783828</v>
      </c>
      <c r="R87">
        <f>+'staffing plan'!BP109</f>
        <v>0</v>
      </c>
      <c r="S87">
        <v>86</v>
      </c>
    </row>
    <row r="88" spans="2:19">
      <c r="B88">
        <f t="shared" si="5"/>
        <v>2017</v>
      </c>
      <c r="C88">
        <f>+'staffing plan'!BK110</f>
        <v>43089</v>
      </c>
      <c r="D88" t="str">
        <f>'staffing plan'!A110</f>
        <v>OSEC-DILGB-LGOO6-26-2017</v>
      </c>
      <c r="E88" t="str">
        <f>+'staffing plan'!B110</f>
        <v>Local Government Operations Officer VI</v>
      </c>
      <c r="F88">
        <f>+'staffing plan'!C110</f>
        <v>22</v>
      </c>
      <c r="G88" s="131">
        <f>+'staffing plan'!AJ110</f>
        <v>1</v>
      </c>
      <c r="H88" t="str">
        <f>+'staffing plan'!AX110</f>
        <v>Apayao</v>
      </c>
      <c r="I88" t="str">
        <f>+'staffing plan'!AW110</f>
        <v>GALVEZ, Filipinita Marigza</v>
      </c>
      <c r="J88" t="e">
        <f>+'staffing plan'!#REF!</f>
        <v>#REF!</v>
      </c>
      <c r="K88" t="e">
        <f>+'staffing plan'!#REF!</f>
        <v>#REF!</v>
      </c>
      <c r="L88" t="str">
        <f>+'staffing plan'!AY110</f>
        <v>F</v>
      </c>
      <c r="M88" s="145" t="e">
        <f>+'staffing plan'!#REF!</f>
        <v>#REF!</v>
      </c>
      <c r="N88" s="145" t="e">
        <f>'staffing plan'!#REF!</f>
        <v>#REF!</v>
      </c>
      <c r="O88" s="145" t="e">
        <f>+'staffing plan'!#REF!</f>
        <v>#REF!</v>
      </c>
      <c r="P88" s="131">
        <f>+'staffing plan'!AH110</f>
        <v>783828</v>
      </c>
      <c r="Q88" s="131">
        <f>+'staffing plan'!AI110</f>
        <v>783828</v>
      </c>
      <c r="R88" t="str">
        <f>+'staffing plan'!BP110</f>
        <v>Shifting</v>
      </c>
      <c r="S88">
        <v>87</v>
      </c>
    </row>
    <row r="89" spans="2:19">
      <c r="B89">
        <f t="shared" si="5"/>
        <v>2015</v>
      </c>
      <c r="C89">
        <f>+'staffing plan'!BK166</f>
        <v>42289</v>
      </c>
      <c r="D89" t="str">
        <f>'staffing plan'!A166</f>
        <v>OSEC-DILGB-LGOO5-897-1998</v>
      </c>
      <c r="E89" t="str">
        <f>+'staffing plan'!B166</f>
        <v>Local Government Operations Officer V</v>
      </c>
      <c r="F89">
        <f>+'staffing plan'!C166</f>
        <v>20</v>
      </c>
      <c r="G89" s="131">
        <f>+'staffing plan'!AJ166</f>
        <v>2</v>
      </c>
      <c r="H89" t="str">
        <f>+'staffing plan'!AX166</f>
        <v>Abra</v>
      </c>
      <c r="I89" t="str">
        <f>+'staffing plan'!AW166</f>
        <v>VALERA, Sharima  Tomas</v>
      </c>
      <c r="J89" t="e">
        <f>+'staffing plan'!#REF!</f>
        <v>#REF!</v>
      </c>
      <c r="K89" t="e">
        <f>+'staffing plan'!#REF!</f>
        <v>#REF!</v>
      </c>
      <c r="L89" t="str">
        <f>+'staffing plan'!AY166</f>
        <v>F</v>
      </c>
      <c r="M89" s="145" t="e">
        <f>+'staffing plan'!#REF!</f>
        <v>#REF!</v>
      </c>
      <c r="N89" s="145" t="e">
        <f>'staffing plan'!#REF!</f>
        <v>#REF!</v>
      </c>
      <c r="O89" s="145" t="e">
        <f>+'staffing plan'!#REF!</f>
        <v>#REF!</v>
      </c>
      <c r="P89" s="131">
        <f>+'staffing plan'!AH166</f>
        <v>613860</v>
      </c>
      <c r="Q89" s="131">
        <f>+'staffing plan'!AI166</f>
        <v>623868</v>
      </c>
      <c r="R89" t="str">
        <f>+'staffing plan'!BP166</f>
        <v>Shifting</v>
      </c>
      <c r="S89">
        <v>88</v>
      </c>
    </row>
    <row r="90" spans="2:19">
      <c r="B90">
        <f t="shared" si="5"/>
        <v>2017</v>
      </c>
      <c r="C90">
        <f>+'staffing plan'!BK83</f>
        <v>43070</v>
      </c>
      <c r="D90" t="str">
        <f>'staffing plan'!A83</f>
        <v>OSEC-DILGB-LGOO6-3-2017</v>
      </c>
      <c r="E90" t="str">
        <f>+'staffing plan'!B83</f>
        <v>Local Government Operations Officer VI</v>
      </c>
      <c r="F90">
        <f>+'staffing plan'!C83</f>
        <v>22</v>
      </c>
      <c r="G90" s="131">
        <f>+'staffing plan'!AJ83</f>
        <v>1</v>
      </c>
      <c r="H90" t="str">
        <f>+'staffing plan'!AX83</f>
        <v>Abra</v>
      </c>
      <c r="I90" t="str">
        <f>+'staffing plan'!AW83</f>
        <v>TENEZA, Valentino Barbieto</v>
      </c>
      <c r="J90" t="e">
        <f>+'staffing plan'!#REF!</f>
        <v>#REF!</v>
      </c>
      <c r="K90" t="e">
        <f>+'staffing plan'!#REF!</f>
        <v>#REF!</v>
      </c>
      <c r="L90" t="str">
        <f>+'staffing plan'!AY83</f>
        <v>M</v>
      </c>
      <c r="M90" s="145" t="e">
        <f>+'staffing plan'!#REF!</f>
        <v>#REF!</v>
      </c>
      <c r="N90" s="145" t="e">
        <f>'staffing plan'!#REF!</f>
        <v>#REF!</v>
      </c>
      <c r="O90" s="145" t="e">
        <f>+'staffing plan'!#REF!</f>
        <v>#REF!</v>
      </c>
      <c r="P90" s="131">
        <f>+'staffing plan'!AH83</f>
        <v>783828</v>
      </c>
      <c r="Q90" s="131">
        <f>+'staffing plan'!AI83</f>
        <v>783828</v>
      </c>
      <c r="R90">
        <f>+'staffing plan'!BP83</f>
        <v>0</v>
      </c>
      <c r="S90">
        <v>89</v>
      </c>
    </row>
    <row r="91" spans="2:19">
      <c r="B91">
        <f t="shared" si="5"/>
        <v>2017</v>
      </c>
      <c r="C91">
        <f>+'staffing plan'!BK84</f>
        <v>43070</v>
      </c>
      <c r="D91" t="str">
        <f>'staffing plan'!A84</f>
        <v>OSEC-DILGB-LGOO6-4-2017</v>
      </c>
      <c r="E91" t="str">
        <f>+'staffing plan'!B84</f>
        <v>Local Government Operations Officer VI</v>
      </c>
      <c r="F91">
        <f>+'staffing plan'!C84</f>
        <v>22</v>
      </c>
      <c r="G91" s="131">
        <f>+'staffing plan'!AJ84</f>
        <v>1</v>
      </c>
      <c r="H91" t="str">
        <f>+'staffing plan'!AX84</f>
        <v>Abra</v>
      </c>
      <c r="I91" t="str">
        <f>+'staffing plan'!AW84</f>
        <v>ABADEZA, Charisma Salimbay</v>
      </c>
      <c r="J91" t="e">
        <f>+'staffing plan'!#REF!</f>
        <v>#REF!</v>
      </c>
      <c r="K91" t="e">
        <f>+'staffing plan'!#REF!</f>
        <v>#REF!</v>
      </c>
      <c r="L91" t="str">
        <f>+'staffing plan'!AY84</f>
        <v>F</v>
      </c>
      <c r="M91" s="145" t="e">
        <f>+'staffing plan'!#REF!</f>
        <v>#REF!</v>
      </c>
      <c r="N91" s="145" t="e">
        <f>'staffing plan'!#REF!</f>
        <v>#REF!</v>
      </c>
      <c r="O91" s="145" t="e">
        <f>+'staffing plan'!#REF!</f>
        <v>#REF!</v>
      </c>
      <c r="P91" s="131">
        <f>+'staffing plan'!AH84</f>
        <v>783828</v>
      </c>
      <c r="Q91" s="131">
        <f>+'staffing plan'!AI84</f>
        <v>783828</v>
      </c>
      <c r="R91">
        <f>+'staffing plan'!BP84</f>
        <v>0</v>
      </c>
      <c r="S91">
        <v>90</v>
      </c>
    </row>
    <row r="92" spans="2:19">
      <c r="B92">
        <f t="shared" si="5"/>
        <v>2017</v>
      </c>
      <c r="C92">
        <f>+'staffing plan'!BK85</f>
        <v>43070</v>
      </c>
      <c r="D92" t="str">
        <f>'staffing plan'!A85</f>
        <v>OSEC-DILGB-LGOO6-5-2017</v>
      </c>
      <c r="E92" t="str">
        <f>+'staffing plan'!B85</f>
        <v>Local Government Operations Officer VI</v>
      </c>
      <c r="F92">
        <f>+'staffing plan'!C85</f>
        <v>22</v>
      </c>
      <c r="G92" s="131">
        <f>+'staffing plan'!AJ85</f>
        <v>1</v>
      </c>
      <c r="H92" t="str">
        <f>+'staffing plan'!AX85</f>
        <v>Abra</v>
      </c>
      <c r="I92" t="str">
        <f>+'staffing plan'!AW85</f>
        <v>LAPASTORA, Ameurfina Castillo</v>
      </c>
      <c r="J92" t="e">
        <f>+'staffing plan'!#REF!</f>
        <v>#REF!</v>
      </c>
      <c r="K92" t="e">
        <f>+'staffing plan'!#REF!</f>
        <v>#REF!</v>
      </c>
      <c r="L92" t="str">
        <f>+'staffing plan'!AY85</f>
        <v>F</v>
      </c>
      <c r="M92" s="145" t="e">
        <f>+'staffing plan'!#REF!</f>
        <v>#REF!</v>
      </c>
      <c r="N92" s="145" t="e">
        <f>'staffing plan'!#REF!</f>
        <v>#REF!</v>
      </c>
      <c r="O92" s="145" t="e">
        <f>+'staffing plan'!#REF!</f>
        <v>#REF!</v>
      </c>
      <c r="P92" s="131">
        <f>+'staffing plan'!AH85</f>
        <v>783828</v>
      </c>
      <c r="Q92" s="131">
        <f>+'staffing plan'!AI85</f>
        <v>783828</v>
      </c>
      <c r="R92">
        <f>+'staffing plan'!BP85</f>
        <v>0</v>
      </c>
      <c r="S92">
        <v>91</v>
      </c>
    </row>
    <row r="93" spans="2:19">
      <c r="B93">
        <f t="shared" si="5"/>
        <v>2019</v>
      </c>
      <c r="C93">
        <f>+'staffing plan'!BK167</f>
        <v>43518</v>
      </c>
      <c r="D93" t="str">
        <f>'staffing plan'!A167</f>
        <v>OSEC-DILGB-LGOO5-903-1998</v>
      </c>
      <c r="E93" t="str">
        <f>+'staffing plan'!B167</f>
        <v>Local Government Operations Officer V</v>
      </c>
      <c r="F93">
        <f>+'staffing plan'!C167</f>
        <v>20</v>
      </c>
      <c r="G93" s="131">
        <f>+'staffing plan'!AJ167</f>
        <v>1</v>
      </c>
      <c r="H93" t="str">
        <f>+'staffing plan'!AX167</f>
        <v>Abra</v>
      </c>
      <c r="I93" t="str">
        <f>+'staffing plan'!AW167</f>
        <v>SAGUIYOD, Rose-Ann Ballangan</v>
      </c>
      <c r="J93" t="e">
        <f>+'staffing plan'!#REF!</f>
        <v>#REF!</v>
      </c>
      <c r="K93" t="e">
        <f>+'staffing plan'!#REF!</f>
        <v>#REF!</v>
      </c>
      <c r="L93" t="str">
        <f>+'staffing plan'!AY167</f>
        <v>F</v>
      </c>
      <c r="M93" s="145" t="e">
        <f>+'staffing plan'!#REF!</f>
        <v>#REF!</v>
      </c>
      <c r="N93" s="145" t="e">
        <f>'staffing plan'!#REF!</f>
        <v>#REF!</v>
      </c>
      <c r="O93" s="145" t="e">
        <f>+'staffing plan'!#REF!</f>
        <v>#REF!</v>
      </c>
      <c r="P93" s="131">
        <f>+'staffing plan'!AH167</f>
        <v>613860</v>
      </c>
      <c r="Q93" s="131">
        <f>+'staffing plan'!AI167</f>
        <v>613860</v>
      </c>
      <c r="R93">
        <f>+'staffing plan'!BP167</f>
        <v>0</v>
      </c>
      <c r="S93">
        <v>92</v>
      </c>
    </row>
    <row r="94" spans="2:19">
      <c r="B94">
        <f t="shared" si="5"/>
        <v>2017</v>
      </c>
      <c r="C94">
        <f>+'staffing plan'!BK86</f>
        <v>43070</v>
      </c>
      <c r="D94" t="str">
        <f>'staffing plan'!A86</f>
        <v>OSEC-DILGB-LGOO6-6-2017</v>
      </c>
      <c r="E94" t="str">
        <f>+'staffing plan'!B86</f>
        <v>Local Government Operations Officer VI</v>
      </c>
      <c r="F94">
        <f>+'staffing plan'!C86</f>
        <v>22</v>
      </c>
      <c r="G94" s="131">
        <f>+'staffing plan'!AJ86</f>
        <v>1</v>
      </c>
      <c r="H94" t="str">
        <f>+'staffing plan'!AX86</f>
        <v>Abra</v>
      </c>
      <c r="I94" t="str">
        <f>+'staffing plan'!AW86</f>
        <v>BERNARDEZ, Viva Ascension Zapata</v>
      </c>
      <c r="J94" t="e">
        <f>+'staffing plan'!#REF!</f>
        <v>#REF!</v>
      </c>
      <c r="K94" t="e">
        <f>+'staffing plan'!#REF!</f>
        <v>#REF!</v>
      </c>
      <c r="L94" t="str">
        <f>+'staffing plan'!AY86</f>
        <v>F</v>
      </c>
      <c r="M94" s="145" t="e">
        <f>+'staffing plan'!#REF!</f>
        <v>#REF!</v>
      </c>
      <c r="N94" s="145" t="e">
        <f>'staffing plan'!#REF!</f>
        <v>#REF!</v>
      </c>
      <c r="O94" s="145" t="e">
        <f>+'staffing plan'!#REF!</f>
        <v>#REF!</v>
      </c>
      <c r="P94" s="131">
        <f>+'staffing plan'!AH86</f>
        <v>783828</v>
      </c>
      <c r="Q94" s="131">
        <f>+'staffing plan'!AI86</f>
        <v>783828</v>
      </c>
      <c r="R94">
        <f>+'staffing plan'!BP86</f>
        <v>0</v>
      </c>
      <c r="S94">
        <v>93</v>
      </c>
    </row>
    <row r="95" spans="2:19">
      <c r="B95">
        <f t="shared" si="5"/>
        <v>2017</v>
      </c>
      <c r="C95">
        <f>+'staffing plan'!BK87</f>
        <v>43070</v>
      </c>
      <c r="D95" t="str">
        <f>'staffing plan'!A87</f>
        <v>OSEC-DILGB-LGOO6-7-2017</v>
      </c>
      <c r="E95" t="str">
        <f>+'staffing plan'!B87</f>
        <v>Local Government Operations Officer VI</v>
      </c>
      <c r="F95">
        <f>+'staffing plan'!C87</f>
        <v>22</v>
      </c>
      <c r="G95" s="131">
        <f>+'staffing plan'!AJ87</f>
        <v>1</v>
      </c>
      <c r="H95" t="str">
        <f>+'staffing plan'!AX87</f>
        <v>Abra</v>
      </c>
      <c r="I95" t="str">
        <f>+'staffing plan'!AW87</f>
        <v>TURQUEZA, Ephraim Pascua</v>
      </c>
      <c r="J95" t="e">
        <f>+'staffing plan'!#REF!</f>
        <v>#REF!</v>
      </c>
      <c r="K95" t="e">
        <f>+'staffing plan'!#REF!</f>
        <v>#REF!</v>
      </c>
      <c r="L95" t="str">
        <f>+'staffing plan'!AY87</f>
        <v>M</v>
      </c>
      <c r="M95" s="145" t="e">
        <f>+'staffing plan'!#REF!</f>
        <v>#REF!</v>
      </c>
      <c r="N95" s="145" t="e">
        <f>'staffing plan'!#REF!</f>
        <v>#REF!</v>
      </c>
      <c r="O95" s="145" t="e">
        <f>+'staffing plan'!#REF!</f>
        <v>#REF!</v>
      </c>
      <c r="P95" s="131">
        <f>+'staffing plan'!AH87</f>
        <v>783828</v>
      </c>
      <c r="Q95" s="131">
        <f>+'staffing plan'!AI87</f>
        <v>783828</v>
      </c>
      <c r="R95">
        <f>+'staffing plan'!BP87</f>
        <v>0</v>
      </c>
      <c r="S95">
        <v>94</v>
      </c>
    </row>
    <row r="96" spans="2:19">
      <c r="B96">
        <f t="shared" si="5"/>
        <v>2017</v>
      </c>
      <c r="C96">
        <f>+'staffing plan'!BK156</f>
        <v>43070</v>
      </c>
      <c r="D96" t="str">
        <f>'staffing plan'!A156</f>
        <v>OSEC-DILGB-LGOO6-72-2017</v>
      </c>
      <c r="E96" t="str">
        <f>+'staffing plan'!B156</f>
        <v>Local Government Operations Officer VI</v>
      </c>
      <c r="F96">
        <f>+'staffing plan'!C156</f>
        <v>22</v>
      </c>
      <c r="G96" s="131">
        <f>+'staffing plan'!AJ156</f>
        <v>1</v>
      </c>
      <c r="H96" t="str">
        <f>+'staffing plan'!AX156</f>
        <v>Abra</v>
      </c>
      <c r="I96" t="str">
        <f>+'staffing plan'!AW156</f>
        <v>MINA, Bramie Madarcos</v>
      </c>
      <c r="J96" t="e">
        <f>+'staffing plan'!#REF!</f>
        <v>#REF!</v>
      </c>
      <c r="K96" t="e">
        <f>+'staffing plan'!#REF!</f>
        <v>#REF!</v>
      </c>
      <c r="L96" t="str">
        <f>+'staffing plan'!AY156</f>
        <v>M</v>
      </c>
      <c r="M96" s="145" t="e">
        <f>+'staffing plan'!#REF!</f>
        <v>#REF!</v>
      </c>
      <c r="N96" s="145" t="e">
        <f>'staffing plan'!#REF!</f>
        <v>#REF!</v>
      </c>
      <c r="O96" s="145" t="e">
        <f>+'staffing plan'!#REF!</f>
        <v>#REF!</v>
      </c>
      <c r="P96" s="131">
        <f>+'staffing plan'!AH156</f>
        <v>783828</v>
      </c>
      <c r="Q96" s="131">
        <f>+'staffing plan'!AI156</f>
        <v>783828</v>
      </c>
      <c r="R96" t="str">
        <f>+'staffing plan'!BP156</f>
        <v>Shifting</v>
      </c>
      <c r="S96">
        <v>95</v>
      </c>
    </row>
    <row r="97" spans="2:19">
      <c r="B97">
        <f t="shared" si="5"/>
        <v>2017</v>
      </c>
      <c r="C97">
        <f>+'staffing plan'!BK88</f>
        <v>43070</v>
      </c>
      <c r="D97" t="str">
        <f>'staffing plan'!A88</f>
        <v>OSEC-DILGB-LGOO6-8-2017</v>
      </c>
      <c r="E97" t="str">
        <f>+'staffing plan'!B88</f>
        <v>Local Government Operations Officer VI</v>
      </c>
      <c r="F97">
        <f>+'staffing plan'!C88</f>
        <v>22</v>
      </c>
      <c r="G97" s="131">
        <f>+'staffing plan'!AJ88</f>
        <v>1</v>
      </c>
      <c r="H97" t="str">
        <f>+'staffing plan'!AX88</f>
        <v>Abra</v>
      </c>
      <c r="I97" t="str">
        <f>+'staffing plan'!AW88</f>
        <v>LINGBAOAN, Joel Barbasa</v>
      </c>
      <c r="J97" t="e">
        <f>+'staffing plan'!#REF!</f>
        <v>#REF!</v>
      </c>
      <c r="K97" t="e">
        <f>+'staffing plan'!#REF!</f>
        <v>#REF!</v>
      </c>
      <c r="L97" t="str">
        <f>+'staffing plan'!AY88</f>
        <v>M</v>
      </c>
      <c r="M97" s="145" t="e">
        <f>+'staffing plan'!#REF!</f>
        <v>#REF!</v>
      </c>
      <c r="N97" s="145" t="e">
        <f>'staffing plan'!#REF!</f>
        <v>#REF!</v>
      </c>
      <c r="O97" s="145" t="e">
        <f>+'staffing plan'!#REF!</f>
        <v>#REF!</v>
      </c>
      <c r="P97" s="131">
        <f>+'staffing plan'!AH88</f>
        <v>783828</v>
      </c>
      <c r="Q97" s="131">
        <f>+'staffing plan'!AI88</f>
        <v>783828</v>
      </c>
      <c r="R97">
        <f>+'staffing plan'!BP88</f>
        <v>0</v>
      </c>
      <c r="S97">
        <v>96</v>
      </c>
    </row>
    <row r="98" spans="2:19">
      <c r="B98">
        <f t="shared" si="5"/>
        <v>2017</v>
      </c>
      <c r="C98">
        <f>+'staffing plan'!BK89</f>
        <v>43070</v>
      </c>
      <c r="D98" t="str">
        <f>'staffing plan'!A89</f>
        <v>OSEC-DILGB-LGOO6-9-2017</v>
      </c>
      <c r="E98" t="str">
        <f>+'staffing plan'!B89</f>
        <v>Local Government Operations Officer VI</v>
      </c>
      <c r="F98">
        <f>+'staffing plan'!C89</f>
        <v>22</v>
      </c>
      <c r="G98" s="131">
        <f>+'staffing plan'!AJ89</f>
        <v>1</v>
      </c>
      <c r="H98" t="str">
        <f>+'staffing plan'!AX89</f>
        <v>Abra</v>
      </c>
      <c r="I98" t="str">
        <f>+'staffing plan'!AW89</f>
        <v>CASTILLO, Mila Benedito</v>
      </c>
      <c r="J98" t="e">
        <f>+'staffing plan'!#REF!</f>
        <v>#REF!</v>
      </c>
      <c r="K98" t="e">
        <f>+'staffing plan'!#REF!</f>
        <v>#REF!</v>
      </c>
      <c r="L98" t="str">
        <f>+'staffing plan'!AY89</f>
        <v>F</v>
      </c>
      <c r="M98" s="145" t="e">
        <f>+'staffing plan'!#REF!</f>
        <v>#REF!</v>
      </c>
      <c r="N98" s="145" t="e">
        <f>'staffing plan'!#REF!</f>
        <v>#REF!</v>
      </c>
      <c r="O98" s="145" t="e">
        <f>+'staffing plan'!#REF!</f>
        <v>#REF!</v>
      </c>
      <c r="P98" s="131">
        <f>+'staffing plan'!AH89</f>
        <v>783828</v>
      </c>
      <c r="Q98" s="131">
        <f>+'staffing plan'!AI89</f>
        <v>783828</v>
      </c>
      <c r="R98">
        <f>+'staffing plan'!BP89</f>
        <v>0</v>
      </c>
      <c r="S98">
        <v>97</v>
      </c>
    </row>
    <row r="99" spans="2:19">
      <c r="B99">
        <f t="shared" si="5"/>
        <v>2017</v>
      </c>
      <c r="C99">
        <f>+'staffing plan'!BK92</f>
        <v>43070</v>
      </c>
      <c r="D99" t="str">
        <f>'staffing plan'!A92</f>
        <v>OSEC-DILGB-LGOO6-10-2017</v>
      </c>
      <c r="E99" t="str">
        <f>+'staffing plan'!B92</f>
        <v>Local Government Operations Officer VI</v>
      </c>
      <c r="F99">
        <f>+'staffing plan'!C92</f>
        <v>22</v>
      </c>
      <c r="G99" s="131">
        <f>+'staffing plan'!AJ92</f>
        <v>1</v>
      </c>
      <c r="H99" t="str">
        <f>+'staffing plan'!AX92</f>
        <v>Abra</v>
      </c>
      <c r="I99" t="str">
        <f>+'staffing plan'!AW92</f>
        <v>CALINA, Crescencio II Benauro</v>
      </c>
      <c r="J99" t="e">
        <f>+'staffing plan'!#REF!</f>
        <v>#REF!</v>
      </c>
      <c r="K99" t="e">
        <f>+'staffing plan'!#REF!</f>
        <v>#REF!</v>
      </c>
      <c r="L99" t="str">
        <f>+'staffing plan'!AY92</f>
        <v>M</v>
      </c>
      <c r="M99" s="145" t="e">
        <f>+'staffing plan'!#REF!</f>
        <v>#REF!</v>
      </c>
      <c r="N99" s="145" t="e">
        <f>'staffing plan'!#REF!</f>
        <v>#REF!</v>
      </c>
      <c r="O99" s="145" t="e">
        <f>+'staffing plan'!#REF!</f>
        <v>#REF!</v>
      </c>
      <c r="P99" s="131">
        <f>+'staffing plan'!AH92</f>
        <v>783828</v>
      </c>
      <c r="Q99" s="131">
        <f>+'staffing plan'!AI92</f>
        <v>783828</v>
      </c>
      <c r="R99">
        <f>+'staffing plan'!BP92</f>
        <v>0</v>
      </c>
      <c r="S99">
        <v>98</v>
      </c>
    </row>
    <row r="100" spans="2:19">
      <c r="B100">
        <f t="shared" si="5"/>
        <v>2017</v>
      </c>
      <c r="C100">
        <f>+'staffing plan'!BK93</f>
        <v>43070</v>
      </c>
      <c r="D100" t="str">
        <f>'staffing plan'!A93</f>
        <v>OSEC-DILGB-LGOO6-11-2017</v>
      </c>
      <c r="E100" t="str">
        <f>+'staffing plan'!B93</f>
        <v>Local Government Operations Officer VI</v>
      </c>
      <c r="F100">
        <f>+'staffing plan'!C93</f>
        <v>22</v>
      </c>
      <c r="G100" s="131">
        <f>+'staffing plan'!AJ93</f>
        <v>1</v>
      </c>
      <c r="H100" t="str">
        <f>+'staffing plan'!AX93</f>
        <v>Abra</v>
      </c>
      <c r="I100" t="str">
        <f>+'staffing plan'!AW93</f>
        <v>CARIÑO, Erma Hernandez</v>
      </c>
      <c r="J100" t="e">
        <f>+'staffing plan'!#REF!</f>
        <v>#REF!</v>
      </c>
      <c r="K100" t="e">
        <f>+'staffing plan'!#REF!</f>
        <v>#REF!</v>
      </c>
      <c r="L100" t="str">
        <f>+'staffing plan'!AY93</f>
        <v>F</v>
      </c>
      <c r="M100" s="145" t="e">
        <f>+'staffing plan'!#REF!</f>
        <v>#REF!</v>
      </c>
      <c r="N100" s="145" t="e">
        <f>'staffing plan'!#REF!</f>
        <v>#REF!</v>
      </c>
      <c r="O100" s="145" t="e">
        <f>+'staffing plan'!#REF!</f>
        <v>#REF!</v>
      </c>
      <c r="P100" s="131">
        <f>+'staffing plan'!AH93</f>
        <v>783828</v>
      </c>
      <c r="Q100" s="131">
        <f>+'staffing plan'!AI93</f>
        <v>783828</v>
      </c>
      <c r="R100">
        <f>+'staffing plan'!BP93</f>
        <v>0</v>
      </c>
      <c r="S100">
        <v>99</v>
      </c>
    </row>
    <row r="101" spans="2:19">
      <c r="B101">
        <f t="shared" si="5"/>
        <v>2017</v>
      </c>
      <c r="C101">
        <f>+'staffing plan'!BK95</f>
        <v>43070</v>
      </c>
      <c r="D101" t="str">
        <f>'staffing plan'!A95</f>
        <v>OSEC-DILGB-LGOO6-12-2017</v>
      </c>
      <c r="E101" t="str">
        <f>+'staffing plan'!B95</f>
        <v>Local Government Operations Officer VI</v>
      </c>
      <c r="F101">
        <f>+'staffing plan'!C95</f>
        <v>22</v>
      </c>
      <c r="G101" s="131">
        <f>+'staffing plan'!AJ95</f>
        <v>1</v>
      </c>
      <c r="H101" t="str">
        <f>+'staffing plan'!AX95</f>
        <v>Abra</v>
      </c>
      <c r="I101" t="str">
        <f>+'staffing plan'!AW95</f>
        <v>HERNANDEZ, Jean  Smith</v>
      </c>
      <c r="J101" t="e">
        <f>+'staffing plan'!#REF!</f>
        <v>#REF!</v>
      </c>
      <c r="K101" t="e">
        <f>+'staffing plan'!#REF!</f>
        <v>#REF!</v>
      </c>
      <c r="L101" t="str">
        <f>+'staffing plan'!AY95</f>
        <v>F</v>
      </c>
      <c r="M101" s="145" t="e">
        <f>+'staffing plan'!#REF!</f>
        <v>#REF!</v>
      </c>
      <c r="N101" s="145" t="e">
        <f>'staffing plan'!#REF!</f>
        <v>#REF!</v>
      </c>
      <c r="O101" s="145" t="e">
        <f>+'staffing plan'!#REF!</f>
        <v>#REF!</v>
      </c>
      <c r="P101" s="131">
        <f>+'staffing plan'!AH95</f>
        <v>783828</v>
      </c>
      <c r="Q101" s="131">
        <f>+'staffing plan'!AI95</f>
        <v>783828</v>
      </c>
      <c r="R101" t="str">
        <f>+'staffing plan'!BP95</f>
        <v>Shifting</v>
      </c>
      <c r="S101">
        <v>100</v>
      </c>
    </row>
    <row r="102" spans="2:19">
      <c r="B102">
        <f t="shared" si="5"/>
        <v>2017</v>
      </c>
      <c r="C102">
        <f>+'staffing plan'!BK96</f>
        <v>43070</v>
      </c>
      <c r="D102" t="str">
        <f>'staffing plan'!A96</f>
        <v>OSEC-DILGB-LGOO6-13-2017</v>
      </c>
      <c r="E102" t="str">
        <f>+'staffing plan'!B96</f>
        <v>Local Government Operations Officer VI</v>
      </c>
      <c r="F102">
        <f>+'staffing plan'!C96</f>
        <v>22</v>
      </c>
      <c r="G102" s="131">
        <f>+'staffing plan'!AJ96</f>
        <v>1</v>
      </c>
      <c r="H102" t="str">
        <f>+'staffing plan'!AX96</f>
        <v>Abra</v>
      </c>
      <c r="I102" t="str">
        <f>+'staffing plan'!AW96</f>
        <v>TRINIDAD, Bernabe Bejarin</v>
      </c>
      <c r="J102" t="e">
        <f>+'staffing plan'!#REF!</f>
        <v>#REF!</v>
      </c>
      <c r="K102" t="e">
        <f>+'staffing plan'!#REF!</f>
        <v>#REF!</v>
      </c>
      <c r="L102" t="str">
        <f>+'staffing plan'!AY96</f>
        <v>M</v>
      </c>
      <c r="M102" s="145" t="e">
        <f>+'staffing plan'!#REF!</f>
        <v>#REF!</v>
      </c>
      <c r="N102" s="145" t="e">
        <f>'staffing plan'!#REF!</f>
        <v>#REF!</v>
      </c>
      <c r="O102" s="145" t="e">
        <f>+'staffing plan'!#REF!</f>
        <v>#REF!</v>
      </c>
      <c r="P102" s="131">
        <f>+'staffing plan'!AH96</f>
        <v>783828</v>
      </c>
      <c r="Q102" s="131">
        <f>+'staffing plan'!AI96</f>
        <v>783828</v>
      </c>
      <c r="R102">
        <f>+'staffing plan'!BP96</f>
        <v>0</v>
      </c>
      <c r="S102">
        <v>101</v>
      </c>
    </row>
    <row r="103" spans="2:19">
      <c r="B103">
        <f t="shared" si="5"/>
        <v>2017</v>
      </c>
      <c r="C103">
        <f>+'staffing plan'!BK98</f>
        <v>43070</v>
      </c>
      <c r="D103" t="str">
        <f>'staffing plan'!A98</f>
        <v>OSEC-DILGB-LGOO6-14-2017</v>
      </c>
      <c r="E103" t="str">
        <f>+'staffing plan'!B98</f>
        <v>Local Government Operations Officer VI</v>
      </c>
      <c r="F103">
        <f>+'staffing plan'!C98</f>
        <v>22</v>
      </c>
      <c r="G103" s="131">
        <f>+'staffing plan'!AJ98</f>
        <v>1</v>
      </c>
      <c r="H103" t="str">
        <f>+'staffing plan'!AX98</f>
        <v>Abra</v>
      </c>
      <c r="I103" t="str">
        <f>+'staffing plan'!AW98</f>
        <v>ABANCE, Mary Jane Samonte</v>
      </c>
      <c r="J103" t="e">
        <f>+'staffing plan'!#REF!</f>
        <v>#REF!</v>
      </c>
      <c r="K103" t="e">
        <f>+'staffing plan'!#REF!</f>
        <v>#REF!</v>
      </c>
      <c r="L103" t="str">
        <f>+'staffing plan'!AY98</f>
        <v>F</v>
      </c>
      <c r="M103" s="145" t="e">
        <f>+'staffing plan'!#REF!</f>
        <v>#REF!</v>
      </c>
      <c r="N103" s="145" t="e">
        <f>'staffing plan'!#REF!</f>
        <v>#REF!</v>
      </c>
      <c r="O103" s="145" t="e">
        <f>+'staffing plan'!#REF!</f>
        <v>#REF!</v>
      </c>
      <c r="P103" s="131">
        <f>+'staffing plan'!AH98</f>
        <v>783828</v>
      </c>
      <c r="Q103" s="131">
        <f>+'staffing plan'!AI98</f>
        <v>783828</v>
      </c>
      <c r="R103">
        <f>+'staffing plan'!BP98</f>
        <v>0</v>
      </c>
      <c r="S103">
        <v>102</v>
      </c>
    </row>
    <row r="104" spans="2:19">
      <c r="B104">
        <f t="shared" si="5"/>
        <v>2017</v>
      </c>
      <c r="C104">
        <f>+'staffing plan'!BK99</f>
        <v>43087</v>
      </c>
      <c r="D104" t="str">
        <f>'staffing plan'!A99</f>
        <v>OSEC-DILGB-LGOO6-15-2017</v>
      </c>
      <c r="E104" t="str">
        <f>+'staffing plan'!B99</f>
        <v>Local Government Operations Officer VI</v>
      </c>
      <c r="F104">
        <f>+'staffing plan'!C99</f>
        <v>22</v>
      </c>
      <c r="G104" s="131">
        <f>+'staffing plan'!AJ99</f>
        <v>1</v>
      </c>
      <c r="H104" t="str">
        <f>+'staffing plan'!AX99</f>
        <v>Abra</v>
      </c>
      <c r="I104" t="str">
        <f>+'staffing plan'!AW99</f>
        <v>WALANG, Marlon Silvada</v>
      </c>
      <c r="J104" t="e">
        <f>+'staffing plan'!#REF!</f>
        <v>#REF!</v>
      </c>
      <c r="K104" t="e">
        <f>+'staffing plan'!#REF!</f>
        <v>#REF!</v>
      </c>
      <c r="L104" t="str">
        <f>+'staffing plan'!AY99</f>
        <v>M</v>
      </c>
      <c r="M104" s="145" t="e">
        <f>+'staffing plan'!#REF!</f>
        <v>#REF!</v>
      </c>
      <c r="N104" s="145" t="e">
        <f>'staffing plan'!#REF!</f>
        <v>#REF!</v>
      </c>
      <c r="O104" s="145" t="e">
        <f>+'staffing plan'!#REF!</f>
        <v>#REF!</v>
      </c>
      <c r="P104" s="131">
        <f>+'staffing plan'!AH99</f>
        <v>783828</v>
      </c>
      <c r="Q104" s="131">
        <f>+'staffing plan'!AI99</f>
        <v>783828</v>
      </c>
      <c r="R104">
        <f>+'staffing plan'!BP99</f>
        <v>0</v>
      </c>
      <c r="S104">
        <v>103</v>
      </c>
    </row>
    <row r="105" spans="2:19">
      <c r="B105">
        <f t="shared" si="5"/>
        <v>2017</v>
      </c>
      <c r="C105">
        <f>+'staffing plan'!BK100</f>
        <v>43070</v>
      </c>
      <c r="D105" t="str">
        <f>'staffing plan'!A100</f>
        <v>OSEC-DILGB-LGOO6-16-2017</v>
      </c>
      <c r="E105" t="str">
        <f>+'staffing plan'!B100</f>
        <v>Local Government Operations Officer VI</v>
      </c>
      <c r="F105">
        <f>+'staffing plan'!C100</f>
        <v>22</v>
      </c>
      <c r="G105" s="131">
        <f>+'staffing plan'!AJ100</f>
        <v>1</v>
      </c>
      <c r="H105" t="str">
        <f>+'staffing plan'!AX100</f>
        <v>Abra</v>
      </c>
      <c r="I105" t="str">
        <f>+'staffing plan'!AW100</f>
        <v>BARRERAS, Carlito Tejero</v>
      </c>
      <c r="J105" t="e">
        <f>+'staffing plan'!#REF!</f>
        <v>#REF!</v>
      </c>
      <c r="K105" t="e">
        <f>+'staffing plan'!#REF!</f>
        <v>#REF!</v>
      </c>
      <c r="L105" t="str">
        <f>+'staffing plan'!AY100</f>
        <v>M</v>
      </c>
      <c r="M105" s="145" t="e">
        <f>+'staffing plan'!#REF!</f>
        <v>#REF!</v>
      </c>
      <c r="N105" s="145" t="e">
        <f>'staffing plan'!#REF!</f>
        <v>#REF!</v>
      </c>
      <c r="O105" s="145" t="e">
        <f>+'staffing plan'!#REF!</f>
        <v>#REF!</v>
      </c>
      <c r="P105" s="131">
        <f>+'staffing plan'!AH100</f>
        <v>783828</v>
      </c>
      <c r="Q105" s="131">
        <f>+'staffing plan'!AI100</f>
        <v>783828</v>
      </c>
      <c r="R105">
        <f>+'staffing plan'!BP100</f>
        <v>0</v>
      </c>
      <c r="S105">
        <v>104</v>
      </c>
    </row>
    <row r="106" spans="2:19">
      <c r="B106">
        <f t="shared" si="5"/>
        <v>2017</v>
      </c>
      <c r="C106">
        <f>+'staffing plan'!BK101</f>
        <v>43070</v>
      </c>
      <c r="D106" t="str">
        <f>'staffing plan'!A101</f>
        <v>OSEC-DILGB-LGOO6-17-2017</v>
      </c>
      <c r="E106" t="str">
        <f>+'staffing plan'!B101</f>
        <v>Local Government Operations Officer VI</v>
      </c>
      <c r="F106">
        <f>+'staffing plan'!C101</f>
        <v>22</v>
      </c>
      <c r="G106" s="131">
        <f>+'staffing plan'!AJ101</f>
        <v>1</v>
      </c>
      <c r="H106" t="str">
        <f>+'staffing plan'!AX101</f>
        <v>Abra</v>
      </c>
      <c r="I106" t="str">
        <f>+'staffing plan'!AW101</f>
        <v>VENUS, Nolito Domingo</v>
      </c>
      <c r="J106" t="e">
        <f>+'staffing plan'!#REF!</f>
        <v>#REF!</v>
      </c>
      <c r="K106" t="e">
        <f>+'staffing plan'!#REF!</f>
        <v>#REF!</v>
      </c>
      <c r="L106" t="str">
        <f>+'staffing plan'!AY101</f>
        <v>M</v>
      </c>
      <c r="M106" s="145" t="e">
        <f>+'staffing plan'!#REF!</f>
        <v>#REF!</v>
      </c>
      <c r="N106" s="145" t="e">
        <f>'staffing plan'!#REF!</f>
        <v>#REF!</v>
      </c>
      <c r="O106" s="145" t="e">
        <f>+'staffing plan'!#REF!</f>
        <v>#REF!</v>
      </c>
      <c r="P106" s="131">
        <f>+'staffing plan'!AH101</f>
        <v>783828</v>
      </c>
      <c r="Q106" s="131">
        <f>+'staffing plan'!AI101</f>
        <v>783828</v>
      </c>
      <c r="R106">
        <f>+'staffing plan'!BP101</f>
        <v>0</v>
      </c>
      <c r="S106">
        <v>105</v>
      </c>
    </row>
    <row r="107" spans="2:19">
      <c r="B107">
        <f t="shared" si="5"/>
        <v>2017</v>
      </c>
      <c r="C107">
        <f>+'staffing plan'!BK105</f>
        <v>43070</v>
      </c>
      <c r="D107" t="str">
        <f>'staffing plan'!A105</f>
        <v>OSEC-DILGB-LGOO6-21-2017</v>
      </c>
      <c r="E107" t="str">
        <f>+'staffing plan'!B105</f>
        <v>Local Government Operations Officer VI</v>
      </c>
      <c r="F107">
        <f>+'staffing plan'!C105</f>
        <v>22</v>
      </c>
      <c r="G107" s="131">
        <f>+'staffing plan'!AJ105</f>
        <v>1</v>
      </c>
      <c r="H107" t="str">
        <f>+'staffing plan'!AX105</f>
        <v>Abra</v>
      </c>
      <c r="I107" t="str">
        <f>+'staffing plan'!AW105</f>
        <v>GARCIA, Evelyn Arizabal</v>
      </c>
      <c r="J107" t="e">
        <f>+'staffing plan'!#REF!</f>
        <v>#REF!</v>
      </c>
      <c r="K107" t="e">
        <f>+'staffing plan'!#REF!</f>
        <v>#REF!</v>
      </c>
      <c r="L107" t="str">
        <f>+'staffing plan'!AY105</f>
        <v>F</v>
      </c>
      <c r="M107" s="145" t="e">
        <f>+'staffing plan'!#REF!</f>
        <v>#REF!</v>
      </c>
      <c r="N107" s="145" t="e">
        <f>'staffing plan'!#REF!</f>
        <v>#REF!</v>
      </c>
      <c r="O107" s="145" t="e">
        <f>+'staffing plan'!#REF!</f>
        <v>#REF!</v>
      </c>
      <c r="P107" s="131">
        <f>+'staffing plan'!AH105</f>
        <v>783828</v>
      </c>
      <c r="Q107" s="131">
        <f>+'staffing plan'!AI105</f>
        <v>783828</v>
      </c>
      <c r="R107">
        <f>+'staffing plan'!BP105</f>
        <v>0</v>
      </c>
      <c r="S107">
        <v>106</v>
      </c>
    </row>
    <row r="108" spans="2:19" hidden="1">
      <c r="B108">
        <f t="shared" si="5"/>
        <v>2018</v>
      </c>
      <c r="C108">
        <f>+'staffing plan'!BK168</f>
        <v>43129</v>
      </c>
      <c r="D108" t="str">
        <f>'staffing plan'!A168</f>
        <v>OSEC-DILGB-LGOO5-921-1998</v>
      </c>
      <c r="E108" t="str">
        <f>+'staffing plan'!B168</f>
        <v>Local Government Operations Officer V</v>
      </c>
      <c r="F108">
        <f>+'staffing plan'!C168</f>
        <v>20</v>
      </c>
      <c r="G108" s="131">
        <f>+'staffing plan'!AJ168</f>
        <v>1</v>
      </c>
      <c r="H108" t="str">
        <f>+'staffing plan'!AX168</f>
        <v>Abra</v>
      </c>
      <c r="I108" t="str">
        <f>+'staffing plan'!AW168</f>
        <v>TRINIDAD, Santos Beñas</v>
      </c>
      <c r="J108" t="e">
        <f>+'staffing plan'!#REF!</f>
        <v>#REF!</v>
      </c>
      <c r="K108" t="e">
        <f>+'staffing plan'!#REF!</f>
        <v>#REF!</v>
      </c>
      <c r="L108" t="str">
        <f>+'staffing plan'!AY168</f>
        <v>M</v>
      </c>
      <c r="M108" s="145" t="e">
        <f>+'staffing plan'!#REF!</f>
        <v>#REF!</v>
      </c>
      <c r="N108" s="145" t="e">
        <f>'staffing plan'!#REF!</f>
        <v>#REF!</v>
      </c>
      <c r="O108" s="145" t="e">
        <f>+'staffing plan'!#REF!</f>
        <v>#REF!</v>
      </c>
      <c r="P108" s="131">
        <f>+'staffing plan'!AH168</f>
        <v>613860</v>
      </c>
      <c r="Q108" s="131">
        <f>+'staffing plan'!AI168</f>
        <v>613860</v>
      </c>
      <c r="R108" t="str">
        <f>+'staffing plan'!BP168</f>
        <v>Abra</v>
      </c>
      <c r="S108">
        <v>107</v>
      </c>
    </row>
    <row r="109" spans="2:19">
      <c r="B109">
        <f t="shared" si="5"/>
        <v>2017</v>
      </c>
      <c r="C109">
        <f>+'staffing plan'!BK102</f>
        <v>43070</v>
      </c>
      <c r="D109" t="str">
        <f>'staffing plan'!A102</f>
        <v>OSEC-DILGB-LGOO6-18-2017</v>
      </c>
      <c r="E109" t="str">
        <f>+'staffing plan'!B102</f>
        <v>Local Government Operations Officer VI</v>
      </c>
      <c r="F109">
        <f>+'staffing plan'!C102</f>
        <v>22</v>
      </c>
      <c r="G109" s="131">
        <f>+'staffing plan'!AJ102</f>
        <v>1</v>
      </c>
      <c r="H109" t="str">
        <f>+'staffing plan'!AX102</f>
        <v>Abra</v>
      </c>
      <c r="I109" t="str">
        <f>+'staffing plan'!AW102</f>
        <v>VENUS, Normita Cruz</v>
      </c>
      <c r="J109" t="e">
        <f>+'staffing plan'!#REF!</f>
        <v>#REF!</v>
      </c>
      <c r="K109" t="e">
        <f>+'staffing plan'!#REF!</f>
        <v>#REF!</v>
      </c>
      <c r="L109" t="str">
        <f>+'staffing plan'!AY102</f>
        <v>F</v>
      </c>
      <c r="M109" s="145" t="e">
        <f>+'staffing plan'!#REF!</f>
        <v>#REF!</v>
      </c>
      <c r="N109" s="145" t="e">
        <f>'staffing plan'!#REF!</f>
        <v>#REF!</v>
      </c>
      <c r="O109" s="145" t="e">
        <f>+'staffing plan'!#REF!</f>
        <v>#REF!</v>
      </c>
      <c r="P109" s="131">
        <f>+'staffing plan'!AH102</f>
        <v>783828</v>
      </c>
      <c r="Q109" s="131">
        <f>+'staffing plan'!AI102</f>
        <v>783828</v>
      </c>
      <c r="R109">
        <f>+'staffing plan'!BP102</f>
        <v>0</v>
      </c>
      <c r="S109">
        <v>108</v>
      </c>
    </row>
    <row r="110" spans="2:19">
      <c r="B110">
        <f t="shared" si="5"/>
        <v>2017</v>
      </c>
      <c r="C110">
        <f>+'staffing plan'!BK103</f>
        <v>43070</v>
      </c>
      <c r="D110" t="str">
        <f>'staffing plan'!A103</f>
        <v>OSEC-DILGB-LGOO6-19-2017</v>
      </c>
      <c r="E110" t="str">
        <f>+'staffing plan'!B103</f>
        <v>Local Government Operations Officer VI</v>
      </c>
      <c r="F110">
        <f>+'staffing plan'!C103</f>
        <v>22</v>
      </c>
      <c r="G110" s="131">
        <f>+'staffing plan'!AJ103</f>
        <v>1</v>
      </c>
      <c r="H110" t="str">
        <f>+'staffing plan'!AX103</f>
        <v>Abra</v>
      </c>
      <c r="I110" t="str">
        <f>+'staffing plan'!AW103</f>
        <v>IDOS, Dexter Las-o</v>
      </c>
      <c r="J110" t="e">
        <f>+'staffing plan'!#REF!</f>
        <v>#REF!</v>
      </c>
      <c r="K110" t="e">
        <f>+'staffing plan'!#REF!</f>
        <v>#REF!</v>
      </c>
      <c r="L110" t="str">
        <f>+'staffing plan'!AY103</f>
        <v>M</v>
      </c>
      <c r="M110" s="145" t="e">
        <f>+'staffing plan'!#REF!</f>
        <v>#REF!</v>
      </c>
      <c r="N110" s="145" t="e">
        <f>'staffing plan'!#REF!</f>
        <v>#REF!</v>
      </c>
      <c r="O110" s="145" t="e">
        <f>+'staffing plan'!#REF!</f>
        <v>#REF!</v>
      </c>
      <c r="P110" s="131">
        <f>+'staffing plan'!AH103</f>
        <v>783828</v>
      </c>
      <c r="Q110" s="131">
        <f>+'staffing plan'!AI103</f>
        <v>783828</v>
      </c>
      <c r="R110" t="str">
        <f>+'staffing plan'!BP103</f>
        <v>Shifting</v>
      </c>
      <c r="S110">
        <v>109</v>
      </c>
    </row>
    <row r="111" spans="2:19">
      <c r="B111">
        <f t="shared" si="5"/>
        <v>2012</v>
      </c>
      <c r="C111">
        <f>+'staffing plan'!BK169</f>
        <v>41138</v>
      </c>
      <c r="D111" t="str">
        <f>'staffing plan'!A169</f>
        <v>OSEC-DILGB-LGOO5-925-1998</v>
      </c>
      <c r="E111" t="str">
        <f>+'staffing plan'!B169</f>
        <v>Local Government Operations Officer V</v>
      </c>
      <c r="F111">
        <f>+'staffing plan'!C169</f>
        <v>20</v>
      </c>
      <c r="G111" s="131">
        <f>+'staffing plan'!AJ169</f>
        <v>3</v>
      </c>
      <c r="H111" t="str">
        <f>+'staffing plan'!AX169</f>
        <v>Benguet</v>
      </c>
      <c r="I111" t="str">
        <f>+'staffing plan'!AW169</f>
        <v>MANGANGEY, Ma. Teresa Ancheta</v>
      </c>
      <c r="J111" t="e">
        <f>+'staffing plan'!#REF!</f>
        <v>#REF!</v>
      </c>
      <c r="K111" t="e">
        <f>+'staffing plan'!#REF!</f>
        <v>#REF!</v>
      </c>
      <c r="L111" t="str">
        <f>+'staffing plan'!AY169</f>
        <v>F</v>
      </c>
      <c r="M111" s="145" t="e">
        <f>+'staffing plan'!#REF!</f>
        <v>#REF!</v>
      </c>
      <c r="N111" s="145" t="e">
        <f>'staffing plan'!#REF!</f>
        <v>#REF!</v>
      </c>
      <c r="O111" s="145" t="e">
        <f>+'staffing plan'!#REF!</f>
        <v>#REF!</v>
      </c>
      <c r="P111" s="131">
        <f>+'staffing plan'!AH169</f>
        <v>613860</v>
      </c>
      <c r="Q111" s="131">
        <f>+'staffing plan'!AI169</f>
        <v>634056</v>
      </c>
      <c r="R111">
        <f>+'staffing plan'!BP169</f>
        <v>0</v>
      </c>
      <c r="S111">
        <v>110</v>
      </c>
    </row>
    <row r="112" spans="2:19">
      <c r="B112">
        <f t="shared" si="5"/>
        <v>2016</v>
      </c>
      <c r="C112">
        <f>+'staffing plan'!BK157</f>
        <v>42597</v>
      </c>
      <c r="D112" t="str">
        <f>'staffing plan'!A157</f>
        <v>OSEC-DILGB-LGOO6-73-2017</v>
      </c>
      <c r="E112" t="str">
        <f>+'staffing plan'!B157</f>
        <v>Local Government Operations Officer VI</v>
      </c>
      <c r="F112">
        <f>+'staffing plan'!C157</f>
        <v>22</v>
      </c>
      <c r="G112" s="131">
        <f>+'staffing plan'!AJ157</f>
        <v>1</v>
      </c>
      <c r="H112" t="str">
        <f>+'staffing plan'!AX157</f>
        <v>Benguet</v>
      </c>
      <c r="I112" t="str">
        <f>+'staffing plan'!AW157</f>
        <v>WAGIAN, Cecilia Daupan</v>
      </c>
      <c r="J112" t="e">
        <f>+'staffing plan'!#REF!</f>
        <v>#REF!</v>
      </c>
      <c r="K112" t="e">
        <f>+'staffing plan'!#REF!</f>
        <v>#REF!</v>
      </c>
      <c r="L112" t="str">
        <f>+'staffing plan'!AY157</f>
        <v>F</v>
      </c>
      <c r="M112" s="145" t="e">
        <f>+'staffing plan'!#REF!</f>
        <v>#REF!</v>
      </c>
      <c r="N112" s="145" t="e">
        <f>'staffing plan'!#REF!</f>
        <v>#REF!</v>
      </c>
      <c r="O112" s="145" t="e">
        <f>+'staffing plan'!#REF!</f>
        <v>#REF!</v>
      </c>
      <c r="P112" s="131">
        <f>+'staffing plan'!AH157</f>
        <v>783828</v>
      </c>
      <c r="Q112" s="131">
        <f>+'staffing plan'!AI157</f>
        <v>783828</v>
      </c>
      <c r="R112" t="str">
        <f>+'staffing plan'!BP157</f>
        <v>Transfer from PM 1/3/18</v>
      </c>
      <c r="S112">
        <v>111</v>
      </c>
    </row>
    <row r="113" spans="2:19">
      <c r="B113">
        <f t="shared" si="5"/>
        <v>2017</v>
      </c>
      <c r="C113">
        <f>+'staffing plan'!BK111</f>
        <v>43070</v>
      </c>
      <c r="D113" t="str">
        <f>'staffing plan'!A111</f>
        <v>OSEC-DILGB-LGOO6-27-2017</v>
      </c>
      <c r="E113" t="str">
        <f>+'staffing plan'!B111</f>
        <v>Local Government Operations Officer VI</v>
      </c>
      <c r="F113">
        <f>+'staffing plan'!C111</f>
        <v>22</v>
      </c>
      <c r="G113" s="131">
        <f>+'staffing plan'!AJ111</f>
        <v>1</v>
      </c>
      <c r="H113" t="str">
        <f>+'staffing plan'!AX111</f>
        <v>Benguet</v>
      </c>
      <c r="I113" t="str">
        <f>+'staffing plan'!AW111</f>
        <v>CHAN, Virginia Lucas</v>
      </c>
      <c r="J113" t="e">
        <f>+'staffing plan'!#REF!</f>
        <v>#REF!</v>
      </c>
      <c r="K113" t="e">
        <f>+'staffing plan'!#REF!</f>
        <v>#REF!</v>
      </c>
      <c r="L113" t="str">
        <f>+'staffing plan'!AY111</f>
        <v>F</v>
      </c>
      <c r="M113" s="145" t="e">
        <f>+'staffing plan'!#REF!</f>
        <v>#REF!</v>
      </c>
      <c r="N113" s="145" t="e">
        <f>'staffing plan'!#REF!</f>
        <v>#REF!</v>
      </c>
      <c r="O113" s="145" t="e">
        <f>+'staffing plan'!#REF!</f>
        <v>#REF!</v>
      </c>
      <c r="P113" s="131">
        <f>+'staffing plan'!AH111</f>
        <v>783828</v>
      </c>
      <c r="Q113" s="131">
        <f>+'staffing plan'!AI111</f>
        <v>783828</v>
      </c>
      <c r="R113">
        <f>+'staffing plan'!BP111</f>
        <v>0</v>
      </c>
      <c r="S113">
        <v>112</v>
      </c>
    </row>
    <row r="114" spans="2:19">
      <c r="B114">
        <f t="shared" si="5"/>
        <v>2017</v>
      </c>
      <c r="C114">
        <f>+'staffing plan'!BK112</f>
        <v>43087</v>
      </c>
      <c r="D114" t="str">
        <f>'staffing plan'!A112</f>
        <v>OSEC-DILGB-LGOO6-28-2017</v>
      </c>
      <c r="E114" t="str">
        <f>+'staffing plan'!B112</f>
        <v>Local Government Operations Officer VI</v>
      </c>
      <c r="F114">
        <f>+'staffing plan'!C112</f>
        <v>22</v>
      </c>
      <c r="G114" s="131">
        <f>+'staffing plan'!AJ112</f>
        <v>1</v>
      </c>
      <c r="H114" t="str">
        <f>+'staffing plan'!AX112</f>
        <v>Benguet</v>
      </c>
      <c r="I114" t="str">
        <f>+'staffing plan'!AW112</f>
        <v>SAHOY, Jonilou Fukai</v>
      </c>
      <c r="J114" t="e">
        <f>+'staffing plan'!#REF!</f>
        <v>#REF!</v>
      </c>
      <c r="K114" t="e">
        <f>+'staffing plan'!#REF!</f>
        <v>#REF!</v>
      </c>
      <c r="L114" t="str">
        <f>+'staffing plan'!AY112</f>
        <v>F</v>
      </c>
      <c r="M114" s="145" t="e">
        <f>+'staffing plan'!#REF!</f>
        <v>#REF!</v>
      </c>
      <c r="N114" s="145" t="e">
        <f>'staffing plan'!#REF!</f>
        <v>#REF!</v>
      </c>
      <c r="O114" s="145" t="e">
        <f>+'staffing plan'!#REF!</f>
        <v>#REF!</v>
      </c>
      <c r="P114" s="131">
        <f>+'staffing plan'!AH112</f>
        <v>783828</v>
      </c>
      <c r="Q114" s="131">
        <f>+'staffing plan'!AI112</f>
        <v>783828</v>
      </c>
      <c r="R114">
        <f>+'staffing plan'!BP112</f>
        <v>0</v>
      </c>
      <c r="S114">
        <v>113</v>
      </c>
    </row>
    <row r="115" spans="2:19">
      <c r="B115">
        <f t="shared" si="5"/>
        <v>2017</v>
      </c>
      <c r="C115">
        <f>+'staffing plan'!BK113</f>
        <v>43070</v>
      </c>
      <c r="D115" t="str">
        <f>'staffing plan'!A113</f>
        <v>OSEC-DILGB-LGOO6-29-2017</v>
      </c>
      <c r="E115" t="str">
        <f>+'staffing plan'!B113</f>
        <v>Local Government Operations Officer VI</v>
      </c>
      <c r="F115">
        <f>+'staffing plan'!C113</f>
        <v>22</v>
      </c>
      <c r="G115" s="131">
        <f>+'staffing plan'!AJ113</f>
        <v>1</v>
      </c>
      <c r="H115" t="str">
        <f>+'staffing plan'!AX113</f>
        <v>Benguet</v>
      </c>
      <c r="I115" t="str">
        <f>+'staffing plan'!AW113</f>
        <v>ATING, Janet Belingon</v>
      </c>
      <c r="J115" t="e">
        <f>+'staffing plan'!#REF!</f>
        <v>#REF!</v>
      </c>
      <c r="K115" t="e">
        <f>+'staffing plan'!#REF!</f>
        <v>#REF!</v>
      </c>
      <c r="L115" t="str">
        <f>+'staffing plan'!AY113</f>
        <v>F</v>
      </c>
      <c r="M115" s="145" t="e">
        <f>+'staffing plan'!#REF!</f>
        <v>#REF!</v>
      </c>
      <c r="N115" s="145" t="e">
        <f>'staffing plan'!#REF!</f>
        <v>#REF!</v>
      </c>
      <c r="O115" s="145" t="e">
        <f>+'staffing plan'!#REF!</f>
        <v>#REF!</v>
      </c>
      <c r="P115" s="131">
        <f>+'staffing plan'!AH113</f>
        <v>783828</v>
      </c>
      <c r="Q115" s="131">
        <f>+'staffing plan'!AI113</f>
        <v>783828</v>
      </c>
      <c r="R115">
        <f>+'staffing plan'!BP113</f>
        <v>0</v>
      </c>
      <c r="S115">
        <v>114</v>
      </c>
    </row>
    <row r="116" spans="2:19">
      <c r="B116">
        <f t="shared" si="5"/>
        <v>2017</v>
      </c>
      <c r="C116">
        <f>+'staffing plan'!BK114</f>
        <v>43070</v>
      </c>
      <c r="D116" t="str">
        <f>'staffing plan'!A114</f>
        <v>OSEC-DILGB-LGOO6-30-2017</v>
      </c>
      <c r="E116" t="str">
        <f>+'staffing plan'!B114</f>
        <v>Local Government Operations Officer VI</v>
      </c>
      <c r="F116">
        <f>+'staffing plan'!C114</f>
        <v>22</v>
      </c>
      <c r="G116" s="131">
        <f>+'staffing plan'!AJ114</f>
        <v>1</v>
      </c>
      <c r="H116" t="str">
        <f>+'staffing plan'!AX114</f>
        <v>Benguet</v>
      </c>
      <c r="I116" t="str">
        <f>+'staffing plan'!AW114</f>
        <v>ULEP, Brigitte  Adeban</v>
      </c>
      <c r="J116" t="e">
        <f>+'staffing plan'!#REF!</f>
        <v>#REF!</v>
      </c>
      <c r="K116" t="e">
        <f>+'staffing plan'!#REF!</f>
        <v>#REF!</v>
      </c>
      <c r="L116" t="str">
        <f>+'staffing plan'!AY114</f>
        <v>F</v>
      </c>
      <c r="M116" s="145" t="e">
        <f>+'staffing plan'!#REF!</f>
        <v>#REF!</v>
      </c>
      <c r="N116" s="145" t="e">
        <f>'staffing plan'!#REF!</f>
        <v>#REF!</v>
      </c>
      <c r="O116" s="145" t="e">
        <f>+'staffing plan'!#REF!</f>
        <v>#REF!</v>
      </c>
      <c r="P116" s="131">
        <f>+'staffing plan'!AH114</f>
        <v>783828</v>
      </c>
      <c r="Q116" s="131">
        <f>+'staffing plan'!AI114</f>
        <v>783828</v>
      </c>
      <c r="R116">
        <f>+'staffing plan'!BP114</f>
        <v>0</v>
      </c>
      <c r="S116">
        <v>115</v>
      </c>
    </row>
    <row r="117" spans="2:19">
      <c r="B117">
        <f t="shared" si="5"/>
        <v>2017</v>
      </c>
      <c r="C117">
        <f>+'staffing plan'!BK115</f>
        <v>43070</v>
      </c>
      <c r="D117" t="str">
        <f>'staffing plan'!A115</f>
        <v>OSEC-DILGB-LGOO6-31-2017</v>
      </c>
      <c r="E117" t="str">
        <f>+'staffing plan'!B115</f>
        <v>Local Government Operations Officer VI</v>
      </c>
      <c r="F117">
        <f>+'staffing plan'!C115</f>
        <v>22</v>
      </c>
      <c r="G117" s="131">
        <f>+'staffing plan'!AJ115</f>
        <v>1</v>
      </c>
      <c r="H117" t="str">
        <f>+'staffing plan'!AX115</f>
        <v>Benguet</v>
      </c>
      <c r="I117" t="str">
        <f>+'staffing plan'!AW115</f>
        <v>ATING, Cesar Uemura</v>
      </c>
      <c r="J117" t="e">
        <f>+'staffing plan'!#REF!</f>
        <v>#REF!</v>
      </c>
      <c r="K117" t="e">
        <f>+'staffing plan'!#REF!</f>
        <v>#REF!</v>
      </c>
      <c r="L117" t="str">
        <f>+'staffing plan'!AY115</f>
        <v>M</v>
      </c>
      <c r="M117" s="145" t="e">
        <f>+'staffing plan'!#REF!</f>
        <v>#REF!</v>
      </c>
      <c r="N117" s="145" t="e">
        <f>'staffing plan'!#REF!</f>
        <v>#REF!</v>
      </c>
      <c r="O117" s="145" t="e">
        <f>+'staffing plan'!#REF!</f>
        <v>#REF!</v>
      </c>
      <c r="P117" s="131">
        <f>+'staffing plan'!AH115</f>
        <v>783828</v>
      </c>
      <c r="Q117" s="131">
        <f>+'staffing plan'!AI115</f>
        <v>783828</v>
      </c>
      <c r="R117" t="str">
        <f>+'staffing plan'!BP115</f>
        <v>Shifting</v>
      </c>
      <c r="S117">
        <v>116</v>
      </c>
    </row>
    <row r="118" spans="2:19">
      <c r="B118">
        <f t="shared" si="5"/>
        <v>2017</v>
      </c>
      <c r="C118">
        <f>+'staffing plan'!BK116</f>
        <v>43070</v>
      </c>
      <c r="D118" t="str">
        <f>'staffing plan'!A116</f>
        <v>OSEC-DILGB-LGOO6-32-2017</v>
      </c>
      <c r="E118" t="str">
        <f>+'staffing plan'!B116</f>
        <v>Local Government Operations Officer VI</v>
      </c>
      <c r="F118">
        <f>+'staffing plan'!C116</f>
        <v>22</v>
      </c>
      <c r="G118" s="131">
        <f>+'staffing plan'!AJ116</f>
        <v>1</v>
      </c>
      <c r="H118" t="str">
        <f>+'staffing plan'!AX116</f>
        <v>Benguet</v>
      </c>
      <c r="I118" t="str">
        <f>+'staffing plan'!AW116</f>
        <v>LUMA-ANG, Randy Thomas</v>
      </c>
      <c r="J118" t="e">
        <f>+'staffing plan'!#REF!</f>
        <v>#REF!</v>
      </c>
      <c r="K118" t="e">
        <f>+'staffing plan'!#REF!</f>
        <v>#REF!</v>
      </c>
      <c r="L118" t="str">
        <f>+'staffing plan'!AY116</f>
        <v>M</v>
      </c>
      <c r="M118" s="145" t="e">
        <f>+'staffing plan'!#REF!</f>
        <v>#REF!</v>
      </c>
      <c r="N118" s="145" t="e">
        <f>'staffing plan'!#REF!</f>
        <v>#REF!</v>
      </c>
      <c r="O118" s="145" t="e">
        <f>+'staffing plan'!#REF!</f>
        <v>#REF!</v>
      </c>
      <c r="P118" s="131">
        <f>+'staffing plan'!AH116</f>
        <v>783828</v>
      </c>
      <c r="Q118" s="131">
        <f>+'staffing plan'!AI116</f>
        <v>783828</v>
      </c>
      <c r="R118">
        <f>+'staffing plan'!BP116</f>
        <v>0</v>
      </c>
      <c r="S118">
        <v>117</v>
      </c>
    </row>
    <row r="119" spans="2:19">
      <c r="B119">
        <f t="shared" si="5"/>
        <v>2002</v>
      </c>
      <c r="C119">
        <f>+'staffing plan'!BK170</f>
        <v>37453</v>
      </c>
      <c r="D119" t="str">
        <f>'staffing plan'!A170</f>
        <v>OSEC-DILGB-LGOO5-934-1998</v>
      </c>
      <c r="E119" t="str">
        <f>+'staffing plan'!B170</f>
        <v>Local Government Operations Officer V</v>
      </c>
      <c r="F119">
        <f>+'staffing plan'!C170</f>
        <v>20</v>
      </c>
      <c r="G119" s="131">
        <f>+'staffing plan'!AJ170</f>
        <v>6</v>
      </c>
      <c r="H119" t="str">
        <f>+'staffing plan'!AX170</f>
        <v>Benguet</v>
      </c>
      <c r="I119" t="str">
        <f>+'staffing plan'!AW170</f>
        <v>OLANGCAY, Elizabeth Saguid</v>
      </c>
      <c r="J119" t="e">
        <f>+'staffing plan'!#REF!</f>
        <v>#REF!</v>
      </c>
      <c r="K119" t="e">
        <f>+'staffing plan'!#REF!</f>
        <v>#REF!</v>
      </c>
      <c r="L119" t="str">
        <f>+'staffing plan'!AY170</f>
        <v>F</v>
      </c>
      <c r="M119" s="145" t="e">
        <f>+'staffing plan'!#REF!</f>
        <v>#REF!</v>
      </c>
      <c r="N119" s="145" t="e">
        <f>'staffing plan'!#REF!</f>
        <v>#REF!</v>
      </c>
      <c r="O119" s="145" t="e">
        <f>+'staffing plan'!#REF!</f>
        <v>#REF!</v>
      </c>
      <c r="P119" s="131">
        <f>+'staffing plan'!AH170</f>
        <v>613860</v>
      </c>
      <c r="Q119" s="131">
        <f>+'staffing plan'!AI170</f>
        <v>665616</v>
      </c>
      <c r="R119" t="str">
        <f>+'staffing plan'!BP170</f>
        <v>Shifting</v>
      </c>
      <c r="S119">
        <v>118</v>
      </c>
    </row>
    <row r="120" spans="2:19">
      <c r="B120">
        <f t="shared" si="5"/>
        <v>2017</v>
      </c>
      <c r="C120">
        <f>+'staffing plan'!BK117</f>
        <v>43070</v>
      </c>
      <c r="D120" t="str">
        <f>'staffing plan'!A117</f>
        <v>OSEC-DILGB-LGOO6-33-2017</v>
      </c>
      <c r="E120" t="str">
        <f>+'staffing plan'!B117</f>
        <v>Local Government Operations Officer VI</v>
      </c>
      <c r="F120">
        <f>+'staffing plan'!C117</f>
        <v>22</v>
      </c>
      <c r="G120" s="131">
        <f>+'staffing plan'!AJ117</f>
        <v>1</v>
      </c>
      <c r="H120" t="str">
        <f>+'staffing plan'!AX117</f>
        <v>Benguet</v>
      </c>
      <c r="I120" t="str">
        <f>+'staffing plan'!AW117</f>
        <v>CAWIS, Odemar Mendoza</v>
      </c>
      <c r="J120" t="e">
        <f>+'staffing plan'!#REF!</f>
        <v>#REF!</v>
      </c>
      <c r="K120" t="e">
        <f>+'staffing plan'!#REF!</f>
        <v>#REF!</v>
      </c>
      <c r="L120" t="str">
        <f>+'staffing plan'!AY117</f>
        <v>M</v>
      </c>
      <c r="M120" s="145" t="e">
        <f>+'staffing plan'!#REF!</f>
        <v>#REF!</v>
      </c>
      <c r="N120" s="145" t="e">
        <f>'staffing plan'!#REF!</f>
        <v>#REF!</v>
      </c>
      <c r="O120" s="145" t="e">
        <f>+'staffing plan'!#REF!</f>
        <v>#REF!</v>
      </c>
      <c r="P120" s="131">
        <f>+'staffing plan'!AH117</f>
        <v>783828</v>
      </c>
      <c r="Q120" s="131">
        <f>+'staffing plan'!AI117</f>
        <v>783828</v>
      </c>
      <c r="R120">
        <f>+'staffing plan'!BP117</f>
        <v>0</v>
      </c>
      <c r="S120">
        <v>119</v>
      </c>
    </row>
    <row r="121" spans="2:19">
      <c r="B121">
        <f t="shared" si="5"/>
        <v>2017</v>
      </c>
      <c r="C121">
        <f>+'staffing plan'!BK118</f>
        <v>43070</v>
      </c>
      <c r="D121" t="str">
        <f>'staffing plan'!A118</f>
        <v>OSEC-DILGB-LGOO6-34-2017</v>
      </c>
      <c r="E121" t="str">
        <f>+'staffing plan'!B118</f>
        <v>Local Government Operations Officer VI</v>
      </c>
      <c r="F121">
        <f>+'staffing plan'!C118</f>
        <v>22</v>
      </c>
      <c r="G121" s="131">
        <f>+'staffing plan'!AJ118</f>
        <v>1</v>
      </c>
      <c r="H121" t="str">
        <f>+'staffing plan'!AX118</f>
        <v>Benguet</v>
      </c>
      <c r="I121" t="str">
        <f>+'staffing plan'!AW118</f>
        <v>CARDENAS, Cheryl Rose Flores</v>
      </c>
      <c r="J121" t="e">
        <f>+'staffing plan'!#REF!</f>
        <v>#REF!</v>
      </c>
      <c r="K121" t="e">
        <f>+'staffing plan'!#REF!</f>
        <v>#REF!</v>
      </c>
      <c r="L121" t="str">
        <f>+'staffing plan'!AY118</f>
        <v>F</v>
      </c>
      <c r="M121" s="145" t="e">
        <f>+'staffing plan'!#REF!</f>
        <v>#REF!</v>
      </c>
      <c r="N121" s="145" t="e">
        <f>'staffing plan'!#REF!</f>
        <v>#REF!</v>
      </c>
      <c r="O121" s="145" t="e">
        <f>+'staffing plan'!#REF!</f>
        <v>#REF!</v>
      </c>
      <c r="P121" s="131">
        <f>+'staffing plan'!AH118</f>
        <v>783828</v>
      </c>
      <c r="Q121" s="131">
        <f>+'staffing plan'!AI118</f>
        <v>783828</v>
      </c>
      <c r="R121" t="str">
        <f>+'staffing plan'!BP118</f>
        <v>Shifting</v>
      </c>
      <c r="S121">
        <v>120</v>
      </c>
    </row>
    <row r="122" spans="2:19">
      <c r="B122">
        <f t="shared" si="5"/>
        <v>2017</v>
      </c>
      <c r="C122">
        <f>+'staffing plan'!BK119</f>
        <v>43070</v>
      </c>
      <c r="D122" t="str">
        <f>'staffing plan'!A119</f>
        <v>OSEC-DILGB-LGOO6-35-2017</v>
      </c>
      <c r="E122" t="str">
        <f>+'staffing plan'!B119</f>
        <v>Local Government Operations Officer VI</v>
      </c>
      <c r="F122">
        <f>+'staffing plan'!C119</f>
        <v>22</v>
      </c>
      <c r="G122" s="131">
        <f>+'staffing plan'!AJ119</f>
        <v>1</v>
      </c>
      <c r="H122" t="str">
        <f>+'staffing plan'!AX119</f>
        <v>Benguet</v>
      </c>
      <c r="I122" t="str">
        <f>+'staffing plan'!AW119</f>
        <v>EBES, Linston Bolislis</v>
      </c>
      <c r="J122" t="e">
        <f>+'staffing plan'!#REF!</f>
        <v>#REF!</v>
      </c>
      <c r="K122" t="e">
        <f>+'staffing plan'!#REF!</f>
        <v>#REF!</v>
      </c>
      <c r="L122" t="str">
        <f>+'staffing plan'!AY119</f>
        <v>M</v>
      </c>
      <c r="M122" s="145" t="e">
        <f>+'staffing plan'!#REF!</f>
        <v>#REF!</v>
      </c>
      <c r="N122" s="145" t="e">
        <f>'staffing plan'!#REF!</f>
        <v>#REF!</v>
      </c>
      <c r="O122" s="145" t="e">
        <f>+'staffing plan'!#REF!</f>
        <v>#REF!</v>
      </c>
      <c r="P122" s="131">
        <f>+'staffing plan'!AH119</f>
        <v>783828</v>
      </c>
      <c r="Q122" s="131">
        <f>+'staffing plan'!AI119</f>
        <v>783828</v>
      </c>
      <c r="R122">
        <f>+'staffing plan'!BP119</f>
        <v>0</v>
      </c>
      <c r="S122">
        <v>121</v>
      </c>
    </row>
    <row r="123" spans="2:19">
      <c r="B123">
        <f t="shared" si="5"/>
        <v>2017</v>
      </c>
      <c r="C123">
        <f>+'staffing plan'!BK145</f>
        <v>43070</v>
      </c>
      <c r="D123" t="str">
        <f>'staffing plan'!A145</f>
        <v>OSEC-DILGB-LGOO6-61-2017</v>
      </c>
      <c r="E123" t="str">
        <f>+'staffing plan'!B145</f>
        <v>Local Government Operations Officer VI</v>
      </c>
      <c r="F123">
        <f>+'staffing plan'!C145</f>
        <v>22</v>
      </c>
      <c r="G123" s="131">
        <f>+'staffing plan'!AJ145</f>
        <v>1</v>
      </c>
      <c r="H123" t="str">
        <f>+'staffing plan'!AX145</f>
        <v>Mt. Province</v>
      </c>
      <c r="I123" t="str">
        <f>+'staffing plan'!AW145</f>
        <v>PEEL, Lourdes Claire Fanusan</v>
      </c>
      <c r="J123" t="e">
        <f>+'staffing plan'!#REF!</f>
        <v>#REF!</v>
      </c>
      <c r="K123" t="e">
        <f>+'staffing plan'!#REF!</f>
        <v>#REF!</v>
      </c>
      <c r="L123" t="str">
        <f>+'staffing plan'!AY145</f>
        <v>F</v>
      </c>
      <c r="M123" s="145" t="e">
        <f>+'staffing plan'!#REF!</f>
        <v>#REF!</v>
      </c>
      <c r="N123" s="145" t="e">
        <f>'staffing plan'!#REF!</f>
        <v>#REF!</v>
      </c>
      <c r="O123" s="145" t="e">
        <f>+'staffing plan'!#REF!</f>
        <v>#REF!</v>
      </c>
      <c r="P123" s="131">
        <f>+'staffing plan'!AH145</f>
        <v>783828</v>
      </c>
      <c r="Q123" s="131">
        <f>+'staffing plan'!AI145</f>
        <v>783828</v>
      </c>
      <c r="R123">
        <f>+'staffing plan'!BP145</f>
        <v>0</v>
      </c>
      <c r="S123">
        <v>122</v>
      </c>
    </row>
    <row r="124" spans="2:19">
      <c r="B124">
        <f t="shared" si="5"/>
        <v>2017</v>
      </c>
      <c r="C124">
        <f>+'staffing plan'!BK146</f>
        <v>43070</v>
      </c>
      <c r="D124" t="str">
        <f>'staffing plan'!A146</f>
        <v>OSEC-DILGB-LGOO6-62-2017</v>
      </c>
      <c r="E124" t="str">
        <f>+'staffing plan'!B146</f>
        <v>Local Government Operations Officer VI</v>
      </c>
      <c r="F124">
        <f>+'staffing plan'!C146</f>
        <v>22</v>
      </c>
      <c r="G124" s="131">
        <f>+'staffing plan'!AJ146</f>
        <v>1</v>
      </c>
      <c r="H124" t="str">
        <f>+'staffing plan'!AX146</f>
        <v>Mt. Province</v>
      </c>
      <c r="I124" t="str">
        <f>+'staffing plan'!AW146</f>
        <v>FEGCAN, Erwin Gerald Talusig</v>
      </c>
      <c r="J124" t="e">
        <f>+'staffing plan'!#REF!</f>
        <v>#REF!</v>
      </c>
      <c r="K124" t="e">
        <f>+'staffing plan'!#REF!</f>
        <v>#REF!</v>
      </c>
      <c r="L124" t="str">
        <f>+'staffing plan'!AY146</f>
        <v>M</v>
      </c>
      <c r="M124" s="145" t="e">
        <f>+'staffing plan'!#REF!</f>
        <v>#REF!</v>
      </c>
      <c r="N124" s="145" t="e">
        <f>'staffing plan'!#REF!</f>
        <v>#REF!</v>
      </c>
      <c r="O124" s="145" t="e">
        <f>+'staffing plan'!#REF!</f>
        <v>#REF!</v>
      </c>
      <c r="P124" s="131">
        <f>+'staffing plan'!AH146</f>
        <v>783828</v>
      </c>
      <c r="Q124" s="131">
        <f>+'staffing plan'!AI146</f>
        <v>783828</v>
      </c>
      <c r="R124">
        <f>+'staffing plan'!BP146</f>
        <v>0</v>
      </c>
      <c r="S124">
        <v>123</v>
      </c>
    </row>
    <row r="125" spans="2:19">
      <c r="B125">
        <f t="shared" si="5"/>
        <v>2018</v>
      </c>
      <c r="C125">
        <f>+'staffing plan'!BK147</f>
        <v>43168</v>
      </c>
      <c r="D125" t="str">
        <f>'staffing plan'!A147</f>
        <v>OSEC-DILGB-LGOO6-63-2017</v>
      </c>
      <c r="E125" t="str">
        <f>+'staffing plan'!B147</f>
        <v>Local Government Operations Officer VI</v>
      </c>
      <c r="F125">
        <f>+'staffing plan'!C147</f>
        <v>22</v>
      </c>
      <c r="G125" s="131">
        <f>+'staffing plan'!AJ147</f>
        <v>1</v>
      </c>
      <c r="H125" t="str">
        <f>+'staffing plan'!AX147</f>
        <v>Mt. Province</v>
      </c>
      <c r="I125" t="str">
        <f>+'staffing plan'!AW147</f>
        <v>MANGANGEY, Robert Jr.  Palog</v>
      </c>
      <c r="J125" t="e">
        <f>+'staffing plan'!#REF!</f>
        <v>#REF!</v>
      </c>
      <c r="K125" t="e">
        <f>+'staffing plan'!#REF!</f>
        <v>#REF!</v>
      </c>
      <c r="L125" t="str">
        <f>+'staffing plan'!AY147</f>
        <v>M</v>
      </c>
      <c r="M125" s="145" t="e">
        <f>+'staffing plan'!#REF!</f>
        <v>#REF!</v>
      </c>
      <c r="N125" s="145" t="e">
        <f>'staffing plan'!#REF!</f>
        <v>#REF!</v>
      </c>
      <c r="O125" s="145" t="e">
        <f>+'staffing plan'!#REF!</f>
        <v>#REF!</v>
      </c>
      <c r="P125" s="131">
        <f>+'staffing plan'!AH147</f>
        <v>783828</v>
      </c>
      <c r="Q125" s="131">
        <f>+'staffing plan'!AI147</f>
        <v>783828</v>
      </c>
      <c r="R125" t="str">
        <f>+'staffing plan'!BP147</f>
        <v>Shifting</v>
      </c>
      <c r="S125">
        <v>124</v>
      </c>
    </row>
    <row r="126" spans="2:19">
      <c r="B126">
        <f t="shared" si="5"/>
        <v>2018</v>
      </c>
      <c r="C126">
        <f>+'staffing plan'!BK171</f>
        <v>43283</v>
      </c>
      <c r="D126" t="str">
        <f>'staffing plan'!A171</f>
        <v>OSEC-DILGB-LGOO5-943-1998</v>
      </c>
      <c r="E126" t="str">
        <f>+'staffing plan'!B171</f>
        <v>Local Government Operations Officer V</v>
      </c>
      <c r="F126">
        <f>+'staffing plan'!C171</f>
        <v>20</v>
      </c>
      <c r="G126" s="131">
        <f>+'staffing plan'!AJ171</f>
        <v>1</v>
      </c>
      <c r="H126" t="str">
        <f>+'staffing plan'!AX171</f>
        <v>Mt. Province</v>
      </c>
      <c r="I126" t="str">
        <f>+'staffing plan'!AW171</f>
        <v>BACWADEN, Perry  Daoas</v>
      </c>
      <c r="J126" t="e">
        <f>+'staffing plan'!#REF!</f>
        <v>#REF!</v>
      </c>
      <c r="K126" t="e">
        <f>+'staffing plan'!#REF!</f>
        <v>#REF!</v>
      </c>
      <c r="L126" t="str">
        <f>+'staffing plan'!AY171</f>
        <v>M</v>
      </c>
      <c r="M126" s="145" t="e">
        <f>+'staffing plan'!#REF!</f>
        <v>#REF!</v>
      </c>
      <c r="N126" s="145" t="e">
        <f>'staffing plan'!#REF!</f>
        <v>#REF!</v>
      </c>
      <c r="O126" s="145" t="e">
        <f>+'staffing plan'!#REF!</f>
        <v>#REF!</v>
      </c>
      <c r="P126" s="131">
        <f>+'staffing plan'!AH171</f>
        <v>613860</v>
      </c>
      <c r="Q126" s="131">
        <f>+'staffing plan'!AI171</f>
        <v>613860</v>
      </c>
      <c r="R126">
        <f>+'staffing plan'!BP171</f>
        <v>0</v>
      </c>
      <c r="S126">
        <v>125</v>
      </c>
    </row>
    <row r="127" spans="2:19">
      <c r="B127">
        <f t="shared" si="5"/>
        <v>2017</v>
      </c>
      <c r="C127">
        <f>+'staffing plan'!BK148</f>
        <v>43070</v>
      </c>
      <c r="D127" t="str">
        <f>'staffing plan'!A148</f>
        <v>OSEC-DILGB-LGOO6-64-2017</v>
      </c>
      <c r="E127" t="str">
        <f>+'staffing plan'!B148</f>
        <v>Local Government Operations Officer VI</v>
      </c>
      <c r="F127">
        <f>+'staffing plan'!C148</f>
        <v>22</v>
      </c>
      <c r="G127" s="131">
        <f>+'staffing plan'!AJ148</f>
        <v>1</v>
      </c>
      <c r="H127" t="str">
        <f>+'staffing plan'!AX148</f>
        <v>Mt. Province</v>
      </c>
      <c r="I127" t="str">
        <f>+'staffing plan'!AW148</f>
        <v>FA-ED, Jill  Fanged</v>
      </c>
      <c r="J127" t="e">
        <f>+'staffing plan'!#REF!</f>
        <v>#REF!</v>
      </c>
      <c r="K127" t="e">
        <f>+'staffing plan'!#REF!</f>
        <v>#REF!</v>
      </c>
      <c r="L127" t="str">
        <f>+'staffing plan'!AY148</f>
        <v>F</v>
      </c>
      <c r="M127" s="145" t="e">
        <f>+'staffing plan'!#REF!</f>
        <v>#REF!</v>
      </c>
      <c r="N127" s="145" t="e">
        <f>'staffing plan'!#REF!</f>
        <v>#REF!</v>
      </c>
      <c r="O127" s="145" t="e">
        <f>+'staffing plan'!#REF!</f>
        <v>#REF!</v>
      </c>
      <c r="P127" s="131">
        <f>+'staffing plan'!AH148</f>
        <v>783828</v>
      </c>
      <c r="Q127" s="131">
        <f>+'staffing plan'!AI148</f>
        <v>783828</v>
      </c>
      <c r="R127">
        <f>+'staffing plan'!BP148</f>
        <v>0</v>
      </c>
      <c r="S127">
        <v>126</v>
      </c>
    </row>
    <row r="128" spans="2:19">
      <c r="B128">
        <f t="shared" si="5"/>
        <v>2017</v>
      </c>
      <c r="C128">
        <f>+'staffing plan'!BK149</f>
        <v>43087</v>
      </c>
      <c r="D128" t="str">
        <f>'staffing plan'!A149</f>
        <v>OSEC-DILGB-LGOO6-65-2017</v>
      </c>
      <c r="E128" t="str">
        <f>+'staffing plan'!B149</f>
        <v>Local Government Operations Officer VI</v>
      </c>
      <c r="F128">
        <f>+'staffing plan'!C149</f>
        <v>22</v>
      </c>
      <c r="G128" s="131">
        <f>+'staffing plan'!AJ149</f>
        <v>1</v>
      </c>
      <c r="H128" t="str">
        <f>+'staffing plan'!AX149</f>
        <v>Mt. Province</v>
      </c>
      <c r="I128" t="str">
        <f>+'staffing plan'!AW149</f>
        <v>BASCO, Raymundo Jacinto Pandoyos</v>
      </c>
      <c r="J128" t="e">
        <f>+'staffing plan'!#REF!</f>
        <v>#REF!</v>
      </c>
      <c r="K128" t="e">
        <f>+'staffing plan'!#REF!</f>
        <v>#REF!</v>
      </c>
      <c r="L128" t="str">
        <f>+'staffing plan'!AY149</f>
        <v>M</v>
      </c>
      <c r="M128" s="145" t="e">
        <f>+'staffing plan'!#REF!</f>
        <v>#REF!</v>
      </c>
      <c r="N128" s="145" t="e">
        <f>'staffing plan'!#REF!</f>
        <v>#REF!</v>
      </c>
      <c r="O128" s="145" t="e">
        <f>+'staffing plan'!#REF!</f>
        <v>#REF!</v>
      </c>
      <c r="P128" s="131">
        <f>+'staffing plan'!AH149</f>
        <v>783828</v>
      </c>
      <c r="Q128" s="131">
        <f>+'staffing plan'!AI149</f>
        <v>783828</v>
      </c>
      <c r="R128">
        <f>+'staffing plan'!BP149</f>
        <v>0</v>
      </c>
      <c r="S128">
        <v>127</v>
      </c>
    </row>
    <row r="129" spans="2:19">
      <c r="B129">
        <f t="shared" si="5"/>
        <v>2017</v>
      </c>
      <c r="C129">
        <f>+'staffing plan'!BK150</f>
        <v>43070</v>
      </c>
      <c r="D129" t="str">
        <f>'staffing plan'!A150</f>
        <v>OSEC-DILGB-LGOO6-66-2017</v>
      </c>
      <c r="E129" t="str">
        <f>+'staffing plan'!B150</f>
        <v>Local Government Operations Officer VI</v>
      </c>
      <c r="F129">
        <f>+'staffing plan'!C150</f>
        <v>22</v>
      </c>
      <c r="G129" s="131">
        <f>+'staffing plan'!AJ150</f>
        <v>1</v>
      </c>
      <c r="H129" t="str">
        <f>+'staffing plan'!AX150</f>
        <v>Mt. Province</v>
      </c>
      <c r="I129" t="str">
        <f>+'staffing plan'!AW150</f>
        <v>PILUDEN, Judy Colabot</v>
      </c>
      <c r="J129" t="e">
        <f>+'staffing plan'!#REF!</f>
        <v>#REF!</v>
      </c>
      <c r="K129" t="e">
        <f>+'staffing plan'!#REF!</f>
        <v>#REF!</v>
      </c>
      <c r="L129" t="str">
        <f>+'staffing plan'!AY150</f>
        <v>F</v>
      </c>
      <c r="M129" s="145" t="e">
        <f>+'staffing plan'!#REF!</f>
        <v>#REF!</v>
      </c>
      <c r="N129" s="145" t="e">
        <f>'staffing plan'!#REF!</f>
        <v>#REF!</v>
      </c>
      <c r="O129" s="145" t="e">
        <f>+'staffing plan'!#REF!</f>
        <v>#REF!</v>
      </c>
      <c r="P129" s="131">
        <f>+'staffing plan'!AH150</f>
        <v>783828</v>
      </c>
      <c r="Q129" s="131">
        <f>+'staffing plan'!AI150</f>
        <v>783828</v>
      </c>
      <c r="R129">
        <f>+'staffing plan'!BP150</f>
        <v>0</v>
      </c>
      <c r="S129">
        <v>128</v>
      </c>
    </row>
    <row r="130" spans="2:19" hidden="1">
      <c r="B130">
        <f t="shared" si="5"/>
        <v>2018</v>
      </c>
      <c r="C130">
        <f>+'staffing plan'!BK172</f>
        <v>43129</v>
      </c>
      <c r="D130" t="str">
        <f>'staffing plan'!A172</f>
        <v>OSEC-DILGB-LGOO5-947-1998</v>
      </c>
      <c r="E130" t="str">
        <f>+'staffing plan'!B172</f>
        <v>Local Government Operations Officer V</v>
      </c>
      <c r="F130">
        <f>+'staffing plan'!C172</f>
        <v>20</v>
      </c>
      <c r="G130" s="131">
        <f>+'staffing plan'!AJ172</f>
        <v>1</v>
      </c>
      <c r="H130" t="str">
        <f>+'staffing plan'!AX172</f>
        <v>Mt. Province</v>
      </c>
      <c r="I130" t="str">
        <f>+'staffing plan'!AW172</f>
        <v>LICYAYO, Jennifer Lablabong</v>
      </c>
      <c r="J130" t="e">
        <f>+'staffing plan'!#REF!</f>
        <v>#REF!</v>
      </c>
      <c r="K130" t="e">
        <f>+'staffing plan'!#REF!</f>
        <v>#REF!</v>
      </c>
      <c r="L130" t="str">
        <f>+'staffing plan'!AY172</f>
        <v>F</v>
      </c>
      <c r="M130" s="145" t="e">
        <f>+'staffing plan'!#REF!</f>
        <v>#REF!</v>
      </c>
      <c r="N130" s="145" t="e">
        <f>'staffing plan'!#REF!</f>
        <v>#REF!</v>
      </c>
      <c r="O130" s="145" t="e">
        <f>+'staffing plan'!#REF!</f>
        <v>#REF!</v>
      </c>
      <c r="P130" s="131">
        <f>+'staffing plan'!AH172</f>
        <v>613860</v>
      </c>
      <c r="Q130" s="131">
        <f>+'staffing plan'!AI172</f>
        <v>613860</v>
      </c>
      <c r="R130" t="str">
        <f>+'staffing plan'!BP172</f>
        <v>MP Prov</v>
      </c>
      <c r="S130">
        <v>129</v>
      </c>
    </row>
    <row r="131" spans="2:19">
      <c r="B131">
        <f t="shared" si="5"/>
        <v>2017</v>
      </c>
      <c r="C131">
        <f>+'staffing plan'!BK151</f>
        <v>43089</v>
      </c>
      <c r="D131" t="str">
        <f>'staffing plan'!A151</f>
        <v>OSEC-DILGB-LGOO6-67-2017</v>
      </c>
      <c r="E131" t="str">
        <f>+'staffing plan'!B151</f>
        <v>Local Government Operations Officer VI</v>
      </c>
      <c r="F131">
        <f>+'staffing plan'!C151</f>
        <v>22</v>
      </c>
      <c r="G131" s="131">
        <f>+'staffing plan'!AJ151</f>
        <v>1</v>
      </c>
      <c r="H131" t="str">
        <f>+'staffing plan'!AX151</f>
        <v>Mt. Province</v>
      </c>
      <c r="I131" t="str">
        <f>+'staffing plan'!AW151</f>
        <v>MAYMAYA, Johnny Jr.  Mukay</v>
      </c>
      <c r="J131" t="e">
        <f>+'staffing plan'!#REF!</f>
        <v>#REF!</v>
      </c>
      <c r="K131" t="e">
        <f>+'staffing plan'!#REF!</f>
        <v>#REF!</v>
      </c>
      <c r="L131" t="str">
        <f>+'staffing plan'!AY151</f>
        <v>M</v>
      </c>
      <c r="M131" s="145" t="e">
        <f>+'staffing plan'!#REF!</f>
        <v>#REF!</v>
      </c>
      <c r="N131" s="145" t="e">
        <f>'staffing plan'!#REF!</f>
        <v>#REF!</v>
      </c>
      <c r="O131" s="145" t="e">
        <f>+'staffing plan'!#REF!</f>
        <v>#REF!</v>
      </c>
      <c r="P131" s="131">
        <f>+'staffing plan'!AH151</f>
        <v>783828</v>
      </c>
      <c r="Q131" s="131">
        <f>+'staffing plan'!AI151</f>
        <v>783828</v>
      </c>
      <c r="R131" t="str">
        <f>+'staffing plan'!BP151</f>
        <v>Shifting</v>
      </c>
      <c r="S131">
        <v>130</v>
      </c>
    </row>
    <row r="132" spans="2:19">
      <c r="B132">
        <f t="shared" si="5"/>
        <v>2017</v>
      </c>
      <c r="C132">
        <f>+'staffing plan'!BK127</f>
        <v>43070</v>
      </c>
      <c r="D132" t="str">
        <f>'staffing plan'!A127</f>
        <v>OSEC-DILGB-LGOO6-43-2017</v>
      </c>
      <c r="E132" t="str">
        <f>+'staffing plan'!B127</f>
        <v>Local Government Operations OFFICER VI</v>
      </c>
      <c r="F132">
        <f>+'staffing plan'!C127</f>
        <v>22</v>
      </c>
      <c r="G132" s="131">
        <f>+'staffing plan'!AJ127</f>
        <v>1</v>
      </c>
      <c r="H132" t="str">
        <f>+'staffing plan'!AX127</f>
        <v>Ifugao</v>
      </c>
      <c r="I132" t="str">
        <f>+'staffing plan'!AW127</f>
        <v>CABANAYAN, Carol Chulipa</v>
      </c>
      <c r="J132" t="e">
        <f>+'staffing plan'!#REF!</f>
        <v>#REF!</v>
      </c>
      <c r="K132" t="e">
        <f>+'staffing plan'!#REF!</f>
        <v>#REF!</v>
      </c>
      <c r="L132" t="str">
        <f>+'staffing plan'!AY127</f>
        <v>F</v>
      </c>
      <c r="M132" s="145" t="e">
        <f>+'staffing plan'!#REF!</f>
        <v>#REF!</v>
      </c>
      <c r="N132" s="145" t="e">
        <f>'staffing plan'!#REF!</f>
        <v>#REF!</v>
      </c>
      <c r="O132" s="145" t="e">
        <f>+'staffing plan'!#REF!</f>
        <v>#REF!</v>
      </c>
      <c r="P132" s="131">
        <f>+'staffing plan'!AH127</f>
        <v>783828</v>
      </c>
      <c r="Q132" s="131">
        <f>+'staffing plan'!AI127</f>
        <v>783828</v>
      </c>
      <c r="R132">
        <f>+'staffing plan'!BP127</f>
        <v>0</v>
      </c>
      <c r="S132">
        <v>131</v>
      </c>
    </row>
    <row r="133" spans="2:19">
      <c r="B133">
        <f t="shared" si="5"/>
        <v>2017</v>
      </c>
      <c r="C133">
        <f>+'staffing plan'!BK128</f>
        <v>43070</v>
      </c>
      <c r="D133" t="str">
        <f>'staffing plan'!A128</f>
        <v>OSEC-DILGB-LGOO6-44-2017</v>
      </c>
      <c r="E133" t="str">
        <f>+'staffing plan'!B128</f>
        <v>Local Government Operations OFFICER VI</v>
      </c>
      <c r="F133">
        <f>+'staffing plan'!C128</f>
        <v>22</v>
      </c>
      <c r="G133" s="131">
        <f>+'staffing plan'!AJ128</f>
        <v>1</v>
      </c>
      <c r="H133" t="str">
        <f>+'staffing plan'!AX128</f>
        <v>Ifugao</v>
      </c>
      <c r="I133" t="str">
        <f>+'staffing plan'!AW128</f>
        <v>PAGADDUT, Jimmy Bantiyan</v>
      </c>
      <c r="J133" t="e">
        <f>+'staffing plan'!#REF!</f>
        <v>#REF!</v>
      </c>
      <c r="K133" t="e">
        <f>+'staffing plan'!#REF!</f>
        <v>#REF!</v>
      </c>
      <c r="L133" t="str">
        <f>+'staffing plan'!AY128</f>
        <v>M</v>
      </c>
      <c r="M133" s="145" t="e">
        <f>+'staffing plan'!#REF!</f>
        <v>#REF!</v>
      </c>
      <c r="N133" s="145" t="e">
        <f>'staffing plan'!#REF!</f>
        <v>#REF!</v>
      </c>
      <c r="O133" s="145" t="e">
        <f>+'staffing plan'!#REF!</f>
        <v>#REF!</v>
      </c>
      <c r="P133" s="131">
        <f>+'staffing plan'!AH128</f>
        <v>783828</v>
      </c>
      <c r="Q133" s="131">
        <f>+'staffing plan'!AI128</f>
        <v>783828</v>
      </c>
      <c r="R133" t="str">
        <f>+'staffing plan'!BP128</f>
        <v>Shifting</v>
      </c>
      <c r="S133">
        <v>132</v>
      </c>
    </row>
    <row r="134" spans="2:19" hidden="1">
      <c r="B134">
        <f t="shared" si="5"/>
        <v>2018</v>
      </c>
      <c r="C134">
        <f>+'staffing plan'!BK173</f>
        <v>43129</v>
      </c>
      <c r="D134" t="str">
        <f>'staffing plan'!A173</f>
        <v>OSEC-DILGB-LGOO5-952-1998</v>
      </c>
      <c r="E134" t="str">
        <f>+'staffing plan'!B173</f>
        <v>Local Government Operations Officer V</v>
      </c>
      <c r="F134">
        <f>+'staffing plan'!C173</f>
        <v>20</v>
      </c>
      <c r="G134" s="131">
        <f>+'staffing plan'!AJ173</f>
        <v>1</v>
      </c>
      <c r="H134" t="str">
        <f>+'staffing plan'!AX173</f>
        <v>Ifugao</v>
      </c>
      <c r="I134" t="str">
        <f>+'staffing plan'!AW173</f>
        <v>ANGGADNA, Mario Jr. Domingo</v>
      </c>
      <c r="J134" t="e">
        <f>+'staffing plan'!#REF!</f>
        <v>#REF!</v>
      </c>
      <c r="K134" t="e">
        <f>+'staffing plan'!#REF!</f>
        <v>#REF!</v>
      </c>
      <c r="L134" t="str">
        <f>+'staffing plan'!AY173</f>
        <v>M</v>
      </c>
      <c r="M134" s="145" t="e">
        <f>+'staffing plan'!#REF!</f>
        <v>#REF!</v>
      </c>
      <c r="N134" s="145" t="e">
        <f>'staffing plan'!#REF!</f>
        <v>#REF!</v>
      </c>
      <c r="O134" s="145" t="e">
        <f>+'staffing plan'!#REF!</f>
        <v>#REF!</v>
      </c>
      <c r="P134" s="131">
        <f>+'staffing plan'!AH173</f>
        <v>613860</v>
      </c>
      <c r="Q134" s="131">
        <f>+'staffing plan'!AI173</f>
        <v>613860</v>
      </c>
      <c r="R134" t="str">
        <f>+'staffing plan'!BP173</f>
        <v>Shifting</v>
      </c>
      <c r="S134">
        <v>133</v>
      </c>
    </row>
    <row r="135" spans="2:19">
      <c r="B135">
        <f t="shared" si="5"/>
        <v>2017</v>
      </c>
      <c r="C135">
        <f>+'staffing plan'!BK129</f>
        <v>43070</v>
      </c>
      <c r="D135" t="str">
        <f>'staffing plan'!A129</f>
        <v>OSEC-DILGB-LGOO6-45-2017</v>
      </c>
      <c r="E135" t="str">
        <f>+'staffing plan'!B129</f>
        <v>Local Government Operations OFFICER VI</v>
      </c>
      <c r="F135">
        <f>+'staffing plan'!C129</f>
        <v>22</v>
      </c>
      <c r="G135" s="131">
        <f>+'staffing plan'!AJ129</f>
        <v>1</v>
      </c>
      <c r="H135" t="str">
        <f>+'staffing plan'!AX129</f>
        <v>Ifugao</v>
      </c>
      <c r="I135" t="str">
        <f>+'staffing plan'!AW129</f>
        <v>BULAYUNGAN, Isabel Allaga</v>
      </c>
      <c r="J135" t="e">
        <f>+'staffing plan'!#REF!</f>
        <v>#REF!</v>
      </c>
      <c r="K135" t="e">
        <f>+'staffing plan'!#REF!</f>
        <v>#REF!</v>
      </c>
      <c r="L135" t="str">
        <f>+'staffing plan'!AY129</f>
        <v>F</v>
      </c>
      <c r="M135" s="145" t="e">
        <f>+'staffing plan'!#REF!</f>
        <v>#REF!</v>
      </c>
      <c r="N135" s="145" t="e">
        <f>'staffing plan'!#REF!</f>
        <v>#REF!</v>
      </c>
      <c r="O135" s="145" t="e">
        <f>+'staffing plan'!#REF!</f>
        <v>#REF!</v>
      </c>
      <c r="P135" s="131">
        <f>+'staffing plan'!AH129</f>
        <v>783828</v>
      </c>
      <c r="Q135" s="131">
        <f>+'staffing plan'!AI129</f>
        <v>783828</v>
      </c>
      <c r="R135">
        <f>+'staffing plan'!BP129</f>
        <v>0</v>
      </c>
      <c r="S135">
        <v>134</v>
      </c>
    </row>
    <row r="136" spans="2:19">
      <c r="B136">
        <f t="shared" si="5"/>
        <v>2017</v>
      </c>
      <c r="C136">
        <f>+'staffing plan'!BK130</f>
        <v>43070</v>
      </c>
      <c r="D136" t="str">
        <f>'staffing plan'!A130</f>
        <v>OSEC-DILGB-LGOO6-46-2017</v>
      </c>
      <c r="E136" t="str">
        <f>+'staffing plan'!B130</f>
        <v>Local Government Operations OFFICER VI</v>
      </c>
      <c r="F136">
        <f>+'staffing plan'!C130</f>
        <v>22</v>
      </c>
      <c r="G136" s="131">
        <f>+'staffing plan'!AJ130</f>
        <v>1</v>
      </c>
      <c r="H136" t="str">
        <f>+'staffing plan'!AX130</f>
        <v>Ifugao</v>
      </c>
      <c r="I136" t="str">
        <f>+'staffing plan'!AW130</f>
        <v>MONAYAO, Jeda Paulha</v>
      </c>
      <c r="J136" t="e">
        <f>+'staffing plan'!#REF!</f>
        <v>#REF!</v>
      </c>
      <c r="K136" t="e">
        <f>+'staffing plan'!#REF!</f>
        <v>#REF!</v>
      </c>
      <c r="L136" t="str">
        <f>+'staffing plan'!AY130</f>
        <v>F</v>
      </c>
      <c r="M136" s="145" t="e">
        <f>+'staffing plan'!#REF!</f>
        <v>#REF!</v>
      </c>
      <c r="N136" s="145" t="e">
        <f>'staffing plan'!#REF!</f>
        <v>#REF!</v>
      </c>
      <c r="O136" s="145" t="e">
        <f>+'staffing plan'!#REF!</f>
        <v>#REF!</v>
      </c>
      <c r="P136" s="131">
        <f>+'staffing plan'!AH130</f>
        <v>783828</v>
      </c>
      <c r="Q136" s="131">
        <f>+'staffing plan'!AI130</f>
        <v>783828</v>
      </c>
      <c r="R136" t="str">
        <f>+'staffing plan'!BP130</f>
        <v>Shifting</v>
      </c>
      <c r="S136">
        <v>135</v>
      </c>
    </row>
    <row r="137" spans="2:19">
      <c r="B137">
        <f t="shared" si="5"/>
        <v>2017</v>
      </c>
      <c r="C137">
        <f>+'staffing plan'!BK131</f>
        <v>43070</v>
      </c>
      <c r="D137" t="str">
        <f>'staffing plan'!A131</f>
        <v>OSEC-DILGB-LGOO6-47-2017</v>
      </c>
      <c r="E137" t="str">
        <f>+'staffing plan'!B131</f>
        <v>Local Government Operations OFFICER VI</v>
      </c>
      <c r="F137">
        <f>+'staffing plan'!C131</f>
        <v>22</v>
      </c>
      <c r="G137" s="131">
        <f>+'staffing plan'!AJ131</f>
        <v>1</v>
      </c>
      <c r="H137" t="str">
        <f>+'staffing plan'!AX131</f>
        <v>Ifugao</v>
      </c>
      <c r="I137" t="str">
        <f>+'staffing plan'!AW131</f>
        <v>DONG-E, Regina Tayaban</v>
      </c>
      <c r="J137" t="e">
        <f>+'staffing plan'!#REF!</f>
        <v>#REF!</v>
      </c>
      <c r="K137" t="e">
        <f>+'staffing plan'!#REF!</f>
        <v>#REF!</v>
      </c>
      <c r="L137" t="str">
        <f>+'staffing plan'!AY131</f>
        <v>F</v>
      </c>
      <c r="M137" s="145" t="e">
        <f>+'staffing plan'!#REF!</f>
        <v>#REF!</v>
      </c>
      <c r="N137" s="145" t="e">
        <f>'staffing plan'!#REF!</f>
        <v>#REF!</v>
      </c>
      <c r="O137" s="145" t="e">
        <f>+'staffing plan'!#REF!</f>
        <v>#REF!</v>
      </c>
      <c r="P137" s="131">
        <f>+'staffing plan'!AH131</f>
        <v>783828</v>
      </c>
      <c r="Q137" s="131">
        <f>+'staffing plan'!AI131</f>
        <v>783828</v>
      </c>
      <c r="R137" t="str">
        <f>+'staffing plan'!BP131</f>
        <v>Shifting</v>
      </c>
      <c r="S137">
        <v>136</v>
      </c>
    </row>
    <row r="138" spans="2:19">
      <c r="B138">
        <f t="shared" si="5"/>
        <v>2001</v>
      </c>
      <c r="C138">
        <f>+'staffing plan'!BK174</f>
        <v>36951</v>
      </c>
      <c r="D138" t="str">
        <f>'staffing plan'!A174</f>
        <v>OSEC-DILGB-LGOO5-957-1998</v>
      </c>
      <c r="E138" t="str">
        <f>+'staffing plan'!B174</f>
        <v>Local Government Operations Officer V</v>
      </c>
      <c r="F138">
        <f>+'staffing plan'!C174</f>
        <v>20</v>
      </c>
      <c r="G138" s="131">
        <f>+'staffing plan'!AJ174</f>
        <v>6</v>
      </c>
      <c r="H138" t="str">
        <f>+'staffing plan'!AX174</f>
        <v>Ifugao</v>
      </c>
      <c r="I138" t="str">
        <f>+'staffing plan'!AW174</f>
        <v>NARCIZA, Florita Garcia</v>
      </c>
      <c r="J138" t="e">
        <f>+'staffing plan'!#REF!</f>
        <v>#REF!</v>
      </c>
      <c r="K138" t="e">
        <f>+'staffing plan'!#REF!</f>
        <v>#REF!</v>
      </c>
      <c r="L138" t="str">
        <f>+'staffing plan'!AY174</f>
        <v>F</v>
      </c>
      <c r="M138" s="145" t="e">
        <f>+'staffing plan'!#REF!</f>
        <v>#REF!</v>
      </c>
      <c r="N138" s="145" t="e">
        <f>'staffing plan'!#REF!</f>
        <v>#REF!</v>
      </c>
      <c r="O138" s="145" t="e">
        <f>+'staffing plan'!#REF!</f>
        <v>#REF!</v>
      </c>
      <c r="P138" s="131">
        <f>+'staffing plan'!AH174</f>
        <v>613860</v>
      </c>
      <c r="Q138" s="131">
        <f>+'staffing plan'!AI174</f>
        <v>665616</v>
      </c>
      <c r="R138" t="str">
        <f>+'staffing plan'!BP174</f>
        <v>Shifting</v>
      </c>
      <c r="S138">
        <v>137</v>
      </c>
    </row>
    <row r="139" spans="2:19">
      <c r="B139">
        <f t="shared" si="5"/>
        <v>2017</v>
      </c>
      <c r="C139">
        <f>+'staffing plan'!BK132</f>
        <v>43070</v>
      </c>
      <c r="D139" t="str">
        <f>'staffing plan'!A132</f>
        <v>OSEC-DILGB-LGOO6-48-2017</v>
      </c>
      <c r="E139" t="str">
        <f>+'staffing plan'!B132</f>
        <v>Local Government Operations OFFICER VI</v>
      </c>
      <c r="F139">
        <f>+'staffing plan'!C132</f>
        <v>22</v>
      </c>
      <c r="G139" s="131">
        <f>+'staffing plan'!AJ132</f>
        <v>1</v>
      </c>
      <c r="H139" t="str">
        <f>+'staffing plan'!AX132</f>
        <v>Ifugao</v>
      </c>
      <c r="I139" t="str">
        <f>+'staffing plan'!AW132</f>
        <v>BANGO, Emmanuel Hiadan</v>
      </c>
      <c r="J139" t="e">
        <f>+'staffing plan'!#REF!</f>
        <v>#REF!</v>
      </c>
      <c r="K139" t="e">
        <f>+'staffing plan'!#REF!</f>
        <v>#REF!</v>
      </c>
      <c r="L139" t="str">
        <f>+'staffing plan'!AY132</f>
        <v>M</v>
      </c>
      <c r="M139" s="145" t="e">
        <f>+'staffing plan'!#REF!</f>
        <v>#REF!</v>
      </c>
      <c r="N139" s="145" t="e">
        <f>'staffing plan'!#REF!</f>
        <v>#REF!</v>
      </c>
      <c r="O139" s="145" t="e">
        <f>+'staffing plan'!#REF!</f>
        <v>#REF!</v>
      </c>
      <c r="P139" s="131">
        <f>+'staffing plan'!AH132</f>
        <v>783828</v>
      </c>
      <c r="Q139" s="131">
        <f>+'staffing plan'!AI132</f>
        <v>783828</v>
      </c>
      <c r="R139">
        <f>+'staffing plan'!BP132</f>
        <v>0</v>
      </c>
      <c r="S139">
        <v>138</v>
      </c>
    </row>
    <row r="140" spans="2:19">
      <c r="B140">
        <f t="shared" si="5"/>
        <v>2017</v>
      </c>
      <c r="C140">
        <f>+'staffing plan'!BK133</f>
        <v>43070</v>
      </c>
      <c r="D140" t="str">
        <f>'staffing plan'!A133</f>
        <v>OSEC-DILGB-LGOO6-49-2017</v>
      </c>
      <c r="E140" t="str">
        <f>+'staffing plan'!B133</f>
        <v>Local Government Operations OFFICER VI</v>
      </c>
      <c r="F140">
        <f>+'staffing plan'!C133</f>
        <v>22</v>
      </c>
      <c r="G140" s="131">
        <f>+'staffing plan'!AJ133</f>
        <v>1</v>
      </c>
      <c r="H140" t="str">
        <f>+'staffing plan'!AX133</f>
        <v>Ifugao</v>
      </c>
      <c r="I140" t="str">
        <f>+'staffing plan'!AW133</f>
        <v>ADAWE, Guillaume Lebbet</v>
      </c>
      <c r="J140" t="e">
        <f>+'staffing plan'!#REF!</f>
        <v>#REF!</v>
      </c>
      <c r="K140" t="e">
        <f>+'staffing plan'!#REF!</f>
        <v>#REF!</v>
      </c>
      <c r="L140" t="str">
        <f>+'staffing plan'!AY133</f>
        <v>M</v>
      </c>
      <c r="M140" s="145" t="e">
        <f>+'staffing plan'!#REF!</f>
        <v>#REF!</v>
      </c>
      <c r="N140" s="145" t="e">
        <f>'staffing plan'!#REF!</f>
        <v>#REF!</v>
      </c>
      <c r="O140" s="145" t="e">
        <f>+'staffing plan'!#REF!</f>
        <v>#REF!</v>
      </c>
      <c r="P140" s="131">
        <f>+'staffing plan'!AH133</f>
        <v>783828</v>
      </c>
      <c r="Q140" s="131">
        <f>+'staffing plan'!AI133</f>
        <v>783828</v>
      </c>
      <c r="R140">
        <f>+'staffing plan'!BP133</f>
        <v>0</v>
      </c>
      <c r="S140">
        <v>139</v>
      </c>
    </row>
    <row r="141" spans="2:19">
      <c r="B141">
        <f t="shared" si="5"/>
        <v>2017</v>
      </c>
      <c r="C141">
        <f>+'staffing plan'!BK138</f>
        <v>43070</v>
      </c>
      <c r="D141" t="str">
        <f>'staffing plan'!A138</f>
        <v>OSEC-DILGB-LGOO6-54-2017</v>
      </c>
      <c r="E141" t="str">
        <f>+'staffing plan'!B138</f>
        <v>Local Government Operations OFFICER VI</v>
      </c>
      <c r="F141">
        <f>+'staffing plan'!C138</f>
        <v>22</v>
      </c>
      <c r="G141" s="131">
        <f>+'staffing plan'!AJ138</f>
        <v>1</v>
      </c>
      <c r="H141" t="str">
        <f>+'staffing plan'!AX138</f>
        <v>Kalinga</v>
      </c>
      <c r="I141" t="str">
        <f>+'staffing plan'!AW138</f>
        <v>LUCAS, Chris Berana</v>
      </c>
      <c r="J141" t="e">
        <f>+'staffing plan'!#REF!</f>
        <v>#REF!</v>
      </c>
      <c r="K141" t="e">
        <f>+'staffing plan'!#REF!</f>
        <v>#REF!</v>
      </c>
      <c r="L141" t="str">
        <f>+'staffing plan'!AY138</f>
        <v>M</v>
      </c>
      <c r="M141" s="145" t="e">
        <f>+'staffing plan'!#REF!</f>
        <v>#REF!</v>
      </c>
      <c r="N141" s="145" t="e">
        <f>'staffing plan'!#REF!</f>
        <v>#REF!</v>
      </c>
      <c r="O141" s="145" t="e">
        <f>+'staffing plan'!#REF!</f>
        <v>#REF!</v>
      </c>
      <c r="P141" s="131">
        <f>+'staffing plan'!AH138</f>
        <v>783828</v>
      </c>
      <c r="Q141" s="131">
        <f>+'staffing plan'!AI138</f>
        <v>783828</v>
      </c>
      <c r="R141">
        <f>+'staffing plan'!BP138</f>
        <v>0</v>
      </c>
      <c r="S141">
        <v>140</v>
      </c>
    </row>
    <row r="142" spans="2:19">
      <c r="B142">
        <f t="shared" si="5"/>
        <v>2017</v>
      </c>
      <c r="C142">
        <f>+'staffing plan'!BK120</f>
        <v>43070</v>
      </c>
      <c r="D142" t="str">
        <f>'staffing plan'!A120</f>
        <v>OSEC-DILGB-LGOO6-36-2017</v>
      </c>
      <c r="E142" t="str">
        <f>+'staffing plan'!B120</f>
        <v>Local Government Operations Officer VI</v>
      </c>
      <c r="F142">
        <f>+'staffing plan'!C120</f>
        <v>22</v>
      </c>
      <c r="G142" s="131">
        <f>+'staffing plan'!AJ120</f>
        <v>1</v>
      </c>
      <c r="H142" t="str">
        <f>+'staffing plan'!AX120</f>
        <v>Apayao</v>
      </c>
      <c r="I142" t="str">
        <f>+'staffing plan'!AW120</f>
        <v>VENUS, Norman Domingo</v>
      </c>
      <c r="J142" t="e">
        <f>+'staffing plan'!#REF!</f>
        <v>#REF!</v>
      </c>
      <c r="K142" t="e">
        <f>+'staffing plan'!#REF!</f>
        <v>#REF!</v>
      </c>
      <c r="L142" t="str">
        <f>+'staffing plan'!AY120</f>
        <v>M</v>
      </c>
      <c r="M142" s="145" t="e">
        <f>+'staffing plan'!#REF!</f>
        <v>#REF!</v>
      </c>
      <c r="N142" s="145" t="e">
        <f>'staffing plan'!#REF!</f>
        <v>#REF!</v>
      </c>
      <c r="O142" s="145" t="e">
        <f>+'staffing plan'!#REF!</f>
        <v>#REF!</v>
      </c>
      <c r="P142" s="131">
        <f>+'staffing plan'!AH120</f>
        <v>783828</v>
      </c>
      <c r="Q142" s="131">
        <f>+'staffing plan'!AI120</f>
        <v>783828</v>
      </c>
      <c r="R142">
        <f>+'staffing plan'!BP120</f>
        <v>0</v>
      </c>
      <c r="S142">
        <v>141</v>
      </c>
    </row>
    <row r="143" spans="2:19">
      <c r="B143">
        <f t="shared" si="5"/>
        <v>2017</v>
      </c>
      <c r="C143">
        <f>+'staffing plan'!BK121</f>
        <v>43087</v>
      </c>
      <c r="D143" t="str">
        <f>'staffing plan'!A121</f>
        <v>OSEC-DILGB-LGOO6-37-2017</v>
      </c>
      <c r="E143" t="str">
        <f>+'staffing plan'!B121</f>
        <v>Local Government Operations Officer VI</v>
      </c>
      <c r="F143">
        <f>+'staffing plan'!C121</f>
        <v>22</v>
      </c>
      <c r="G143" s="131">
        <f>+'staffing plan'!AJ121</f>
        <v>1</v>
      </c>
      <c r="H143" t="str">
        <f>+'staffing plan'!AX121</f>
        <v>Apayao</v>
      </c>
      <c r="I143" t="str">
        <f>+'staffing plan'!AW121</f>
        <v>VISITACION, Rhiener Cardenas</v>
      </c>
      <c r="J143" t="e">
        <f>+'staffing plan'!#REF!</f>
        <v>#REF!</v>
      </c>
      <c r="K143" t="e">
        <f>+'staffing plan'!#REF!</f>
        <v>#REF!</v>
      </c>
      <c r="L143" t="str">
        <f>+'staffing plan'!AY121</f>
        <v>M</v>
      </c>
      <c r="M143" s="145" t="e">
        <f>+'staffing plan'!#REF!</f>
        <v>#REF!</v>
      </c>
      <c r="N143" s="145" t="e">
        <f>'staffing plan'!#REF!</f>
        <v>#REF!</v>
      </c>
      <c r="O143" s="145" t="e">
        <f>+'staffing plan'!#REF!</f>
        <v>#REF!</v>
      </c>
      <c r="P143" s="131">
        <f>+'staffing plan'!AH121</f>
        <v>783828</v>
      </c>
      <c r="Q143" s="131">
        <f>+'staffing plan'!AI121</f>
        <v>783828</v>
      </c>
      <c r="R143">
        <f>+'staffing plan'!BP121</f>
        <v>0</v>
      </c>
      <c r="S143">
        <v>142</v>
      </c>
    </row>
    <row r="144" spans="2:19" hidden="1">
      <c r="B144">
        <f t="shared" si="5"/>
        <v>2018</v>
      </c>
      <c r="C144">
        <f>+'staffing plan'!BK175</f>
        <v>43131</v>
      </c>
      <c r="D144" t="str">
        <f>'staffing plan'!A175</f>
        <v>OSEC-DILGB-LGOO5-965-1998</v>
      </c>
      <c r="E144" t="str">
        <f>+'staffing plan'!B175</f>
        <v>Local Government Operations Officer V</v>
      </c>
      <c r="F144">
        <f>+'staffing plan'!C175</f>
        <v>20</v>
      </c>
      <c r="G144" s="131">
        <f>+'staffing plan'!AJ175</f>
        <v>1</v>
      </c>
      <c r="H144" t="str">
        <f>+'staffing plan'!AX175</f>
        <v>Kalinga</v>
      </c>
      <c r="I144" t="str">
        <f>+'staffing plan'!AW175</f>
        <v>ELVEÑA, Hanna Lynel Gullayan</v>
      </c>
      <c r="J144" t="e">
        <f>+'staffing plan'!#REF!</f>
        <v>#REF!</v>
      </c>
      <c r="K144" t="e">
        <f>+'staffing plan'!#REF!</f>
        <v>#REF!</v>
      </c>
      <c r="L144" t="str">
        <f>+'staffing plan'!AY175</f>
        <v>F</v>
      </c>
      <c r="M144" s="145" t="e">
        <f>+'staffing plan'!#REF!</f>
        <v>#REF!</v>
      </c>
      <c r="N144" s="145" t="e">
        <f>'staffing plan'!#REF!</f>
        <v>#REF!</v>
      </c>
      <c r="O144" s="145" t="e">
        <f>+'staffing plan'!#REF!</f>
        <v>#REF!</v>
      </c>
      <c r="P144" s="131">
        <f>+'staffing plan'!AH175</f>
        <v>613860</v>
      </c>
      <c r="Q144" s="131">
        <f>+'staffing plan'!AI175</f>
        <v>613860</v>
      </c>
      <c r="R144" t="str">
        <f>+'staffing plan'!BP175</f>
        <v>Kalinga</v>
      </c>
      <c r="S144">
        <v>143</v>
      </c>
    </row>
    <row r="145" spans="2:19">
      <c r="B145">
        <f t="shared" si="5"/>
        <v>2017</v>
      </c>
      <c r="C145">
        <f>+'staffing plan'!BK139</f>
        <v>43087</v>
      </c>
      <c r="D145" t="str">
        <f>'staffing plan'!A139</f>
        <v>OSEC-DILGB-LGOO6-55-2017</v>
      </c>
      <c r="E145" t="str">
        <f>+'staffing plan'!B139</f>
        <v>Local Government Operations OFFICER VI</v>
      </c>
      <c r="F145">
        <f>+'staffing plan'!C139</f>
        <v>22</v>
      </c>
      <c r="G145" s="131">
        <f>+'staffing plan'!AJ139</f>
        <v>1</v>
      </c>
      <c r="H145" t="str">
        <f>+'staffing plan'!AX139</f>
        <v>Kalinga</v>
      </c>
      <c r="I145" t="str">
        <f>+'staffing plan'!AW139</f>
        <v>ACUAT, Alexander Gacuya</v>
      </c>
      <c r="J145" t="e">
        <f>+'staffing plan'!#REF!</f>
        <v>#REF!</v>
      </c>
      <c r="K145" t="e">
        <f>+'staffing plan'!#REF!</f>
        <v>#REF!</v>
      </c>
      <c r="L145" t="str">
        <f>+'staffing plan'!AY139</f>
        <v>M</v>
      </c>
      <c r="M145" s="145" t="e">
        <f>+'staffing plan'!#REF!</f>
        <v>#REF!</v>
      </c>
      <c r="N145" s="145" t="e">
        <f>'staffing plan'!#REF!</f>
        <v>#REF!</v>
      </c>
      <c r="O145" s="145" t="e">
        <f>+'staffing plan'!#REF!</f>
        <v>#REF!</v>
      </c>
      <c r="P145" s="131">
        <f>+'staffing plan'!AH139</f>
        <v>783828</v>
      </c>
      <c r="Q145" s="131">
        <f>+'staffing plan'!AI139</f>
        <v>783828</v>
      </c>
      <c r="R145">
        <f>+'staffing plan'!BP139</f>
        <v>0</v>
      </c>
      <c r="S145">
        <v>144</v>
      </c>
    </row>
    <row r="146" spans="2:19">
      <c r="B146">
        <f t="shared" si="5"/>
        <v>2017</v>
      </c>
      <c r="C146">
        <f>+'staffing plan'!BK140</f>
        <v>43070</v>
      </c>
      <c r="D146" t="str">
        <f>'staffing plan'!A140</f>
        <v>OSEC-DILGB-LGOO6-56-2017</v>
      </c>
      <c r="E146" t="str">
        <f>+'staffing plan'!B140</f>
        <v>Local Government Operations OFFICER VI</v>
      </c>
      <c r="F146">
        <f>+'staffing plan'!C140</f>
        <v>22</v>
      </c>
      <c r="G146" s="131">
        <f>+'staffing plan'!AJ140</f>
        <v>1</v>
      </c>
      <c r="H146" t="str">
        <f>+'staffing plan'!AX140</f>
        <v>Kalinga</v>
      </c>
      <c r="I146" t="str">
        <f>+'staffing plan'!AW140</f>
        <v>LORENZO, Elizabeth Perpetua Baylon</v>
      </c>
      <c r="J146" t="e">
        <f>+'staffing plan'!#REF!</f>
        <v>#REF!</v>
      </c>
      <c r="K146" t="e">
        <f>+'staffing plan'!#REF!</f>
        <v>#REF!</v>
      </c>
      <c r="L146" t="str">
        <f>+'staffing plan'!AY140</f>
        <v>F</v>
      </c>
      <c r="M146" s="145" t="e">
        <f>+'staffing plan'!#REF!</f>
        <v>#REF!</v>
      </c>
      <c r="N146" s="145" t="e">
        <f>'staffing plan'!#REF!</f>
        <v>#REF!</v>
      </c>
      <c r="O146" s="145" t="e">
        <f>+'staffing plan'!#REF!</f>
        <v>#REF!</v>
      </c>
      <c r="P146" s="131">
        <f>+'staffing plan'!AH140</f>
        <v>783828</v>
      </c>
      <c r="Q146" s="131">
        <f>+'staffing plan'!AI140</f>
        <v>783828</v>
      </c>
      <c r="R146" t="str">
        <f>+'staffing plan'!BP140</f>
        <v>Shifting</v>
      </c>
      <c r="S146">
        <v>145</v>
      </c>
    </row>
    <row r="147" spans="2:19">
      <c r="B147">
        <f t="shared" si="5"/>
        <v>2017</v>
      </c>
      <c r="C147">
        <f>+'staffing plan'!BK141</f>
        <v>43087</v>
      </c>
      <c r="D147" t="str">
        <f>'staffing plan'!A141</f>
        <v>OSEC-DILGB-LGOO6-57-2017</v>
      </c>
      <c r="E147" t="str">
        <f>+'staffing plan'!B141</f>
        <v>Local Government Operations OFFICER VI</v>
      </c>
      <c r="F147">
        <f>+'staffing plan'!C141</f>
        <v>22</v>
      </c>
      <c r="G147" s="131">
        <f>+'staffing plan'!AJ141</f>
        <v>1</v>
      </c>
      <c r="H147" t="str">
        <f>+'staffing plan'!AX141</f>
        <v>Kalinga</v>
      </c>
      <c r="I147" t="str">
        <f>+'staffing plan'!AW141</f>
        <v>LACUESTA, Helen Espita</v>
      </c>
      <c r="J147" t="e">
        <f>+'staffing plan'!#REF!</f>
        <v>#REF!</v>
      </c>
      <c r="K147" t="e">
        <f>+'staffing plan'!#REF!</f>
        <v>#REF!</v>
      </c>
      <c r="L147" t="str">
        <f>+'staffing plan'!AY141</f>
        <v>F</v>
      </c>
      <c r="M147" s="145" t="e">
        <f>+'staffing plan'!#REF!</f>
        <v>#REF!</v>
      </c>
      <c r="N147" s="145" t="e">
        <f>'staffing plan'!#REF!</f>
        <v>#REF!</v>
      </c>
      <c r="O147" s="145" t="e">
        <f>+'staffing plan'!#REF!</f>
        <v>#REF!</v>
      </c>
      <c r="P147" s="131">
        <f>+'staffing plan'!AH141</f>
        <v>783828</v>
      </c>
      <c r="Q147" s="131">
        <f>+'staffing plan'!AI141</f>
        <v>783828</v>
      </c>
      <c r="R147" t="str">
        <f>+'staffing plan'!BP141</f>
        <v>Shifting</v>
      </c>
      <c r="S147">
        <v>146</v>
      </c>
    </row>
    <row r="148" spans="2:19">
      <c r="B148">
        <f t="shared" si="5"/>
        <v>2017</v>
      </c>
      <c r="C148">
        <f>+'staffing plan'!BK142</f>
        <v>43070</v>
      </c>
      <c r="D148" t="str">
        <f>'staffing plan'!A142</f>
        <v>OSEC-DILGB-LGOO6-58-2017</v>
      </c>
      <c r="E148" t="str">
        <f>+'staffing plan'!B142</f>
        <v>Local Government Operations OFFICER VI</v>
      </c>
      <c r="F148">
        <f>+'staffing plan'!C142</f>
        <v>22</v>
      </c>
      <c r="G148" s="131">
        <f>+'staffing plan'!AJ142</f>
        <v>1</v>
      </c>
      <c r="H148" t="str">
        <f>+'staffing plan'!AX142</f>
        <v>Kalinga</v>
      </c>
      <c r="I148" t="str">
        <f>+'staffing plan'!AW142</f>
        <v>ATING, Lucas Alsiyao</v>
      </c>
      <c r="J148" t="e">
        <f>+'staffing plan'!#REF!</f>
        <v>#REF!</v>
      </c>
      <c r="K148" t="e">
        <f>+'staffing plan'!#REF!</f>
        <v>#REF!</v>
      </c>
      <c r="L148" t="str">
        <f>+'staffing plan'!AY142</f>
        <v>M</v>
      </c>
      <c r="M148" s="145" t="e">
        <f>+'staffing plan'!#REF!</f>
        <v>#REF!</v>
      </c>
      <c r="N148" s="145" t="e">
        <f>'staffing plan'!#REF!</f>
        <v>#REF!</v>
      </c>
      <c r="O148" s="145" t="e">
        <f>+'staffing plan'!#REF!</f>
        <v>#REF!</v>
      </c>
      <c r="P148" s="131">
        <f>+'staffing plan'!AH142</f>
        <v>783828</v>
      </c>
      <c r="Q148" s="131">
        <f>+'staffing plan'!AI142</f>
        <v>783828</v>
      </c>
      <c r="R148">
        <f>+'staffing plan'!BP142</f>
        <v>0</v>
      </c>
      <c r="S148">
        <v>147</v>
      </c>
    </row>
    <row r="149" spans="2:19">
      <c r="B149">
        <f t="shared" si="5"/>
        <v>2017</v>
      </c>
      <c r="C149">
        <f>+'staffing plan'!BK122</f>
        <v>43070</v>
      </c>
      <c r="D149" t="str">
        <f>'staffing plan'!A122</f>
        <v>OSEC-DILGB-LGOO6-38-2017</v>
      </c>
      <c r="E149" t="str">
        <f>+'staffing plan'!B122</f>
        <v>Local Government Operations Officer VI</v>
      </c>
      <c r="F149">
        <f>+'staffing plan'!C122</f>
        <v>22</v>
      </c>
      <c r="G149" s="131">
        <f>+'staffing plan'!AJ122</f>
        <v>1</v>
      </c>
      <c r="H149" t="str">
        <f>+'staffing plan'!AX122</f>
        <v>Apayao</v>
      </c>
      <c r="I149" t="str">
        <f>+'staffing plan'!AW122</f>
        <v>EUGENIO, Cecile Cagurangan</v>
      </c>
      <c r="J149" t="e">
        <f>+'staffing plan'!#REF!</f>
        <v>#REF!</v>
      </c>
      <c r="K149" t="e">
        <f>+'staffing plan'!#REF!</f>
        <v>#REF!</v>
      </c>
      <c r="L149" t="str">
        <f>+'staffing plan'!AY122</f>
        <v>F</v>
      </c>
      <c r="M149" s="145" t="e">
        <f>+'staffing plan'!#REF!</f>
        <v>#REF!</v>
      </c>
      <c r="N149" s="145" t="e">
        <f>'staffing plan'!#REF!</f>
        <v>#REF!</v>
      </c>
      <c r="O149" s="145" t="e">
        <f>+'staffing plan'!#REF!</f>
        <v>#REF!</v>
      </c>
      <c r="P149" s="131">
        <f>+'staffing plan'!AH122</f>
        <v>783828</v>
      </c>
      <c r="Q149" s="131">
        <f>+'staffing plan'!AI122</f>
        <v>783828</v>
      </c>
      <c r="R149">
        <f>+'staffing plan'!BP122</f>
        <v>0</v>
      </c>
      <c r="S149">
        <v>148</v>
      </c>
    </row>
    <row r="150" spans="2:19">
      <c r="B150">
        <f t="shared" si="5"/>
        <v>2017</v>
      </c>
      <c r="C150">
        <f>+'staffing plan'!BK143</f>
        <v>43070</v>
      </c>
      <c r="D150" t="str">
        <f>'staffing plan'!A143</f>
        <v>OSEC-DILGB-LGOO6-59-2017</v>
      </c>
      <c r="E150" t="str">
        <f>+'staffing plan'!B143</f>
        <v>Local Government Operations OFFICER VI</v>
      </c>
      <c r="F150">
        <f>+'staffing plan'!C143</f>
        <v>22</v>
      </c>
      <c r="G150" s="131">
        <f>+'staffing plan'!AJ143</f>
        <v>1</v>
      </c>
      <c r="H150" t="str">
        <f>+'staffing plan'!AX143</f>
        <v>Kalinga</v>
      </c>
      <c r="I150" t="str">
        <f>+'staffing plan'!AW143</f>
        <v>BAWANTA, Gemma Oga-oy</v>
      </c>
      <c r="J150" t="e">
        <f>+'staffing plan'!#REF!</f>
        <v>#REF!</v>
      </c>
      <c r="K150" t="e">
        <f>+'staffing plan'!#REF!</f>
        <v>#REF!</v>
      </c>
      <c r="L150" t="str">
        <f>+'staffing plan'!AY143</f>
        <v>F</v>
      </c>
      <c r="M150" s="145" t="e">
        <f>+'staffing plan'!#REF!</f>
        <v>#REF!</v>
      </c>
      <c r="N150" s="145" t="e">
        <f>'staffing plan'!#REF!</f>
        <v>#REF!</v>
      </c>
      <c r="O150" s="145" t="e">
        <f>+'staffing plan'!#REF!</f>
        <v>#REF!</v>
      </c>
      <c r="P150" s="131">
        <f>+'staffing plan'!AH143</f>
        <v>783828</v>
      </c>
      <c r="Q150" s="131">
        <f>+'staffing plan'!AI143</f>
        <v>783828</v>
      </c>
      <c r="R150">
        <f>+'staffing plan'!BP143</f>
        <v>0</v>
      </c>
      <c r="S150">
        <v>149</v>
      </c>
    </row>
    <row r="151" spans="2:19">
      <c r="B151">
        <f t="shared" ref="B151:B214" si="6">(YEAR(C151))</f>
        <v>2016</v>
      </c>
      <c r="C151">
        <f>+'staffing plan'!BK176</f>
        <v>42430</v>
      </c>
      <c r="D151" t="str">
        <f>'staffing plan'!A176</f>
        <v>OSEC-DILGB-LGOO5-972-1998</v>
      </c>
      <c r="E151" t="str">
        <f>+'staffing plan'!B176</f>
        <v>Local Government Operations Officer V</v>
      </c>
      <c r="F151">
        <f>+'staffing plan'!C176</f>
        <v>20</v>
      </c>
      <c r="G151" s="131">
        <f>+'staffing plan'!AJ176</f>
        <v>1</v>
      </c>
      <c r="H151" t="str">
        <f>+'staffing plan'!AX176</f>
        <v>Apayao</v>
      </c>
      <c r="I151" t="str">
        <f>+'staffing plan'!AW176</f>
        <v>ESTELON, Juvy Jane Dumapay</v>
      </c>
      <c r="J151" t="e">
        <f>+'staffing plan'!#REF!</f>
        <v>#REF!</v>
      </c>
      <c r="K151" t="e">
        <f>+'staffing plan'!#REF!</f>
        <v>#REF!</v>
      </c>
      <c r="L151" t="str">
        <f>+'staffing plan'!AY176</f>
        <v>F</v>
      </c>
      <c r="M151" s="145" t="e">
        <f>+'staffing plan'!#REF!</f>
        <v>#REF!</v>
      </c>
      <c r="N151" s="145" t="e">
        <f>'staffing plan'!#REF!</f>
        <v>#REF!</v>
      </c>
      <c r="O151" s="145" t="e">
        <f>+'staffing plan'!#REF!</f>
        <v>#REF!</v>
      </c>
      <c r="P151" s="131">
        <f>+'staffing plan'!AH176</f>
        <v>613860</v>
      </c>
      <c r="Q151" s="131">
        <f>+'staffing plan'!AI176</f>
        <v>613860</v>
      </c>
      <c r="R151" t="str">
        <f>+'staffing plan'!BP176</f>
        <v>Shifting</v>
      </c>
      <c r="S151">
        <v>150</v>
      </c>
    </row>
    <row r="152" spans="2:19">
      <c r="B152">
        <f t="shared" si="6"/>
        <v>2017</v>
      </c>
      <c r="C152">
        <f>+'staffing plan'!BK144</f>
        <v>43070</v>
      </c>
      <c r="D152" t="str">
        <f>'staffing plan'!A144</f>
        <v>OSEC-DILGB-LGOO6-60-2017</v>
      </c>
      <c r="E152" t="str">
        <f>+'staffing plan'!B144</f>
        <v>Local Government Operations OFFICER VI</v>
      </c>
      <c r="F152">
        <f>+'staffing plan'!C144</f>
        <v>22</v>
      </c>
      <c r="G152" s="131">
        <f>+'staffing plan'!AJ144</f>
        <v>1</v>
      </c>
      <c r="H152" t="str">
        <f>+'staffing plan'!AX144</f>
        <v>Kalinga</v>
      </c>
      <c r="I152" t="str">
        <f>+'staffing plan'!AW144</f>
        <v>GAYUDAN, Franchita Lucob</v>
      </c>
      <c r="J152" t="e">
        <f>+'staffing plan'!#REF!</f>
        <v>#REF!</v>
      </c>
      <c r="K152" t="e">
        <f>+'staffing plan'!#REF!</f>
        <v>#REF!</v>
      </c>
      <c r="L152" t="str">
        <f>+'staffing plan'!AY144</f>
        <v>F</v>
      </c>
      <c r="M152" s="145" t="e">
        <f>+'staffing plan'!#REF!</f>
        <v>#REF!</v>
      </c>
      <c r="N152" s="145" t="e">
        <f>'staffing plan'!#REF!</f>
        <v>#REF!</v>
      </c>
      <c r="O152" s="145" t="e">
        <f>+'staffing plan'!#REF!</f>
        <v>#REF!</v>
      </c>
      <c r="P152" s="131">
        <f>+'staffing plan'!AH144</f>
        <v>783828</v>
      </c>
      <c r="Q152" s="131">
        <f>+'staffing plan'!AI144</f>
        <v>783828</v>
      </c>
      <c r="R152" t="str">
        <f>+'staffing plan'!BP144</f>
        <v>Shifting</v>
      </c>
      <c r="S152">
        <v>151</v>
      </c>
    </row>
    <row r="153" spans="2:19">
      <c r="B153">
        <f t="shared" si="6"/>
        <v>2017</v>
      </c>
      <c r="C153">
        <f>+'staffing plan'!BK123</f>
        <v>43070</v>
      </c>
      <c r="D153" t="str">
        <f>'staffing plan'!A123</f>
        <v>OSEC-DILGB-LGOO6-39-2017</v>
      </c>
      <c r="E153" t="str">
        <f>+'staffing plan'!B123</f>
        <v>Local Government Operations Officer VI</v>
      </c>
      <c r="F153">
        <f>+'staffing plan'!C123</f>
        <v>22</v>
      </c>
      <c r="G153" s="131">
        <f>+'staffing plan'!AJ123</f>
        <v>1</v>
      </c>
      <c r="H153" t="str">
        <f>+'staffing plan'!AX123</f>
        <v>Apayao</v>
      </c>
      <c r="I153" t="str">
        <f>+'staffing plan'!AW123</f>
        <v>BEGTANG, Roderick Domingo</v>
      </c>
      <c r="J153" t="e">
        <f>+'staffing plan'!#REF!</f>
        <v>#REF!</v>
      </c>
      <c r="K153" t="e">
        <f>+'staffing plan'!#REF!</f>
        <v>#REF!</v>
      </c>
      <c r="L153" t="str">
        <f>+'staffing plan'!AY123</f>
        <v>M</v>
      </c>
      <c r="M153" s="145" t="e">
        <f>+'staffing plan'!#REF!</f>
        <v>#REF!</v>
      </c>
      <c r="N153" s="145" t="e">
        <f>'staffing plan'!#REF!</f>
        <v>#REF!</v>
      </c>
      <c r="O153" s="145" t="e">
        <f>+'staffing plan'!#REF!</f>
        <v>#REF!</v>
      </c>
      <c r="P153" s="131">
        <f>+'staffing plan'!AH123</f>
        <v>783828</v>
      </c>
      <c r="Q153" s="131">
        <f>+'staffing plan'!AI123</f>
        <v>783828</v>
      </c>
      <c r="R153" t="str">
        <f>+'staffing plan'!BP123</f>
        <v>Shifting</v>
      </c>
      <c r="S153">
        <v>152</v>
      </c>
    </row>
    <row r="154" spans="2:19">
      <c r="B154">
        <f t="shared" si="6"/>
        <v>2007</v>
      </c>
      <c r="C154">
        <f>+'staffing plan'!BK177</f>
        <v>39170</v>
      </c>
      <c r="D154" t="str">
        <f>'staffing plan'!A177</f>
        <v>OSEC-DILGB-LGOO5-976-1998</v>
      </c>
      <c r="E154" t="str">
        <f>+'staffing plan'!B177</f>
        <v>Local Government Operations Officer V</v>
      </c>
      <c r="F154">
        <f>+'staffing plan'!C177</f>
        <v>20</v>
      </c>
      <c r="G154" s="131">
        <f>+'staffing plan'!AJ177</f>
        <v>4</v>
      </c>
      <c r="H154" t="str">
        <f>+'staffing plan'!AX177</f>
        <v>Ifugao</v>
      </c>
      <c r="I154" t="str">
        <f>+'staffing plan'!AW177</f>
        <v>NEHYEBAN, Arellano Lestino</v>
      </c>
      <c r="J154" t="e">
        <f>+'staffing plan'!#REF!</f>
        <v>#REF!</v>
      </c>
      <c r="K154" t="e">
        <f>+'staffing plan'!#REF!</f>
        <v>#REF!</v>
      </c>
      <c r="L154" t="str">
        <f>+'staffing plan'!AY177</f>
        <v>M</v>
      </c>
      <c r="M154" s="145" t="e">
        <f>+'staffing plan'!#REF!</f>
        <v>#REF!</v>
      </c>
      <c r="N154" s="145" t="e">
        <f>'staffing plan'!#REF!</f>
        <v>#REF!</v>
      </c>
      <c r="O154" s="145" t="e">
        <f>+'staffing plan'!#REF!</f>
        <v>#REF!</v>
      </c>
      <c r="P154" s="131">
        <f>+'staffing plan'!AH177</f>
        <v>613860</v>
      </c>
      <c r="Q154" s="131">
        <f>+'staffing plan'!AI177</f>
        <v>644400</v>
      </c>
      <c r="R154">
        <f>+'staffing plan'!BP177</f>
        <v>0</v>
      </c>
      <c r="S154">
        <v>153</v>
      </c>
    </row>
    <row r="155" spans="2:19">
      <c r="B155">
        <f t="shared" si="6"/>
        <v>2017</v>
      </c>
      <c r="C155">
        <f>+'staffing plan'!BK134</f>
        <v>43087</v>
      </c>
      <c r="D155" t="str">
        <f>'staffing plan'!A134</f>
        <v>OSEC-DILGB-LGOO6-50-2017</v>
      </c>
      <c r="E155" t="str">
        <f>+'staffing plan'!B134</f>
        <v>Local Government Operations OFFICER VI</v>
      </c>
      <c r="F155">
        <f>+'staffing plan'!C134</f>
        <v>22</v>
      </c>
      <c r="G155" s="131">
        <f>+'staffing plan'!AJ134</f>
        <v>1</v>
      </c>
      <c r="H155" t="str">
        <f>+'staffing plan'!AX134</f>
        <v>Ifugao</v>
      </c>
      <c r="I155" t="str">
        <f>+'staffing plan'!AW134</f>
        <v>APLOSEN, Roselle Nanglegan</v>
      </c>
      <c r="J155" t="e">
        <f>+'staffing plan'!#REF!</f>
        <v>#REF!</v>
      </c>
      <c r="K155" t="e">
        <f>+'staffing plan'!#REF!</f>
        <v>#REF!</v>
      </c>
      <c r="L155" t="str">
        <f>+'staffing plan'!AY134</f>
        <v>F</v>
      </c>
      <c r="M155" s="145" t="e">
        <f>+'staffing plan'!#REF!</f>
        <v>#REF!</v>
      </c>
      <c r="N155" s="145" t="e">
        <f>'staffing plan'!#REF!</f>
        <v>#REF!</v>
      </c>
      <c r="O155" s="145" t="e">
        <f>+'staffing plan'!#REF!</f>
        <v>#REF!</v>
      </c>
      <c r="P155" s="131">
        <f>+'staffing plan'!AH134</f>
        <v>783828</v>
      </c>
      <c r="Q155" s="131">
        <f>+'staffing plan'!AI134</f>
        <v>783828</v>
      </c>
      <c r="R155">
        <f>+'staffing plan'!BP134</f>
        <v>0</v>
      </c>
      <c r="S155">
        <v>154</v>
      </c>
    </row>
    <row r="156" spans="2:19">
      <c r="B156">
        <f t="shared" si="6"/>
        <v>2017</v>
      </c>
      <c r="C156">
        <f>+'staffing plan'!BK106</f>
        <v>43070</v>
      </c>
      <c r="D156" t="str">
        <f>'staffing plan'!A106</f>
        <v>OSEC-DILGB-LGOO6-22-2017</v>
      </c>
      <c r="E156" t="str">
        <f>+'staffing plan'!B106</f>
        <v>Local Government Operations Officer VI</v>
      </c>
      <c r="F156">
        <f>+'staffing plan'!C106</f>
        <v>22</v>
      </c>
      <c r="G156" s="131">
        <f>+'staffing plan'!AJ106</f>
        <v>1</v>
      </c>
      <c r="H156" t="str">
        <f>+'staffing plan'!AX106</f>
        <v>Abra</v>
      </c>
      <c r="I156" t="str">
        <f>+'staffing plan'!AW106</f>
        <v>RULLAN, Dan Joel Suaya</v>
      </c>
      <c r="J156" t="e">
        <f>+'staffing plan'!#REF!</f>
        <v>#REF!</v>
      </c>
      <c r="K156" t="e">
        <f>+'staffing plan'!#REF!</f>
        <v>#REF!</v>
      </c>
      <c r="L156" t="str">
        <f>+'staffing plan'!AY106</f>
        <v>M</v>
      </c>
      <c r="M156" s="145" t="e">
        <f>+'staffing plan'!#REF!</f>
        <v>#REF!</v>
      </c>
      <c r="N156" s="145" t="e">
        <f>'staffing plan'!#REF!</f>
        <v>#REF!</v>
      </c>
      <c r="O156" s="145" t="e">
        <f>+'staffing plan'!#REF!</f>
        <v>#REF!</v>
      </c>
      <c r="P156" s="131">
        <f>+'staffing plan'!AH106</f>
        <v>783828</v>
      </c>
      <c r="Q156" s="131">
        <f>+'staffing plan'!AI106</f>
        <v>783828</v>
      </c>
      <c r="R156">
        <f>+'staffing plan'!BP106</f>
        <v>0</v>
      </c>
      <c r="S156">
        <v>155</v>
      </c>
    </row>
    <row r="157" spans="2:19">
      <c r="B157">
        <f t="shared" si="6"/>
        <v>2017</v>
      </c>
      <c r="C157">
        <f>+'staffing plan'!BK107</f>
        <v>43070</v>
      </c>
      <c r="D157" t="str">
        <f>'staffing plan'!A107</f>
        <v>OSEC-DILGB-LGOO6-23-2017</v>
      </c>
      <c r="E157" t="str">
        <f>+'staffing plan'!B107</f>
        <v>Local Government Operations Officer VI</v>
      </c>
      <c r="F157">
        <f>+'staffing plan'!C107</f>
        <v>22</v>
      </c>
      <c r="G157" s="131">
        <f>+'staffing plan'!AJ107</f>
        <v>1</v>
      </c>
      <c r="H157" t="str">
        <f>+'staffing plan'!AX107</f>
        <v>Abra</v>
      </c>
      <c r="I157" t="str">
        <f>+'staffing plan'!AW107</f>
        <v>WACNANG, Dayan Salimbay</v>
      </c>
      <c r="J157" t="e">
        <f>+'staffing plan'!#REF!</f>
        <v>#REF!</v>
      </c>
      <c r="K157" t="e">
        <f>+'staffing plan'!#REF!</f>
        <v>#REF!</v>
      </c>
      <c r="L157" t="str">
        <f>+'staffing plan'!AY107</f>
        <v>M</v>
      </c>
      <c r="M157" s="145" t="e">
        <f>+'staffing plan'!#REF!</f>
        <v>#REF!</v>
      </c>
      <c r="N157" s="145" t="e">
        <f>'staffing plan'!#REF!</f>
        <v>#REF!</v>
      </c>
      <c r="O157" s="145" t="e">
        <f>+'staffing plan'!#REF!</f>
        <v>#REF!</v>
      </c>
      <c r="P157" s="131">
        <f>+'staffing plan'!AH107</f>
        <v>783828</v>
      </c>
      <c r="Q157" s="131">
        <f>+'staffing plan'!AI107</f>
        <v>783828</v>
      </c>
      <c r="R157">
        <f>+'staffing plan'!BP107</f>
        <v>0</v>
      </c>
      <c r="S157">
        <v>156</v>
      </c>
    </row>
    <row r="158" spans="2:19">
      <c r="B158">
        <f t="shared" si="6"/>
        <v>2017</v>
      </c>
      <c r="C158">
        <f>+'staffing plan'!BK108</f>
        <v>43070</v>
      </c>
      <c r="D158" t="str">
        <f>'staffing plan'!A108</f>
        <v>OSEC-DILGB-LGOO6-24-2017</v>
      </c>
      <c r="E158" t="str">
        <f>+'staffing plan'!B108</f>
        <v>Local Government Operations Officer VI</v>
      </c>
      <c r="F158">
        <f>+'staffing plan'!C108</f>
        <v>22</v>
      </c>
      <c r="G158" s="131">
        <f>+'staffing plan'!AJ108</f>
        <v>1</v>
      </c>
      <c r="H158" t="str">
        <f>+'staffing plan'!AX108</f>
        <v>Abra</v>
      </c>
      <c r="I158" t="str">
        <f>+'staffing plan'!AW108</f>
        <v>MONREAL, Prescila Alzate</v>
      </c>
      <c r="J158" t="e">
        <f>+'staffing plan'!#REF!</f>
        <v>#REF!</v>
      </c>
      <c r="K158" t="e">
        <f>+'staffing plan'!#REF!</f>
        <v>#REF!</v>
      </c>
      <c r="L158" t="str">
        <f>+'staffing plan'!AY108</f>
        <v>F</v>
      </c>
      <c r="M158" s="145" t="e">
        <f>+'staffing plan'!#REF!</f>
        <v>#REF!</v>
      </c>
      <c r="N158" s="145" t="e">
        <f>'staffing plan'!#REF!</f>
        <v>#REF!</v>
      </c>
      <c r="O158" s="145" t="e">
        <f>+'staffing plan'!#REF!</f>
        <v>#REF!</v>
      </c>
      <c r="P158" s="131">
        <f>+'staffing plan'!AH108</f>
        <v>783828</v>
      </c>
      <c r="Q158" s="131">
        <f>+'staffing plan'!AI108</f>
        <v>783828</v>
      </c>
      <c r="R158">
        <f>+'staffing plan'!BP108</f>
        <v>0</v>
      </c>
      <c r="S158">
        <v>157</v>
      </c>
    </row>
    <row r="159" spans="2:19">
      <c r="B159">
        <f t="shared" si="6"/>
        <v>2017</v>
      </c>
      <c r="C159">
        <f>+'staffing plan'!BK124</f>
        <v>43070</v>
      </c>
      <c r="D159" t="str">
        <f>'staffing plan'!A124</f>
        <v>OSEC-DILGB-LGOO6-40-2017</v>
      </c>
      <c r="E159" t="str">
        <f>+'staffing plan'!B124</f>
        <v>Local Government Operations Officer VI</v>
      </c>
      <c r="F159">
        <f>+'staffing plan'!C124</f>
        <v>22</v>
      </c>
      <c r="G159" s="131">
        <f>+'staffing plan'!AJ124</f>
        <v>1</v>
      </c>
      <c r="H159" t="str">
        <f>+'staffing plan'!AX124</f>
        <v>Benguet</v>
      </c>
      <c r="I159" t="str">
        <f>+'staffing plan'!AW124</f>
        <v>MANACNIS, Euchols Plazo</v>
      </c>
      <c r="J159" t="e">
        <f>+'staffing plan'!#REF!</f>
        <v>#REF!</v>
      </c>
      <c r="K159" t="e">
        <f>+'staffing plan'!#REF!</f>
        <v>#REF!</v>
      </c>
      <c r="L159" t="str">
        <f>+'staffing plan'!AY124</f>
        <v>M</v>
      </c>
      <c r="M159" s="145" t="e">
        <f>+'staffing plan'!#REF!</f>
        <v>#REF!</v>
      </c>
      <c r="N159" s="145" t="e">
        <f>'staffing plan'!#REF!</f>
        <v>#REF!</v>
      </c>
      <c r="O159" s="145" t="e">
        <f>+'staffing plan'!#REF!</f>
        <v>#REF!</v>
      </c>
      <c r="P159" s="131">
        <f>+'staffing plan'!AH124</f>
        <v>783828</v>
      </c>
      <c r="Q159" s="131">
        <f>+'staffing plan'!AI124</f>
        <v>783828</v>
      </c>
      <c r="R159" t="str">
        <f>+'staffing plan'!BP124</f>
        <v>Shifting</v>
      </c>
      <c r="S159">
        <v>158</v>
      </c>
    </row>
    <row r="160" spans="2:19">
      <c r="B160">
        <f t="shared" si="6"/>
        <v>2017</v>
      </c>
      <c r="C160">
        <f>+'staffing plan'!BK125</f>
        <v>43089</v>
      </c>
      <c r="D160" t="str">
        <f>'staffing plan'!A125</f>
        <v>OSEC-DILGB-LGOO6-41-2017</v>
      </c>
      <c r="E160" t="str">
        <f>+'staffing plan'!B125</f>
        <v>Local Government Operations Officer VI</v>
      </c>
      <c r="F160">
        <f>+'staffing plan'!C125</f>
        <v>22</v>
      </c>
      <c r="G160" s="131">
        <f>+'staffing plan'!AJ125</f>
        <v>1</v>
      </c>
      <c r="H160" t="str">
        <f>+'staffing plan'!AX125</f>
        <v>Benguet</v>
      </c>
      <c r="I160" t="str">
        <f>+'staffing plan'!AW125</f>
        <v>SAINGAN, Evelyn Mensi</v>
      </c>
      <c r="J160" t="e">
        <f>+'staffing plan'!#REF!</f>
        <v>#REF!</v>
      </c>
      <c r="K160" t="e">
        <f>+'staffing plan'!#REF!</f>
        <v>#REF!</v>
      </c>
      <c r="L160" t="str">
        <f>+'staffing plan'!AY125</f>
        <v>F</v>
      </c>
      <c r="M160" s="145" t="e">
        <f>+'staffing plan'!#REF!</f>
        <v>#REF!</v>
      </c>
      <c r="N160" s="145" t="e">
        <f>'staffing plan'!#REF!</f>
        <v>#REF!</v>
      </c>
      <c r="O160" s="145" t="e">
        <f>+'staffing plan'!#REF!</f>
        <v>#REF!</v>
      </c>
      <c r="P160" s="131">
        <f>+'staffing plan'!AH125</f>
        <v>783828</v>
      </c>
      <c r="Q160" s="131">
        <f>+'staffing plan'!AI125</f>
        <v>783828</v>
      </c>
      <c r="R160" t="str">
        <f>+'staffing plan'!BP125</f>
        <v>Shifting</v>
      </c>
      <c r="S160">
        <v>159</v>
      </c>
    </row>
    <row r="161" spans="2:19">
      <c r="B161">
        <f t="shared" si="6"/>
        <v>2013</v>
      </c>
      <c r="C161">
        <f>+'staffing plan'!BK178</f>
        <v>41487</v>
      </c>
      <c r="D161" t="str">
        <f>'staffing plan'!A178</f>
        <v>OSEC-DILGB-LGOO5-983-1998</v>
      </c>
      <c r="E161" t="str">
        <f>+'staffing plan'!B178</f>
        <v>Local Government Operations Officer V</v>
      </c>
      <c r="F161">
        <f>+'staffing plan'!C178</f>
        <v>20</v>
      </c>
      <c r="G161" s="131">
        <f>+'staffing plan'!AJ178</f>
        <v>2</v>
      </c>
      <c r="H161" t="str">
        <f>+'staffing plan'!AX178</f>
        <v>Benguet</v>
      </c>
      <c r="I161" t="str">
        <f>+'staffing plan'!AW178</f>
        <v>GUMANGAN, Juliet Bugagon</v>
      </c>
      <c r="J161" t="e">
        <f>+'staffing plan'!#REF!</f>
        <v>#REF!</v>
      </c>
      <c r="K161" t="e">
        <f>+'staffing plan'!#REF!</f>
        <v>#REF!</v>
      </c>
      <c r="L161" t="str">
        <f>+'staffing plan'!AY178</f>
        <v>F</v>
      </c>
      <c r="M161" s="145" t="e">
        <f>+'staffing plan'!#REF!</f>
        <v>#REF!</v>
      </c>
      <c r="N161" s="145" t="e">
        <f>'staffing plan'!#REF!</f>
        <v>#REF!</v>
      </c>
      <c r="O161" s="145" t="e">
        <f>+'staffing plan'!#REF!</f>
        <v>#REF!</v>
      </c>
      <c r="P161" s="131">
        <f>+'staffing plan'!AH178</f>
        <v>613860</v>
      </c>
      <c r="Q161" s="131">
        <f>+'staffing plan'!AI178</f>
        <v>623868</v>
      </c>
      <c r="R161">
        <f>+'staffing plan'!BP178</f>
        <v>0</v>
      </c>
      <c r="S161">
        <v>160</v>
      </c>
    </row>
    <row r="162" spans="2:19">
      <c r="B162">
        <f t="shared" si="6"/>
        <v>2017</v>
      </c>
      <c r="C162">
        <f>+'staffing plan'!BK152</f>
        <v>43070</v>
      </c>
      <c r="D162" t="str">
        <f>'staffing plan'!A152</f>
        <v>OSEC-DILGB-LGOO6-68-2017</v>
      </c>
      <c r="E162" t="str">
        <f>+'staffing plan'!B152</f>
        <v>Local Government Operations Officer VI</v>
      </c>
      <c r="F162">
        <f>+'staffing plan'!C152</f>
        <v>22</v>
      </c>
      <c r="G162" s="131">
        <f>+'staffing plan'!AJ152</f>
        <v>1</v>
      </c>
      <c r="H162" t="str">
        <f>+'staffing plan'!AX152</f>
        <v>Mt. Province</v>
      </c>
      <c r="I162" t="str">
        <f>+'staffing plan'!AW152</f>
        <v>GUIAWAN, Maria Addalay</v>
      </c>
      <c r="J162" t="e">
        <f>+'staffing plan'!#REF!</f>
        <v>#REF!</v>
      </c>
      <c r="K162" t="e">
        <f>+'staffing plan'!#REF!</f>
        <v>#REF!</v>
      </c>
      <c r="L162" t="str">
        <f>+'staffing plan'!AY152</f>
        <v>F</v>
      </c>
      <c r="M162" s="145" t="e">
        <f>+'staffing plan'!#REF!</f>
        <v>#REF!</v>
      </c>
      <c r="N162" s="145" t="e">
        <f>'staffing plan'!#REF!</f>
        <v>#REF!</v>
      </c>
      <c r="O162" s="145" t="e">
        <f>+'staffing plan'!#REF!</f>
        <v>#REF!</v>
      </c>
      <c r="P162" s="131">
        <f>+'staffing plan'!AH152</f>
        <v>783828</v>
      </c>
      <c r="Q162" s="131">
        <f>+'staffing plan'!AI152</f>
        <v>783828</v>
      </c>
      <c r="R162" t="str">
        <f>+'staffing plan'!BP152</f>
        <v>Shifting</v>
      </c>
      <c r="S162">
        <v>161</v>
      </c>
    </row>
    <row r="163" spans="2:19">
      <c r="B163">
        <f t="shared" si="6"/>
        <v>2018</v>
      </c>
      <c r="C163">
        <f>+'staffing plan'!BK158</f>
        <v>43109</v>
      </c>
      <c r="D163" t="str">
        <f>'staffing plan'!A158</f>
        <v>OSEC-DILGB-LGOO6-74-2017</v>
      </c>
      <c r="E163" t="str">
        <f>+'staffing plan'!B158</f>
        <v>Local Government Operations Officer VI</v>
      </c>
      <c r="F163">
        <f>+'staffing plan'!C158</f>
        <v>22</v>
      </c>
      <c r="G163" s="131">
        <f>+'staffing plan'!AJ158</f>
        <v>1</v>
      </c>
      <c r="H163" t="str">
        <f>+'staffing plan'!AX158</f>
        <v>Mt. Province</v>
      </c>
      <c r="I163" t="str">
        <f>+'staffing plan'!AW158</f>
        <v>FIAR-OD, Ray Bomas-ang</v>
      </c>
      <c r="J163" t="e">
        <f>+'staffing plan'!#REF!</f>
        <v>#REF!</v>
      </c>
      <c r="K163" t="e">
        <f>+'staffing plan'!#REF!</f>
        <v>#REF!</v>
      </c>
      <c r="L163" t="str">
        <f>+'staffing plan'!AY158</f>
        <v>M</v>
      </c>
      <c r="M163" s="145" t="e">
        <f>+'staffing plan'!#REF!</f>
        <v>#REF!</v>
      </c>
      <c r="N163" s="145" t="e">
        <f>'staffing plan'!#REF!</f>
        <v>#REF!</v>
      </c>
      <c r="O163" s="145" t="e">
        <f>+'staffing plan'!#REF!</f>
        <v>#REF!</v>
      </c>
      <c r="P163" s="131">
        <f>+'staffing plan'!AH158</f>
        <v>783828</v>
      </c>
      <c r="Q163" s="131">
        <f>+'staffing plan'!AI158</f>
        <v>783828</v>
      </c>
      <c r="R163" t="str">
        <f>+'staffing plan'!BP158</f>
        <v>Promotion</v>
      </c>
      <c r="S163">
        <v>162</v>
      </c>
    </row>
    <row r="164" spans="2:19">
      <c r="B164">
        <f t="shared" si="6"/>
        <v>2017</v>
      </c>
      <c r="C164">
        <f>+'staffing plan'!BK153</f>
        <v>43070</v>
      </c>
      <c r="D164" t="str">
        <f>'staffing plan'!A153</f>
        <v>OSEC-DILGB-LGOO6-69-2017</v>
      </c>
      <c r="E164" t="str">
        <f>+'staffing plan'!B153</f>
        <v>Local Government Operations Officer VI</v>
      </c>
      <c r="F164">
        <f>+'staffing plan'!C153</f>
        <v>22</v>
      </c>
      <c r="G164" s="131">
        <f>+'staffing plan'!AJ153</f>
        <v>1</v>
      </c>
      <c r="H164" t="str">
        <f>+'staffing plan'!AX153</f>
        <v>Mt. Province</v>
      </c>
      <c r="I164" t="str">
        <f>+'staffing plan'!AW153</f>
        <v>BASILIO, Caridad  Ballang</v>
      </c>
      <c r="J164" t="e">
        <f>+'staffing plan'!#REF!</f>
        <v>#REF!</v>
      </c>
      <c r="K164" t="e">
        <f>+'staffing plan'!#REF!</f>
        <v>#REF!</v>
      </c>
      <c r="L164" t="str">
        <f>+'staffing plan'!AY153</f>
        <v>F</v>
      </c>
      <c r="M164" s="145" t="e">
        <f>+'staffing plan'!#REF!</f>
        <v>#REF!</v>
      </c>
      <c r="N164" s="145" t="e">
        <f>'staffing plan'!#REF!</f>
        <v>#REF!</v>
      </c>
      <c r="O164" s="145" t="e">
        <f>+'staffing plan'!#REF!</f>
        <v>#REF!</v>
      </c>
      <c r="P164" s="131">
        <f>+'staffing plan'!AH153</f>
        <v>783828</v>
      </c>
      <c r="Q164" s="131">
        <f>+'staffing plan'!AI153</f>
        <v>783828</v>
      </c>
      <c r="R164">
        <f>+'staffing plan'!BP153</f>
        <v>0</v>
      </c>
      <c r="S164">
        <v>163</v>
      </c>
    </row>
    <row r="165" spans="2:19">
      <c r="B165">
        <f t="shared" si="6"/>
        <v>2017</v>
      </c>
      <c r="C165">
        <f>+'staffing plan'!BK135</f>
        <v>43070</v>
      </c>
      <c r="D165" t="str">
        <f>'staffing plan'!A135</f>
        <v>OSEC-DILGB-LGOO6-51-2017</v>
      </c>
      <c r="E165" t="str">
        <f>+'staffing plan'!B135</f>
        <v>Local Government Operations OFFICER VI</v>
      </c>
      <c r="F165">
        <f>+'staffing plan'!C135</f>
        <v>22</v>
      </c>
      <c r="G165" s="131">
        <f>+'staffing plan'!AJ135</f>
        <v>1</v>
      </c>
      <c r="H165" t="str">
        <f>+'staffing plan'!AX135</f>
        <v>Ifugao</v>
      </c>
      <c r="I165" t="str">
        <f>+'staffing plan'!AW135</f>
        <v>UMALCO, Wilbert Mayam-o</v>
      </c>
      <c r="J165" t="e">
        <f>+'staffing plan'!#REF!</f>
        <v>#REF!</v>
      </c>
      <c r="K165" t="e">
        <f>+'staffing plan'!#REF!</f>
        <v>#REF!</v>
      </c>
      <c r="L165" t="str">
        <f>+'staffing plan'!AY135</f>
        <v>M</v>
      </c>
      <c r="M165" s="145" t="e">
        <f>+'staffing plan'!#REF!</f>
        <v>#REF!</v>
      </c>
      <c r="N165" s="145" t="e">
        <f>'staffing plan'!#REF!</f>
        <v>#REF!</v>
      </c>
      <c r="O165" s="145" t="e">
        <f>+'staffing plan'!#REF!</f>
        <v>#REF!</v>
      </c>
      <c r="P165" s="131">
        <f>+'staffing plan'!AH135</f>
        <v>783828</v>
      </c>
      <c r="Q165" s="131">
        <f>+'staffing plan'!AI135</f>
        <v>783828</v>
      </c>
      <c r="R165">
        <f>+'staffing plan'!BP135</f>
        <v>0</v>
      </c>
      <c r="S165">
        <v>164</v>
      </c>
    </row>
    <row r="166" spans="2:19">
      <c r="B166">
        <f t="shared" si="6"/>
        <v>2017</v>
      </c>
      <c r="C166">
        <f>+'staffing plan'!BK136</f>
        <v>43070</v>
      </c>
      <c r="D166" t="str">
        <f>'staffing plan'!A136</f>
        <v>OSEC-DILGB-LGOO6-52-2017</v>
      </c>
      <c r="E166" t="str">
        <f>+'staffing plan'!B136</f>
        <v>Local Government Operations OFFICER VI</v>
      </c>
      <c r="F166">
        <f>+'staffing plan'!C136</f>
        <v>22</v>
      </c>
      <c r="G166" s="131">
        <f>+'staffing plan'!AJ136</f>
        <v>1</v>
      </c>
      <c r="H166" t="str">
        <f>+'staffing plan'!AX136</f>
        <v>Ifugao</v>
      </c>
      <c r="I166" t="str">
        <f>+'staffing plan'!AW136</f>
        <v>LINDAWAN, Gilbert Nayahangan</v>
      </c>
      <c r="J166" t="e">
        <f>+'staffing plan'!#REF!</f>
        <v>#REF!</v>
      </c>
      <c r="K166" t="e">
        <f>+'staffing plan'!#REF!</f>
        <v>#REF!</v>
      </c>
      <c r="L166" t="str">
        <f>+'staffing plan'!AY136</f>
        <v>M</v>
      </c>
      <c r="M166" s="145" t="e">
        <f>+'staffing plan'!#REF!</f>
        <v>#REF!</v>
      </c>
      <c r="N166" s="145" t="e">
        <f>'staffing plan'!#REF!</f>
        <v>#REF!</v>
      </c>
      <c r="O166" s="145" t="e">
        <f>+'staffing plan'!#REF!</f>
        <v>#REF!</v>
      </c>
      <c r="P166" s="131">
        <f>+'staffing plan'!AH136</f>
        <v>783828</v>
      </c>
      <c r="Q166" s="131">
        <f>+'staffing plan'!AI136</f>
        <v>783828</v>
      </c>
      <c r="R166">
        <f>+'staffing plan'!BP136</f>
        <v>0</v>
      </c>
      <c r="S166">
        <v>165</v>
      </c>
    </row>
    <row r="167" spans="2:19">
      <c r="B167">
        <f t="shared" si="6"/>
        <v>2017</v>
      </c>
      <c r="C167">
        <f>+'staffing plan'!BK137</f>
        <v>43070</v>
      </c>
      <c r="D167" t="str">
        <f>'staffing plan'!A137</f>
        <v>OSEC-DILGB-LGOO6-53-2017</v>
      </c>
      <c r="E167" t="str">
        <f>+'staffing plan'!B137</f>
        <v>Local Government Operations OFFICER VI</v>
      </c>
      <c r="F167">
        <f>+'staffing plan'!C137</f>
        <v>22</v>
      </c>
      <c r="G167" s="131">
        <f>+'staffing plan'!AJ137</f>
        <v>1</v>
      </c>
      <c r="H167" t="str">
        <f>+'staffing plan'!AX137</f>
        <v>Ifugao</v>
      </c>
      <c r="I167" t="str">
        <f>+'staffing plan'!AW137</f>
        <v>MARCAIDA, Linda Himoldang</v>
      </c>
      <c r="J167" t="e">
        <f>+'staffing plan'!#REF!</f>
        <v>#REF!</v>
      </c>
      <c r="K167" t="e">
        <f>+'staffing plan'!#REF!</f>
        <v>#REF!</v>
      </c>
      <c r="L167" t="str">
        <f>+'staffing plan'!AY137</f>
        <v>F</v>
      </c>
      <c r="M167" s="145" t="e">
        <f>+'staffing plan'!#REF!</f>
        <v>#REF!</v>
      </c>
      <c r="N167" s="145" t="e">
        <f>'staffing plan'!#REF!</f>
        <v>#REF!</v>
      </c>
      <c r="O167" s="145" t="e">
        <f>+'staffing plan'!#REF!</f>
        <v>#REF!</v>
      </c>
      <c r="P167" s="131">
        <f>+'staffing plan'!AH137</f>
        <v>783828</v>
      </c>
      <c r="Q167" s="131">
        <f>+'staffing plan'!AI137</f>
        <v>783828</v>
      </c>
      <c r="R167">
        <f>+'staffing plan'!BP137</f>
        <v>0</v>
      </c>
      <c r="S167">
        <v>166</v>
      </c>
    </row>
    <row r="168" spans="2:19">
      <c r="B168">
        <f t="shared" si="6"/>
        <v>1900</v>
      </c>
      <c r="C168">
        <f>+'staffing plan'!BK179</f>
        <v>0</v>
      </c>
      <c r="D168" t="str">
        <f>'staffing plan'!A179</f>
        <v>OSEC-DILGB-LGOO5-991-1998</v>
      </c>
      <c r="E168" t="str">
        <f>+'staffing plan'!B179</f>
        <v>Local Government Operations Officer V</v>
      </c>
      <c r="F168">
        <f>+'staffing plan'!C179</f>
        <v>20</v>
      </c>
      <c r="G168" s="131">
        <f>+'staffing plan'!AJ179</f>
        <v>0</v>
      </c>
      <c r="H168">
        <f>+'staffing plan'!AX179</f>
        <v>0</v>
      </c>
      <c r="I168" t="str">
        <f>+'staffing plan'!AW179</f>
        <v xml:space="preserve">Vacant CHUNANON,  </v>
      </c>
      <c r="J168" t="e">
        <f>+'staffing plan'!#REF!</f>
        <v>#REF!</v>
      </c>
      <c r="K168" t="e">
        <f>+'staffing plan'!#REF!</f>
        <v>#REF!</v>
      </c>
      <c r="L168">
        <f>+'staffing plan'!AY179</f>
        <v>0</v>
      </c>
      <c r="M168" s="145" t="e">
        <f>+'staffing plan'!#REF!</f>
        <v>#REF!</v>
      </c>
      <c r="N168" s="145" t="e">
        <f>'staffing plan'!#REF!</f>
        <v>#REF!</v>
      </c>
      <c r="O168" s="145" t="e">
        <f>+'staffing plan'!#REF!</f>
        <v>#REF!</v>
      </c>
      <c r="P168" s="131">
        <f>+'staffing plan'!AH179</f>
        <v>613860</v>
      </c>
      <c r="Q168" s="131">
        <f>+'staffing plan'!AI179</f>
        <v>0</v>
      </c>
      <c r="R168">
        <f>+'staffing plan'!BP179</f>
        <v>0</v>
      </c>
      <c r="S168">
        <v>167</v>
      </c>
    </row>
    <row r="169" spans="2:19">
      <c r="B169">
        <f t="shared" si="6"/>
        <v>2018</v>
      </c>
      <c r="C169">
        <f>+'staffing plan'!BK126</f>
        <v>43103</v>
      </c>
      <c r="D169" t="str">
        <f>'staffing plan'!A126</f>
        <v>OSEC-DILGB-LGOO6-42-2017</v>
      </c>
      <c r="E169" t="str">
        <f>+'staffing plan'!B126</f>
        <v>Local Government Operations Officer VI</v>
      </c>
      <c r="F169">
        <f>+'staffing plan'!C126</f>
        <v>22</v>
      </c>
      <c r="G169" s="131">
        <f>+'staffing plan'!AJ126</f>
        <v>1</v>
      </c>
      <c r="H169" t="str">
        <f>+'staffing plan'!AX126</f>
        <v>Apayao</v>
      </c>
      <c r="I169" t="str">
        <f>+'staffing plan'!AW126</f>
        <v>CENU, Merina Bagasol</v>
      </c>
      <c r="J169" t="e">
        <f>+'staffing plan'!#REF!</f>
        <v>#REF!</v>
      </c>
      <c r="K169" t="e">
        <f>+'staffing plan'!#REF!</f>
        <v>#REF!</v>
      </c>
      <c r="L169" t="str">
        <f>+'staffing plan'!AY126</f>
        <v>F</v>
      </c>
      <c r="M169" s="145" t="e">
        <f>+'staffing plan'!#REF!</f>
        <v>#REF!</v>
      </c>
      <c r="N169" s="145" t="e">
        <f>'staffing plan'!#REF!</f>
        <v>#REF!</v>
      </c>
      <c r="O169" s="145" t="e">
        <f>+'staffing plan'!#REF!</f>
        <v>#REF!</v>
      </c>
      <c r="P169" s="131">
        <f>+'staffing plan'!AH126</f>
        <v>783828</v>
      </c>
      <c r="Q169" s="131">
        <f>+'staffing plan'!AI126</f>
        <v>783828</v>
      </c>
      <c r="R169" t="str">
        <f>+'staffing plan'!BP126</f>
        <v>Shifting</v>
      </c>
      <c r="S169">
        <v>168</v>
      </c>
    </row>
    <row r="170" spans="2:19">
      <c r="B170">
        <f t="shared" si="6"/>
        <v>2014</v>
      </c>
      <c r="C170">
        <f>+'staffing plan'!BK180</f>
        <v>41869</v>
      </c>
      <c r="D170" t="str">
        <f>'staffing plan'!A180</f>
        <v>OSEC-DILGB-LGOO5-993-1998</v>
      </c>
      <c r="E170" t="str">
        <f>+'staffing plan'!B180</f>
        <v>Local Government Operations Officer V</v>
      </c>
      <c r="F170">
        <f>+'staffing plan'!C180</f>
        <v>20</v>
      </c>
      <c r="G170" s="131">
        <f>+'staffing plan'!AJ180</f>
        <v>2</v>
      </c>
      <c r="H170" t="str">
        <f>+'staffing plan'!AX180</f>
        <v>Apayao</v>
      </c>
      <c r="I170" t="str">
        <f>+'staffing plan'!AW180</f>
        <v>ALVAREZ, Kristoffer Dave Rigonan</v>
      </c>
      <c r="J170" t="e">
        <f>+'staffing plan'!#REF!</f>
        <v>#REF!</v>
      </c>
      <c r="K170" t="e">
        <f>+'staffing plan'!#REF!</f>
        <v>#REF!</v>
      </c>
      <c r="L170" t="str">
        <f>+'staffing plan'!AY180</f>
        <v>M</v>
      </c>
      <c r="M170" s="145" t="e">
        <f>+'staffing plan'!#REF!</f>
        <v>#REF!</v>
      </c>
      <c r="N170" s="145" t="e">
        <f>'staffing plan'!#REF!</f>
        <v>#REF!</v>
      </c>
      <c r="O170" s="145" t="e">
        <f>+'staffing plan'!#REF!</f>
        <v>#REF!</v>
      </c>
      <c r="P170" s="131">
        <f>+'staffing plan'!AH180</f>
        <v>613860</v>
      </c>
      <c r="Q170" s="131">
        <f>+'staffing plan'!AI180</f>
        <v>623868</v>
      </c>
      <c r="R170" t="str">
        <f>+'staffing plan'!BP180</f>
        <v>Shifting</v>
      </c>
      <c r="S170">
        <v>169</v>
      </c>
    </row>
    <row r="171" spans="2:19">
      <c r="B171">
        <f t="shared" si="6"/>
        <v>2018</v>
      </c>
      <c r="C171">
        <f>+'staffing plan'!BK181</f>
        <v>43168</v>
      </c>
      <c r="D171" t="str">
        <f>'staffing plan'!A181</f>
        <v>OSEC-DILGB-LGOO3-129-1998</v>
      </c>
      <c r="E171" t="str">
        <f>+'staffing plan'!B181</f>
        <v>Local Government Operations Officer III</v>
      </c>
      <c r="F171">
        <f>+'staffing plan'!C181</f>
        <v>15</v>
      </c>
      <c r="G171" s="131">
        <f>+'staffing plan'!AJ181</f>
        <v>1</v>
      </c>
      <c r="H171" t="str">
        <f>+'staffing plan'!AX181</f>
        <v>Baguio City</v>
      </c>
      <c r="I171" t="str">
        <f>+'staffing plan'!AW181</f>
        <v>DUMALSIN, Joan-Ana Jacinto</v>
      </c>
      <c r="J171" t="e">
        <f>+'staffing plan'!#REF!</f>
        <v>#REF!</v>
      </c>
      <c r="K171" t="e">
        <f>+'staffing plan'!#REF!</f>
        <v>#REF!</v>
      </c>
      <c r="L171" t="str">
        <f>+'staffing plan'!AY181</f>
        <v>F</v>
      </c>
      <c r="M171" s="145" t="e">
        <f>+'staffing plan'!#REF!</f>
        <v>#REF!</v>
      </c>
      <c r="N171" s="145" t="e">
        <f>'staffing plan'!#REF!</f>
        <v>#REF!</v>
      </c>
      <c r="O171" s="145" t="e">
        <f>+'staffing plan'!#REF!</f>
        <v>#REF!</v>
      </c>
      <c r="P171" s="131">
        <f>+'staffing plan'!AH181</f>
        <v>366372</v>
      </c>
      <c r="Q171" s="131">
        <f>+'staffing plan'!AI181</f>
        <v>366372</v>
      </c>
      <c r="R171">
        <f>+'staffing plan'!BP181</f>
        <v>0</v>
      </c>
      <c r="S171">
        <v>170</v>
      </c>
    </row>
    <row r="172" spans="2:19">
      <c r="B172">
        <f t="shared" si="6"/>
        <v>2019</v>
      </c>
      <c r="C172">
        <f>+'staffing plan'!BK182</f>
        <v>43497</v>
      </c>
      <c r="D172" t="str">
        <f>'staffing plan'!A182</f>
        <v>OSEC-DILGB-LGOO3-130-1998</v>
      </c>
      <c r="E172" t="str">
        <f>+'staffing plan'!B182</f>
        <v>Local Government Operations Officer III</v>
      </c>
      <c r="F172">
        <f>+'staffing plan'!C182</f>
        <v>15</v>
      </c>
      <c r="G172" s="131">
        <f>+'staffing plan'!AJ182</f>
        <v>1</v>
      </c>
      <c r="H172" t="str">
        <f>+'staffing plan'!AX182</f>
        <v>Baguio City</v>
      </c>
      <c r="I172" t="str">
        <f>+'staffing plan'!AW182</f>
        <v>GAYASO, Jereille Decoran</v>
      </c>
      <c r="J172" t="e">
        <f>+'staffing plan'!#REF!</f>
        <v>#REF!</v>
      </c>
      <c r="K172" t="e">
        <f>+'staffing plan'!#REF!</f>
        <v>#REF!</v>
      </c>
      <c r="L172" t="str">
        <f>+'staffing plan'!AY182</f>
        <v>M</v>
      </c>
      <c r="M172" s="145" t="e">
        <f>+'staffing plan'!#REF!</f>
        <v>#REF!</v>
      </c>
      <c r="N172" s="145" t="e">
        <f>'staffing plan'!#REF!</f>
        <v>#REF!</v>
      </c>
      <c r="O172" s="145" t="e">
        <f>+'staffing plan'!#REF!</f>
        <v>#REF!</v>
      </c>
      <c r="P172" s="131">
        <f>+'staffing plan'!AH182</f>
        <v>366372</v>
      </c>
      <c r="Q172" s="131">
        <f>+'staffing plan'!AI182</f>
        <v>366372</v>
      </c>
      <c r="R172">
        <f>+'staffing plan'!BP182</f>
        <v>0</v>
      </c>
      <c r="S172">
        <v>171</v>
      </c>
    </row>
    <row r="173" spans="2:19">
      <c r="B173">
        <f t="shared" si="6"/>
        <v>2019</v>
      </c>
      <c r="C173">
        <f>+'staffing plan'!BK183</f>
        <v>43515</v>
      </c>
      <c r="D173" t="str">
        <f>'staffing plan'!A183</f>
        <v>OSEC-DILGB-LGOO3-131-1998</v>
      </c>
      <c r="E173" t="str">
        <f>+'staffing plan'!B183</f>
        <v>Local Government Operations Officer III</v>
      </c>
      <c r="F173">
        <f>+'staffing plan'!C183</f>
        <v>15</v>
      </c>
      <c r="G173" s="131">
        <f>+'staffing plan'!AJ183</f>
        <v>1</v>
      </c>
      <c r="H173" t="str">
        <f>+'staffing plan'!AX183</f>
        <v>Baguio City</v>
      </c>
      <c r="I173" t="str">
        <f>+'staffing plan'!AW183</f>
        <v>BURAGA, Shaquile Laniog</v>
      </c>
      <c r="J173" t="e">
        <f>+'staffing plan'!#REF!</f>
        <v>#REF!</v>
      </c>
      <c r="K173" t="e">
        <f>+'staffing plan'!#REF!</f>
        <v>#REF!</v>
      </c>
      <c r="L173" t="str">
        <f>+'staffing plan'!AY183</f>
        <v>M</v>
      </c>
      <c r="M173" s="145" t="e">
        <f>+'staffing plan'!#REF!</f>
        <v>#REF!</v>
      </c>
      <c r="N173" s="145" t="e">
        <f>'staffing plan'!#REF!</f>
        <v>#REF!</v>
      </c>
      <c r="O173" s="145" t="e">
        <f>+'staffing plan'!#REF!</f>
        <v>#REF!</v>
      </c>
      <c r="P173" s="131">
        <f>+'staffing plan'!AH183</f>
        <v>366372</v>
      </c>
      <c r="Q173" s="131">
        <f>+'staffing plan'!AI183</f>
        <v>366372</v>
      </c>
      <c r="R173">
        <f>+'staffing plan'!BP183</f>
        <v>0</v>
      </c>
      <c r="S173">
        <v>172</v>
      </c>
    </row>
    <row r="174" spans="2:19">
      <c r="B174">
        <f t="shared" si="6"/>
        <v>2018</v>
      </c>
      <c r="C174">
        <f>+'staffing plan'!BK184</f>
        <v>43168</v>
      </c>
      <c r="D174" t="str">
        <f>'staffing plan'!A184</f>
        <v>OSEC-DILGB-LGOO3-241-2010</v>
      </c>
      <c r="E174" t="str">
        <f>+'staffing plan'!B184</f>
        <v>Local Government Operations Officer III</v>
      </c>
      <c r="F174">
        <f>+'staffing plan'!C184</f>
        <v>15</v>
      </c>
      <c r="G174" s="131">
        <f>+'staffing plan'!AJ184</f>
        <v>1</v>
      </c>
      <c r="H174" t="str">
        <f>+'staffing plan'!AX184</f>
        <v>Kalinga</v>
      </c>
      <c r="I174" t="str">
        <f>+'staffing plan'!AW184</f>
        <v>DOGUI-IS, Thyrza Shoey Leusen</v>
      </c>
      <c r="J174" t="e">
        <f>+'staffing plan'!#REF!</f>
        <v>#REF!</v>
      </c>
      <c r="K174" t="e">
        <f>+'staffing plan'!#REF!</f>
        <v>#REF!</v>
      </c>
      <c r="L174" t="str">
        <f>+'staffing plan'!AY184</f>
        <v>F</v>
      </c>
      <c r="M174" s="145" t="e">
        <f>+'staffing plan'!#REF!</f>
        <v>#REF!</v>
      </c>
      <c r="N174" s="145" t="e">
        <f>'staffing plan'!#REF!</f>
        <v>#REF!</v>
      </c>
      <c r="O174" s="145" t="e">
        <f>+'staffing plan'!#REF!</f>
        <v>#REF!</v>
      </c>
      <c r="P174" s="131">
        <f>+'staffing plan'!AH184</f>
        <v>366372</v>
      </c>
      <c r="Q174" s="131">
        <f>+'staffing plan'!AI184</f>
        <v>366372</v>
      </c>
      <c r="R174">
        <f>+'staffing plan'!BP184</f>
        <v>0</v>
      </c>
      <c r="S174">
        <v>173</v>
      </c>
    </row>
    <row r="175" spans="2:19">
      <c r="B175">
        <f t="shared" si="6"/>
        <v>2014</v>
      </c>
      <c r="C175">
        <f>+'staffing plan'!BK185</f>
        <v>41927</v>
      </c>
      <c r="D175" t="str">
        <f>'staffing plan'!A185</f>
        <v>OSEC-DILGB-LGOO2-6-1998</v>
      </c>
      <c r="E175" t="str">
        <f>+'staffing plan'!B185</f>
        <v>Local Government Operations Officer II</v>
      </c>
      <c r="F175">
        <f>+'staffing plan'!C185</f>
        <v>13</v>
      </c>
      <c r="G175" s="131">
        <f>+'staffing plan'!AJ185</f>
        <v>2</v>
      </c>
      <c r="H175" t="str">
        <f>+'staffing plan'!AX185</f>
        <v>Abra</v>
      </c>
      <c r="I175" t="str">
        <f>+'staffing plan'!AW185</f>
        <v>LAYUGAN, Elizabeth Barros</v>
      </c>
      <c r="J175" t="e">
        <f>+'staffing plan'!#REF!</f>
        <v>#REF!</v>
      </c>
      <c r="K175" t="e">
        <f>+'staffing plan'!#REF!</f>
        <v>#REF!</v>
      </c>
      <c r="L175" t="str">
        <f>+'staffing plan'!AY185</f>
        <v>F</v>
      </c>
      <c r="M175" s="145" t="e">
        <f>+'staffing plan'!#REF!</f>
        <v>#REF!</v>
      </c>
      <c r="N175" s="145" t="e">
        <f>'staffing plan'!#REF!</f>
        <v>#REF!</v>
      </c>
      <c r="O175" s="145" t="e">
        <f>+'staffing plan'!#REF!</f>
        <v>#REF!</v>
      </c>
      <c r="P175" s="131">
        <f>+'staffing plan'!AH185</f>
        <v>302784</v>
      </c>
      <c r="Q175" s="131">
        <f>+'staffing plan'!AI185</f>
        <v>306540</v>
      </c>
      <c r="R175">
        <f>+'staffing plan'!BP185</f>
        <v>0</v>
      </c>
      <c r="S175">
        <v>174</v>
      </c>
    </row>
    <row r="176" spans="2:19">
      <c r="B176">
        <f t="shared" si="6"/>
        <v>2018</v>
      </c>
      <c r="C176">
        <f>+'staffing plan'!BK186</f>
        <v>43395</v>
      </c>
      <c r="D176" t="str">
        <f>'staffing plan'!A186</f>
        <v>OSEC-DILGB-LGOO2-7-1998</v>
      </c>
      <c r="E176" t="str">
        <f>+'staffing plan'!B186</f>
        <v>Local Government Operations Officer II</v>
      </c>
      <c r="F176">
        <f>+'staffing plan'!C186</f>
        <v>13</v>
      </c>
      <c r="G176" s="131">
        <f>+'staffing plan'!AJ186</f>
        <v>1</v>
      </c>
      <c r="H176" t="str">
        <f>+'staffing plan'!AX186</f>
        <v>Ifugao</v>
      </c>
      <c r="I176" t="str">
        <f>+'staffing plan'!AW186</f>
        <v>ATUAN, Valentine Lugawe</v>
      </c>
      <c r="J176" t="e">
        <f>+'staffing plan'!#REF!</f>
        <v>#REF!</v>
      </c>
      <c r="K176" t="e">
        <f>+'staffing plan'!#REF!</f>
        <v>#REF!</v>
      </c>
      <c r="L176" t="str">
        <f>+'staffing plan'!AY186</f>
        <v>M</v>
      </c>
      <c r="M176" s="145" t="e">
        <f>+'staffing plan'!#REF!</f>
        <v>#REF!</v>
      </c>
      <c r="N176" s="145" t="e">
        <f>'staffing plan'!#REF!</f>
        <v>#REF!</v>
      </c>
      <c r="O176" s="145" t="e">
        <f>+'staffing plan'!#REF!</f>
        <v>#REF!</v>
      </c>
      <c r="P176" s="131">
        <f>+'staffing plan'!AH186</f>
        <v>302784</v>
      </c>
      <c r="Q176" s="131">
        <f>+'staffing plan'!AI186</f>
        <v>302784</v>
      </c>
      <c r="R176">
        <f>+'staffing plan'!BP186</f>
        <v>0</v>
      </c>
      <c r="S176">
        <v>175</v>
      </c>
    </row>
    <row r="177" spans="2:19">
      <c r="B177">
        <f t="shared" si="6"/>
        <v>2015</v>
      </c>
      <c r="C177">
        <f>+'staffing plan'!BK187</f>
        <v>42293</v>
      </c>
      <c r="D177" t="str">
        <f>'staffing plan'!A187</f>
        <v>OSEC-DILGB-LGOO2-10-1998</v>
      </c>
      <c r="E177" t="str">
        <f>+'staffing plan'!B187</f>
        <v>Local Government Operations Officer II</v>
      </c>
      <c r="F177">
        <f>+'staffing plan'!C187</f>
        <v>13</v>
      </c>
      <c r="G177" s="131">
        <f>+'staffing plan'!AJ187</f>
        <v>2</v>
      </c>
      <c r="H177" t="str">
        <f>+'staffing plan'!AX187</f>
        <v>Abra</v>
      </c>
      <c r="I177" t="str">
        <f>+'staffing plan'!AW187</f>
        <v>TENEBRO, JR Adame</v>
      </c>
      <c r="J177" t="e">
        <f>+'staffing plan'!#REF!</f>
        <v>#REF!</v>
      </c>
      <c r="K177" t="e">
        <f>+'staffing plan'!#REF!</f>
        <v>#REF!</v>
      </c>
      <c r="L177" t="str">
        <f>+'staffing plan'!AY187</f>
        <v>M</v>
      </c>
      <c r="M177" s="145" t="e">
        <f>+'staffing plan'!#REF!</f>
        <v>#REF!</v>
      </c>
      <c r="N177" s="145" t="e">
        <f>'staffing plan'!#REF!</f>
        <v>#REF!</v>
      </c>
      <c r="O177" s="145" t="e">
        <f>+'staffing plan'!#REF!</f>
        <v>#REF!</v>
      </c>
      <c r="P177" s="131">
        <f>+'staffing plan'!AH187</f>
        <v>302784</v>
      </c>
      <c r="Q177" s="131">
        <f>+'staffing plan'!AI187</f>
        <v>306540</v>
      </c>
      <c r="R177">
        <f>+'staffing plan'!BP187</f>
        <v>0</v>
      </c>
      <c r="S177">
        <v>176</v>
      </c>
    </row>
    <row r="178" spans="2:19">
      <c r="B178">
        <f t="shared" si="6"/>
        <v>2015</v>
      </c>
      <c r="C178">
        <f>+'staffing plan'!BK188</f>
        <v>42186</v>
      </c>
      <c r="D178" t="str">
        <f>'staffing plan'!A188</f>
        <v>OSEC-DILGB-LGOO2-12-1998</v>
      </c>
      <c r="E178" t="str">
        <f>+'staffing plan'!B188</f>
        <v>Local Government Operations Officer II</v>
      </c>
      <c r="F178">
        <f>+'staffing plan'!C188</f>
        <v>13</v>
      </c>
      <c r="G178" s="131">
        <f>+'staffing plan'!AJ188</f>
        <v>2</v>
      </c>
      <c r="H178" t="str">
        <f>+'staffing plan'!AX188</f>
        <v>Abra</v>
      </c>
      <c r="I178" t="str">
        <f>+'staffing plan'!AW188</f>
        <v>PARTIDO, Alfrainer Ferras</v>
      </c>
      <c r="J178" t="e">
        <f>+'staffing plan'!#REF!</f>
        <v>#REF!</v>
      </c>
      <c r="K178" t="e">
        <f>+'staffing plan'!#REF!</f>
        <v>#REF!</v>
      </c>
      <c r="L178" t="str">
        <f>+'staffing plan'!AY188</f>
        <v>M</v>
      </c>
      <c r="M178" s="145" t="e">
        <f>+'staffing plan'!#REF!</f>
        <v>#REF!</v>
      </c>
      <c r="N178" s="145" t="e">
        <f>'staffing plan'!#REF!</f>
        <v>#REF!</v>
      </c>
      <c r="O178" s="145" t="e">
        <f>+'staffing plan'!#REF!</f>
        <v>#REF!</v>
      </c>
      <c r="P178" s="131">
        <f>+'staffing plan'!AH188</f>
        <v>302784</v>
      </c>
      <c r="Q178" s="131">
        <f>+'staffing plan'!AI188</f>
        <v>306540</v>
      </c>
      <c r="R178">
        <f>+'staffing plan'!BP188</f>
        <v>0</v>
      </c>
      <c r="S178">
        <v>177</v>
      </c>
    </row>
    <row r="179" spans="2:19">
      <c r="B179">
        <f t="shared" si="6"/>
        <v>1900</v>
      </c>
      <c r="C179">
        <f>+'staffing plan'!BK189</f>
        <v>0</v>
      </c>
      <c r="D179" t="str">
        <f>'staffing plan'!A189</f>
        <v>OSEC-DILGB-LGOO2-14-1998</v>
      </c>
      <c r="E179" t="str">
        <f>+'staffing plan'!B189</f>
        <v>Local Government Operations Officer II</v>
      </c>
      <c r="F179">
        <f>+'staffing plan'!C189</f>
        <v>13</v>
      </c>
      <c r="G179" s="131">
        <f>+'staffing plan'!AJ189</f>
        <v>0</v>
      </c>
      <c r="H179">
        <f>+'staffing plan'!AX189</f>
        <v>0</v>
      </c>
      <c r="I179" t="str">
        <f>+'staffing plan'!AW189</f>
        <v xml:space="preserve">Vacant SAGUIYOD,  </v>
      </c>
      <c r="J179" t="e">
        <f>+'staffing plan'!#REF!</f>
        <v>#REF!</v>
      </c>
      <c r="K179" t="e">
        <f>+'staffing plan'!#REF!</f>
        <v>#REF!</v>
      </c>
      <c r="L179">
        <f>+'staffing plan'!AY189</f>
        <v>0</v>
      </c>
      <c r="M179" s="145" t="e">
        <f>+'staffing plan'!#REF!</f>
        <v>#REF!</v>
      </c>
      <c r="N179" s="145" t="e">
        <f>'staffing plan'!#REF!</f>
        <v>#REF!</v>
      </c>
      <c r="O179" s="145" t="e">
        <f>+'staffing plan'!#REF!</f>
        <v>#REF!</v>
      </c>
      <c r="P179" s="131">
        <f>+'staffing plan'!AH189</f>
        <v>302784</v>
      </c>
      <c r="Q179" s="131">
        <f>+'staffing plan'!AI189</f>
        <v>0</v>
      </c>
      <c r="R179">
        <f>+'staffing plan'!BP189</f>
        <v>0</v>
      </c>
      <c r="S179">
        <v>178</v>
      </c>
    </row>
    <row r="180" spans="2:19">
      <c r="B180">
        <f t="shared" si="6"/>
        <v>2018</v>
      </c>
      <c r="C180">
        <f>+'staffing plan'!BK190</f>
        <v>43367</v>
      </c>
      <c r="D180" t="str">
        <f>'staffing plan'!A190</f>
        <v>OSEC-DILGB-LGOO2-15-1998</v>
      </c>
      <c r="E180" t="str">
        <f>+'staffing plan'!B190</f>
        <v>Local Government Operations Officer II</v>
      </c>
      <c r="F180">
        <f>+'staffing plan'!C190</f>
        <v>13</v>
      </c>
      <c r="G180" s="131">
        <f>+'staffing plan'!AJ190</f>
        <v>1</v>
      </c>
      <c r="H180" t="str">
        <f>+'staffing plan'!AX190</f>
        <v>Apayao</v>
      </c>
      <c r="I180" t="str">
        <f>+'staffing plan'!AW190</f>
        <v>ANUA, Rochelle Foronda</v>
      </c>
      <c r="J180" t="e">
        <f>+'staffing plan'!#REF!</f>
        <v>#REF!</v>
      </c>
      <c r="K180" t="e">
        <f>+'staffing plan'!#REF!</f>
        <v>#REF!</v>
      </c>
      <c r="L180" t="str">
        <f>+'staffing plan'!AY190</f>
        <v>F</v>
      </c>
      <c r="M180" s="145" t="e">
        <f>+'staffing plan'!#REF!</f>
        <v>#REF!</v>
      </c>
      <c r="N180" s="145" t="e">
        <f>'staffing plan'!#REF!</f>
        <v>#REF!</v>
      </c>
      <c r="O180" s="145" t="e">
        <f>+'staffing plan'!#REF!</f>
        <v>#REF!</v>
      </c>
      <c r="P180" s="131">
        <f>+'staffing plan'!AH190</f>
        <v>302784</v>
      </c>
      <c r="Q180" s="131">
        <f>+'staffing plan'!AI190</f>
        <v>302784</v>
      </c>
      <c r="R180">
        <f>+'staffing plan'!BP190</f>
        <v>0</v>
      </c>
      <c r="S180">
        <v>179</v>
      </c>
    </row>
    <row r="181" spans="2:19">
      <c r="B181">
        <f t="shared" si="6"/>
        <v>2014</v>
      </c>
      <c r="C181">
        <f>+'staffing plan'!BK191</f>
        <v>41932</v>
      </c>
      <c r="D181" t="str">
        <f>'staffing plan'!A191</f>
        <v>OSEC-DILGB-LGOO2-17-1998</v>
      </c>
      <c r="E181" t="str">
        <f>+'staffing plan'!B191</f>
        <v>Local Government Operations Officer II</v>
      </c>
      <c r="F181">
        <f>+'staffing plan'!C191</f>
        <v>13</v>
      </c>
      <c r="G181" s="131">
        <f>+'staffing plan'!AJ191</f>
        <v>2</v>
      </c>
      <c r="H181" t="str">
        <f>+'staffing plan'!AX191</f>
        <v>Mt. Province</v>
      </c>
      <c r="I181" t="str">
        <f>+'staffing plan'!AW191</f>
        <v>DOGUP, Trisha Marie Alangsab</v>
      </c>
      <c r="J181" t="e">
        <f>+'staffing plan'!#REF!</f>
        <v>#REF!</v>
      </c>
      <c r="K181" t="e">
        <f>+'staffing plan'!#REF!</f>
        <v>#REF!</v>
      </c>
      <c r="L181" t="str">
        <f>+'staffing plan'!AY191</f>
        <v>F</v>
      </c>
      <c r="M181" s="145" t="e">
        <f>+'staffing plan'!#REF!</f>
        <v>#REF!</v>
      </c>
      <c r="N181" s="145" t="e">
        <f>'staffing plan'!#REF!</f>
        <v>#REF!</v>
      </c>
      <c r="O181" s="145" t="e">
        <f>+'staffing plan'!#REF!</f>
        <v>#REF!</v>
      </c>
      <c r="P181" s="131">
        <f>+'staffing plan'!AH191</f>
        <v>302784</v>
      </c>
      <c r="Q181" s="131">
        <f>+'staffing plan'!AI191</f>
        <v>306540</v>
      </c>
      <c r="R181">
        <f>+'staffing plan'!BP191</f>
        <v>0</v>
      </c>
      <c r="S181">
        <v>180</v>
      </c>
    </row>
    <row r="182" spans="2:19">
      <c r="B182">
        <f t="shared" si="6"/>
        <v>2019</v>
      </c>
      <c r="C182">
        <f>+'staffing plan'!BK192</f>
        <v>43497</v>
      </c>
      <c r="D182" t="str">
        <f>'staffing plan'!A192</f>
        <v>OSEC-DILGB-LGOO2-18-1998</v>
      </c>
      <c r="E182" t="str">
        <f>+'staffing plan'!B192</f>
        <v>Local Government Operations Officer II</v>
      </c>
      <c r="F182">
        <f>+'staffing plan'!C192</f>
        <v>13</v>
      </c>
      <c r="G182" s="131">
        <f>+'staffing plan'!AJ192</f>
        <v>1</v>
      </c>
      <c r="H182" t="str">
        <f>+'staffing plan'!AX192</f>
        <v>Benguet</v>
      </c>
      <c r="I182" t="str">
        <f>+'staffing plan'!AW192</f>
        <v>ESCAD, Laura Valencia</v>
      </c>
      <c r="J182" t="e">
        <f>+'staffing plan'!#REF!</f>
        <v>#REF!</v>
      </c>
      <c r="K182" t="e">
        <f>+'staffing plan'!#REF!</f>
        <v>#REF!</v>
      </c>
      <c r="L182" t="str">
        <f>+'staffing plan'!AY192</f>
        <v>F</v>
      </c>
      <c r="M182" s="145" t="e">
        <f>+'staffing plan'!#REF!</f>
        <v>#REF!</v>
      </c>
      <c r="N182" s="145" t="e">
        <f>'staffing plan'!#REF!</f>
        <v>#REF!</v>
      </c>
      <c r="O182" s="145" t="e">
        <f>+'staffing plan'!#REF!</f>
        <v>#REF!</v>
      </c>
      <c r="P182" s="131">
        <f>+'staffing plan'!AH192</f>
        <v>302784</v>
      </c>
      <c r="Q182" s="131">
        <f>+'staffing plan'!AI192</f>
        <v>302784</v>
      </c>
      <c r="R182">
        <f>+'staffing plan'!BP192</f>
        <v>0</v>
      </c>
      <c r="S182">
        <v>181</v>
      </c>
    </row>
    <row r="183" spans="2:19">
      <c r="B183">
        <f t="shared" si="6"/>
        <v>2018</v>
      </c>
      <c r="C183">
        <f>+'staffing plan'!BK193</f>
        <v>43367</v>
      </c>
      <c r="D183" t="str">
        <f>'staffing plan'!A193</f>
        <v>OSEC-DILGB-LGOO2-20-1998</v>
      </c>
      <c r="E183" t="str">
        <f>+'staffing plan'!B193</f>
        <v>Local Government Operations Officer II</v>
      </c>
      <c r="F183">
        <f>+'staffing plan'!C193</f>
        <v>13</v>
      </c>
      <c r="G183" s="131">
        <f>+'staffing plan'!AJ193</f>
        <v>1</v>
      </c>
      <c r="H183" t="str">
        <f>+'staffing plan'!AX193</f>
        <v>Kalinga</v>
      </c>
      <c r="I183" t="str">
        <f>+'staffing plan'!AW193</f>
        <v>LADYONG, Faith Urbino</v>
      </c>
      <c r="J183" t="e">
        <f>+'staffing plan'!#REF!</f>
        <v>#REF!</v>
      </c>
      <c r="K183" t="e">
        <f>+'staffing plan'!#REF!</f>
        <v>#REF!</v>
      </c>
      <c r="L183" t="str">
        <f>+'staffing plan'!AY193</f>
        <v>F</v>
      </c>
      <c r="M183" s="145" t="e">
        <f>+'staffing plan'!#REF!</f>
        <v>#REF!</v>
      </c>
      <c r="N183" s="145" t="e">
        <f>'staffing plan'!#REF!</f>
        <v>#REF!</v>
      </c>
      <c r="O183" s="145" t="e">
        <f>+'staffing plan'!#REF!</f>
        <v>#REF!</v>
      </c>
      <c r="P183" s="131">
        <f>+'staffing plan'!AH193</f>
        <v>302784</v>
      </c>
      <c r="Q183" s="131">
        <f>+'staffing plan'!AI193</f>
        <v>302784</v>
      </c>
      <c r="R183">
        <f>+'staffing plan'!BP193</f>
        <v>0</v>
      </c>
      <c r="S183">
        <v>182</v>
      </c>
    </row>
    <row r="184" spans="2:19">
      <c r="B184">
        <f t="shared" si="6"/>
        <v>2016</v>
      </c>
      <c r="C184">
        <f>+'staffing plan'!BK194</f>
        <v>42452</v>
      </c>
      <c r="D184" t="str">
        <f>'staffing plan'!A194</f>
        <v>OSEC-DILGB-LGOO2-22-1998</v>
      </c>
      <c r="E184" t="str">
        <f>+'staffing plan'!B194</f>
        <v>Local Government Operations Officer II</v>
      </c>
      <c r="F184">
        <f>+'staffing plan'!C194</f>
        <v>13</v>
      </c>
      <c r="G184" s="131">
        <f>+'staffing plan'!AJ194</f>
        <v>1</v>
      </c>
      <c r="H184" t="str">
        <f>+'staffing plan'!AX194</f>
        <v>Abra</v>
      </c>
      <c r="I184" t="str">
        <f>+'staffing plan'!AW194</f>
        <v>ANDANAN, Jaleemar Bosque</v>
      </c>
      <c r="J184" t="e">
        <f>+'staffing plan'!#REF!</f>
        <v>#REF!</v>
      </c>
      <c r="K184" t="e">
        <f>+'staffing plan'!#REF!</f>
        <v>#REF!</v>
      </c>
      <c r="L184" t="str">
        <f>+'staffing plan'!AY194</f>
        <v>F</v>
      </c>
      <c r="M184" s="145" t="e">
        <f>+'staffing plan'!#REF!</f>
        <v>#REF!</v>
      </c>
      <c r="N184" s="145" t="e">
        <f>'staffing plan'!#REF!</f>
        <v>#REF!</v>
      </c>
      <c r="O184" s="145" t="e">
        <f>+'staffing plan'!#REF!</f>
        <v>#REF!</v>
      </c>
      <c r="P184" s="131">
        <f>+'staffing plan'!AH194</f>
        <v>302784</v>
      </c>
      <c r="Q184" s="131">
        <f>+'staffing plan'!AI194</f>
        <v>302784</v>
      </c>
      <c r="R184">
        <f>+'staffing plan'!BP194</f>
        <v>0</v>
      </c>
      <c r="S184">
        <v>183</v>
      </c>
    </row>
    <row r="185" spans="2:19">
      <c r="B185">
        <f t="shared" si="6"/>
        <v>2014</v>
      </c>
      <c r="C185">
        <f>+'staffing plan'!BK195</f>
        <v>41913</v>
      </c>
      <c r="D185" t="str">
        <f>'staffing plan'!A195</f>
        <v>OSEC-DILGB-LGOO2-23-1998</v>
      </c>
      <c r="E185" t="str">
        <f>+'staffing plan'!B195</f>
        <v>Local Government Operations Officer II</v>
      </c>
      <c r="F185">
        <f>+'staffing plan'!C195</f>
        <v>13</v>
      </c>
      <c r="G185" s="131">
        <f>+'staffing plan'!AJ195</f>
        <v>2</v>
      </c>
      <c r="H185" t="str">
        <f>+'staffing plan'!AX195</f>
        <v>Apayao</v>
      </c>
      <c r="I185" t="str">
        <f>+'staffing plan'!AW195</f>
        <v>ALCANTARA, Joey Paul Bistayan</v>
      </c>
      <c r="J185" t="e">
        <f>+'staffing plan'!#REF!</f>
        <v>#REF!</v>
      </c>
      <c r="K185" t="e">
        <f>+'staffing plan'!#REF!</f>
        <v>#REF!</v>
      </c>
      <c r="L185" t="str">
        <f>+'staffing plan'!AY195</f>
        <v>M</v>
      </c>
      <c r="M185" s="145" t="e">
        <f>+'staffing plan'!#REF!</f>
        <v>#REF!</v>
      </c>
      <c r="N185" s="145" t="e">
        <f>'staffing plan'!#REF!</f>
        <v>#REF!</v>
      </c>
      <c r="O185" s="145" t="e">
        <f>+'staffing plan'!#REF!</f>
        <v>#REF!</v>
      </c>
      <c r="P185" s="131">
        <f>+'staffing plan'!AH195</f>
        <v>302784</v>
      </c>
      <c r="Q185" s="131">
        <f>+'staffing plan'!AI195</f>
        <v>306540</v>
      </c>
      <c r="R185">
        <f>+'staffing plan'!BP195</f>
        <v>0</v>
      </c>
      <c r="S185">
        <v>184</v>
      </c>
    </row>
    <row r="186" spans="2:19">
      <c r="B186">
        <f t="shared" si="6"/>
        <v>1900</v>
      </c>
      <c r="C186">
        <f>+'staffing plan'!BK196</f>
        <v>0</v>
      </c>
      <c r="D186" t="str">
        <f>'staffing plan'!A196</f>
        <v>OSEC-DILGB-LGOO2-25-1998</v>
      </c>
      <c r="E186" t="str">
        <f>+'staffing plan'!B196</f>
        <v>Local Government Operations Officer II</v>
      </c>
      <c r="F186">
        <f>+'staffing plan'!C196</f>
        <v>13</v>
      </c>
      <c r="G186" s="131">
        <f>+'staffing plan'!AJ196</f>
        <v>0</v>
      </c>
      <c r="H186">
        <f>+'staffing plan'!AX196</f>
        <v>0</v>
      </c>
      <c r="I186" t="str">
        <f>+'staffing plan'!AW196</f>
        <v xml:space="preserve">vacant GAYASO,  </v>
      </c>
      <c r="J186" t="e">
        <f>+'staffing plan'!#REF!</f>
        <v>#REF!</v>
      </c>
      <c r="K186" t="e">
        <f>+'staffing plan'!#REF!</f>
        <v>#REF!</v>
      </c>
      <c r="L186">
        <f>+'staffing plan'!AY196</f>
        <v>0</v>
      </c>
      <c r="M186" s="145" t="e">
        <f>+'staffing plan'!#REF!</f>
        <v>#REF!</v>
      </c>
      <c r="N186" s="145" t="e">
        <f>'staffing plan'!#REF!</f>
        <v>#REF!</v>
      </c>
      <c r="O186" s="145" t="e">
        <f>+'staffing plan'!#REF!</f>
        <v>#REF!</v>
      </c>
      <c r="P186" s="131">
        <f>+'staffing plan'!AH196</f>
        <v>302784</v>
      </c>
      <c r="Q186" s="131">
        <f>+'staffing plan'!AI196</f>
        <v>0</v>
      </c>
      <c r="R186">
        <f>+'staffing plan'!BP196</f>
        <v>0</v>
      </c>
      <c r="S186">
        <v>185</v>
      </c>
    </row>
    <row r="187" spans="2:19">
      <c r="B187">
        <f t="shared" si="6"/>
        <v>2019</v>
      </c>
      <c r="C187">
        <f>+'staffing plan'!BK197</f>
        <v>43497</v>
      </c>
      <c r="D187" t="str">
        <f>'staffing plan'!A197</f>
        <v>OSEC-DILGB-LGOO2-27-1998</v>
      </c>
      <c r="E187" t="str">
        <f>+'staffing plan'!B197</f>
        <v>Local Government Operations Officer II</v>
      </c>
      <c r="F187">
        <f>+'staffing plan'!C197</f>
        <v>13</v>
      </c>
      <c r="G187" s="131">
        <f>+'staffing plan'!AJ197</f>
        <v>1</v>
      </c>
      <c r="H187" t="str">
        <f>+'staffing plan'!AX197</f>
        <v>Kalinga</v>
      </c>
      <c r="I187" t="str">
        <f>+'staffing plan'!AW197</f>
        <v>GARNACE, Baldo Jr Nolasco</v>
      </c>
      <c r="J187" t="e">
        <f>+'staffing plan'!#REF!</f>
        <v>#REF!</v>
      </c>
      <c r="K187" t="e">
        <f>+'staffing plan'!#REF!</f>
        <v>#REF!</v>
      </c>
      <c r="L187" t="str">
        <f>+'staffing plan'!AY197</f>
        <v>M</v>
      </c>
      <c r="M187" s="145" t="e">
        <f>+'staffing plan'!#REF!</f>
        <v>#REF!</v>
      </c>
      <c r="N187" s="145" t="e">
        <f>'staffing plan'!#REF!</f>
        <v>#REF!</v>
      </c>
      <c r="O187" s="145" t="e">
        <f>+'staffing plan'!#REF!</f>
        <v>#REF!</v>
      </c>
      <c r="P187" s="131">
        <f>+'staffing plan'!AH197</f>
        <v>302784</v>
      </c>
      <c r="Q187" s="131">
        <f>+'staffing plan'!AI197</f>
        <v>302784</v>
      </c>
      <c r="R187">
        <f>+'staffing plan'!BP197</f>
        <v>0</v>
      </c>
      <c r="S187">
        <v>186</v>
      </c>
    </row>
    <row r="188" spans="2:19">
      <c r="B188">
        <f t="shared" si="6"/>
        <v>2017</v>
      </c>
      <c r="C188">
        <f>+'staffing plan'!BK198</f>
        <v>42851</v>
      </c>
      <c r="D188" t="str">
        <f>'staffing plan'!A198</f>
        <v>OSEC-DILGB-LGOO2-28-1998</v>
      </c>
      <c r="E188" t="str">
        <f>+'staffing plan'!B198</f>
        <v>Local Government Operations Officer II</v>
      </c>
      <c r="F188">
        <f>+'staffing plan'!C198</f>
        <v>13</v>
      </c>
      <c r="G188" s="131">
        <f>+'staffing plan'!AJ198</f>
        <v>1</v>
      </c>
      <c r="H188" t="str">
        <f>+'staffing plan'!AX198</f>
        <v>Mt. Province</v>
      </c>
      <c r="I188" t="str">
        <f>+'staffing plan'!AW198</f>
        <v>BANGANAN, Imelda Farnigan</v>
      </c>
      <c r="J188" t="e">
        <f>+'staffing plan'!#REF!</f>
        <v>#REF!</v>
      </c>
      <c r="K188" t="e">
        <f>+'staffing plan'!#REF!</f>
        <v>#REF!</v>
      </c>
      <c r="L188" t="str">
        <f>+'staffing plan'!AY198</f>
        <v>F</v>
      </c>
      <c r="M188" s="145" t="e">
        <f>+'staffing plan'!#REF!</f>
        <v>#REF!</v>
      </c>
      <c r="N188" s="145" t="e">
        <f>'staffing plan'!#REF!</f>
        <v>#REF!</v>
      </c>
      <c r="O188" s="145" t="e">
        <f>+'staffing plan'!#REF!</f>
        <v>#REF!</v>
      </c>
      <c r="P188" s="131">
        <f>+'staffing plan'!AH198</f>
        <v>302784</v>
      </c>
      <c r="Q188" s="131">
        <f>+'staffing plan'!AI198</f>
        <v>302784</v>
      </c>
      <c r="R188">
        <f>+'staffing plan'!BP198</f>
        <v>0</v>
      </c>
      <c r="S188">
        <v>187</v>
      </c>
    </row>
    <row r="189" spans="2:19">
      <c r="B189">
        <f t="shared" si="6"/>
        <v>2014</v>
      </c>
      <c r="C189">
        <f>+'staffing plan'!BK199</f>
        <v>41913</v>
      </c>
      <c r="D189" t="str">
        <f>'staffing plan'!A199</f>
        <v>OSEC-DILGB-LGOO2-30-1998</v>
      </c>
      <c r="E189" t="str">
        <f>+'staffing plan'!B199</f>
        <v>Local Government Operations Officer II</v>
      </c>
      <c r="F189">
        <f>+'staffing plan'!C199</f>
        <v>13</v>
      </c>
      <c r="G189" s="131">
        <f>+'staffing plan'!AJ199</f>
        <v>2</v>
      </c>
      <c r="H189" t="str">
        <f>+'staffing plan'!AX199</f>
        <v>Ifugao</v>
      </c>
      <c r="I189" t="str">
        <f>+'staffing plan'!AW199</f>
        <v>NAMINGIT, Gyda Hoggang</v>
      </c>
      <c r="J189" t="e">
        <f>+'staffing plan'!#REF!</f>
        <v>#REF!</v>
      </c>
      <c r="K189" t="e">
        <f>+'staffing plan'!#REF!</f>
        <v>#REF!</v>
      </c>
      <c r="L189" t="str">
        <f>+'staffing plan'!AY199</f>
        <v>F</v>
      </c>
      <c r="M189" s="145" t="e">
        <f>+'staffing plan'!#REF!</f>
        <v>#REF!</v>
      </c>
      <c r="N189" s="145" t="e">
        <f>'staffing plan'!#REF!</f>
        <v>#REF!</v>
      </c>
      <c r="O189" s="145" t="e">
        <f>+'staffing plan'!#REF!</f>
        <v>#REF!</v>
      </c>
      <c r="P189" s="131">
        <f>+'staffing plan'!AH199</f>
        <v>302784</v>
      </c>
      <c r="Q189" s="131">
        <f>+'staffing plan'!AI199</f>
        <v>306540</v>
      </c>
      <c r="R189">
        <f>+'staffing plan'!BP199</f>
        <v>0</v>
      </c>
      <c r="S189">
        <v>188</v>
      </c>
    </row>
    <row r="190" spans="2:19">
      <c r="B190">
        <f t="shared" si="6"/>
        <v>2016</v>
      </c>
      <c r="C190">
        <f>+'staffing plan'!BK200</f>
        <v>42662</v>
      </c>
      <c r="D190" t="str">
        <f>'staffing plan'!A200</f>
        <v>OSEC-DILGB-LGOO2-32-1998</v>
      </c>
      <c r="E190" t="str">
        <f>+'staffing plan'!B200</f>
        <v>Local Government Operations Officer II</v>
      </c>
      <c r="F190">
        <f>+'staffing plan'!C200</f>
        <v>13</v>
      </c>
      <c r="G190" s="131">
        <f>+'staffing plan'!AJ200</f>
        <v>1</v>
      </c>
      <c r="H190" t="str">
        <f>+'staffing plan'!AX200</f>
        <v>Abra</v>
      </c>
      <c r="I190" t="str">
        <f>+'staffing plan'!AW200</f>
        <v>BALANAY, Mark Anthony Gumabay</v>
      </c>
      <c r="J190" t="e">
        <f>+'staffing plan'!#REF!</f>
        <v>#REF!</v>
      </c>
      <c r="K190" t="e">
        <f>+'staffing plan'!#REF!</f>
        <v>#REF!</v>
      </c>
      <c r="L190" t="str">
        <f>+'staffing plan'!AY200</f>
        <v>M</v>
      </c>
      <c r="M190" s="145" t="e">
        <f>+'staffing plan'!#REF!</f>
        <v>#REF!</v>
      </c>
      <c r="N190" s="145" t="e">
        <f>'staffing plan'!#REF!</f>
        <v>#REF!</v>
      </c>
      <c r="O190" s="145" t="e">
        <f>+'staffing plan'!#REF!</f>
        <v>#REF!</v>
      </c>
      <c r="P190" s="131">
        <f>+'staffing plan'!AH200</f>
        <v>302784</v>
      </c>
      <c r="Q190" s="131">
        <f>+'staffing plan'!AI200</f>
        <v>302784</v>
      </c>
      <c r="R190">
        <f>+'staffing plan'!BP200</f>
        <v>0</v>
      </c>
      <c r="S190">
        <v>189</v>
      </c>
    </row>
    <row r="191" spans="2:19">
      <c r="B191">
        <f t="shared" si="6"/>
        <v>2018</v>
      </c>
      <c r="C191">
        <f>+'staffing plan'!BK201</f>
        <v>43397</v>
      </c>
      <c r="D191" t="str">
        <f>'staffing plan'!A201</f>
        <v>OSEC-DILGB-LGOO2-33-1998</v>
      </c>
      <c r="E191" t="str">
        <f>+'staffing plan'!B201</f>
        <v>Local Government Operations Officer II</v>
      </c>
      <c r="F191">
        <f>+'staffing plan'!C201</f>
        <v>13</v>
      </c>
      <c r="G191" s="131">
        <f>+'staffing plan'!AJ201</f>
        <v>1</v>
      </c>
      <c r="H191" t="str">
        <f>+'staffing plan'!AX201</f>
        <v>Ifugao</v>
      </c>
      <c r="I191" t="str">
        <f>+'staffing plan'!AW201</f>
        <v>ANAPEN, Humphrey Dumayas</v>
      </c>
      <c r="J191" t="e">
        <f>+'staffing plan'!#REF!</f>
        <v>#REF!</v>
      </c>
      <c r="K191" t="e">
        <f>+'staffing plan'!#REF!</f>
        <v>#REF!</v>
      </c>
      <c r="L191" t="str">
        <f>+'staffing plan'!AY201</f>
        <v>M</v>
      </c>
      <c r="M191" s="145" t="e">
        <f>+'staffing plan'!#REF!</f>
        <v>#REF!</v>
      </c>
      <c r="N191" s="145" t="e">
        <f>'staffing plan'!#REF!</f>
        <v>#REF!</v>
      </c>
      <c r="O191" s="145" t="e">
        <f>+'staffing plan'!#REF!</f>
        <v>#REF!</v>
      </c>
      <c r="P191" s="131">
        <f>+'staffing plan'!AH201</f>
        <v>302784</v>
      </c>
      <c r="Q191" s="131">
        <f>+'staffing plan'!AI201</f>
        <v>302784</v>
      </c>
      <c r="R191">
        <f>+'staffing plan'!BP201</f>
        <v>0</v>
      </c>
      <c r="S191">
        <v>190</v>
      </c>
    </row>
    <row r="192" spans="2:19">
      <c r="B192">
        <f t="shared" si="6"/>
        <v>2014</v>
      </c>
      <c r="C192">
        <f>+'staffing plan'!BK202</f>
        <v>41913</v>
      </c>
      <c r="D192" t="str">
        <f>'staffing plan'!A202</f>
        <v>OSEC-DILGB-LGOO2-37-1998</v>
      </c>
      <c r="E192" t="str">
        <f>+'staffing plan'!B202</f>
        <v>Local Government Operations Officer II</v>
      </c>
      <c r="F192">
        <f>+'staffing plan'!C202</f>
        <v>13</v>
      </c>
      <c r="G192" s="131">
        <f>+'staffing plan'!AJ202</f>
        <v>2</v>
      </c>
      <c r="H192" t="str">
        <f>+'staffing plan'!AX202</f>
        <v>Apayao</v>
      </c>
      <c r="I192" t="str">
        <f>+'staffing plan'!AW202</f>
        <v>UCOL, Edward Errol Bumanglag</v>
      </c>
      <c r="J192" t="e">
        <f>+'staffing plan'!#REF!</f>
        <v>#REF!</v>
      </c>
      <c r="K192" t="e">
        <f>+'staffing plan'!#REF!</f>
        <v>#REF!</v>
      </c>
      <c r="L192" t="str">
        <f>+'staffing plan'!AY202</f>
        <v>M</v>
      </c>
      <c r="M192" s="145" t="e">
        <f>+'staffing plan'!#REF!</f>
        <v>#REF!</v>
      </c>
      <c r="N192" s="145" t="e">
        <f>'staffing plan'!#REF!</f>
        <v>#REF!</v>
      </c>
      <c r="O192" s="145" t="e">
        <f>+'staffing plan'!#REF!</f>
        <v>#REF!</v>
      </c>
      <c r="P192" s="131">
        <f>+'staffing plan'!AH202</f>
        <v>302784</v>
      </c>
      <c r="Q192" s="131">
        <f>+'staffing plan'!AI202</f>
        <v>306540</v>
      </c>
      <c r="R192">
        <f>+'staffing plan'!BP202</f>
        <v>0</v>
      </c>
      <c r="S192">
        <v>191</v>
      </c>
    </row>
    <row r="193" spans="2:19">
      <c r="B193">
        <f t="shared" si="6"/>
        <v>2019</v>
      </c>
      <c r="C193">
        <f>+'staffing plan'!BK203</f>
        <v>43497</v>
      </c>
      <c r="D193" t="str">
        <f>'staffing plan'!A203</f>
        <v>OSEC-DILGB-LGOO2-38-1998</v>
      </c>
      <c r="E193" t="str">
        <f>+'staffing plan'!B203</f>
        <v>Local Government Operations Officer II</v>
      </c>
      <c r="F193">
        <f>+'staffing plan'!C203</f>
        <v>13</v>
      </c>
      <c r="G193" s="131">
        <f>+'staffing plan'!AJ203</f>
        <v>1</v>
      </c>
      <c r="H193" t="str">
        <f>+'staffing plan'!AX203</f>
        <v>Mt. Province</v>
      </c>
      <c r="I193" t="str">
        <f>+'staffing plan'!AW203</f>
        <v>FABAG, Sheren Sagsago</v>
      </c>
      <c r="J193" t="e">
        <f>+'staffing plan'!#REF!</f>
        <v>#REF!</v>
      </c>
      <c r="K193" t="e">
        <f>+'staffing plan'!#REF!</f>
        <v>#REF!</v>
      </c>
      <c r="L193" t="str">
        <f>+'staffing plan'!AY203</f>
        <v>F</v>
      </c>
      <c r="M193" s="145" t="e">
        <f>+'staffing plan'!#REF!</f>
        <v>#REF!</v>
      </c>
      <c r="N193" s="145" t="e">
        <f>'staffing plan'!#REF!</f>
        <v>#REF!</v>
      </c>
      <c r="O193" s="145" t="e">
        <f>+'staffing plan'!#REF!</f>
        <v>#REF!</v>
      </c>
      <c r="P193" s="131">
        <f>+'staffing plan'!AH203</f>
        <v>302784</v>
      </c>
      <c r="Q193" s="131">
        <f>+'staffing plan'!AI203</f>
        <v>302784</v>
      </c>
      <c r="R193">
        <f>+'staffing plan'!BP203</f>
        <v>0</v>
      </c>
      <c r="S193">
        <v>192</v>
      </c>
    </row>
    <row r="194" spans="2:19">
      <c r="B194">
        <f t="shared" si="6"/>
        <v>2017</v>
      </c>
      <c r="C194">
        <f>+'staffing plan'!BK204</f>
        <v>42863</v>
      </c>
      <c r="D194" t="str">
        <f>'staffing plan'!A204</f>
        <v>OSEC-DILGB-LGOO2-40-1998</v>
      </c>
      <c r="E194" t="str">
        <f>+'staffing plan'!B204</f>
        <v>Local Government Operations Officer II</v>
      </c>
      <c r="F194">
        <f>+'staffing plan'!C204</f>
        <v>13</v>
      </c>
      <c r="G194" s="131">
        <f>+'staffing plan'!AJ204</f>
        <v>1</v>
      </c>
      <c r="H194" t="str">
        <f>+'staffing plan'!AX204</f>
        <v>Benguet</v>
      </c>
      <c r="I194" t="str">
        <f>+'staffing plan'!AW204</f>
        <v>LIGLIGON, Randolph Lacamang</v>
      </c>
      <c r="J194" t="e">
        <f>+'staffing plan'!#REF!</f>
        <v>#REF!</v>
      </c>
      <c r="K194" t="e">
        <f>+'staffing plan'!#REF!</f>
        <v>#REF!</v>
      </c>
      <c r="L194" t="str">
        <f>+'staffing plan'!AY204</f>
        <v>M</v>
      </c>
      <c r="M194" s="145" t="e">
        <f>+'staffing plan'!#REF!</f>
        <v>#REF!</v>
      </c>
      <c r="N194" s="145" t="e">
        <f>'staffing plan'!#REF!</f>
        <v>#REF!</v>
      </c>
      <c r="O194" s="145" t="e">
        <f>+'staffing plan'!#REF!</f>
        <v>#REF!</v>
      </c>
      <c r="P194" s="131">
        <f>+'staffing plan'!AH204</f>
        <v>302784</v>
      </c>
      <c r="Q194" s="131">
        <f>+'staffing plan'!AI204</f>
        <v>302784</v>
      </c>
      <c r="R194">
        <f>+'staffing plan'!BP204</f>
        <v>0</v>
      </c>
      <c r="S194">
        <v>193</v>
      </c>
    </row>
    <row r="195" spans="2:19">
      <c r="B195">
        <f t="shared" si="6"/>
        <v>2019</v>
      </c>
      <c r="C195">
        <f>+'staffing plan'!BK205</f>
        <v>43544</v>
      </c>
      <c r="D195" t="str">
        <f>'staffing plan'!A205</f>
        <v>OSEC-DILGB-ADAS2-65-2005</v>
      </c>
      <c r="E195" t="str">
        <f>+'staffing plan'!B205</f>
        <v>Administrative Assistant II</v>
      </c>
      <c r="F195">
        <f>+'staffing plan'!C205</f>
        <v>8</v>
      </c>
      <c r="G195" s="131">
        <f>+'staffing plan'!AJ205</f>
        <v>1</v>
      </c>
      <c r="H195" t="str">
        <f>+'staffing plan'!AX205</f>
        <v>Apayao</v>
      </c>
      <c r="I195" t="str">
        <f>+'staffing plan'!AW205</f>
        <v>MACLI-ING, Giezzel Danglipen</v>
      </c>
      <c r="J195" t="e">
        <f>+'staffing plan'!#REF!</f>
        <v>#REF!</v>
      </c>
      <c r="K195" t="e">
        <f>+'staffing plan'!#REF!</f>
        <v>#REF!</v>
      </c>
      <c r="L195" t="str">
        <f>+'staffing plan'!AY205</f>
        <v>F</v>
      </c>
      <c r="M195" s="145" t="e">
        <f>+'staffing plan'!#REF!</f>
        <v>#REF!</v>
      </c>
      <c r="N195" s="145" t="e">
        <f>'staffing plan'!#REF!</f>
        <v>#REF!</v>
      </c>
      <c r="O195" s="145" t="e">
        <f>+'staffing plan'!#REF!</f>
        <v>#REF!</v>
      </c>
      <c r="P195" s="131">
        <f>+'staffing plan'!AH205</f>
        <v>201096</v>
      </c>
      <c r="Q195" s="131">
        <f>+'staffing plan'!AI205</f>
        <v>201096</v>
      </c>
      <c r="R195">
        <f>+'staffing plan'!BP205</f>
        <v>0</v>
      </c>
      <c r="S195">
        <v>194</v>
      </c>
    </row>
    <row r="196" spans="2:19">
      <c r="B196">
        <f t="shared" si="6"/>
        <v>1900</v>
      </c>
      <c r="C196">
        <f>+'staffing plan'!BK206</f>
        <v>0</v>
      </c>
      <c r="D196" t="str">
        <f>'staffing plan'!A206</f>
        <v>OSEC-DILGB-ADAS2-66-2005</v>
      </c>
      <c r="E196" t="str">
        <f>+'staffing plan'!B206</f>
        <v>Administrative Assistant II</v>
      </c>
      <c r="F196">
        <f>+'staffing plan'!C206</f>
        <v>8</v>
      </c>
      <c r="G196" s="131">
        <f>+'staffing plan'!AJ206</f>
        <v>0</v>
      </c>
      <c r="H196">
        <f>+'staffing plan'!AX206</f>
        <v>0</v>
      </c>
      <c r="I196" t="str">
        <f>+'staffing plan'!AW206</f>
        <v xml:space="preserve">Vacant DOMASING,  </v>
      </c>
      <c r="J196" t="e">
        <f>+'staffing plan'!#REF!</f>
        <v>#REF!</v>
      </c>
      <c r="K196" t="e">
        <f>+'staffing plan'!#REF!</f>
        <v>#REF!</v>
      </c>
      <c r="L196">
        <f>+'staffing plan'!AY206</f>
        <v>0</v>
      </c>
      <c r="M196" s="145" t="e">
        <f>+'staffing plan'!#REF!</f>
        <v>#REF!</v>
      </c>
      <c r="N196" s="145" t="e">
        <f>'staffing plan'!#REF!</f>
        <v>#REF!</v>
      </c>
      <c r="O196" s="145" t="e">
        <f>+'staffing plan'!#REF!</f>
        <v>#REF!</v>
      </c>
      <c r="P196" s="131">
        <f>+'staffing plan'!AH206</f>
        <v>201096</v>
      </c>
      <c r="Q196" s="131">
        <f>+'staffing plan'!AI206</f>
        <v>0</v>
      </c>
      <c r="R196">
        <f>+'staffing plan'!BP206</f>
        <v>0</v>
      </c>
      <c r="S196">
        <v>195</v>
      </c>
    </row>
    <row r="197" spans="2:19" hidden="1">
      <c r="B197">
        <f t="shared" si="6"/>
        <v>2003</v>
      </c>
      <c r="C197">
        <f>+'staffing plan'!BK207</f>
        <v>37655</v>
      </c>
      <c r="D197" t="str">
        <f>'staffing plan'!A207</f>
        <v>OSEC-DILGB-ADAS2-67-2005</v>
      </c>
      <c r="E197" t="str">
        <f>+'staffing plan'!B207</f>
        <v>Administrative Assistant II</v>
      </c>
      <c r="F197">
        <f>+'staffing plan'!C207</f>
        <v>8</v>
      </c>
      <c r="G197" s="131">
        <f>+'staffing plan'!AJ207</f>
        <v>6</v>
      </c>
      <c r="H197" t="str">
        <f>+'staffing plan'!AX207</f>
        <v>Benguet</v>
      </c>
      <c r="I197" t="str">
        <f>+'staffing plan'!AW207</f>
        <v>TOMAS, Prescilla Kitan</v>
      </c>
      <c r="J197" t="e">
        <f>+'staffing plan'!#REF!</f>
        <v>#REF!</v>
      </c>
      <c r="K197" t="e">
        <f>+'staffing plan'!#REF!</f>
        <v>#REF!</v>
      </c>
      <c r="L197" t="str">
        <f>+'staffing plan'!AY207</f>
        <v>F</v>
      </c>
      <c r="M197" s="145" t="e">
        <f>+'staffing plan'!#REF!</f>
        <v>#REF!</v>
      </c>
      <c r="N197" s="145" t="e">
        <f>'staffing plan'!#REF!</f>
        <v>#REF!</v>
      </c>
      <c r="O197" s="145" t="e">
        <f>+'staffing plan'!#REF!</f>
        <v>#REF!</v>
      </c>
      <c r="P197" s="131">
        <f>+'staffing plan'!AH207</f>
        <v>201096</v>
      </c>
      <c r="Q197" s="131">
        <f>+'staffing plan'!AI207</f>
        <v>210348</v>
      </c>
      <c r="R197" t="str">
        <f>+'staffing plan'!BP207</f>
        <v>change of item 1-25-18</v>
      </c>
      <c r="S197">
        <v>196</v>
      </c>
    </row>
    <row r="198" spans="2:19">
      <c r="B198">
        <f t="shared" si="6"/>
        <v>2019</v>
      </c>
      <c r="C198">
        <f>+'staffing plan'!BK208</f>
        <v>43556</v>
      </c>
      <c r="D198" t="str">
        <f>'staffing plan'!A208</f>
        <v>OSEC-DILGB-ADAS2-68-2005</v>
      </c>
      <c r="E198" t="str">
        <f>+'staffing plan'!B208</f>
        <v>Administrative Assistant II</v>
      </c>
      <c r="F198">
        <f>+'staffing plan'!C208</f>
        <v>8</v>
      </c>
      <c r="G198" s="131">
        <f>+'staffing plan'!AJ208</f>
        <v>1</v>
      </c>
      <c r="H198" t="str">
        <f>+'staffing plan'!AX208</f>
        <v>Mt. Province</v>
      </c>
      <c r="I198" t="str">
        <f>+'staffing plan'!AW208</f>
        <v>DEPALOG, Kharla Lhyn Bagwan</v>
      </c>
      <c r="J198" t="e">
        <f>+'staffing plan'!#REF!</f>
        <v>#REF!</v>
      </c>
      <c r="K198" t="e">
        <f>+'staffing plan'!#REF!</f>
        <v>#REF!</v>
      </c>
      <c r="L198" t="str">
        <f>+'staffing plan'!AY208</f>
        <v>F</v>
      </c>
      <c r="M198" s="145" t="e">
        <f>+'staffing plan'!#REF!</f>
        <v>#REF!</v>
      </c>
      <c r="N198" s="145" t="e">
        <f>'staffing plan'!#REF!</f>
        <v>#REF!</v>
      </c>
      <c r="O198" s="145" t="e">
        <f>+'staffing plan'!#REF!</f>
        <v>#REF!</v>
      </c>
      <c r="P198" s="131">
        <f>+'staffing plan'!AH208</f>
        <v>201096</v>
      </c>
      <c r="Q198" s="131">
        <f>+'staffing plan'!AI208</f>
        <v>201096</v>
      </c>
      <c r="R198">
        <f>+'staffing plan'!BP208</f>
        <v>0</v>
      </c>
      <c r="S198">
        <v>197</v>
      </c>
    </row>
    <row r="199" spans="2:19">
      <c r="B199">
        <f t="shared" si="6"/>
        <v>1989</v>
      </c>
      <c r="C199">
        <f>+'staffing plan'!BK209</f>
        <v>32580</v>
      </c>
      <c r="D199" t="str">
        <f>'staffing plan'!A209</f>
        <v>OSEC-DILGB-ADAS2-70-2005</v>
      </c>
      <c r="E199" t="str">
        <f>+'staffing plan'!B209</f>
        <v>Administrative Assistant II</v>
      </c>
      <c r="F199">
        <f>+'staffing plan'!C209</f>
        <v>8</v>
      </c>
      <c r="G199" s="131">
        <f>+'staffing plan'!AJ209</f>
        <v>8</v>
      </c>
      <c r="H199" t="str">
        <f>+'staffing plan'!AX209</f>
        <v>Ifugao</v>
      </c>
      <c r="I199" t="str">
        <f>+'staffing plan'!AW209</f>
        <v>ALCAYNA, Dennis Bantiyan</v>
      </c>
      <c r="J199" t="e">
        <f>+'staffing plan'!#REF!</f>
        <v>#REF!</v>
      </c>
      <c r="K199" t="e">
        <f>+'staffing plan'!#REF!</f>
        <v>#REF!</v>
      </c>
      <c r="L199" t="str">
        <f>+'staffing plan'!AY209</f>
        <v>M</v>
      </c>
      <c r="M199" s="145" t="e">
        <f>+'staffing plan'!#REF!</f>
        <v>#REF!</v>
      </c>
      <c r="N199" s="145" t="e">
        <f>'staffing plan'!#REF!</f>
        <v>#REF!</v>
      </c>
      <c r="O199" s="145" t="e">
        <f>+'staffing plan'!#REF!</f>
        <v>#REF!</v>
      </c>
      <c r="P199" s="131">
        <f>+'staffing plan'!AH209</f>
        <v>201096</v>
      </c>
      <c r="Q199" s="131">
        <f>+'staffing plan'!AI209</f>
        <v>214176</v>
      </c>
      <c r="R199">
        <f>+'staffing plan'!BP209</f>
        <v>0</v>
      </c>
      <c r="S199">
        <v>198</v>
      </c>
    </row>
    <row r="200" spans="2:19">
      <c r="B200">
        <f t="shared" si="6"/>
        <v>1998</v>
      </c>
      <c r="C200">
        <f>+'staffing plan'!BK210</f>
        <v>36084</v>
      </c>
      <c r="D200" t="str">
        <f>'staffing plan'!A210</f>
        <v>OSEC-DILGB-ADAS2-71-2005</v>
      </c>
      <c r="E200" t="str">
        <f>+'staffing plan'!B210</f>
        <v>Administrative Assistant II</v>
      </c>
      <c r="F200">
        <f>+'staffing plan'!C210</f>
        <v>8</v>
      </c>
      <c r="G200" s="131">
        <f>+'staffing plan'!AJ210</f>
        <v>7</v>
      </c>
      <c r="H200" t="str">
        <f>+'staffing plan'!AX210</f>
        <v>Mt. Province</v>
      </c>
      <c r="I200" t="str">
        <f>+'staffing plan'!AW210</f>
        <v>TAMI-ING, Marilyn Kilayon</v>
      </c>
      <c r="J200" t="e">
        <f>+'staffing plan'!#REF!</f>
        <v>#REF!</v>
      </c>
      <c r="K200" t="e">
        <f>+'staffing plan'!#REF!</f>
        <v>#REF!</v>
      </c>
      <c r="L200" t="str">
        <f>+'staffing plan'!AY210</f>
        <v>F</v>
      </c>
      <c r="M200" s="145" t="e">
        <f>+'staffing plan'!#REF!</f>
        <v>#REF!</v>
      </c>
      <c r="N200" s="145" t="e">
        <f>'staffing plan'!#REF!</f>
        <v>#REF!</v>
      </c>
      <c r="O200" s="145" t="e">
        <f>+'staffing plan'!#REF!</f>
        <v>#REF!</v>
      </c>
      <c r="P200" s="131">
        <f>+'staffing plan'!AH210</f>
        <v>201096</v>
      </c>
      <c r="Q200" s="131">
        <f>+'staffing plan'!AI210</f>
        <v>212256</v>
      </c>
      <c r="R200">
        <f>+'staffing plan'!BP210</f>
        <v>0</v>
      </c>
      <c r="S200">
        <v>199</v>
      </c>
    </row>
    <row r="201" spans="2:19">
      <c r="B201">
        <f t="shared" si="6"/>
        <v>1991</v>
      </c>
      <c r="C201">
        <f>+'staffing plan'!BK211</f>
        <v>33484</v>
      </c>
      <c r="D201" t="str">
        <f>'staffing plan'!A211</f>
        <v>OSEC-DILGB-ADAS2-73-2005</v>
      </c>
      <c r="E201" t="str">
        <f>+'staffing plan'!B211</f>
        <v>Administrative Assistant II</v>
      </c>
      <c r="F201">
        <f>+'staffing plan'!C211</f>
        <v>8</v>
      </c>
      <c r="G201" s="131">
        <f>+'staffing plan'!AJ211</f>
        <v>8</v>
      </c>
      <c r="H201" t="str">
        <f>+'staffing plan'!AX211</f>
        <v>Abra</v>
      </c>
      <c r="I201" t="str">
        <f>+'staffing plan'!AW211</f>
        <v>PACAMO, Ruby Quemerista</v>
      </c>
      <c r="J201" t="e">
        <f>+'staffing plan'!#REF!</f>
        <v>#REF!</v>
      </c>
      <c r="K201" t="e">
        <f>+'staffing plan'!#REF!</f>
        <v>#REF!</v>
      </c>
      <c r="L201" t="str">
        <f>+'staffing plan'!AY211</f>
        <v>F</v>
      </c>
      <c r="M201" s="145" t="e">
        <f>+'staffing plan'!#REF!</f>
        <v>#REF!</v>
      </c>
      <c r="N201" s="145" t="e">
        <f>'staffing plan'!#REF!</f>
        <v>#REF!</v>
      </c>
      <c r="O201" s="145" t="e">
        <f>+'staffing plan'!#REF!</f>
        <v>#REF!</v>
      </c>
      <c r="P201" s="131">
        <f>+'staffing plan'!AH211</f>
        <v>201096</v>
      </c>
      <c r="Q201" s="131">
        <f>+'staffing plan'!AI211</f>
        <v>214176</v>
      </c>
      <c r="R201">
        <f>+'staffing plan'!BP211</f>
        <v>0</v>
      </c>
      <c r="S201">
        <v>200</v>
      </c>
    </row>
    <row r="202" spans="2:19">
      <c r="B202">
        <f t="shared" si="6"/>
        <v>1996</v>
      </c>
      <c r="C202">
        <f>+'staffing plan'!BK212</f>
        <v>35096</v>
      </c>
      <c r="D202" t="str">
        <f>'staffing plan'!A212</f>
        <v>OSEC-DILGB-ADAS2-74-2005</v>
      </c>
      <c r="E202" t="str">
        <f>+'staffing plan'!B212</f>
        <v>Administrative Assistant II</v>
      </c>
      <c r="F202">
        <f>+'staffing plan'!C212</f>
        <v>8</v>
      </c>
      <c r="G202" s="131">
        <f>+'staffing plan'!AJ212</f>
        <v>8</v>
      </c>
      <c r="H202" t="str">
        <f>+'staffing plan'!AX212</f>
        <v>Benguet</v>
      </c>
      <c r="I202" t="str">
        <f>+'staffing plan'!AW212</f>
        <v>VICENTE, Dominga Aglano</v>
      </c>
      <c r="J202" t="e">
        <f>+'staffing plan'!#REF!</f>
        <v>#REF!</v>
      </c>
      <c r="K202" t="e">
        <f>+'staffing plan'!#REF!</f>
        <v>#REF!</v>
      </c>
      <c r="L202" t="str">
        <f>+'staffing plan'!AY212</f>
        <v>F</v>
      </c>
      <c r="M202" s="145" t="e">
        <f>+'staffing plan'!#REF!</f>
        <v>#REF!</v>
      </c>
      <c r="N202" s="145" t="e">
        <f>'staffing plan'!#REF!</f>
        <v>#REF!</v>
      </c>
      <c r="O202" s="145" t="e">
        <f>+'staffing plan'!#REF!</f>
        <v>#REF!</v>
      </c>
      <c r="P202" s="131">
        <f>+'staffing plan'!AH212</f>
        <v>201096</v>
      </c>
      <c r="Q202" s="131">
        <f>+'staffing plan'!AI212</f>
        <v>214176</v>
      </c>
      <c r="R202">
        <f>+'staffing plan'!BP212</f>
        <v>0</v>
      </c>
      <c r="S202">
        <v>201</v>
      </c>
    </row>
    <row r="203" spans="2:19">
      <c r="B203">
        <f t="shared" si="6"/>
        <v>2019</v>
      </c>
      <c r="C203">
        <f>+'staffing plan'!BK213</f>
        <v>43544</v>
      </c>
      <c r="D203" t="str">
        <f>'staffing plan'!A213</f>
        <v>OSEC-DILGB-ADAS2-75-2005</v>
      </c>
      <c r="E203" t="str">
        <f>+'staffing plan'!B213</f>
        <v>Administrative Assistant II</v>
      </c>
      <c r="F203">
        <f>+'staffing plan'!C213</f>
        <v>8</v>
      </c>
      <c r="G203" s="131">
        <f>+'staffing plan'!AJ213</f>
        <v>1</v>
      </c>
      <c r="H203" t="str">
        <f>+'staffing plan'!AX213</f>
        <v>Kalinga</v>
      </c>
      <c r="I203" t="str">
        <f>+'staffing plan'!AW213</f>
        <v>KILLIA-EN, Unice Lipawen</v>
      </c>
      <c r="J203" t="e">
        <f>+'staffing plan'!#REF!</f>
        <v>#REF!</v>
      </c>
      <c r="K203" t="e">
        <f>+'staffing plan'!#REF!</f>
        <v>#REF!</v>
      </c>
      <c r="L203" t="str">
        <f>+'staffing plan'!AY213</f>
        <v>F</v>
      </c>
      <c r="M203" s="145" t="e">
        <f>+'staffing plan'!#REF!</f>
        <v>#REF!</v>
      </c>
      <c r="N203" s="145" t="e">
        <f>'staffing plan'!#REF!</f>
        <v>#REF!</v>
      </c>
      <c r="O203" s="145" t="e">
        <f>+'staffing plan'!#REF!</f>
        <v>#REF!</v>
      </c>
      <c r="P203" s="131">
        <f>+'staffing plan'!AH213</f>
        <v>201096</v>
      </c>
      <c r="Q203" s="131">
        <f>+'staffing plan'!AI213</f>
        <v>201096</v>
      </c>
      <c r="R203">
        <f>+'staffing plan'!BP213</f>
        <v>0</v>
      </c>
      <c r="S203">
        <v>202</v>
      </c>
    </row>
    <row r="204" spans="2:19">
      <c r="B204">
        <f t="shared" si="6"/>
        <v>1997</v>
      </c>
      <c r="C204">
        <f>+'staffing plan'!BK214</f>
        <v>35643</v>
      </c>
      <c r="D204" t="str">
        <f>'staffing plan'!A214</f>
        <v>OSEC-DILGB-ADAS2-76-2005</v>
      </c>
      <c r="E204" t="str">
        <f>+'staffing plan'!B214</f>
        <v>Administrative Assistant II</v>
      </c>
      <c r="F204">
        <f>+'staffing plan'!C214</f>
        <v>8</v>
      </c>
      <c r="G204" s="131">
        <f>+'staffing plan'!AJ214</f>
        <v>8</v>
      </c>
      <c r="H204" t="str">
        <f>+'staffing plan'!AX214</f>
        <v>Ifugao</v>
      </c>
      <c r="I204" t="str">
        <f>+'staffing plan'!AW214</f>
        <v>BINTUDAN, Rosemarie Bumidang</v>
      </c>
      <c r="J204" t="e">
        <f>+'staffing plan'!#REF!</f>
        <v>#REF!</v>
      </c>
      <c r="K204" t="e">
        <f>+'staffing plan'!#REF!</f>
        <v>#REF!</v>
      </c>
      <c r="L204" t="str">
        <f>+'staffing plan'!AY214</f>
        <v>F</v>
      </c>
      <c r="M204" s="145" t="e">
        <f>+'staffing plan'!#REF!</f>
        <v>#REF!</v>
      </c>
      <c r="N204" s="145" t="e">
        <f>'staffing plan'!#REF!</f>
        <v>#REF!</v>
      </c>
      <c r="O204" s="145" t="e">
        <f>+'staffing plan'!#REF!</f>
        <v>#REF!</v>
      </c>
      <c r="P204" s="131">
        <f>+'staffing plan'!AH214</f>
        <v>201096</v>
      </c>
      <c r="Q204" s="131">
        <f>+'staffing plan'!AI214</f>
        <v>214176</v>
      </c>
      <c r="R204">
        <f>+'staffing plan'!BP214</f>
        <v>0</v>
      </c>
      <c r="S204">
        <v>203</v>
      </c>
    </row>
    <row r="205" spans="2:19">
      <c r="B205">
        <f t="shared" si="6"/>
        <v>2015</v>
      </c>
      <c r="C205">
        <f>+'staffing plan'!BK215</f>
        <v>42289</v>
      </c>
      <c r="D205" t="str">
        <f>'staffing plan'!A215</f>
        <v>OSEC-DILGB-ADAS2-77-2005</v>
      </c>
      <c r="E205" t="str">
        <f>+'staffing plan'!B215</f>
        <v>Administrative Assistant II</v>
      </c>
      <c r="F205">
        <f>+'staffing plan'!C215</f>
        <v>8</v>
      </c>
      <c r="G205" s="131">
        <f>+'staffing plan'!AJ215</f>
        <v>2</v>
      </c>
      <c r="H205" t="str">
        <f>+'staffing plan'!AX215</f>
        <v>Kalinga</v>
      </c>
      <c r="I205" t="str">
        <f>+'staffing plan'!AW215</f>
        <v>GALLEMA, Michelle  Ignacio</v>
      </c>
      <c r="J205" t="e">
        <f>+'staffing plan'!#REF!</f>
        <v>#REF!</v>
      </c>
      <c r="K205" t="e">
        <f>+'staffing plan'!#REF!</f>
        <v>#REF!</v>
      </c>
      <c r="L205" t="str">
        <f>+'staffing plan'!AY215</f>
        <v>F</v>
      </c>
      <c r="M205" s="145" t="e">
        <f>+'staffing plan'!#REF!</f>
        <v>#REF!</v>
      </c>
      <c r="N205" s="145" t="e">
        <f>'staffing plan'!#REF!</f>
        <v>#REF!</v>
      </c>
      <c r="O205" s="145" t="e">
        <f>+'staffing plan'!#REF!</f>
        <v>#REF!</v>
      </c>
      <c r="P205" s="131">
        <f>+'staffing plan'!AH215</f>
        <v>201096</v>
      </c>
      <c r="Q205" s="131">
        <f>+'staffing plan'!AI215</f>
        <v>202920</v>
      </c>
      <c r="R205">
        <f>+'staffing plan'!BP215</f>
        <v>0</v>
      </c>
      <c r="S205">
        <v>204</v>
      </c>
    </row>
    <row r="206" spans="2:19">
      <c r="B206">
        <f t="shared" si="6"/>
        <v>1996</v>
      </c>
      <c r="C206">
        <f>+'staffing plan'!BK216</f>
        <v>35254</v>
      </c>
      <c r="D206" t="str">
        <f>'staffing plan'!A216</f>
        <v>OSEC-DILGB-ADAS2-78-2005</v>
      </c>
      <c r="E206" t="str">
        <f>+'staffing plan'!B216</f>
        <v>Administrative Assistant II</v>
      </c>
      <c r="F206">
        <f>+'staffing plan'!C216</f>
        <v>8</v>
      </c>
      <c r="G206" s="131">
        <f>+'staffing plan'!AJ216</f>
        <v>8</v>
      </c>
      <c r="H206" t="str">
        <f>+'staffing plan'!AX216</f>
        <v>Apayao</v>
      </c>
      <c r="I206" t="str">
        <f>+'staffing plan'!AW216</f>
        <v>TAMOT, Judith Bermejo</v>
      </c>
      <c r="J206" t="e">
        <f>+'staffing plan'!#REF!</f>
        <v>#REF!</v>
      </c>
      <c r="K206" t="e">
        <f>+'staffing plan'!#REF!</f>
        <v>#REF!</v>
      </c>
      <c r="L206" t="str">
        <f>+'staffing plan'!AY216</f>
        <v>F</v>
      </c>
      <c r="M206" s="145" t="e">
        <f>+'staffing plan'!#REF!</f>
        <v>#REF!</v>
      </c>
      <c r="N206" s="145" t="e">
        <f>'staffing plan'!#REF!</f>
        <v>#REF!</v>
      </c>
      <c r="O206" s="145" t="e">
        <f>+'staffing plan'!#REF!</f>
        <v>#REF!</v>
      </c>
      <c r="P206" s="131">
        <f>+'staffing plan'!AH216</f>
        <v>201096</v>
      </c>
      <c r="Q206" s="131">
        <f>+'staffing plan'!AI216</f>
        <v>214176</v>
      </c>
      <c r="R206">
        <f>+'staffing plan'!BP216</f>
        <v>0</v>
      </c>
      <c r="S206">
        <v>205</v>
      </c>
    </row>
    <row r="207" spans="2:19">
      <c r="B207">
        <f t="shared" si="6"/>
        <v>1975</v>
      </c>
      <c r="C207">
        <f>+'staffing plan'!BK217</f>
        <v>27442</v>
      </c>
      <c r="D207" t="str">
        <f>'staffing plan'!A217</f>
        <v>OSEC-DILGB-ADA6-95-2005</v>
      </c>
      <c r="E207" t="str">
        <f>+'staffing plan'!B217</f>
        <v>Administrative Aide VI</v>
      </c>
      <c r="F207">
        <f>+'staffing plan'!C217</f>
        <v>6</v>
      </c>
      <c r="G207" s="131">
        <f>+'staffing plan'!AJ217</f>
        <v>8</v>
      </c>
      <c r="H207" t="str">
        <f>+'staffing plan'!AX217</f>
        <v>Regional Office</v>
      </c>
      <c r="I207" t="str">
        <f>+'staffing plan'!AW217</f>
        <v>DEDUQUE, Katherine  Pablo</v>
      </c>
      <c r="J207" t="e">
        <f>+'staffing plan'!#REF!</f>
        <v>#REF!</v>
      </c>
      <c r="K207" t="e">
        <f>+'staffing plan'!#REF!</f>
        <v>#REF!</v>
      </c>
      <c r="L207" t="str">
        <f>+'staffing plan'!AY217</f>
        <v>F</v>
      </c>
      <c r="M207" s="145" t="e">
        <f>+'staffing plan'!#REF!</f>
        <v>#REF!</v>
      </c>
      <c r="N207" s="145" t="e">
        <f>'staffing plan'!#REF!</f>
        <v>#REF!</v>
      </c>
      <c r="O207" s="145" t="e">
        <f>+'staffing plan'!#REF!</f>
        <v>#REF!</v>
      </c>
      <c r="P207" s="131">
        <f>+'staffing plan'!AH217</f>
        <v>178164</v>
      </c>
      <c r="Q207" s="131">
        <f>+'staffing plan'!AI217</f>
        <v>187968</v>
      </c>
      <c r="R207">
        <f>+'staffing plan'!BP217</f>
        <v>0</v>
      </c>
      <c r="S207">
        <v>206</v>
      </c>
    </row>
    <row r="208" spans="2:19">
      <c r="B208">
        <f t="shared" si="6"/>
        <v>2015</v>
      </c>
      <c r="C208">
        <f>+'staffing plan'!BK218</f>
        <v>42357</v>
      </c>
      <c r="D208" t="str">
        <f>'staffing plan'!A218</f>
        <v>OSEC-DILGB-ADA6-99-2005</v>
      </c>
      <c r="E208" t="str">
        <f>+'staffing plan'!B218</f>
        <v>Administrative Aide VI</v>
      </c>
      <c r="F208">
        <f>+'staffing plan'!C218</f>
        <v>6</v>
      </c>
      <c r="G208" s="131">
        <f>+'staffing plan'!AJ218</f>
        <v>2</v>
      </c>
      <c r="H208" t="str">
        <f>+'staffing plan'!AX218</f>
        <v>Abra</v>
      </c>
      <c r="I208" t="str">
        <f>+'staffing plan'!AW218</f>
        <v>TAN, Corinne Marie Pauline Elveña</v>
      </c>
      <c r="J208" t="e">
        <f>+'staffing plan'!#REF!</f>
        <v>#REF!</v>
      </c>
      <c r="K208" t="e">
        <f>+'staffing plan'!#REF!</f>
        <v>#REF!</v>
      </c>
      <c r="L208" t="str">
        <f>+'staffing plan'!AY218</f>
        <v>F</v>
      </c>
      <c r="M208" s="145" t="e">
        <f>+'staffing plan'!#REF!</f>
        <v>#REF!</v>
      </c>
      <c r="N208" s="145" t="e">
        <f>'staffing plan'!#REF!</f>
        <v>#REF!</v>
      </c>
      <c r="O208" s="145" t="e">
        <f>+'staffing plan'!#REF!</f>
        <v>#REF!</v>
      </c>
      <c r="P208" s="131">
        <f>+'staffing plan'!AH218</f>
        <v>178164</v>
      </c>
      <c r="Q208" s="131">
        <f>+'staffing plan'!AI218</f>
        <v>179532</v>
      </c>
      <c r="R208">
        <f>+'staffing plan'!BP218</f>
        <v>0</v>
      </c>
      <c r="S208">
        <v>207</v>
      </c>
    </row>
    <row r="209" spans="2:19">
      <c r="B209">
        <f t="shared" si="6"/>
        <v>1993</v>
      </c>
      <c r="C209">
        <f>+'staffing plan'!BK219</f>
        <v>34151</v>
      </c>
      <c r="D209" t="str">
        <f>'staffing plan'!A219</f>
        <v>OSEC-DILGB-ADA6-100-2005</v>
      </c>
      <c r="E209" t="str">
        <f>+'staffing plan'!B219</f>
        <v>Administrative Aide VI</v>
      </c>
      <c r="F209">
        <f>+'staffing plan'!C219</f>
        <v>6</v>
      </c>
      <c r="G209" s="131">
        <f>+'staffing plan'!AJ219</f>
        <v>8</v>
      </c>
      <c r="H209" t="str">
        <f>+'staffing plan'!AX219</f>
        <v>Benguet</v>
      </c>
      <c r="I209" t="str">
        <f>+'staffing plan'!AW219</f>
        <v>LUCIO, Arthur Ambros</v>
      </c>
      <c r="J209" t="e">
        <f>+'staffing plan'!#REF!</f>
        <v>#REF!</v>
      </c>
      <c r="K209" t="e">
        <f>+'staffing plan'!#REF!</f>
        <v>#REF!</v>
      </c>
      <c r="L209" t="str">
        <f>+'staffing plan'!AY219</f>
        <v>M</v>
      </c>
      <c r="M209" s="145" t="e">
        <f>+'staffing plan'!#REF!</f>
        <v>#REF!</v>
      </c>
      <c r="N209" s="145" t="e">
        <f>'staffing plan'!#REF!</f>
        <v>#REF!</v>
      </c>
      <c r="O209" s="145" t="e">
        <f>+'staffing plan'!#REF!</f>
        <v>#REF!</v>
      </c>
      <c r="P209" s="131">
        <f>+'staffing plan'!AH219</f>
        <v>178164</v>
      </c>
      <c r="Q209" s="131">
        <f>+'staffing plan'!AI219</f>
        <v>187968</v>
      </c>
      <c r="R209">
        <f>+'staffing plan'!BP219</f>
        <v>0</v>
      </c>
      <c r="S209">
        <v>208</v>
      </c>
    </row>
    <row r="210" spans="2:19">
      <c r="B210">
        <f t="shared" si="6"/>
        <v>1900</v>
      </c>
      <c r="C210">
        <f>+'staffing plan'!BK220</f>
        <v>0</v>
      </c>
      <c r="D210" t="str">
        <f>'staffing plan'!A220</f>
        <v>OSEC-DILGB-ADA6-101-2005</v>
      </c>
      <c r="E210" t="str">
        <f>+'staffing plan'!B220</f>
        <v>Administrative Aide VI</v>
      </c>
      <c r="F210">
        <f>+'staffing plan'!C220</f>
        <v>6</v>
      </c>
      <c r="G210" s="131">
        <f>+'staffing plan'!AJ220</f>
        <v>0</v>
      </c>
      <c r="H210">
        <f>+'staffing plan'!AX220</f>
        <v>0</v>
      </c>
      <c r="I210" t="str">
        <f>+'staffing plan'!AW220</f>
        <v xml:space="preserve">vacant FABAG,  </v>
      </c>
      <c r="J210" t="e">
        <f>+'staffing plan'!#REF!</f>
        <v>#REF!</v>
      </c>
      <c r="K210" t="e">
        <f>+'staffing plan'!#REF!</f>
        <v>#REF!</v>
      </c>
      <c r="L210">
        <f>+'staffing plan'!AY220</f>
        <v>0</v>
      </c>
      <c r="M210" s="145" t="e">
        <f>+'staffing plan'!#REF!</f>
        <v>#REF!</v>
      </c>
      <c r="N210" s="145" t="e">
        <f>'staffing plan'!#REF!</f>
        <v>#REF!</v>
      </c>
      <c r="O210" s="145" t="e">
        <f>+'staffing plan'!#REF!</f>
        <v>#REF!</v>
      </c>
      <c r="P210" s="131">
        <f>+'staffing plan'!AH220</f>
        <v>178164</v>
      </c>
      <c r="Q210" s="131">
        <f>+'staffing plan'!AI220</f>
        <v>0</v>
      </c>
      <c r="R210">
        <f>+'staffing plan'!BP220</f>
        <v>0</v>
      </c>
      <c r="S210">
        <v>209</v>
      </c>
    </row>
    <row r="211" spans="2:19">
      <c r="B211">
        <f t="shared" si="6"/>
        <v>1989</v>
      </c>
      <c r="C211">
        <f>+'staffing plan'!BK221</f>
        <v>32672</v>
      </c>
      <c r="D211" t="str">
        <f>'staffing plan'!A221</f>
        <v>OSEC-DILGB-ADA6-102-2005</v>
      </c>
      <c r="E211" t="str">
        <f>+'staffing plan'!B221</f>
        <v>Administrative Aide VI</v>
      </c>
      <c r="F211">
        <f>+'staffing plan'!C221</f>
        <v>6</v>
      </c>
      <c r="G211" s="131">
        <f>+'staffing plan'!AJ221</f>
        <v>8</v>
      </c>
      <c r="H211" t="str">
        <f>+'staffing plan'!AX221</f>
        <v>Regional Office</v>
      </c>
      <c r="I211" t="str">
        <f>+'staffing plan'!AW221</f>
        <v>GONZALES, Marlene Castro</v>
      </c>
      <c r="J211" t="e">
        <f>+'staffing plan'!#REF!</f>
        <v>#REF!</v>
      </c>
      <c r="K211" t="e">
        <f>+'staffing plan'!#REF!</f>
        <v>#REF!</v>
      </c>
      <c r="L211" t="str">
        <f>+'staffing plan'!AY221</f>
        <v>F</v>
      </c>
      <c r="M211" s="145" t="e">
        <f>+'staffing plan'!#REF!</f>
        <v>#REF!</v>
      </c>
      <c r="N211" s="145" t="e">
        <f>'staffing plan'!#REF!</f>
        <v>#REF!</v>
      </c>
      <c r="O211" s="145" t="e">
        <f>+'staffing plan'!#REF!</f>
        <v>#REF!</v>
      </c>
      <c r="P211" s="131">
        <f>+'staffing plan'!AH221</f>
        <v>178164</v>
      </c>
      <c r="Q211" s="131">
        <f>+'staffing plan'!AI221</f>
        <v>187968</v>
      </c>
      <c r="R211">
        <f>+'staffing plan'!BP221</f>
        <v>0</v>
      </c>
      <c r="S211">
        <v>210</v>
      </c>
    </row>
    <row r="212" spans="2:19">
      <c r="B212">
        <f t="shared" si="6"/>
        <v>1994</v>
      </c>
      <c r="C212">
        <f>+'staffing plan'!BK222</f>
        <v>34408</v>
      </c>
      <c r="D212" t="str">
        <f>'staffing plan'!A222</f>
        <v>OSEC-DILGB-ADA6-103-2005</v>
      </c>
      <c r="E212" t="str">
        <f>+'staffing plan'!B222</f>
        <v>Administrative Aide VI</v>
      </c>
      <c r="F212">
        <f>+'staffing plan'!C222</f>
        <v>6</v>
      </c>
      <c r="G212" s="131">
        <f>+'staffing plan'!AJ222</f>
        <v>8</v>
      </c>
      <c r="H212" t="str">
        <f>+'staffing plan'!AX222</f>
        <v>Kalinga</v>
      </c>
      <c r="I212" t="str">
        <f>+'staffing plan'!AW222</f>
        <v>BACDAYAN, Wilfred Ramirez</v>
      </c>
      <c r="J212" t="e">
        <f>+'staffing plan'!#REF!</f>
        <v>#REF!</v>
      </c>
      <c r="K212" t="e">
        <f>+'staffing plan'!#REF!</f>
        <v>#REF!</v>
      </c>
      <c r="L212" t="str">
        <f>+'staffing plan'!AY222</f>
        <v>M</v>
      </c>
      <c r="M212" s="145" t="e">
        <f>+'staffing plan'!#REF!</f>
        <v>#REF!</v>
      </c>
      <c r="N212" s="145" t="e">
        <f>'staffing plan'!#REF!</f>
        <v>#REF!</v>
      </c>
      <c r="O212" s="145" t="e">
        <f>+'staffing plan'!#REF!</f>
        <v>#REF!</v>
      </c>
      <c r="P212" s="131">
        <f>+'staffing plan'!AH222</f>
        <v>178164</v>
      </c>
      <c r="Q212" s="131">
        <f>+'staffing plan'!AI222</f>
        <v>187968</v>
      </c>
      <c r="R212">
        <f>+'staffing plan'!BP222</f>
        <v>0</v>
      </c>
      <c r="S212">
        <v>211</v>
      </c>
    </row>
    <row r="213" spans="2:19" hidden="1">
      <c r="B213">
        <f t="shared" si="6"/>
        <v>1900</v>
      </c>
      <c r="C213">
        <f>+'staffing plan'!BK240</f>
        <v>0</v>
      </c>
      <c r="D213" t="str">
        <f>'staffing plan'!A240</f>
        <v>OSEC-DILGB-ADA4-___-20__</v>
      </c>
      <c r="E213" t="str">
        <f>+'staffing plan'!B240</f>
        <v>Administrative Aide VI</v>
      </c>
      <c r="F213">
        <f>+'staffing plan'!C240</f>
        <v>4</v>
      </c>
      <c r="G213" s="131">
        <f>+'staffing plan'!AJ240</f>
        <v>0</v>
      </c>
      <c r="H213">
        <f>+'staffing plan'!AX240</f>
        <v>0</v>
      </c>
      <c r="I213" t="str">
        <f>+'staffing plan'!AW240</f>
        <v>vacant Still no NOSCA
WITH PENDING REQUEST</v>
      </c>
      <c r="J213" t="e">
        <f>+'staffing plan'!#REF!</f>
        <v>#REF!</v>
      </c>
      <c r="K213" t="e">
        <f>+'staffing plan'!#REF!</f>
        <v>#REF!</v>
      </c>
      <c r="L213">
        <f>+'staffing plan'!AY240</f>
        <v>0</v>
      </c>
      <c r="M213" s="145" t="e">
        <f>+'staffing plan'!#REF!</f>
        <v>#REF!</v>
      </c>
      <c r="N213" s="145" t="e">
        <f>'staffing plan'!#REF!</f>
        <v>#REF!</v>
      </c>
      <c r="O213" s="145" t="e">
        <f>+'staffing plan'!#REF!</f>
        <v>#REF!</v>
      </c>
      <c r="P213" s="131">
        <f>+'staffing plan'!AH240</f>
        <v>158568</v>
      </c>
      <c r="Q213" s="131">
        <f>+'staffing plan'!AI240</f>
        <v>0</v>
      </c>
      <c r="R213">
        <f>+'staffing plan'!BP240</f>
        <v>0</v>
      </c>
      <c r="S213">
        <v>212</v>
      </c>
    </row>
    <row r="214" spans="2:19">
      <c r="B214">
        <f t="shared" si="6"/>
        <v>1900</v>
      </c>
      <c r="C214">
        <f>+'staffing plan'!BK223</f>
        <v>0</v>
      </c>
      <c r="D214" t="str">
        <f>'staffing plan'!A223</f>
        <v>OSEC-DILGB-ADA4-88-2005</v>
      </c>
      <c r="E214" t="str">
        <f>+'staffing plan'!B223</f>
        <v>Administrative Aide IV</v>
      </c>
      <c r="F214">
        <f>+'staffing plan'!C223</f>
        <v>4</v>
      </c>
      <c r="G214" s="131">
        <f>+'staffing plan'!AJ223</f>
        <v>0</v>
      </c>
      <c r="H214">
        <f>+'staffing plan'!AX223</f>
        <v>0</v>
      </c>
      <c r="I214" t="str">
        <f>+'staffing plan'!AW223</f>
        <v xml:space="preserve">Vacant ANUA,  </v>
      </c>
      <c r="J214" t="e">
        <f>+'staffing plan'!#REF!</f>
        <v>#REF!</v>
      </c>
      <c r="K214" t="e">
        <f>+'staffing plan'!#REF!</f>
        <v>#REF!</v>
      </c>
      <c r="L214">
        <f>+'staffing plan'!AY223</f>
        <v>0</v>
      </c>
      <c r="M214" s="145" t="e">
        <f>+'staffing plan'!#REF!</f>
        <v>#REF!</v>
      </c>
      <c r="N214" s="145" t="e">
        <f>'staffing plan'!#REF!</f>
        <v>#REF!</v>
      </c>
      <c r="O214" s="145" t="e">
        <f>+'staffing plan'!#REF!</f>
        <v>#REF!</v>
      </c>
      <c r="P214" s="131">
        <f>+'staffing plan'!AH223</f>
        <v>158568</v>
      </c>
      <c r="Q214" s="131">
        <f>+'staffing plan'!AI223</f>
        <v>0</v>
      </c>
      <c r="R214">
        <f>+'staffing plan'!BP223</f>
        <v>0</v>
      </c>
      <c r="S214">
        <v>213</v>
      </c>
    </row>
    <row r="215" spans="2:19">
      <c r="B215">
        <f t="shared" ref="B215:B230" si="7">(YEAR(C215))</f>
        <v>2016</v>
      </c>
      <c r="C215">
        <f>+'staffing plan'!BK224</f>
        <v>42452</v>
      </c>
      <c r="D215" t="str">
        <f>'staffing plan'!A224</f>
        <v>OSEC-DILGB-ADA4-89-2005</v>
      </c>
      <c r="E215" t="str">
        <f>+'staffing plan'!B224</f>
        <v>Administrative Aide IV</v>
      </c>
      <c r="F215">
        <f>+'staffing plan'!C224</f>
        <v>4</v>
      </c>
      <c r="G215" s="131">
        <f>+'staffing plan'!AJ224</f>
        <v>1</v>
      </c>
      <c r="H215" t="str">
        <f>+'staffing plan'!AX224</f>
        <v>Abra</v>
      </c>
      <c r="I215" t="str">
        <f>+'staffing plan'!AW224</f>
        <v>PAZ, Daryll Jane Trinidad</v>
      </c>
      <c r="J215" t="e">
        <f>+'staffing plan'!#REF!</f>
        <v>#REF!</v>
      </c>
      <c r="K215" t="e">
        <f>+'staffing plan'!#REF!</f>
        <v>#REF!</v>
      </c>
      <c r="L215" t="str">
        <f>+'staffing plan'!AY224</f>
        <v>F</v>
      </c>
      <c r="M215" s="145" t="e">
        <f>+'staffing plan'!#REF!</f>
        <v>#REF!</v>
      </c>
      <c r="N215" s="145" t="e">
        <f>'staffing plan'!#REF!</f>
        <v>#REF!</v>
      </c>
      <c r="O215" s="145" t="e">
        <f>+'staffing plan'!#REF!</f>
        <v>#REF!</v>
      </c>
      <c r="P215" s="131">
        <f>+'staffing plan'!AH224</f>
        <v>158568</v>
      </c>
      <c r="Q215" s="131">
        <f>+'staffing plan'!AI224</f>
        <v>158568</v>
      </c>
      <c r="R215" t="str">
        <f>+'staffing plan'!BP224</f>
        <v>change of item 1-25-18</v>
      </c>
      <c r="S215">
        <v>214</v>
      </c>
    </row>
    <row r="216" spans="2:19">
      <c r="B216">
        <f t="shared" si="7"/>
        <v>1998</v>
      </c>
      <c r="C216">
        <f>+'staffing plan'!BK225</f>
        <v>36115</v>
      </c>
      <c r="D216" t="str">
        <f>'staffing plan'!A225</f>
        <v>OSEC-DILGB-ADA4-90-2005</v>
      </c>
      <c r="E216" t="str">
        <f>+'staffing plan'!B225</f>
        <v>Administrative Aide IV</v>
      </c>
      <c r="F216">
        <f>+'staffing plan'!C225</f>
        <v>4</v>
      </c>
      <c r="G216" s="131">
        <f>+'staffing plan'!AJ225</f>
        <v>7</v>
      </c>
      <c r="H216" t="str">
        <f>+'staffing plan'!AX225</f>
        <v>Benguet</v>
      </c>
      <c r="I216" t="str">
        <f>+'staffing plan'!AW225</f>
        <v>BALASO, Gina Garcia</v>
      </c>
      <c r="J216" t="e">
        <f>+'staffing plan'!#REF!</f>
        <v>#REF!</v>
      </c>
      <c r="K216" t="e">
        <f>+'staffing plan'!#REF!</f>
        <v>#REF!</v>
      </c>
      <c r="L216" t="str">
        <f>+'staffing plan'!AY225</f>
        <v>F</v>
      </c>
      <c r="M216" s="145" t="e">
        <f>+'staffing plan'!#REF!</f>
        <v>#REF!</v>
      </c>
      <c r="N216" s="145" t="e">
        <f>'staffing plan'!#REF!</f>
        <v>#REF!</v>
      </c>
      <c r="O216" s="145" t="e">
        <f>+'staffing plan'!#REF!</f>
        <v>#REF!</v>
      </c>
      <c r="P216" s="131">
        <f>+'staffing plan'!AH225</f>
        <v>158568</v>
      </c>
      <c r="Q216" s="131">
        <f>+'staffing plan'!AI225</f>
        <v>166020</v>
      </c>
      <c r="R216">
        <f>+'staffing plan'!BP225</f>
        <v>0</v>
      </c>
      <c r="S216">
        <v>215</v>
      </c>
    </row>
    <row r="217" spans="2:19" hidden="1">
      <c r="B217">
        <f t="shared" si="7"/>
        <v>2018</v>
      </c>
      <c r="C217">
        <f>+'staffing plan'!BK226</f>
        <v>43193</v>
      </c>
      <c r="D217" t="str">
        <f>'staffing plan'!A226</f>
        <v>OSEC-DILGB-ADA4-91-2005</v>
      </c>
      <c r="E217" t="str">
        <f>+'staffing plan'!B226</f>
        <v>Administrative Aide IV</v>
      </c>
      <c r="F217">
        <f>+'staffing plan'!C226</f>
        <v>4</v>
      </c>
      <c r="G217" s="131">
        <f>+'staffing plan'!AJ226</f>
        <v>1</v>
      </c>
      <c r="H217" t="str">
        <f>+'staffing plan'!AX226</f>
        <v>Mt. Province</v>
      </c>
      <c r="I217" t="str">
        <f>+'staffing plan'!AW226</f>
        <v>LOMAS-E, Rose Mere Manarop</v>
      </c>
      <c r="J217" t="e">
        <f>+'staffing plan'!#REF!</f>
        <v>#REF!</v>
      </c>
      <c r="K217" t="e">
        <f>+'staffing plan'!#REF!</f>
        <v>#REF!</v>
      </c>
      <c r="L217" t="str">
        <f>+'staffing plan'!AY226</f>
        <v>F</v>
      </c>
      <c r="M217" s="145" t="e">
        <f>+'staffing plan'!#REF!</f>
        <v>#REF!</v>
      </c>
      <c r="N217" s="145" t="e">
        <f>'staffing plan'!#REF!</f>
        <v>#REF!</v>
      </c>
      <c r="O217" s="145" t="e">
        <f>+'staffing plan'!#REF!</f>
        <v>#REF!</v>
      </c>
      <c r="P217" s="131">
        <f>+'staffing plan'!AH226</f>
        <v>158568</v>
      </c>
      <c r="Q217" s="131">
        <f>+'staffing plan'!AI226</f>
        <v>158568</v>
      </c>
      <c r="R217" t="str">
        <f>+'staffing plan'!BP226</f>
        <v>MP Prov</v>
      </c>
      <c r="S217">
        <v>216</v>
      </c>
    </row>
    <row r="218" spans="2:19">
      <c r="B218">
        <f t="shared" si="7"/>
        <v>2015</v>
      </c>
      <c r="C218">
        <f>+'staffing plan'!BK227</f>
        <v>42289</v>
      </c>
      <c r="D218" t="str">
        <f>'staffing plan'!A227</f>
        <v>OSEC-DILGB-ADA4-92-2005</v>
      </c>
      <c r="E218" t="str">
        <f>+'staffing plan'!B227</f>
        <v>Administrative Aide IV</v>
      </c>
      <c r="F218">
        <f>+'staffing plan'!C227</f>
        <v>4</v>
      </c>
      <c r="G218" s="131">
        <f>+'staffing plan'!AJ227</f>
        <v>2</v>
      </c>
      <c r="H218" t="str">
        <f>+'staffing plan'!AX227</f>
        <v>Ifugao</v>
      </c>
      <c r="I218" t="str">
        <f>+'staffing plan'!AW227</f>
        <v>PATAUEG, Clifford Pungod</v>
      </c>
      <c r="J218" t="e">
        <f>+'staffing plan'!#REF!</f>
        <v>#REF!</v>
      </c>
      <c r="K218" t="e">
        <f>+'staffing plan'!#REF!</f>
        <v>#REF!</v>
      </c>
      <c r="L218" t="str">
        <f>+'staffing plan'!AY227</f>
        <v>M</v>
      </c>
      <c r="M218" s="145" t="e">
        <f>+'staffing plan'!#REF!</f>
        <v>#REF!</v>
      </c>
      <c r="N218" s="145" t="e">
        <f>'staffing plan'!#REF!</f>
        <v>#REF!</v>
      </c>
      <c r="O218" s="145" t="e">
        <f>+'staffing plan'!#REF!</f>
        <v>#REF!</v>
      </c>
      <c r="P218" s="131">
        <f>+'staffing plan'!AH227</f>
        <v>158568</v>
      </c>
      <c r="Q218" s="131">
        <f>+'staffing plan'!AI227</f>
        <v>159792</v>
      </c>
      <c r="R218" t="str">
        <f>+'staffing plan'!BP227</f>
        <v>Nurse</v>
      </c>
      <c r="S218">
        <v>217</v>
      </c>
    </row>
    <row r="219" spans="2:19" hidden="1">
      <c r="B219">
        <f t="shared" si="7"/>
        <v>2018</v>
      </c>
      <c r="C219">
        <f>+'staffing plan'!BK228</f>
        <v>43193</v>
      </c>
      <c r="D219" t="str">
        <f>'staffing plan'!A228</f>
        <v>OSEC-DILGB-ADA4-93-2005</v>
      </c>
      <c r="E219" t="str">
        <f>+'staffing plan'!B228</f>
        <v>Administrative Aide IV</v>
      </c>
      <c r="F219">
        <f>+'staffing plan'!C228</f>
        <v>4</v>
      </c>
      <c r="G219" s="131">
        <f>+'staffing plan'!AJ228</f>
        <v>1</v>
      </c>
      <c r="H219" t="str">
        <f>+'staffing plan'!AX228</f>
        <v>Apayao</v>
      </c>
      <c r="I219" t="str">
        <f>+'staffing plan'!AW228</f>
        <v>CAMPO, Nilo Palsic</v>
      </c>
      <c r="J219" t="e">
        <f>+'staffing plan'!#REF!</f>
        <v>#REF!</v>
      </c>
      <c r="K219" t="e">
        <f>+'staffing plan'!#REF!</f>
        <v>#REF!</v>
      </c>
      <c r="L219" t="str">
        <f>+'staffing plan'!AY228</f>
        <v>M</v>
      </c>
      <c r="M219" s="145" t="e">
        <f>+'staffing plan'!#REF!</f>
        <v>#REF!</v>
      </c>
      <c r="N219" s="145" t="e">
        <f>'staffing plan'!#REF!</f>
        <v>#REF!</v>
      </c>
      <c r="O219" s="145" t="e">
        <f>+'staffing plan'!#REF!</f>
        <v>#REF!</v>
      </c>
      <c r="P219" s="131">
        <f>+'staffing plan'!AH228</f>
        <v>158568</v>
      </c>
      <c r="Q219" s="131">
        <f>+'staffing plan'!AI228</f>
        <v>158568</v>
      </c>
      <c r="R219" t="str">
        <f>+'staffing plan'!BP228</f>
        <v>apayao</v>
      </c>
      <c r="S219">
        <v>218</v>
      </c>
    </row>
    <row r="220" spans="2:19">
      <c r="B220">
        <f t="shared" si="7"/>
        <v>2012</v>
      </c>
      <c r="C220">
        <f>+'staffing plan'!BK229</f>
        <v>40910</v>
      </c>
      <c r="D220" t="str">
        <f>'staffing plan'!A229</f>
        <v>OSEC-DILGB-ADA4-94-2005</v>
      </c>
      <c r="E220" t="str">
        <f>+'staffing plan'!B229</f>
        <v>Administrative Aide IV</v>
      </c>
      <c r="F220">
        <f>+'staffing plan'!C229</f>
        <v>4</v>
      </c>
      <c r="G220" s="131">
        <f>+'staffing plan'!AJ229</f>
        <v>3</v>
      </c>
      <c r="H220" t="str">
        <f>+'staffing plan'!AX229</f>
        <v>Baguio City</v>
      </c>
      <c r="I220" t="str">
        <f>+'staffing plan'!AW229</f>
        <v>ANGAWA, Lilet Ahuday</v>
      </c>
      <c r="J220" t="e">
        <f>+'staffing plan'!#REF!</f>
        <v>#REF!</v>
      </c>
      <c r="K220" t="e">
        <f>+'staffing plan'!#REF!</f>
        <v>#REF!</v>
      </c>
      <c r="L220" t="str">
        <f>+'staffing plan'!AY229</f>
        <v>F</v>
      </c>
      <c r="M220" s="145" t="e">
        <f>+'staffing plan'!#REF!</f>
        <v>#REF!</v>
      </c>
      <c r="N220" s="145" t="e">
        <f>'staffing plan'!#REF!</f>
        <v>#REF!</v>
      </c>
      <c r="O220" s="145" t="e">
        <f>+'staffing plan'!#REF!</f>
        <v>#REF!</v>
      </c>
      <c r="P220" s="131">
        <f>+'staffing plan'!AH229</f>
        <v>158568</v>
      </c>
      <c r="Q220" s="131">
        <f>+'staffing plan'!AI229</f>
        <v>161016</v>
      </c>
      <c r="R220">
        <f>+'staffing plan'!BP229</f>
        <v>0</v>
      </c>
      <c r="S220">
        <v>219</v>
      </c>
    </row>
    <row r="221" spans="2:19">
      <c r="B221">
        <f t="shared" si="7"/>
        <v>2002</v>
      </c>
      <c r="C221">
        <f>+'staffing plan'!BK230</f>
        <v>37305</v>
      </c>
      <c r="D221" t="str">
        <f>'staffing plan'!A230</f>
        <v>OSEC-DILGB-ADA3-62-2005</v>
      </c>
      <c r="E221" t="str">
        <f>+'staffing plan'!B230</f>
        <v>Administrative Aide III</v>
      </c>
      <c r="F221">
        <f>+'staffing plan'!C230</f>
        <v>3</v>
      </c>
      <c r="G221" s="131">
        <f>+'staffing plan'!AJ230</f>
        <v>6</v>
      </c>
      <c r="H221" t="str">
        <f>+'staffing plan'!AX230</f>
        <v>Apayao</v>
      </c>
      <c r="I221" t="str">
        <f>+'staffing plan'!AW230</f>
        <v>MICU, Benelito de Jesus</v>
      </c>
      <c r="J221" t="e">
        <f>+'staffing plan'!#REF!</f>
        <v>#REF!</v>
      </c>
      <c r="K221" t="e">
        <f>+'staffing plan'!#REF!</f>
        <v>#REF!</v>
      </c>
      <c r="L221" t="str">
        <f>+'staffing plan'!AY230</f>
        <v>M</v>
      </c>
      <c r="M221" s="145" t="e">
        <f>+'staffing plan'!#REF!</f>
        <v>#REF!</v>
      </c>
      <c r="N221" s="145" t="e">
        <f>'staffing plan'!#REF!</f>
        <v>#REF!</v>
      </c>
      <c r="O221" s="145" t="e">
        <f>+'staffing plan'!#REF!</f>
        <v>#REF!</v>
      </c>
      <c r="P221" s="131">
        <f>+'staffing plan'!AH230</f>
        <v>149592</v>
      </c>
      <c r="Q221" s="131">
        <f>+'staffing plan'!AI230</f>
        <v>155424</v>
      </c>
      <c r="R221">
        <f>+'staffing plan'!BP230</f>
        <v>0</v>
      </c>
      <c r="S221">
        <v>220</v>
      </c>
    </row>
    <row r="222" spans="2:19">
      <c r="B222">
        <f t="shared" si="7"/>
        <v>1989</v>
      </c>
      <c r="C222">
        <f>+'staffing plan'!BK231</f>
        <v>32580</v>
      </c>
      <c r="D222" t="str">
        <f>'staffing plan'!A231</f>
        <v>OSEC-DILGB-ADA3-63-2005</v>
      </c>
      <c r="E222" t="str">
        <f>+'staffing plan'!B231</f>
        <v>Administrative Aide III</v>
      </c>
      <c r="F222">
        <f>+'staffing plan'!C231</f>
        <v>3</v>
      </c>
      <c r="G222" s="131">
        <f>+'staffing plan'!AJ231</f>
        <v>8</v>
      </c>
      <c r="H222" t="str">
        <f>+'staffing plan'!AX231</f>
        <v>Abra</v>
      </c>
      <c r="I222" t="str">
        <f>+'staffing plan'!AW231</f>
        <v>BRIONES, Rolando Atmosfera</v>
      </c>
      <c r="J222" t="e">
        <f>+'staffing plan'!#REF!</f>
        <v>#REF!</v>
      </c>
      <c r="K222" t="e">
        <f>+'staffing plan'!#REF!</f>
        <v>#REF!</v>
      </c>
      <c r="L222" t="str">
        <f>+'staffing plan'!AY231</f>
        <v>M</v>
      </c>
      <c r="M222" s="145" t="e">
        <f>+'staffing plan'!#REF!</f>
        <v>#REF!</v>
      </c>
      <c r="N222" s="145" t="e">
        <f>'staffing plan'!#REF!</f>
        <v>#REF!</v>
      </c>
      <c r="O222" s="145" t="e">
        <f>+'staffing plan'!#REF!</f>
        <v>#REF!</v>
      </c>
      <c r="P222" s="131">
        <f>+'staffing plan'!AH231</f>
        <v>149592</v>
      </c>
      <c r="Q222" s="131">
        <f>+'staffing plan'!AI231</f>
        <v>157824</v>
      </c>
      <c r="R222">
        <f>+'staffing plan'!BP231</f>
        <v>0</v>
      </c>
      <c r="S222">
        <v>221</v>
      </c>
    </row>
    <row r="223" spans="2:19" hidden="1">
      <c r="B223">
        <f t="shared" si="7"/>
        <v>1900</v>
      </c>
      <c r="C223">
        <f>+'staffing plan'!BK232</f>
        <v>0</v>
      </c>
      <c r="D223" t="str">
        <f>'staffing plan'!A232</f>
        <v>OSEC-DILGB-ADA3-64-2005</v>
      </c>
      <c r="E223" t="str">
        <f>+'staffing plan'!B232</f>
        <v>Administrative Aide III</v>
      </c>
      <c r="F223">
        <f>+'staffing plan'!C232</f>
        <v>3</v>
      </c>
      <c r="G223" s="131">
        <f>+'staffing plan'!AJ232</f>
        <v>0</v>
      </c>
      <c r="H223">
        <f>+'staffing plan'!AX232</f>
        <v>0</v>
      </c>
      <c r="I223" t="str">
        <f>+'staffing plan'!AW232</f>
        <v>Vacant BALTING, Jason Saingan
CTI-FOR SCRAPPING</v>
      </c>
      <c r="J223" t="e">
        <f>+'staffing plan'!#REF!</f>
        <v>#REF!</v>
      </c>
      <c r="K223" t="e">
        <f>+'staffing plan'!#REF!</f>
        <v>#REF!</v>
      </c>
      <c r="L223">
        <f>+'staffing plan'!AY232</f>
        <v>0</v>
      </c>
      <c r="M223" s="145" t="e">
        <f>+'staffing plan'!#REF!</f>
        <v>#REF!</v>
      </c>
      <c r="N223" s="145" t="e">
        <f>'staffing plan'!#REF!</f>
        <v>#REF!</v>
      </c>
      <c r="O223" s="145" t="e">
        <f>+'staffing plan'!#REF!</f>
        <v>#REF!</v>
      </c>
      <c r="P223" s="131">
        <f>+'staffing plan'!AH232</f>
        <v>149592</v>
      </c>
      <c r="Q223" s="131">
        <f>+'staffing plan'!AI232</f>
        <v>0</v>
      </c>
      <c r="R223">
        <f>+'staffing plan'!BP232</f>
        <v>0</v>
      </c>
      <c r="S223">
        <v>222</v>
      </c>
    </row>
    <row r="224" spans="2:19" hidden="1">
      <c r="B224">
        <f t="shared" si="7"/>
        <v>1900</v>
      </c>
      <c r="C224">
        <f>+'staffing plan'!BK233</f>
        <v>0</v>
      </c>
      <c r="D224" t="str">
        <f>'staffing plan'!A233</f>
        <v>OSEC-DILGB-ADA3-65-2005</v>
      </c>
      <c r="E224" t="str">
        <f>+'staffing plan'!B233</f>
        <v>Administrative Aide III</v>
      </c>
      <c r="F224">
        <f>+'staffing plan'!C233</f>
        <v>3</v>
      </c>
      <c r="G224" s="131">
        <f>+'staffing plan'!AJ233</f>
        <v>0</v>
      </c>
      <c r="H224">
        <f>+'staffing plan'!AX233</f>
        <v>0</v>
      </c>
      <c r="I224" t="str">
        <f>+'staffing plan'!AW233</f>
        <v>Vacant SANCHEZ, Roland Waking
CTI-FOR SCRAPPING</v>
      </c>
      <c r="J224" t="e">
        <f>+'staffing plan'!#REF!</f>
        <v>#REF!</v>
      </c>
      <c r="K224" t="e">
        <f>+'staffing plan'!#REF!</f>
        <v>#REF!</v>
      </c>
      <c r="L224">
        <f>+'staffing plan'!AY233</f>
        <v>0</v>
      </c>
      <c r="M224" s="145" t="e">
        <f>+'staffing plan'!#REF!</f>
        <v>#REF!</v>
      </c>
      <c r="N224" s="145" t="e">
        <f>'staffing plan'!#REF!</f>
        <v>#REF!</v>
      </c>
      <c r="O224" s="145" t="e">
        <f>+'staffing plan'!#REF!</f>
        <v>#REF!</v>
      </c>
      <c r="P224" s="131">
        <f>+'staffing plan'!AH233</f>
        <v>149592</v>
      </c>
      <c r="Q224" s="131">
        <f>+'staffing plan'!AI233</f>
        <v>0</v>
      </c>
      <c r="R224">
        <f>+'staffing plan'!BP233</f>
        <v>0</v>
      </c>
      <c r="S224">
        <v>223</v>
      </c>
    </row>
    <row r="225" spans="1:19">
      <c r="B225">
        <f t="shared" si="7"/>
        <v>1990</v>
      </c>
      <c r="C225">
        <f>+'staffing plan'!BK234</f>
        <v>33175</v>
      </c>
      <c r="D225" t="str">
        <f>'staffing plan'!A234</f>
        <v>OSEC-DILGB-ADA2-57-2005</v>
      </c>
      <c r="E225" t="str">
        <f>+'staffing plan'!B234</f>
        <v xml:space="preserve">Administrative Aide II   </v>
      </c>
      <c r="F225">
        <f>+'staffing plan'!C234</f>
        <v>2</v>
      </c>
      <c r="G225" s="131">
        <f>+'staffing plan'!AJ234</f>
        <v>8</v>
      </c>
      <c r="H225" t="str">
        <f>+'staffing plan'!AX234</f>
        <v>Kalinga</v>
      </c>
      <c r="I225" t="str">
        <f>+'staffing plan'!AW234</f>
        <v>FERNANDO, Marvin Flores</v>
      </c>
      <c r="J225" t="e">
        <f>+'staffing plan'!#REF!</f>
        <v>#REF!</v>
      </c>
      <c r="K225" t="e">
        <f>+'staffing plan'!#REF!</f>
        <v>#REF!</v>
      </c>
      <c r="L225" t="str">
        <f>+'staffing plan'!AY234</f>
        <v>M</v>
      </c>
      <c r="M225" s="145" t="e">
        <f>+'staffing plan'!#REF!</f>
        <v>#REF!</v>
      </c>
      <c r="N225" s="145" t="e">
        <f>'staffing plan'!#REF!</f>
        <v>#REF!</v>
      </c>
      <c r="O225" s="145" t="e">
        <f>+'staffing plan'!#REF!</f>
        <v>#REF!</v>
      </c>
      <c r="P225" s="131">
        <f>+'staffing plan'!AH234</f>
        <v>141132</v>
      </c>
      <c r="Q225" s="131">
        <f>+'staffing plan'!AI234</f>
        <v>148884</v>
      </c>
      <c r="R225">
        <f>+'staffing plan'!BP234</f>
        <v>0</v>
      </c>
      <c r="S225">
        <v>224</v>
      </c>
    </row>
    <row r="226" spans="1:19" hidden="1">
      <c r="B226">
        <f t="shared" si="7"/>
        <v>1900</v>
      </c>
      <c r="C226">
        <f>+'staffing plan'!BK235</f>
        <v>0</v>
      </c>
      <c r="D226" t="str">
        <f>'staffing plan'!A235</f>
        <v>OSEC-DILGB-ADA1-28-2005</v>
      </c>
      <c r="E226" t="str">
        <f>+'staffing plan'!B235</f>
        <v>Administrative Aide I</v>
      </c>
      <c r="F226">
        <f>+'staffing plan'!C235</f>
        <v>1</v>
      </c>
      <c r="G226" s="131">
        <f>+'staffing plan'!AJ235</f>
        <v>0</v>
      </c>
      <c r="H226">
        <f>+'staffing plan'!AX235</f>
        <v>0</v>
      </c>
      <c r="I226" t="str">
        <f>+'staffing plan'!AW235</f>
        <v>Vacant SAINGAN, Crisanto Ingosan
CTI-FOR SCRAPPING</v>
      </c>
      <c r="J226" t="e">
        <f>+'staffing plan'!#REF!</f>
        <v>#REF!</v>
      </c>
      <c r="K226" t="e">
        <f>+'staffing plan'!#REF!</f>
        <v>#REF!</v>
      </c>
      <c r="L226">
        <f>+'staffing plan'!AY235</f>
        <v>0</v>
      </c>
      <c r="M226" s="145" t="e">
        <f>+'staffing plan'!#REF!</f>
        <v>#REF!</v>
      </c>
      <c r="N226" s="145" t="e">
        <f>'staffing plan'!#REF!</f>
        <v>#REF!</v>
      </c>
      <c r="O226" s="145" t="e">
        <f>+'staffing plan'!#REF!</f>
        <v>#REF!</v>
      </c>
      <c r="P226" s="131">
        <f>+'staffing plan'!AH235</f>
        <v>132816</v>
      </c>
      <c r="Q226" s="131">
        <f>+'staffing plan'!AI235</f>
        <v>0</v>
      </c>
      <c r="R226">
        <f>+'staffing plan'!BP235</f>
        <v>0</v>
      </c>
      <c r="S226">
        <v>225</v>
      </c>
    </row>
    <row r="227" spans="1:19">
      <c r="B227">
        <f t="shared" si="7"/>
        <v>1996</v>
      </c>
      <c r="C227">
        <f>+'staffing plan'!BK236</f>
        <v>35254</v>
      </c>
      <c r="D227" t="str">
        <f>'staffing plan'!A236</f>
        <v>OSEC-DILGB-ADA1-29-2005</v>
      </c>
      <c r="E227" t="str">
        <f>+'staffing plan'!B236</f>
        <v>Administrative Aide I</v>
      </c>
      <c r="F227">
        <f>+'staffing plan'!C236</f>
        <v>1</v>
      </c>
      <c r="G227" s="131">
        <f>+'staffing plan'!AJ236</f>
        <v>8</v>
      </c>
      <c r="H227" t="str">
        <f>+'staffing plan'!AX236</f>
        <v>Apayao</v>
      </c>
      <c r="I227" t="str">
        <f>+'staffing plan'!AW236</f>
        <v>DANGEL, Merlyn Majuray</v>
      </c>
      <c r="J227" t="e">
        <f>+'staffing plan'!#REF!</f>
        <v>#REF!</v>
      </c>
      <c r="K227" t="e">
        <f>+'staffing plan'!#REF!</f>
        <v>#REF!</v>
      </c>
      <c r="L227" t="str">
        <f>+'staffing plan'!AY236</f>
        <v>F</v>
      </c>
      <c r="M227" s="145" t="e">
        <f>+'staffing plan'!#REF!</f>
        <v>#REF!</v>
      </c>
      <c r="N227" s="145" t="e">
        <f>'staffing plan'!#REF!</f>
        <v>#REF!</v>
      </c>
      <c r="O227" s="145" t="e">
        <f>+'staffing plan'!#REF!</f>
        <v>#REF!</v>
      </c>
      <c r="P227" s="131">
        <f>+'staffing plan'!AH236</f>
        <v>132816</v>
      </c>
      <c r="Q227" s="131">
        <f>+'staffing plan'!AI236</f>
        <v>140784</v>
      </c>
      <c r="R227">
        <f>+'staffing plan'!BP236</f>
        <v>0</v>
      </c>
      <c r="S227">
        <v>226</v>
      </c>
    </row>
    <row r="228" spans="1:19">
      <c r="B228">
        <f t="shared" si="7"/>
        <v>1999</v>
      </c>
      <c r="C228">
        <f>+'staffing plan'!BK237</f>
        <v>36356</v>
      </c>
      <c r="D228" t="str">
        <f>'staffing plan'!A237</f>
        <v>OSEC-DILGB-ADA1-30-2005</v>
      </c>
      <c r="E228" t="str">
        <f>+'staffing plan'!B237</f>
        <v>Administrative Aide I</v>
      </c>
      <c r="F228">
        <f>+'staffing plan'!C237</f>
        <v>1</v>
      </c>
      <c r="G228" s="131">
        <f>+'staffing plan'!AJ237</f>
        <v>7</v>
      </c>
      <c r="H228" t="str">
        <f>+'staffing plan'!AX237</f>
        <v>Mt. Province</v>
      </c>
      <c r="I228" t="str">
        <f>+'staffing plan'!AW237</f>
        <v>LOMAS-E, Wilmon Finotton</v>
      </c>
      <c r="J228" t="e">
        <f>+'staffing plan'!#REF!</f>
        <v>#REF!</v>
      </c>
      <c r="K228" t="e">
        <f>+'staffing plan'!#REF!</f>
        <v>#REF!</v>
      </c>
      <c r="L228" t="str">
        <f>+'staffing plan'!AY237</f>
        <v>M</v>
      </c>
      <c r="M228" s="145" t="e">
        <f>+'staffing plan'!#REF!</f>
        <v>#REF!</v>
      </c>
      <c r="N228" s="145" t="e">
        <f>'staffing plan'!#REF!</f>
        <v>#REF!</v>
      </c>
      <c r="O228" s="145" t="e">
        <f>+'staffing plan'!#REF!</f>
        <v>#REF!</v>
      </c>
      <c r="P228" s="131">
        <f>+'staffing plan'!AH237</f>
        <v>132816</v>
      </c>
      <c r="Q228" s="131">
        <f>+'staffing plan'!AI237</f>
        <v>139620</v>
      </c>
      <c r="R228">
        <f>+'staffing plan'!BP237</f>
        <v>0</v>
      </c>
      <c r="S228">
        <v>227</v>
      </c>
    </row>
    <row r="229" spans="1:19">
      <c r="B229">
        <f t="shared" si="7"/>
        <v>1994</v>
      </c>
      <c r="C229">
        <f>+'staffing plan'!BK238</f>
        <v>34408</v>
      </c>
      <c r="D229" t="str">
        <f>'staffing plan'!A238</f>
        <v>OSEC-DILGB-ADA1-32-2005</v>
      </c>
      <c r="E229" t="str">
        <f>+'staffing plan'!B238</f>
        <v>Administrative Aide I</v>
      </c>
      <c r="F229">
        <f>+'staffing plan'!C238</f>
        <v>1</v>
      </c>
      <c r="G229" s="131">
        <f>+'staffing plan'!AJ238</f>
        <v>8</v>
      </c>
      <c r="H229" t="str">
        <f>+'staffing plan'!AX238</f>
        <v>Kalinga</v>
      </c>
      <c r="I229" t="str">
        <f>+'staffing plan'!AW238</f>
        <v>KIBAYEN, Nelson Malnawan</v>
      </c>
      <c r="J229" t="e">
        <f>+'staffing plan'!#REF!</f>
        <v>#REF!</v>
      </c>
      <c r="K229" t="e">
        <f>+'staffing plan'!#REF!</f>
        <v>#REF!</v>
      </c>
      <c r="L229" t="str">
        <f>+'staffing plan'!AY238</f>
        <v>M</v>
      </c>
      <c r="M229" s="145" t="e">
        <f>+'staffing plan'!#REF!</f>
        <v>#REF!</v>
      </c>
      <c r="N229" s="145" t="e">
        <f>'staffing plan'!#REF!</f>
        <v>#REF!</v>
      </c>
      <c r="O229" s="145" t="e">
        <f>+'staffing plan'!#REF!</f>
        <v>#REF!</v>
      </c>
      <c r="P229" s="131">
        <f>+'staffing plan'!AH238</f>
        <v>132816</v>
      </c>
      <c r="Q229" s="131">
        <f>+'staffing plan'!AI238</f>
        <v>140784</v>
      </c>
      <c r="R229">
        <f>+'staffing plan'!BP238</f>
        <v>0</v>
      </c>
      <c r="S229">
        <v>228</v>
      </c>
    </row>
    <row r="230" spans="1:19" hidden="1">
      <c r="B230">
        <f t="shared" si="7"/>
        <v>1900</v>
      </c>
      <c r="C230">
        <f>+'staffing plan'!BK239</f>
        <v>0</v>
      </c>
      <c r="D230" t="str">
        <f>'staffing plan'!A239</f>
        <v>OSEC-DILGB-ADA1-33-2005</v>
      </c>
      <c r="E230" t="str">
        <f>+'staffing plan'!B239</f>
        <v>Administrative Aide I</v>
      </c>
      <c r="F230">
        <f>+'staffing plan'!C239</f>
        <v>1</v>
      </c>
      <c r="G230" s="131">
        <f>+'staffing plan'!AJ239</f>
        <v>0</v>
      </c>
      <c r="H230">
        <f>+'staffing plan'!AX239</f>
        <v>0</v>
      </c>
      <c r="I230" t="str">
        <f>+'staffing plan'!AW239</f>
        <v>Vacant BRAGAS, Suzette Dela Cruz
CTI-FOR SCRAPPING</v>
      </c>
      <c r="J230" t="e">
        <f>+'staffing plan'!#REF!</f>
        <v>#REF!</v>
      </c>
      <c r="K230" t="e">
        <f>+'staffing plan'!#REF!</f>
        <v>#REF!</v>
      </c>
      <c r="L230">
        <f>+'staffing plan'!AY239</f>
        <v>0</v>
      </c>
      <c r="M230" s="145" t="e">
        <f>+'staffing plan'!#REF!</f>
        <v>#REF!</v>
      </c>
      <c r="N230" s="145" t="e">
        <f>'staffing plan'!#REF!</f>
        <v>#REF!</v>
      </c>
      <c r="O230" s="145" t="e">
        <f>+'staffing plan'!#REF!</f>
        <v>#REF!</v>
      </c>
      <c r="P230" s="131">
        <f>+'staffing plan'!AH239</f>
        <v>132816</v>
      </c>
      <c r="Q230" s="131">
        <f>+'staffing plan'!AI239</f>
        <v>0</v>
      </c>
      <c r="R230">
        <f>+'staffing plan'!BP239</f>
        <v>0</v>
      </c>
      <c r="S230">
        <v>229</v>
      </c>
    </row>
    <row r="231" spans="1:19">
      <c r="M231" s="145"/>
      <c r="N231" s="145"/>
      <c r="O231" s="145"/>
    </row>
    <row r="233" spans="1:19">
      <c r="A233" s="150"/>
      <c r="B233" s="150" t="s">
        <v>2765</v>
      </c>
      <c r="C233" s="151" t="s">
        <v>18</v>
      </c>
      <c r="D233" s="152" t="s">
        <v>2204</v>
      </c>
      <c r="E233" s="153" t="s">
        <v>7</v>
      </c>
      <c r="F233" s="153" t="s">
        <v>8</v>
      </c>
      <c r="G233" s="153" t="s">
        <v>10</v>
      </c>
      <c r="H233" s="152" t="s">
        <v>2216</v>
      </c>
      <c r="I233" s="153" t="s">
        <v>13</v>
      </c>
      <c r="J233" s="153" t="s">
        <v>2805</v>
      </c>
      <c r="K233" s="153" t="s">
        <v>2806</v>
      </c>
      <c r="L233" s="153" t="s">
        <v>2202</v>
      </c>
      <c r="M233" s="153" t="s">
        <v>2812</v>
      </c>
      <c r="N233" s="153" t="s">
        <v>2813</v>
      </c>
      <c r="O233" s="153" t="s">
        <v>2809</v>
      </c>
      <c r="P233" s="154" t="s">
        <v>2810</v>
      </c>
      <c r="Q233" s="154" t="s">
        <v>2811</v>
      </c>
      <c r="R233" s="153" t="s">
        <v>21</v>
      </c>
      <c r="S233" s="144" t="s">
        <v>2814</v>
      </c>
    </row>
    <row r="234" spans="1:19">
      <c r="A234">
        <v>2002</v>
      </c>
      <c r="B234">
        <v>2015</v>
      </c>
      <c r="C234">
        <v>42313</v>
      </c>
      <c r="D234" t="s">
        <v>2241</v>
      </c>
      <c r="E234" t="s">
        <v>52</v>
      </c>
      <c r="F234">
        <v>28</v>
      </c>
      <c r="G234" s="131">
        <v>1</v>
      </c>
      <c r="H234" t="s">
        <v>57</v>
      </c>
      <c r="I234" t="s">
        <v>2710</v>
      </c>
      <c r="J234" t="s">
        <v>2815</v>
      </c>
      <c r="K234" t="s">
        <v>1884</v>
      </c>
      <c r="L234" t="s">
        <v>62</v>
      </c>
      <c r="M234" s="145">
        <v>114981</v>
      </c>
      <c r="N234" s="145">
        <v>96363</v>
      </c>
      <c r="O234" s="145">
        <v>18618</v>
      </c>
      <c r="P234" s="131">
        <v>1379772</v>
      </c>
      <c r="Q234" s="131">
        <v>1379772</v>
      </c>
      <c r="R234">
        <v>0</v>
      </c>
      <c r="S234" s="155">
        <v>43101</v>
      </c>
    </row>
    <row r="235" spans="1:19">
      <c r="A235">
        <v>1999</v>
      </c>
      <c r="B235">
        <v>2012</v>
      </c>
      <c r="C235">
        <v>40969</v>
      </c>
      <c r="D235" t="s">
        <v>2264</v>
      </c>
      <c r="E235" t="s">
        <v>94</v>
      </c>
      <c r="F235">
        <v>19</v>
      </c>
      <c r="G235" s="131">
        <v>2</v>
      </c>
      <c r="H235" t="s">
        <v>57</v>
      </c>
      <c r="I235" t="s">
        <v>381</v>
      </c>
      <c r="J235" t="s">
        <v>2816</v>
      </c>
      <c r="K235" t="s">
        <v>379</v>
      </c>
      <c r="L235" t="s">
        <v>62</v>
      </c>
      <c r="M235" s="145">
        <v>42730</v>
      </c>
      <c r="N235" s="145">
        <v>39685</v>
      </c>
      <c r="O235" s="145">
        <v>3045</v>
      </c>
      <c r="P235" s="131">
        <v>505188</v>
      </c>
      <c r="Q235" s="131">
        <v>512760</v>
      </c>
      <c r="R235">
        <v>0</v>
      </c>
      <c r="S235" s="155">
        <v>43101</v>
      </c>
    </row>
    <row r="236" spans="1:19">
      <c r="A236">
        <v>2004</v>
      </c>
      <c r="B236">
        <v>2016</v>
      </c>
      <c r="C236">
        <v>42653</v>
      </c>
      <c r="D236" t="s">
        <v>2270</v>
      </c>
      <c r="E236" t="s">
        <v>87</v>
      </c>
      <c r="F236">
        <v>18</v>
      </c>
      <c r="G236" s="131">
        <v>1</v>
      </c>
      <c r="H236" t="s">
        <v>57</v>
      </c>
      <c r="I236" t="s">
        <v>2359</v>
      </c>
      <c r="J236" t="s">
        <v>2817</v>
      </c>
      <c r="K236" t="s">
        <v>2079</v>
      </c>
      <c r="L236" t="s">
        <v>100</v>
      </c>
      <c r="M236" s="145">
        <v>38085</v>
      </c>
      <c r="N236" s="145">
        <v>35693</v>
      </c>
      <c r="O236" s="145">
        <v>2392</v>
      </c>
      <c r="P236" s="131">
        <v>457020</v>
      </c>
      <c r="Q236" s="131">
        <v>457020</v>
      </c>
      <c r="R236">
        <v>0</v>
      </c>
      <c r="S236" s="155">
        <v>43101</v>
      </c>
    </row>
    <row r="237" spans="1:19">
      <c r="A237">
        <v>2001</v>
      </c>
      <c r="B237">
        <v>1998</v>
      </c>
      <c r="C237">
        <v>36069</v>
      </c>
      <c r="D237" t="s">
        <v>111</v>
      </c>
      <c r="E237" t="s">
        <v>370</v>
      </c>
      <c r="F237">
        <v>9</v>
      </c>
      <c r="G237" s="131">
        <v>7</v>
      </c>
      <c r="H237" t="s">
        <v>57</v>
      </c>
      <c r="I237" t="s">
        <v>2706</v>
      </c>
      <c r="J237" t="s">
        <v>2818</v>
      </c>
      <c r="K237" t="s">
        <v>113</v>
      </c>
      <c r="L237" t="s">
        <v>100</v>
      </c>
      <c r="M237" s="145">
        <v>18413</v>
      </c>
      <c r="N237" s="145">
        <v>17943</v>
      </c>
      <c r="O237" s="145">
        <v>470</v>
      </c>
      <c r="P237" s="131">
        <v>209676</v>
      </c>
      <c r="Q237" s="131">
        <v>220956</v>
      </c>
      <c r="R237">
        <v>0</v>
      </c>
      <c r="S237" s="155">
        <v>43101</v>
      </c>
    </row>
    <row r="238" spans="1:19">
      <c r="A238">
        <v>1998</v>
      </c>
      <c r="B238">
        <v>2017</v>
      </c>
      <c r="C238">
        <v>42891</v>
      </c>
      <c r="D238" t="s">
        <v>132</v>
      </c>
      <c r="E238" t="s">
        <v>133</v>
      </c>
      <c r="F238">
        <v>4</v>
      </c>
      <c r="G238" s="131">
        <v>1</v>
      </c>
      <c r="H238" t="s">
        <v>57</v>
      </c>
      <c r="I238" t="s">
        <v>2819</v>
      </c>
      <c r="J238" t="s">
        <v>2820</v>
      </c>
      <c r="K238" t="s">
        <v>2158</v>
      </c>
      <c r="L238" t="s">
        <v>62</v>
      </c>
      <c r="M238" s="145">
        <v>12674</v>
      </c>
      <c r="N238" s="145">
        <v>12155</v>
      </c>
      <c r="O238" s="145">
        <v>519</v>
      </c>
      <c r="P238" s="131">
        <v>152088</v>
      </c>
      <c r="Q238" s="131">
        <v>152088</v>
      </c>
      <c r="R238">
        <v>0</v>
      </c>
      <c r="S238" s="155">
        <v>43101</v>
      </c>
    </row>
    <row r="239" spans="1:19">
      <c r="A239">
        <v>1992</v>
      </c>
      <c r="B239">
        <v>2016</v>
      </c>
      <c r="C239">
        <v>42569</v>
      </c>
      <c r="D239" t="s">
        <v>150</v>
      </c>
      <c r="E239" t="s">
        <v>151</v>
      </c>
      <c r="F239">
        <v>24</v>
      </c>
      <c r="G239" s="131">
        <v>1</v>
      </c>
      <c r="H239" t="s">
        <v>57</v>
      </c>
      <c r="I239" t="s">
        <v>707</v>
      </c>
      <c r="J239" t="s">
        <v>2821</v>
      </c>
      <c r="K239" t="s">
        <v>705</v>
      </c>
      <c r="L239" t="s">
        <v>100</v>
      </c>
      <c r="M239" s="145">
        <v>73299</v>
      </c>
      <c r="N239" s="145">
        <v>64416</v>
      </c>
      <c r="O239" s="145">
        <v>8883</v>
      </c>
      <c r="P239" s="131">
        <v>879588</v>
      </c>
      <c r="Q239" s="131">
        <v>879588</v>
      </c>
      <c r="R239">
        <v>0</v>
      </c>
      <c r="S239" s="155">
        <v>43101</v>
      </c>
    </row>
    <row r="240" spans="1:19">
      <c r="B240">
        <v>2008</v>
      </c>
      <c r="C240">
        <v>39510</v>
      </c>
      <c r="D240" t="s">
        <v>156</v>
      </c>
      <c r="E240" t="s">
        <v>157</v>
      </c>
      <c r="F240">
        <v>22</v>
      </c>
      <c r="G240" s="131">
        <v>4</v>
      </c>
      <c r="H240" t="s">
        <v>57</v>
      </c>
      <c r="I240" t="s">
        <v>162</v>
      </c>
      <c r="J240" t="s">
        <v>2822</v>
      </c>
      <c r="K240" t="s">
        <v>159</v>
      </c>
      <c r="L240" t="s">
        <v>100</v>
      </c>
      <c r="M240" s="145">
        <v>61397</v>
      </c>
      <c r="N240" s="145">
        <v>54975</v>
      </c>
      <c r="O240" s="145">
        <v>6422</v>
      </c>
      <c r="P240" s="131">
        <v>704604</v>
      </c>
      <c r="Q240" s="131">
        <v>736764</v>
      </c>
      <c r="R240" t="s">
        <v>1207</v>
      </c>
      <c r="S240" s="155">
        <v>43101</v>
      </c>
    </row>
    <row r="241" spans="2:19">
      <c r="B241">
        <v>2005</v>
      </c>
      <c r="C241">
        <v>38607</v>
      </c>
      <c r="D241" t="s">
        <v>164</v>
      </c>
      <c r="E241" t="s">
        <v>165</v>
      </c>
      <c r="F241">
        <v>20</v>
      </c>
      <c r="G241" s="131">
        <v>5</v>
      </c>
      <c r="H241" t="s">
        <v>57</v>
      </c>
      <c r="I241" t="s">
        <v>712</v>
      </c>
      <c r="J241" t="s">
        <v>2823</v>
      </c>
      <c r="K241" t="s">
        <v>120</v>
      </c>
      <c r="L241" t="s">
        <v>62</v>
      </c>
      <c r="M241" s="145">
        <v>49921</v>
      </c>
      <c r="N241" s="145">
        <v>45662</v>
      </c>
      <c r="O241" s="145">
        <v>4259</v>
      </c>
      <c r="P241" s="131">
        <v>564444</v>
      </c>
      <c r="Q241" s="131">
        <v>599052</v>
      </c>
      <c r="R241" t="s">
        <v>1207</v>
      </c>
      <c r="S241" s="155">
        <v>43101</v>
      </c>
    </row>
    <row r="242" spans="2:19">
      <c r="B242">
        <v>2002</v>
      </c>
      <c r="C242">
        <v>37355</v>
      </c>
      <c r="D242" t="s">
        <v>173</v>
      </c>
      <c r="E242" t="s">
        <v>165</v>
      </c>
      <c r="F242">
        <v>20</v>
      </c>
      <c r="G242" s="131">
        <v>6</v>
      </c>
      <c r="H242" t="s">
        <v>57</v>
      </c>
      <c r="I242" t="s">
        <v>853</v>
      </c>
      <c r="J242" t="s">
        <v>2824</v>
      </c>
      <c r="K242" t="s">
        <v>851</v>
      </c>
      <c r="L242" t="s">
        <v>62</v>
      </c>
      <c r="M242" s="145">
        <v>50669</v>
      </c>
      <c r="N242" s="145">
        <v>46285</v>
      </c>
      <c r="O242" s="145">
        <v>4384</v>
      </c>
      <c r="P242" s="131">
        <v>564444</v>
      </c>
      <c r="Q242" s="131">
        <v>608028</v>
      </c>
      <c r="R242" t="s">
        <v>1207</v>
      </c>
      <c r="S242" s="155">
        <v>43101</v>
      </c>
    </row>
    <row r="243" spans="2:19">
      <c r="B243">
        <v>2011</v>
      </c>
      <c r="C243">
        <v>40892</v>
      </c>
      <c r="D243" t="s">
        <v>180</v>
      </c>
      <c r="E243" t="s">
        <v>165</v>
      </c>
      <c r="F243">
        <v>20</v>
      </c>
      <c r="G243" s="131">
        <v>3</v>
      </c>
      <c r="H243" t="s">
        <v>57</v>
      </c>
      <c r="I243" t="s">
        <v>252</v>
      </c>
      <c r="J243" t="s">
        <v>2825</v>
      </c>
      <c r="K243" t="s">
        <v>249</v>
      </c>
      <c r="L243" t="s">
        <v>100</v>
      </c>
      <c r="M243" s="145">
        <v>48457</v>
      </c>
      <c r="N243" s="145">
        <v>44440</v>
      </c>
      <c r="O243" s="145">
        <v>4017</v>
      </c>
      <c r="P243" s="131">
        <v>564444</v>
      </c>
      <c r="Q243" s="131">
        <v>581484</v>
      </c>
      <c r="R243">
        <v>0</v>
      </c>
      <c r="S243" s="155">
        <v>43101</v>
      </c>
    </row>
    <row r="244" spans="2:19">
      <c r="B244">
        <v>2016</v>
      </c>
      <c r="C244">
        <v>42538</v>
      </c>
      <c r="D244" t="s">
        <v>204</v>
      </c>
      <c r="E244" t="s">
        <v>187</v>
      </c>
      <c r="F244">
        <v>18</v>
      </c>
      <c r="G244" s="131">
        <v>1</v>
      </c>
      <c r="H244" t="s">
        <v>174</v>
      </c>
      <c r="I244" t="s">
        <v>2313</v>
      </c>
      <c r="J244" t="s">
        <v>2826</v>
      </c>
      <c r="K244" t="s">
        <v>2085</v>
      </c>
      <c r="L244" t="s">
        <v>62</v>
      </c>
      <c r="M244" s="145">
        <v>38085</v>
      </c>
      <c r="N244" s="145">
        <v>35693</v>
      </c>
      <c r="O244" s="145">
        <v>2392</v>
      </c>
      <c r="P244" s="131">
        <v>457020</v>
      </c>
      <c r="Q244" s="131">
        <v>457020</v>
      </c>
      <c r="R244">
        <v>0</v>
      </c>
      <c r="S244" s="155">
        <v>43101</v>
      </c>
    </row>
    <row r="245" spans="2:19">
      <c r="B245">
        <v>2002</v>
      </c>
      <c r="C245">
        <v>37288</v>
      </c>
      <c r="D245" t="s">
        <v>217</v>
      </c>
      <c r="E245" t="s">
        <v>273</v>
      </c>
      <c r="F245">
        <v>6</v>
      </c>
      <c r="G245" s="131">
        <v>6</v>
      </c>
      <c r="H245" t="s">
        <v>211</v>
      </c>
      <c r="I245" t="s">
        <v>219</v>
      </c>
      <c r="J245" t="s">
        <v>2827</v>
      </c>
      <c r="K245" t="s">
        <v>212</v>
      </c>
      <c r="L245" t="s">
        <v>100</v>
      </c>
      <c r="M245" s="145">
        <v>14942</v>
      </c>
      <c r="N245" s="145">
        <v>14474</v>
      </c>
      <c r="O245" s="145">
        <v>468</v>
      </c>
      <c r="P245" s="131">
        <v>172080</v>
      </c>
      <c r="Q245" s="131">
        <v>179304</v>
      </c>
      <c r="R245">
        <v>0</v>
      </c>
      <c r="S245" s="155">
        <v>43101</v>
      </c>
    </row>
    <row r="246" spans="2:19">
      <c r="B246">
        <v>2012</v>
      </c>
      <c r="C246">
        <v>40969</v>
      </c>
      <c r="D246" t="s">
        <v>222</v>
      </c>
      <c r="E246" t="s">
        <v>151</v>
      </c>
      <c r="F246">
        <v>24</v>
      </c>
      <c r="G246" s="131">
        <v>2</v>
      </c>
      <c r="H246" t="s">
        <v>57</v>
      </c>
      <c r="I246" t="s">
        <v>512</v>
      </c>
      <c r="J246" t="s">
        <v>2828</v>
      </c>
      <c r="K246" t="s">
        <v>510</v>
      </c>
      <c r="L246" t="s">
        <v>62</v>
      </c>
      <c r="M246" s="145">
        <v>74397</v>
      </c>
      <c r="N246" s="145">
        <v>65296</v>
      </c>
      <c r="O246" s="145">
        <v>9101</v>
      </c>
      <c r="P246" s="131">
        <v>879588</v>
      </c>
      <c r="Q246" s="131">
        <v>892764</v>
      </c>
      <c r="R246">
        <v>0</v>
      </c>
      <c r="S246" s="155">
        <v>43101</v>
      </c>
    </row>
    <row r="247" spans="2:19">
      <c r="B247">
        <v>2010</v>
      </c>
      <c r="C247">
        <v>40262</v>
      </c>
      <c r="D247" t="s">
        <v>229</v>
      </c>
      <c r="E247" t="s">
        <v>157</v>
      </c>
      <c r="F247">
        <v>22</v>
      </c>
      <c r="G247" s="131">
        <v>3</v>
      </c>
      <c r="H247" t="s">
        <v>57</v>
      </c>
      <c r="I247" t="s">
        <v>232</v>
      </c>
      <c r="J247" t="s">
        <v>2829</v>
      </c>
      <c r="K247" t="s">
        <v>230</v>
      </c>
      <c r="L247" t="s">
        <v>100</v>
      </c>
      <c r="M247" s="145">
        <v>60491</v>
      </c>
      <c r="N247" s="145">
        <v>54234</v>
      </c>
      <c r="O247" s="145">
        <v>6257</v>
      </c>
      <c r="P247" s="131">
        <v>704604</v>
      </c>
      <c r="Q247" s="131">
        <v>725892</v>
      </c>
      <c r="R247" t="s">
        <v>1207</v>
      </c>
      <c r="S247" s="155">
        <v>43101</v>
      </c>
    </row>
    <row r="248" spans="2:19">
      <c r="B248">
        <v>2013</v>
      </c>
      <c r="C248">
        <v>41526</v>
      </c>
      <c r="D248" t="s">
        <v>1485</v>
      </c>
      <c r="E248" t="s">
        <v>165</v>
      </c>
      <c r="F248">
        <v>20</v>
      </c>
      <c r="G248" s="131">
        <v>2</v>
      </c>
      <c r="H248" t="s">
        <v>57</v>
      </c>
      <c r="I248" t="s">
        <v>99</v>
      </c>
      <c r="J248" t="s">
        <v>2830</v>
      </c>
      <c r="K248" t="s">
        <v>97</v>
      </c>
      <c r="L248" t="s">
        <v>100</v>
      </c>
      <c r="M248" s="145">
        <v>47742</v>
      </c>
      <c r="N248" s="145">
        <v>43841</v>
      </c>
      <c r="O248" s="145">
        <v>3901</v>
      </c>
      <c r="P248" s="131">
        <v>564444</v>
      </c>
      <c r="Q248" s="131">
        <v>572904</v>
      </c>
      <c r="R248" t="s">
        <v>1207</v>
      </c>
      <c r="S248" s="155">
        <v>43101</v>
      </c>
    </row>
    <row r="249" spans="2:19">
      <c r="B249">
        <v>2012</v>
      </c>
      <c r="C249">
        <v>41149</v>
      </c>
      <c r="D249" t="s">
        <v>234</v>
      </c>
      <c r="E249" t="s">
        <v>165</v>
      </c>
      <c r="F249">
        <v>20</v>
      </c>
      <c r="G249" s="131">
        <v>2</v>
      </c>
      <c r="H249" t="s">
        <v>57</v>
      </c>
      <c r="I249" t="s">
        <v>207</v>
      </c>
      <c r="J249" t="s">
        <v>2831</v>
      </c>
      <c r="K249" t="s">
        <v>205</v>
      </c>
      <c r="L249" t="s">
        <v>100</v>
      </c>
      <c r="M249" s="145">
        <v>47742</v>
      </c>
      <c r="N249" s="145">
        <v>43841</v>
      </c>
      <c r="O249" s="145">
        <v>3901</v>
      </c>
      <c r="P249" s="131">
        <v>564444</v>
      </c>
      <c r="Q249" s="131">
        <v>572904</v>
      </c>
      <c r="R249" t="s">
        <v>1207</v>
      </c>
      <c r="S249" s="155">
        <v>43101</v>
      </c>
    </row>
    <row r="250" spans="2:19">
      <c r="B250">
        <v>2012</v>
      </c>
      <c r="C250">
        <v>41138</v>
      </c>
      <c r="D250" t="s">
        <v>239</v>
      </c>
      <c r="E250" t="s">
        <v>165</v>
      </c>
      <c r="F250">
        <v>20</v>
      </c>
      <c r="G250" s="131">
        <v>2</v>
      </c>
      <c r="H250" t="s">
        <v>57</v>
      </c>
      <c r="I250" t="s">
        <v>1162</v>
      </c>
      <c r="J250" t="s">
        <v>2832</v>
      </c>
      <c r="K250" t="s">
        <v>69</v>
      </c>
      <c r="L250" t="s">
        <v>100</v>
      </c>
      <c r="M250" s="145">
        <v>47742</v>
      </c>
      <c r="N250" s="145">
        <v>43841</v>
      </c>
      <c r="O250" s="145">
        <v>3901</v>
      </c>
      <c r="P250" s="131">
        <v>564444</v>
      </c>
      <c r="Q250" s="131">
        <v>572904</v>
      </c>
      <c r="R250" t="s">
        <v>2327</v>
      </c>
      <c r="S250" s="155">
        <v>43101</v>
      </c>
    </row>
    <row r="251" spans="2:19">
      <c r="B251">
        <v>2012</v>
      </c>
      <c r="C251">
        <v>41254</v>
      </c>
      <c r="D251" t="s">
        <v>254</v>
      </c>
      <c r="E251" t="s">
        <v>187</v>
      </c>
      <c r="F251">
        <v>18</v>
      </c>
      <c r="G251" s="131">
        <v>2</v>
      </c>
      <c r="H251" t="s">
        <v>57</v>
      </c>
      <c r="I251" t="s">
        <v>2274</v>
      </c>
      <c r="J251" t="s">
        <v>2833</v>
      </c>
      <c r="K251" t="s">
        <v>1994</v>
      </c>
      <c r="L251" t="s">
        <v>100</v>
      </c>
      <c r="M251" s="145">
        <v>38543</v>
      </c>
      <c r="N251" s="145">
        <v>36111</v>
      </c>
      <c r="O251" s="145">
        <v>2432</v>
      </c>
      <c r="P251" s="131">
        <v>457020</v>
      </c>
      <c r="Q251" s="131">
        <v>462516</v>
      </c>
      <c r="R251">
        <v>0</v>
      </c>
      <c r="S251" s="155">
        <v>43101</v>
      </c>
    </row>
    <row r="252" spans="2:19">
      <c r="B252">
        <v>2017</v>
      </c>
      <c r="C252">
        <v>42835</v>
      </c>
      <c r="D252" t="s">
        <v>2328</v>
      </c>
      <c r="E252" t="s">
        <v>262</v>
      </c>
      <c r="F252">
        <v>15</v>
      </c>
      <c r="G252" s="131">
        <v>1</v>
      </c>
      <c r="H252" t="s">
        <v>57</v>
      </c>
      <c r="I252" t="s">
        <v>2702</v>
      </c>
      <c r="J252" t="s">
        <v>2834</v>
      </c>
      <c r="K252" t="s">
        <v>2156</v>
      </c>
      <c r="L252" t="s">
        <v>62</v>
      </c>
      <c r="M252" s="145">
        <v>29010</v>
      </c>
      <c r="N252" s="145">
        <v>27565</v>
      </c>
      <c r="O252" s="145">
        <v>1445</v>
      </c>
      <c r="P252" s="131">
        <v>348120</v>
      </c>
      <c r="Q252" s="131">
        <v>348120</v>
      </c>
      <c r="R252">
        <v>0</v>
      </c>
      <c r="S252" s="155">
        <v>43101</v>
      </c>
    </row>
    <row r="253" spans="2:19">
      <c r="B253">
        <v>2014</v>
      </c>
      <c r="C253">
        <v>41967</v>
      </c>
      <c r="D253" t="s">
        <v>263</v>
      </c>
      <c r="E253" t="s">
        <v>264</v>
      </c>
      <c r="F253">
        <v>11</v>
      </c>
      <c r="G253" s="131">
        <v>2</v>
      </c>
      <c r="H253" t="s">
        <v>57</v>
      </c>
      <c r="I253" t="s">
        <v>2711</v>
      </c>
      <c r="J253" t="s">
        <v>2835</v>
      </c>
      <c r="K253" t="s">
        <v>373</v>
      </c>
      <c r="L253" t="s">
        <v>100</v>
      </c>
      <c r="M253" s="145">
        <v>20437</v>
      </c>
      <c r="N253" s="145">
        <v>19853</v>
      </c>
      <c r="O253" s="145">
        <v>584</v>
      </c>
      <c r="P253" s="131">
        <v>242148</v>
      </c>
      <c r="Q253" s="131">
        <v>245244</v>
      </c>
      <c r="R253">
        <v>0</v>
      </c>
      <c r="S253" s="155">
        <v>43101</v>
      </c>
    </row>
    <row r="254" spans="2:19">
      <c r="B254">
        <v>2015</v>
      </c>
      <c r="C254">
        <v>42186</v>
      </c>
      <c r="D254" t="s">
        <v>2339</v>
      </c>
      <c r="E254" t="s">
        <v>273</v>
      </c>
      <c r="F254">
        <v>6</v>
      </c>
      <c r="G254" s="131">
        <v>1</v>
      </c>
      <c r="H254" t="s">
        <v>174</v>
      </c>
      <c r="I254" t="s">
        <v>2693</v>
      </c>
      <c r="J254" t="s">
        <v>2836</v>
      </c>
      <c r="K254" t="s">
        <v>2127</v>
      </c>
      <c r="L254" t="s">
        <v>100</v>
      </c>
      <c r="M254" s="145">
        <v>14340</v>
      </c>
      <c r="N254" s="145">
        <v>13851</v>
      </c>
      <c r="O254" s="145">
        <v>489</v>
      </c>
      <c r="P254" s="131">
        <v>172080</v>
      </c>
      <c r="Q254" s="131">
        <v>172080</v>
      </c>
      <c r="R254">
        <v>0</v>
      </c>
      <c r="S254" s="155">
        <v>43101</v>
      </c>
    </row>
    <row r="255" spans="2:19">
      <c r="B255">
        <v>2012</v>
      </c>
      <c r="C255">
        <v>40924</v>
      </c>
      <c r="D255" t="s">
        <v>276</v>
      </c>
      <c r="E255" t="s">
        <v>2189</v>
      </c>
      <c r="F255">
        <v>24</v>
      </c>
      <c r="G255" s="131">
        <v>2</v>
      </c>
      <c r="H255" t="s">
        <v>57</v>
      </c>
      <c r="I255" t="s">
        <v>2713</v>
      </c>
      <c r="J255" t="s">
        <v>2837</v>
      </c>
      <c r="K255" t="s">
        <v>286</v>
      </c>
      <c r="L255" t="s">
        <v>100</v>
      </c>
      <c r="M255" s="145">
        <v>74397</v>
      </c>
      <c r="N255" s="145">
        <v>65296</v>
      </c>
      <c r="O255" s="145">
        <v>9101</v>
      </c>
      <c r="P255" s="131">
        <v>879588</v>
      </c>
      <c r="Q255" s="131">
        <v>892764</v>
      </c>
      <c r="R255">
        <v>0</v>
      </c>
      <c r="S255" s="155">
        <v>43101</v>
      </c>
    </row>
    <row r="256" spans="2:19">
      <c r="B256">
        <v>2012</v>
      </c>
      <c r="C256">
        <v>41138</v>
      </c>
      <c r="D256" t="s">
        <v>283</v>
      </c>
      <c r="E256" t="s">
        <v>2190</v>
      </c>
      <c r="F256">
        <v>22</v>
      </c>
      <c r="G256" s="131">
        <v>2</v>
      </c>
      <c r="H256" t="s">
        <v>57</v>
      </c>
      <c r="I256" t="s">
        <v>303</v>
      </c>
      <c r="J256" t="s">
        <v>2838</v>
      </c>
      <c r="K256" t="s">
        <v>301</v>
      </c>
      <c r="L256" t="s">
        <v>62</v>
      </c>
      <c r="M256" s="145">
        <v>59597</v>
      </c>
      <c r="N256" s="145">
        <v>53503</v>
      </c>
      <c r="O256" s="145">
        <v>6094</v>
      </c>
      <c r="P256" s="131">
        <v>704604</v>
      </c>
      <c r="Q256" s="131">
        <v>715164</v>
      </c>
      <c r="R256">
        <v>0</v>
      </c>
      <c r="S256" s="155">
        <v>43101</v>
      </c>
    </row>
    <row r="257" spans="1:19">
      <c r="B257">
        <v>2010</v>
      </c>
      <c r="C257">
        <v>40256</v>
      </c>
      <c r="D257" t="s">
        <v>291</v>
      </c>
      <c r="E257" t="s">
        <v>292</v>
      </c>
      <c r="F257">
        <v>19</v>
      </c>
      <c r="G257" s="131">
        <v>3</v>
      </c>
      <c r="H257" t="s">
        <v>57</v>
      </c>
      <c r="I257" t="s">
        <v>2705</v>
      </c>
      <c r="J257" t="s">
        <v>2839</v>
      </c>
      <c r="K257" t="s">
        <v>294</v>
      </c>
      <c r="L257" t="s">
        <v>100</v>
      </c>
      <c r="M257" s="145">
        <v>43371</v>
      </c>
      <c r="N257" s="145">
        <v>40227</v>
      </c>
      <c r="O257" s="145">
        <v>3144</v>
      </c>
      <c r="P257" s="131">
        <v>505188</v>
      </c>
      <c r="Q257" s="131">
        <v>520452</v>
      </c>
      <c r="R257">
        <v>0</v>
      </c>
      <c r="S257" s="155">
        <v>43101</v>
      </c>
    </row>
    <row r="258" spans="1:19">
      <c r="A258">
        <v>2006</v>
      </c>
      <c r="B258">
        <v>2012</v>
      </c>
      <c r="C258">
        <v>41260</v>
      </c>
      <c r="D258" t="s">
        <v>298</v>
      </c>
      <c r="E258" t="s">
        <v>2191</v>
      </c>
      <c r="F258">
        <v>18</v>
      </c>
      <c r="G258" s="131">
        <v>2</v>
      </c>
      <c r="H258" t="s">
        <v>57</v>
      </c>
      <c r="I258" t="s">
        <v>2707</v>
      </c>
      <c r="J258" t="s">
        <v>2840</v>
      </c>
      <c r="K258" t="s">
        <v>2012</v>
      </c>
      <c r="L258" t="s">
        <v>100</v>
      </c>
      <c r="M258" s="145">
        <v>38543</v>
      </c>
      <c r="N258" s="145">
        <v>36111</v>
      </c>
      <c r="O258" s="145">
        <v>2432</v>
      </c>
      <c r="P258" s="131">
        <v>457020</v>
      </c>
      <c r="Q258" s="131">
        <v>462516</v>
      </c>
      <c r="R258">
        <v>0</v>
      </c>
      <c r="S258" s="155">
        <v>43101</v>
      </c>
    </row>
    <row r="259" spans="1:19">
      <c r="B259">
        <v>2015</v>
      </c>
      <c r="C259">
        <v>42184</v>
      </c>
      <c r="D259" t="s">
        <v>305</v>
      </c>
      <c r="E259" t="s">
        <v>2191</v>
      </c>
      <c r="F259">
        <v>18</v>
      </c>
      <c r="G259" s="131">
        <v>1</v>
      </c>
      <c r="H259" t="s">
        <v>57</v>
      </c>
      <c r="I259" t="s">
        <v>2332</v>
      </c>
      <c r="J259" t="s">
        <v>2841</v>
      </c>
      <c r="K259" t="s">
        <v>2064</v>
      </c>
      <c r="L259" t="s">
        <v>62</v>
      </c>
      <c r="M259" s="145">
        <v>38085</v>
      </c>
      <c r="N259" s="145">
        <v>35693</v>
      </c>
      <c r="O259" s="145">
        <v>2392</v>
      </c>
      <c r="P259" s="131">
        <v>457020</v>
      </c>
      <c r="Q259" s="131">
        <v>457020</v>
      </c>
      <c r="R259">
        <v>0</v>
      </c>
      <c r="S259" s="155">
        <v>43101</v>
      </c>
    </row>
    <row r="260" spans="1:19">
      <c r="B260">
        <v>2006</v>
      </c>
      <c r="C260">
        <v>38926</v>
      </c>
      <c r="D260" t="s">
        <v>311</v>
      </c>
      <c r="E260" t="s">
        <v>2191</v>
      </c>
      <c r="F260">
        <v>18</v>
      </c>
      <c r="G260" s="131">
        <v>4</v>
      </c>
      <c r="H260" t="s">
        <v>57</v>
      </c>
      <c r="I260" t="s">
        <v>315</v>
      </c>
      <c r="J260" t="s">
        <v>2842</v>
      </c>
      <c r="K260" t="s">
        <v>313</v>
      </c>
      <c r="L260" t="s">
        <v>62</v>
      </c>
      <c r="M260" s="145">
        <v>39477</v>
      </c>
      <c r="N260" s="145">
        <v>36960</v>
      </c>
      <c r="O260" s="145">
        <v>2517</v>
      </c>
      <c r="P260" s="131">
        <v>457020</v>
      </c>
      <c r="Q260" s="131">
        <v>473724</v>
      </c>
      <c r="R260">
        <v>0</v>
      </c>
      <c r="S260" s="155">
        <v>43101</v>
      </c>
    </row>
    <row r="261" spans="1:19">
      <c r="B261">
        <v>2017</v>
      </c>
      <c r="C261">
        <v>42821</v>
      </c>
      <c r="D261" t="s">
        <v>317</v>
      </c>
      <c r="E261" t="s">
        <v>318</v>
      </c>
      <c r="F261">
        <v>16</v>
      </c>
      <c r="G261" s="131">
        <v>1</v>
      </c>
      <c r="H261" t="s">
        <v>57</v>
      </c>
      <c r="I261" t="s">
        <v>2712</v>
      </c>
      <c r="J261" t="s">
        <v>2843</v>
      </c>
      <c r="K261" t="s">
        <v>2153</v>
      </c>
      <c r="L261" t="s">
        <v>100</v>
      </c>
      <c r="M261" s="145">
        <v>31765</v>
      </c>
      <c r="N261" s="145">
        <v>30044</v>
      </c>
      <c r="O261" s="145">
        <v>1721</v>
      </c>
      <c r="P261" s="131">
        <v>381180</v>
      </c>
      <c r="Q261" s="131">
        <v>381180</v>
      </c>
      <c r="R261">
        <v>0</v>
      </c>
      <c r="S261" s="155">
        <v>43101</v>
      </c>
    </row>
    <row r="262" spans="1:19">
      <c r="B262">
        <v>2012</v>
      </c>
      <c r="C262">
        <v>41260</v>
      </c>
      <c r="D262" t="s">
        <v>324</v>
      </c>
      <c r="E262" t="s">
        <v>2192</v>
      </c>
      <c r="F262">
        <v>15</v>
      </c>
      <c r="G262" s="131">
        <v>2</v>
      </c>
      <c r="H262" t="s">
        <v>57</v>
      </c>
      <c r="I262" t="s">
        <v>2716</v>
      </c>
      <c r="J262" t="s">
        <v>2844</v>
      </c>
      <c r="K262" t="s">
        <v>2003</v>
      </c>
      <c r="L262" t="s">
        <v>100</v>
      </c>
      <c r="M262" s="145">
        <v>29359</v>
      </c>
      <c r="N262" s="145">
        <v>27887</v>
      </c>
      <c r="O262" s="145">
        <v>1472</v>
      </c>
      <c r="P262" s="131">
        <v>348120</v>
      </c>
      <c r="Q262" s="131">
        <v>352308</v>
      </c>
      <c r="R262">
        <v>0</v>
      </c>
      <c r="S262" s="155">
        <v>43101</v>
      </c>
    </row>
    <row r="263" spans="1:19">
      <c r="B263">
        <v>2011</v>
      </c>
      <c r="C263">
        <v>40893</v>
      </c>
      <c r="D263" t="s">
        <v>2365</v>
      </c>
      <c r="E263" t="s">
        <v>2366</v>
      </c>
      <c r="F263">
        <v>15</v>
      </c>
      <c r="G263" s="131">
        <v>3</v>
      </c>
      <c r="H263" t="s">
        <v>57</v>
      </c>
      <c r="I263" t="s">
        <v>348</v>
      </c>
      <c r="J263" t="s">
        <v>2845</v>
      </c>
      <c r="K263" t="s">
        <v>346</v>
      </c>
      <c r="L263" t="s">
        <v>100</v>
      </c>
      <c r="M263" s="145">
        <v>29713</v>
      </c>
      <c r="N263" s="145">
        <v>28214</v>
      </c>
      <c r="O263" s="145">
        <v>1499</v>
      </c>
      <c r="P263" s="131">
        <v>348120</v>
      </c>
      <c r="Q263" s="131">
        <v>356556</v>
      </c>
      <c r="R263">
        <v>0</v>
      </c>
      <c r="S263" s="155">
        <v>43101</v>
      </c>
    </row>
    <row r="264" spans="1:19">
      <c r="B264">
        <v>2002</v>
      </c>
      <c r="C264">
        <v>37378</v>
      </c>
      <c r="D264" t="s">
        <v>337</v>
      </c>
      <c r="E264" t="s">
        <v>2193</v>
      </c>
      <c r="F264">
        <v>14</v>
      </c>
      <c r="G264" s="131">
        <v>6</v>
      </c>
      <c r="H264" t="s">
        <v>57</v>
      </c>
      <c r="I264" t="s">
        <v>342</v>
      </c>
      <c r="J264" t="s">
        <v>2846</v>
      </c>
      <c r="K264" t="s">
        <v>340</v>
      </c>
      <c r="L264" t="s">
        <v>100</v>
      </c>
      <c r="M264" s="145">
        <v>28093</v>
      </c>
      <c r="N264" s="145">
        <v>26737</v>
      </c>
      <c r="O264" s="145">
        <v>1356</v>
      </c>
      <c r="P264" s="131">
        <v>317928</v>
      </c>
      <c r="Q264" s="131">
        <v>337116</v>
      </c>
      <c r="R264">
        <v>0</v>
      </c>
      <c r="S264" s="155">
        <v>43101</v>
      </c>
    </row>
    <row r="265" spans="1:19">
      <c r="B265">
        <v>2014</v>
      </c>
      <c r="C265">
        <v>41946</v>
      </c>
      <c r="D265" t="s">
        <v>344</v>
      </c>
      <c r="E265" t="s">
        <v>2193</v>
      </c>
      <c r="F265">
        <v>14</v>
      </c>
      <c r="G265" s="131">
        <v>2</v>
      </c>
      <c r="H265" t="s">
        <v>57</v>
      </c>
      <c r="I265" t="s">
        <v>2393</v>
      </c>
      <c r="J265" t="s">
        <v>2847</v>
      </c>
      <c r="K265" t="s">
        <v>2023</v>
      </c>
      <c r="L265" t="s">
        <v>62</v>
      </c>
      <c r="M265" s="145">
        <v>26806</v>
      </c>
      <c r="N265" s="145">
        <v>25573</v>
      </c>
      <c r="O265" s="145">
        <v>1233</v>
      </c>
      <c r="P265" s="131">
        <v>317928</v>
      </c>
      <c r="Q265" s="131">
        <v>321672</v>
      </c>
      <c r="R265">
        <v>0</v>
      </c>
      <c r="S265" s="155">
        <v>43101</v>
      </c>
    </row>
    <row r="266" spans="1:19">
      <c r="B266">
        <v>2003</v>
      </c>
      <c r="C266">
        <v>37658</v>
      </c>
      <c r="D266" t="s">
        <v>350</v>
      </c>
      <c r="E266" t="s">
        <v>2377</v>
      </c>
      <c r="F266">
        <v>9</v>
      </c>
      <c r="G266" s="131">
        <v>5</v>
      </c>
      <c r="H266" t="s">
        <v>57</v>
      </c>
      <c r="I266" t="s">
        <v>355</v>
      </c>
      <c r="J266" t="s">
        <v>2848</v>
      </c>
      <c r="K266" t="s">
        <v>353</v>
      </c>
      <c r="L266" t="s">
        <v>62</v>
      </c>
      <c r="M266" s="145">
        <v>18095</v>
      </c>
      <c r="N266" s="145">
        <v>17618</v>
      </c>
      <c r="O266" s="145">
        <v>477</v>
      </c>
      <c r="P266" s="131">
        <v>209676</v>
      </c>
      <c r="Q266" s="131">
        <v>217140</v>
      </c>
      <c r="R266">
        <v>0</v>
      </c>
      <c r="S266" s="155">
        <v>43101</v>
      </c>
    </row>
    <row r="267" spans="1:19">
      <c r="A267">
        <v>1995</v>
      </c>
      <c r="B267">
        <v>2012</v>
      </c>
      <c r="C267">
        <v>41127</v>
      </c>
      <c r="D267" t="s">
        <v>2380</v>
      </c>
      <c r="E267" t="s">
        <v>370</v>
      </c>
      <c r="F267">
        <v>9</v>
      </c>
      <c r="G267" s="131">
        <v>2</v>
      </c>
      <c r="H267" t="s">
        <v>57</v>
      </c>
      <c r="I267" t="s">
        <v>375</v>
      </c>
      <c r="J267" t="s">
        <v>2849</v>
      </c>
      <c r="K267" t="s">
        <v>373</v>
      </c>
      <c r="L267" t="s">
        <v>100</v>
      </c>
      <c r="M267" s="145">
        <v>17627</v>
      </c>
      <c r="N267" s="145">
        <v>17142</v>
      </c>
      <c r="O267" s="145">
        <v>485</v>
      </c>
      <c r="P267" s="131">
        <v>209676</v>
      </c>
      <c r="Q267" s="131">
        <v>211524</v>
      </c>
      <c r="R267">
        <v>0</v>
      </c>
      <c r="S267" s="155">
        <v>43101</v>
      </c>
    </row>
    <row r="268" spans="1:19">
      <c r="A268">
        <v>2003</v>
      </c>
      <c r="B268">
        <v>2003</v>
      </c>
      <c r="C268">
        <v>37655</v>
      </c>
      <c r="D268" t="s">
        <v>357</v>
      </c>
      <c r="E268" t="s">
        <v>1170</v>
      </c>
      <c r="F268">
        <v>8</v>
      </c>
      <c r="G268" s="131">
        <v>5</v>
      </c>
      <c r="H268" t="s">
        <v>167</v>
      </c>
      <c r="I268" t="s">
        <v>361</v>
      </c>
      <c r="J268" t="s">
        <v>2850</v>
      </c>
      <c r="K268" t="s">
        <v>359</v>
      </c>
      <c r="L268" t="s">
        <v>100</v>
      </c>
      <c r="M268" s="145">
        <v>16895</v>
      </c>
      <c r="N268" s="145">
        <v>16430</v>
      </c>
      <c r="O268" s="145">
        <v>465</v>
      </c>
      <c r="P268" s="131">
        <v>195384</v>
      </c>
      <c r="Q268" s="131">
        <v>202740</v>
      </c>
      <c r="R268">
        <v>0</v>
      </c>
      <c r="S268" s="155">
        <v>43101</v>
      </c>
    </row>
    <row r="269" spans="1:19">
      <c r="B269">
        <v>2013</v>
      </c>
      <c r="C269">
        <v>41306</v>
      </c>
      <c r="D269" t="s">
        <v>371</v>
      </c>
      <c r="E269" t="s">
        <v>1170</v>
      </c>
      <c r="F269">
        <v>8</v>
      </c>
      <c r="G269" s="131">
        <v>2</v>
      </c>
      <c r="H269" t="s">
        <v>57</v>
      </c>
      <c r="I269" t="s">
        <v>2708</v>
      </c>
      <c r="J269" t="s">
        <v>2851</v>
      </c>
      <c r="K269" t="s">
        <v>2082</v>
      </c>
      <c r="L269" t="s">
        <v>100</v>
      </c>
      <c r="M269" s="145">
        <v>16433</v>
      </c>
      <c r="N269" s="145">
        <v>15969</v>
      </c>
      <c r="O269" s="145">
        <v>464</v>
      </c>
      <c r="P269" s="131">
        <v>195384</v>
      </c>
      <c r="Q269" s="131">
        <v>197196</v>
      </c>
      <c r="R269">
        <v>0</v>
      </c>
      <c r="S269" s="155">
        <v>43101</v>
      </c>
    </row>
    <row r="270" spans="1:19">
      <c r="B270">
        <v>2016</v>
      </c>
      <c r="C270">
        <v>42452</v>
      </c>
      <c r="D270" t="s">
        <v>413</v>
      </c>
      <c r="E270" t="s">
        <v>455</v>
      </c>
      <c r="F270">
        <v>4</v>
      </c>
      <c r="G270" s="131">
        <v>1</v>
      </c>
      <c r="H270" t="s">
        <v>408</v>
      </c>
      <c r="I270" t="s">
        <v>2852</v>
      </c>
      <c r="J270" t="s">
        <v>2853</v>
      </c>
      <c r="K270" t="s">
        <v>2149</v>
      </c>
      <c r="L270" t="s">
        <v>100</v>
      </c>
      <c r="M270" s="145">
        <v>12674</v>
      </c>
      <c r="N270" s="145">
        <v>12155</v>
      </c>
      <c r="O270" s="145">
        <v>519</v>
      </c>
      <c r="P270" s="131">
        <v>152088</v>
      </c>
      <c r="Q270" s="131">
        <v>152088</v>
      </c>
      <c r="R270">
        <v>0</v>
      </c>
      <c r="S270" s="155">
        <v>43101</v>
      </c>
    </row>
    <row r="271" spans="1:19">
      <c r="B271">
        <v>2014</v>
      </c>
      <c r="C271">
        <v>41988</v>
      </c>
      <c r="D271" t="s">
        <v>416</v>
      </c>
      <c r="E271" t="s">
        <v>455</v>
      </c>
      <c r="F271">
        <v>4</v>
      </c>
      <c r="G271" s="131">
        <v>2</v>
      </c>
      <c r="H271" t="s">
        <v>57</v>
      </c>
      <c r="I271" t="s">
        <v>2854</v>
      </c>
      <c r="J271" t="s">
        <v>2855</v>
      </c>
      <c r="K271" t="s">
        <v>716</v>
      </c>
      <c r="L271" t="s">
        <v>100</v>
      </c>
      <c r="M271" s="145">
        <v>12778</v>
      </c>
      <c r="N271" s="145">
        <v>12262</v>
      </c>
      <c r="O271" s="145">
        <v>516</v>
      </c>
      <c r="P271" s="131">
        <v>152088</v>
      </c>
      <c r="Q271" s="131">
        <v>153336</v>
      </c>
      <c r="R271">
        <v>0</v>
      </c>
      <c r="S271" s="155">
        <v>43101</v>
      </c>
    </row>
    <row r="272" spans="1:19">
      <c r="B272">
        <v>2011</v>
      </c>
      <c r="C272">
        <v>40634</v>
      </c>
      <c r="D272" t="s">
        <v>2394</v>
      </c>
      <c r="E272" t="s">
        <v>455</v>
      </c>
      <c r="F272">
        <v>4</v>
      </c>
      <c r="G272" s="131">
        <v>3</v>
      </c>
      <c r="H272" t="s">
        <v>57</v>
      </c>
      <c r="I272" t="s">
        <v>452</v>
      </c>
      <c r="J272" t="s">
        <v>2856</v>
      </c>
      <c r="K272" t="s">
        <v>450</v>
      </c>
      <c r="L272" t="s">
        <v>62</v>
      </c>
      <c r="M272" s="145">
        <v>12884</v>
      </c>
      <c r="N272" s="145">
        <v>12371</v>
      </c>
      <c r="O272" s="145">
        <v>513</v>
      </c>
      <c r="P272" s="131">
        <v>152088</v>
      </c>
      <c r="Q272" s="131">
        <v>154608</v>
      </c>
      <c r="R272">
        <v>0</v>
      </c>
      <c r="S272" s="155">
        <v>43101</v>
      </c>
    </row>
    <row r="273" spans="2:19">
      <c r="B273">
        <v>1998</v>
      </c>
      <c r="C273">
        <v>36054</v>
      </c>
      <c r="D273" t="s">
        <v>139</v>
      </c>
      <c r="E273" t="s">
        <v>2194</v>
      </c>
      <c r="F273">
        <v>3</v>
      </c>
      <c r="G273" s="131">
        <v>7</v>
      </c>
      <c r="H273" t="s">
        <v>57</v>
      </c>
      <c r="I273" t="s">
        <v>143</v>
      </c>
      <c r="J273" t="s">
        <v>2857</v>
      </c>
      <c r="K273" t="s">
        <v>141</v>
      </c>
      <c r="L273" t="s">
        <v>62</v>
      </c>
      <c r="M273" s="145">
        <v>12517</v>
      </c>
      <c r="N273" s="145">
        <v>12004</v>
      </c>
      <c r="O273" s="145">
        <v>513</v>
      </c>
      <c r="P273" s="131">
        <v>142968</v>
      </c>
      <c r="Q273" s="131">
        <v>150204</v>
      </c>
      <c r="R273">
        <v>0</v>
      </c>
      <c r="S273" s="155">
        <v>43101</v>
      </c>
    </row>
    <row r="274" spans="2:19">
      <c r="B274">
        <v>1988</v>
      </c>
      <c r="C274">
        <v>32371</v>
      </c>
      <c r="D274" t="s">
        <v>421</v>
      </c>
      <c r="E274" t="s">
        <v>422</v>
      </c>
      <c r="F274">
        <v>3</v>
      </c>
      <c r="G274" s="131">
        <v>8</v>
      </c>
      <c r="H274" t="s">
        <v>57</v>
      </c>
      <c r="I274" t="s">
        <v>425</v>
      </c>
      <c r="J274" t="s">
        <v>2858</v>
      </c>
      <c r="K274" t="s">
        <v>423</v>
      </c>
      <c r="L274" t="s">
        <v>62</v>
      </c>
      <c r="M274" s="145">
        <v>12620</v>
      </c>
      <c r="N274" s="145">
        <v>12110</v>
      </c>
      <c r="O274" s="145">
        <v>510</v>
      </c>
      <c r="P274" s="131">
        <v>142968</v>
      </c>
      <c r="Q274" s="131">
        <v>151440</v>
      </c>
      <c r="R274">
        <v>0</v>
      </c>
      <c r="S274" s="155">
        <v>43101</v>
      </c>
    </row>
    <row r="275" spans="2:19">
      <c r="B275">
        <v>2004</v>
      </c>
      <c r="C275">
        <v>38018</v>
      </c>
      <c r="D275" t="s">
        <v>428</v>
      </c>
      <c r="E275" t="s">
        <v>422</v>
      </c>
      <c r="F275">
        <v>3</v>
      </c>
      <c r="G275" s="131">
        <v>5</v>
      </c>
      <c r="H275" t="s">
        <v>57</v>
      </c>
      <c r="I275" t="s">
        <v>431</v>
      </c>
      <c r="J275" t="s">
        <v>2859</v>
      </c>
      <c r="K275" t="s">
        <v>429</v>
      </c>
      <c r="L275" t="s">
        <v>62</v>
      </c>
      <c r="M275" s="145">
        <v>12313</v>
      </c>
      <c r="N275" s="145">
        <v>11795</v>
      </c>
      <c r="O275" s="145">
        <v>518</v>
      </c>
      <c r="P275" s="131">
        <v>142968</v>
      </c>
      <c r="Q275" s="131">
        <v>147756</v>
      </c>
      <c r="R275">
        <v>0</v>
      </c>
      <c r="S275" s="155">
        <v>43101</v>
      </c>
    </row>
    <row r="276" spans="2:19">
      <c r="B276">
        <v>2001</v>
      </c>
      <c r="C276">
        <v>37173</v>
      </c>
      <c r="D276" t="s">
        <v>433</v>
      </c>
      <c r="E276" t="s">
        <v>422</v>
      </c>
      <c r="F276">
        <v>3</v>
      </c>
      <c r="G276" s="131">
        <v>6</v>
      </c>
      <c r="H276" t="s">
        <v>57</v>
      </c>
      <c r="I276" t="s">
        <v>436</v>
      </c>
      <c r="J276" t="s">
        <v>2860</v>
      </c>
      <c r="K276" t="s">
        <v>434</v>
      </c>
      <c r="L276" t="s">
        <v>62</v>
      </c>
      <c r="M276" s="145">
        <v>12414</v>
      </c>
      <c r="N276" s="145">
        <v>11899</v>
      </c>
      <c r="O276" s="145">
        <v>515</v>
      </c>
      <c r="P276" s="131">
        <v>142968</v>
      </c>
      <c r="Q276" s="131">
        <v>148968</v>
      </c>
      <c r="R276">
        <v>0</v>
      </c>
      <c r="S276" s="155">
        <v>43101</v>
      </c>
    </row>
    <row r="277" spans="2:19">
      <c r="B277">
        <v>2016</v>
      </c>
      <c r="C277">
        <v>42391</v>
      </c>
      <c r="D277" t="s">
        <v>462</v>
      </c>
      <c r="E277" t="s">
        <v>463</v>
      </c>
      <c r="F277">
        <v>26</v>
      </c>
      <c r="G277" s="131">
        <v>1</v>
      </c>
      <c r="H277" t="s">
        <v>408</v>
      </c>
      <c r="I277" t="s">
        <v>597</v>
      </c>
      <c r="J277" t="s">
        <v>2861</v>
      </c>
      <c r="K277" t="s">
        <v>595</v>
      </c>
      <c r="L277" t="s">
        <v>100</v>
      </c>
      <c r="M277" s="145">
        <v>92108</v>
      </c>
      <c r="N277" s="145">
        <v>78960</v>
      </c>
      <c r="O277" s="145">
        <v>13148</v>
      </c>
      <c r="P277" s="131">
        <v>1105296</v>
      </c>
      <c r="Q277" s="131">
        <v>1105296</v>
      </c>
      <c r="R277">
        <v>0</v>
      </c>
      <c r="S277" s="155">
        <v>43101</v>
      </c>
    </row>
    <row r="278" spans="2:19">
      <c r="B278">
        <v>2012</v>
      </c>
      <c r="C278">
        <v>41165</v>
      </c>
      <c r="D278" t="s">
        <v>472</v>
      </c>
      <c r="E278" t="s">
        <v>463</v>
      </c>
      <c r="F278">
        <v>26</v>
      </c>
      <c r="G278" s="131">
        <v>4</v>
      </c>
      <c r="H278" t="s">
        <v>268</v>
      </c>
      <c r="I278" t="s">
        <v>2698</v>
      </c>
      <c r="J278" t="s">
        <v>2862</v>
      </c>
      <c r="K278" t="s">
        <v>168</v>
      </c>
      <c r="L278" t="s">
        <v>62</v>
      </c>
      <c r="M278" s="145">
        <v>96312</v>
      </c>
      <c r="N278" s="145">
        <v>82240</v>
      </c>
      <c r="O278" s="145">
        <v>14072</v>
      </c>
      <c r="P278" s="131">
        <v>1105296</v>
      </c>
      <c r="Q278" s="131">
        <v>1155744</v>
      </c>
      <c r="R278">
        <v>0</v>
      </c>
      <c r="S278" s="155">
        <v>43101</v>
      </c>
    </row>
    <row r="279" spans="2:19">
      <c r="B279">
        <v>2004</v>
      </c>
      <c r="C279">
        <v>38135</v>
      </c>
      <c r="D279" t="s">
        <v>477</v>
      </c>
      <c r="E279" t="s">
        <v>463</v>
      </c>
      <c r="F279">
        <v>26</v>
      </c>
      <c r="G279" s="131">
        <v>5</v>
      </c>
      <c r="H279" t="s">
        <v>167</v>
      </c>
      <c r="I279" t="s">
        <v>480</v>
      </c>
      <c r="J279" t="s">
        <v>2863</v>
      </c>
      <c r="K279" t="s">
        <v>478</v>
      </c>
      <c r="L279" t="s">
        <v>100</v>
      </c>
      <c r="M279" s="145">
        <v>97755</v>
      </c>
      <c r="N279" s="145">
        <v>83363</v>
      </c>
      <c r="O279" s="145">
        <v>14392</v>
      </c>
      <c r="P279" s="131">
        <v>1105296</v>
      </c>
      <c r="Q279" s="131">
        <v>1173060</v>
      </c>
      <c r="R279">
        <v>0</v>
      </c>
      <c r="S279" s="155">
        <v>43101</v>
      </c>
    </row>
    <row r="280" spans="2:19">
      <c r="B280">
        <v>2011</v>
      </c>
      <c r="C280">
        <v>40603</v>
      </c>
      <c r="D280" t="s">
        <v>482</v>
      </c>
      <c r="E280" t="s">
        <v>463</v>
      </c>
      <c r="F280">
        <v>26</v>
      </c>
      <c r="G280" s="131">
        <v>3</v>
      </c>
      <c r="H280" t="s">
        <v>189</v>
      </c>
      <c r="I280" t="s">
        <v>484</v>
      </c>
      <c r="J280" t="s">
        <v>2864</v>
      </c>
      <c r="K280" t="s">
        <v>483</v>
      </c>
      <c r="L280" t="s">
        <v>100</v>
      </c>
      <c r="M280" s="145">
        <v>94889</v>
      </c>
      <c r="N280" s="145">
        <v>81132</v>
      </c>
      <c r="O280" s="145">
        <v>13757</v>
      </c>
      <c r="P280" s="131">
        <v>1105296</v>
      </c>
      <c r="Q280" s="131">
        <v>1138668</v>
      </c>
      <c r="R280" t="s">
        <v>2410</v>
      </c>
      <c r="S280" s="155">
        <v>43101</v>
      </c>
    </row>
    <row r="281" spans="2:19">
      <c r="B281">
        <v>2016</v>
      </c>
      <c r="C281">
        <v>42436</v>
      </c>
      <c r="D281" t="s">
        <v>493</v>
      </c>
      <c r="E281" t="s">
        <v>463</v>
      </c>
      <c r="F281">
        <v>26</v>
      </c>
      <c r="G281" s="131">
        <v>2</v>
      </c>
      <c r="H281" t="s">
        <v>181</v>
      </c>
      <c r="I281" t="s">
        <v>522</v>
      </c>
      <c r="J281" t="s">
        <v>2865</v>
      </c>
      <c r="K281" t="s">
        <v>520</v>
      </c>
      <c r="L281" t="s">
        <v>62</v>
      </c>
      <c r="M281" s="145">
        <v>93488</v>
      </c>
      <c r="N281" s="145">
        <v>80039</v>
      </c>
      <c r="O281" s="145">
        <v>13449</v>
      </c>
      <c r="P281" s="131">
        <v>1105296</v>
      </c>
      <c r="Q281" s="131">
        <v>1121856</v>
      </c>
      <c r="R281" t="s">
        <v>2866</v>
      </c>
      <c r="S281" s="155">
        <v>43101</v>
      </c>
    </row>
    <row r="282" spans="2:19">
      <c r="B282">
        <v>2013</v>
      </c>
      <c r="C282">
        <v>41571</v>
      </c>
      <c r="D282" t="s">
        <v>2867</v>
      </c>
      <c r="E282" t="s">
        <v>157</v>
      </c>
      <c r="F282">
        <v>24</v>
      </c>
      <c r="G282" s="131">
        <v>2</v>
      </c>
      <c r="H282" t="s">
        <v>408</v>
      </c>
      <c r="I282" t="s">
        <v>603</v>
      </c>
      <c r="J282" t="s">
        <v>2868</v>
      </c>
      <c r="K282" t="s">
        <v>601</v>
      </c>
      <c r="L282" t="s">
        <v>62</v>
      </c>
      <c r="M282" s="145">
        <v>74397</v>
      </c>
      <c r="N282" s="145">
        <v>65296</v>
      </c>
      <c r="O282" s="145">
        <v>9101</v>
      </c>
      <c r="P282" s="131">
        <v>879588</v>
      </c>
      <c r="Q282" s="131">
        <v>892764</v>
      </c>
      <c r="R282">
        <v>0</v>
      </c>
      <c r="S282" s="155">
        <v>43101</v>
      </c>
    </row>
    <row r="283" spans="2:19">
      <c r="B283">
        <v>2013</v>
      </c>
      <c r="C283">
        <v>41519</v>
      </c>
      <c r="D283" t="s">
        <v>2437</v>
      </c>
      <c r="E283" t="s">
        <v>157</v>
      </c>
      <c r="F283">
        <v>22</v>
      </c>
      <c r="G283" s="131">
        <v>2</v>
      </c>
      <c r="H283" t="s">
        <v>211</v>
      </c>
      <c r="I283" t="s">
        <v>2869</v>
      </c>
      <c r="J283" t="s">
        <v>2870</v>
      </c>
      <c r="K283" t="s">
        <v>2871</v>
      </c>
      <c r="L283" t="s">
        <v>100</v>
      </c>
      <c r="M283" s="145">
        <v>59597</v>
      </c>
      <c r="N283" s="145">
        <v>53503</v>
      </c>
      <c r="O283" s="145">
        <v>6094</v>
      </c>
      <c r="P283" s="131">
        <v>704604</v>
      </c>
      <c r="Q283" s="131">
        <v>715164</v>
      </c>
      <c r="R283">
        <v>0</v>
      </c>
      <c r="S283" s="155">
        <v>43101</v>
      </c>
    </row>
    <row r="284" spans="2:19">
      <c r="B284">
        <v>2011</v>
      </c>
      <c r="C284">
        <v>40633</v>
      </c>
      <c r="D284" t="s">
        <v>2441</v>
      </c>
      <c r="E284" t="s">
        <v>157</v>
      </c>
      <c r="F284">
        <v>22</v>
      </c>
      <c r="G284" s="131">
        <v>3</v>
      </c>
      <c r="H284" t="s">
        <v>181</v>
      </c>
      <c r="I284" t="s">
        <v>568</v>
      </c>
      <c r="J284" t="s">
        <v>2872</v>
      </c>
      <c r="K284" t="s">
        <v>567</v>
      </c>
      <c r="L284" t="s">
        <v>62</v>
      </c>
      <c r="M284" s="145">
        <v>60491</v>
      </c>
      <c r="N284" s="145">
        <v>54234</v>
      </c>
      <c r="O284" s="145">
        <v>6257</v>
      </c>
      <c r="P284" s="131">
        <v>704604</v>
      </c>
      <c r="Q284" s="131">
        <v>725892</v>
      </c>
      <c r="R284">
        <v>0</v>
      </c>
      <c r="S284" s="155">
        <v>43101</v>
      </c>
    </row>
    <row r="285" spans="2:19">
      <c r="B285">
        <v>2014</v>
      </c>
      <c r="C285">
        <v>41711</v>
      </c>
      <c r="D285" t="s">
        <v>2446</v>
      </c>
      <c r="E285" t="s">
        <v>157</v>
      </c>
      <c r="F285">
        <v>22</v>
      </c>
      <c r="G285" s="131">
        <v>2</v>
      </c>
      <c r="H285" t="s">
        <v>189</v>
      </c>
      <c r="I285" t="s">
        <v>2873</v>
      </c>
      <c r="J285" t="s">
        <v>2874</v>
      </c>
      <c r="K285" t="s">
        <v>1966</v>
      </c>
      <c r="L285" t="s">
        <v>100</v>
      </c>
      <c r="M285" s="145">
        <v>59597</v>
      </c>
      <c r="N285" s="145">
        <v>53503</v>
      </c>
      <c r="O285" s="145">
        <v>6094</v>
      </c>
      <c r="P285" s="131">
        <v>704604</v>
      </c>
      <c r="Q285" s="131">
        <v>715164</v>
      </c>
      <c r="R285">
        <v>0</v>
      </c>
      <c r="S285" s="155">
        <v>43101</v>
      </c>
    </row>
    <row r="286" spans="2:19">
      <c r="B286">
        <v>2012</v>
      </c>
      <c r="C286">
        <v>41068</v>
      </c>
      <c r="D286" t="s">
        <v>2875</v>
      </c>
      <c r="E286" t="s">
        <v>157</v>
      </c>
      <c r="F286">
        <v>22</v>
      </c>
      <c r="G286" s="131">
        <v>2</v>
      </c>
      <c r="H286" t="s">
        <v>167</v>
      </c>
      <c r="I286" t="s">
        <v>913</v>
      </c>
      <c r="J286" t="s">
        <v>2876</v>
      </c>
      <c r="K286" t="s">
        <v>911</v>
      </c>
      <c r="L286" t="s">
        <v>100</v>
      </c>
      <c r="M286" s="145">
        <v>59597</v>
      </c>
      <c r="N286" s="145">
        <v>53503</v>
      </c>
      <c r="O286" s="145">
        <v>6094</v>
      </c>
      <c r="P286" s="131">
        <v>704604</v>
      </c>
      <c r="Q286" s="131">
        <v>715164</v>
      </c>
      <c r="R286">
        <v>0</v>
      </c>
      <c r="S286" s="155">
        <v>43101</v>
      </c>
    </row>
    <row r="287" spans="2:19">
      <c r="B287">
        <v>2011</v>
      </c>
      <c r="C287">
        <v>40658</v>
      </c>
      <c r="D287" t="s">
        <v>2452</v>
      </c>
      <c r="E287" t="s">
        <v>157</v>
      </c>
      <c r="F287">
        <v>22</v>
      </c>
      <c r="G287" s="131">
        <v>3</v>
      </c>
      <c r="H287" t="s">
        <v>174</v>
      </c>
      <c r="I287" t="s">
        <v>2691</v>
      </c>
      <c r="J287" t="s">
        <v>2877</v>
      </c>
      <c r="K287" t="s">
        <v>974</v>
      </c>
      <c r="L287" t="s">
        <v>62</v>
      </c>
      <c r="M287" s="145">
        <v>60491</v>
      </c>
      <c r="N287" s="145">
        <v>54234</v>
      </c>
      <c r="O287" s="145">
        <v>6257</v>
      </c>
      <c r="P287" s="131">
        <v>704604</v>
      </c>
      <c r="Q287" s="131">
        <v>725892</v>
      </c>
      <c r="R287">
        <v>0</v>
      </c>
      <c r="S287" s="155">
        <v>43101</v>
      </c>
    </row>
    <row r="288" spans="2:19">
      <c r="B288">
        <v>2014</v>
      </c>
      <c r="C288">
        <v>41704</v>
      </c>
      <c r="D288" t="s">
        <v>2878</v>
      </c>
      <c r="E288" t="s">
        <v>157</v>
      </c>
      <c r="F288">
        <v>22</v>
      </c>
      <c r="G288" s="131">
        <v>2</v>
      </c>
      <c r="H288" t="s">
        <v>211</v>
      </c>
      <c r="I288" t="s">
        <v>954</v>
      </c>
      <c r="J288" t="s">
        <v>2879</v>
      </c>
      <c r="K288" t="s">
        <v>952</v>
      </c>
      <c r="L288" t="s">
        <v>62</v>
      </c>
      <c r="M288" s="145">
        <v>59597</v>
      </c>
      <c r="N288" s="145">
        <v>53503</v>
      </c>
      <c r="O288" s="145">
        <v>6094</v>
      </c>
      <c r="P288" s="131">
        <v>704604</v>
      </c>
      <c r="Q288" s="131">
        <v>715164</v>
      </c>
      <c r="R288">
        <v>0</v>
      </c>
      <c r="S288" s="155">
        <v>43101</v>
      </c>
    </row>
    <row r="289" spans="2:19">
      <c r="B289">
        <v>2014</v>
      </c>
      <c r="C289">
        <v>41869</v>
      </c>
      <c r="D289" t="s">
        <v>2880</v>
      </c>
      <c r="E289" t="s">
        <v>157</v>
      </c>
      <c r="F289">
        <v>22</v>
      </c>
      <c r="G289" s="131">
        <v>2</v>
      </c>
      <c r="H289" t="s">
        <v>268</v>
      </c>
      <c r="I289" t="s">
        <v>1048</v>
      </c>
      <c r="J289" t="s">
        <v>2881</v>
      </c>
      <c r="K289" t="s">
        <v>595</v>
      </c>
      <c r="L289" t="s">
        <v>100</v>
      </c>
      <c r="M289" s="145">
        <v>59597</v>
      </c>
      <c r="N289" s="145">
        <v>53503</v>
      </c>
      <c r="O289" s="145">
        <v>6094</v>
      </c>
      <c r="P289" s="131">
        <v>704604</v>
      </c>
      <c r="Q289" s="131">
        <v>715164</v>
      </c>
      <c r="R289">
        <v>0</v>
      </c>
      <c r="S289" s="155">
        <v>43101</v>
      </c>
    </row>
    <row r="290" spans="2:19">
      <c r="B290">
        <v>2015</v>
      </c>
      <c r="C290">
        <v>42354</v>
      </c>
      <c r="D290" t="s">
        <v>2528</v>
      </c>
      <c r="E290" t="s">
        <v>157</v>
      </c>
      <c r="F290">
        <v>22</v>
      </c>
      <c r="G290" s="131">
        <v>1</v>
      </c>
      <c r="H290" t="s">
        <v>181</v>
      </c>
      <c r="I290" t="s">
        <v>237</v>
      </c>
      <c r="J290" t="s">
        <v>2882</v>
      </c>
      <c r="K290" t="s">
        <v>235</v>
      </c>
      <c r="L290" t="s">
        <v>100</v>
      </c>
      <c r="M290" s="145">
        <v>58717</v>
      </c>
      <c r="N290" s="145">
        <v>52783</v>
      </c>
      <c r="O290" s="145">
        <v>5934</v>
      </c>
      <c r="P290" s="131">
        <v>704604</v>
      </c>
      <c r="Q290" s="131">
        <v>704604</v>
      </c>
      <c r="R290">
        <v>0</v>
      </c>
      <c r="S290" s="155">
        <v>43101</v>
      </c>
    </row>
    <row r="291" spans="2:19">
      <c r="B291">
        <v>2011</v>
      </c>
      <c r="C291">
        <v>40648</v>
      </c>
      <c r="D291" t="s">
        <v>2531</v>
      </c>
      <c r="E291" t="s">
        <v>157</v>
      </c>
      <c r="F291">
        <v>22</v>
      </c>
      <c r="G291" s="131">
        <v>3</v>
      </c>
      <c r="H291" t="s">
        <v>268</v>
      </c>
      <c r="I291" t="s">
        <v>797</v>
      </c>
      <c r="J291" t="s">
        <v>764</v>
      </c>
      <c r="K291" t="s">
        <v>761</v>
      </c>
      <c r="L291" t="s">
        <v>62</v>
      </c>
      <c r="M291" s="145">
        <v>60491</v>
      </c>
      <c r="N291" s="145">
        <v>54234</v>
      </c>
      <c r="O291" s="145">
        <v>6257</v>
      </c>
      <c r="P291" s="131">
        <v>704604</v>
      </c>
      <c r="Q291" s="131">
        <v>725892</v>
      </c>
      <c r="R291">
        <v>0</v>
      </c>
      <c r="S291" s="155">
        <v>43101</v>
      </c>
    </row>
    <row r="292" spans="2:19">
      <c r="B292">
        <v>2011</v>
      </c>
      <c r="C292">
        <v>40637</v>
      </c>
      <c r="D292" t="s">
        <v>2883</v>
      </c>
      <c r="E292" t="s">
        <v>157</v>
      </c>
      <c r="F292">
        <v>22</v>
      </c>
      <c r="G292" s="131">
        <v>3</v>
      </c>
      <c r="H292" t="s">
        <v>174</v>
      </c>
      <c r="I292" t="s">
        <v>2694</v>
      </c>
      <c r="J292" t="s">
        <v>981</v>
      </c>
      <c r="K292" t="s">
        <v>834</v>
      </c>
      <c r="L292" t="s">
        <v>100</v>
      </c>
      <c r="M292" s="145">
        <v>60491</v>
      </c>
      <c r="N292" s="145">
        <v>54234</v>
      </c>
      <c r="O292" s="145">
        <v>6257</v>
      </c>
      <c r="P292" s="131">
        <v>704604</v>
      </c>
      <c r="Q292" s="131">
        <v>725892</v>
      </c>
      <c r="R292">
        <v>0</v>
      </c>
      <c r="S292" s="155">
        <v>43101</v>
      </c>
    </row>
    <row r="293" spans="2:19">
      <c r="B293">
        <v>2011</v>
      </c>
      <c r="C293">
        <v>40634</v>
      </c>
      <c r="D293" t="s">
        <v>2532</v>
      </c>
      <c r="E293" t="s">
        <v>157</v>
      </c>
      <c r="F293">
        <v>22</v>
      </c>
      <c r="G293" s="131">
        <v>3</v>
      </c>
      <c r="H293" t="s">
        <v>211</v>
      </c>
      <c r="I293" t="s">
        <v>898</v>
      </c>
      <c r="J293" t="s">
        <v>1061</v>
      </c>
      <c r="K293" t="s">
        <v>896</v>
      </c>
      <c r="L293" t="s">
        <v>100</v>
      </c>
      <c r="M293" s="145">
        <v>60491</v>
      </c>
      <c r="N293" s="145">
        <v>54234</v>
      </c>
      <c r="O293" s="145">
        <v>6257</v>
      </c>
      <c r="P293" s="131">
        <v>704604</v>
      </c>
      <c r="Q293" s="131">
        <v>725892</v>
      </c>
      <c r="R293">
        <v>0</v>
      </c>
      <c r="S293" s="155">
        <v>43101</v>
      </c>
    </row>
    <row r="294" spans="2:19">
      <c r="B294">
        <v>2016</v>
      </c>
      <c r="C294">
        <v>42376</v>
      </c>
      <c r="D294" t="s">
        <v>2884</v>
      </c>
      <c r="E294" t="s">
        <v>157</v>
      </c>
      <c r="F294">
        <v>22</v>
      </c>
      <c r="G294" s="131">
        <v>1</v>
      </c>
      <c r="H294" t="s">
        <v>408</v>
      </c>
      <c r="I294" t="s">
        <v>625</v>
      </c>
      <c r="J294" t="s">
        <v>2885</v>
      </c>
      <c r="K294" t="s">
        <v>623</v>
      </c>
      <c r="L294" t="s">
        <v>100</v>
      </c>
      <c r="M294" s="145">
        <v>58717</v>
      </c>
      <c r="N294" s="145">
        <v>52783</v>
      </c>
      <c r="O294" s="145">
        <v>5934</v>
      </c>
      <c r="P294" s="131">
        <v>704604</v>
      </c>
      <c r="Q294" s="131">
        <v>704604</v>
      </c>
      <c r="R294">
        <v>0</v>
      </c>
      <c r="S294" s="155">
        <v>43101</v>
      </c>
    </row>
    <row r="295" spans="2:19">
      <c r="B295">
        <v>2011</v>
      </c>
      <c r="C295">
        <v>40662</v>
      </c>
      <c r="D295" t="s">
        <v>1488</v>
      </c>
      <c r="E295" t="s">
        <v>165</v>
      </c>
      <c r="F295">
        <v>20</v>
      </c>
      <c r="G295" s="131">
        <v>3</v>
      </c>
      <c r="H295" t="s">
        <v>167</v>
      </c>
      <c r="I295" t="s">
        <v>192</v>
      </c>
      <c r="J295" t="s">
        <v>1064</v>
      </c>
      <c r="K295" t="s">
        <v>190</v>
      </c>
      <c r="L295" t="s">
        <v>100</v>
      </c>
      <c r="M295" s="145">
        <v>48457</v>
      </c>
      <c r="N295" s="145">
        <v>44440</v>
      </c>
      <c r="O295" s="145">
        <v>4017</v>
      </c>
      <c r="P295" s="131">
        <v>564444</v>
      </c>
      <c r="Q295" s="131">
        <v>581484</v>
      </c>
      <c r="R295">
        <v>0</v>
      </c>
      <c r="S295" s="155">
        <v>43101</v>
      </c>
    </row>
    <row r="296" spans="2:19">
      <c r="B296">
        <v>2011</v>
      </c>
      <c r="C296">
        <v>40896</v>
      </c>
      <c r="D296" t="s">
        <v>1489</v>
      </c>
      <c r="E296" t="s">
        <v>165</v>
      </c>
      <c r="F296">
        <v>20</v>
      </c>
      <c r="G296" s="131">
        <v>3</v>
      </c>
      <c r="H296" t="s">
        <v>268</v>
      </c>
      <c r="I296" t="s">
        <v>1134</v>
      </c>
      <c r="J296" t="s">
        <v>2886</v>
      </c>
      <c r="K296" t="s">
        <v>1132</v>
      </c>
      <c r="L296" t="s">
        <v>62</v>
      </c>
      <c r="M296" s="145">
        <v>48457</v>
      </c>
      <c r="N296" s="145">
        <v>44440</v>
      </c>
      <c r="O296" s="145">
        <v>4017</v>
      </c>
      <c r="P296" s="131">
        <v>564444</v>
      </c>
      <c r="Q296" s="131">
        <v>581484</v>
      </c>
      <c r="R296">
        <v>0</v>
      </c>
      <c r="S296" s="155">
        <v>43101</v>
      </c>
    </row>
    <row r="297" spans="2:19">
      <c r="B297">
        <v>2018</v>
      </c>
      <c r="C297">
        <v>43103</v>
      </c>
      <c r="D297" t="s">
        <v>1389</v>
      </c>
      <c r="E297" t="s">
        <v>157</v>
      </c>
      <c r="F297">
        <v>22</v>
      </c>
      <c r="G297" s="131">
        <v>1</v>
      </c>
      <c r="H297" t="s">
        <v>408</v>
      </c>
      <c r="I297" t="s">
        <v>692</v>
      </c>
      <c r="J297" t="s">
        <v>2887</v>
      </c>
      <c r="K297" t="s">
        <v>690</v>
      </c>
      <c r="L297" t="s">
        <v>100</v>
      </c>
      <c r="M297" s="145">
        <v>58717</v>
      </c>
      <c r="N297" s="145">
        <v>52783</v>
      </c>
      <c r="O297" s="145">
        <v>5934</v>
      </c>
      <c r="P297" s="131">
        <v>704604</v>
      </c>
      <c r="Q297" s="131">
        <v>704604</v>
      </c>
      <c r="R297">
        <v>0</v>
      </c>
      <c r="S297" s="155">
        <v>43101</v>
      </c>
    </row>
    <row r="298" spans="2:19">
      <c r="B298">
        <v>2017</v>
      </c>
      <c r="C298">
        <v>43070</v>
      </c>
      <c r="D298" t="s">
        <v>1397</v>
      </c>
      <c r="E298" t="s">
        <v>157</v>
      </c>
      <c r="F298">
        <v>22</v>
      </c>
      <c r="G298" s="131">
        <v>1</v>
      </c>
      <c r="H298" t="s">
        <v>408</v>
      </c>
      <c r="I298" t="s">
        <v>543</v>
      </c>
      <c r="J298" t="s">
        <v>2888</v>
      </c>
      <c r="K298" t="s">
        <v>240</v>
      </c>
      <c r="L298" t="s">
        <v>62</v>
      </c>
      <c r="M298" s="145">
        <v>58717</v>
      </c>
      <c r="N298" s="145">
        <v>52783</v>
      </c>
      <c r="O298" s="145">
        <v>5934</v>
      </c>
      <c r="P298" s="131">
        <v>704604</v>
      </c>
      <c r="Q298" s="131">
        <v>704604</v>
      </c>
      <c r="R298">
        <v>0</v>
      </c>
      <c r="S298" s="155">
        <v>43101</v>
      </c>
    </row>
    <row r="299" spans="2:19">
      <c r="B299">
        <v>2017</v>
      </c>
      <c r="C299">
        <v>43070</v>
      </c>
      <c r="D299" t="s">
        <v>1399</v>
      </c>
      <c r="E299" t="s">
        <v>157</v>
      </c>
      <c r="F299">
        <v>22</v>
      </c>
      <c r="G299" s="131">
        <v>1</v>
      </c>
      <c r="H299" t="s">
        <v>408</v>
      </c>
      <c r="I299" t="s">
        <v>1398</v>
      </c>
      <c r="J299" t="s">
        <v>2889</v>
      </c>
      <c r="K299" t="s">
        <v>675</v>
      </c>
      <c r="L299" t="s">
        <v>100</v>
      </c>
      <c r="M299" s="145">
        <v>58717</v>
      </c>
      <c r="N299" s="145">
        <v>52783</v>
      </c>
      <c r="O299" s="145">
        <v>5934</v>
      </c>
      <c r="P299" s="131">
        <v>704604</v>
      </c>
      <c r="Q299" s="131">
        <v>704604</v>
      </c>
      <c r="R299" t="s">
        <v>1207</v>
      </c>
      <c r="S299" s="155">
        <v>43101</v>
      </c>
    </row>
    <row r="300" spans="2:19">
      <c r="B300">
        <v>2011</v>
      </c>
      <c r="C300">
        <v>40896</v>
      </c>
      <c r="D300" t="s">
        <v>1491</v>
      </c>
      <c r="E300" t="s">
        <v>165</v>
      </c>
      <c r="F300">
        <v>20</v>
      </c>
      <c r="G300" s="131">
        <v>2</v>
      </c>
      <c r="H300" t="s">
        <v>189</v>
      </c>
      <c r="I300" t="s">
        <v>1094</v>
      </c>
      <c r="J300" t="s">
        <v>2890</v>
      </c>
      <c r="K300" t="s">
        <v>1093</v>
      </c>
      <c r="L300" t="s">
        <v>100</v>
      </c>
      <c r="M300" s="145">
        <v>47742</v>
      </c>
      <c r="N300" s="145">
        <v>43841</v>
      </c>
      <c r="O300" s="145">
        <v>3901</v>
      </c>
      <c r="P300" s="131">
        <v>564444</v>
      </c>
      <c r="Q300" s="131">
        <v>572904</v>
      </c>
      <c r="R300">
        <v>0</v>
      </c>
      <c r="S300" s="155">
        <v>43101</v>
      </c>
    </row>
    <row r="301" spans="2:19">
      <c r="B301">
        <v>2017</v>
      </c>
      <c r="C301">
        <v>43070</v>
      </c>
      <c r="D301" t="s">
        <v>1401</v>
      </c>
      <c r="E301" t="s">
        <v>157</v>
      </c>
      <c r="F301">
        <v>22</v>
      </c>
      <c r="G301" s="131">
        <v>1</v>
      </c>
      <c r="H301" t="s">
        <v>408</v>
      </c>
      <c r="I301" t="s">
        <v>1400</v>
      </c>
      <c r="J301" t="s">
        <v>2891</v>
      </c>
      <c r="K301" t="s">
        <v>2039</v>
      </c>
      <c r="L301" t="s">
        <v>62</v>
      </c>
      <c r="M301" s="145">
        <v>58717</v>
      </c>
      <c r="N301" s="145">
        <v>52783</v>
      </c>
      <c r="O301" s="145">
        <v>5934</v>
      </c>
      <c r="P301" s="131">
        <v>704604</v>
      </c>
      <c r="Q301" s="131">
        <v>704604</v>
      </c>
      <c r="R301">
        <v>0</v>
      </c>
      <c r="S301" s="155">
        <v>43101</v>
      </c>
    </row>
    <row r="302" spans="2:19">
      <c r="B302">
        <v>2017</v>
      </c>
      <c r="C302">
        <v>43070</v>
      </c>
      <c r="D302" t="s">
        <v>1402</v>
      </c>
      <c r="E302" t="s">
        <v>157</v>
      </c>
      <c r="F302">
        <v>22</v>
      </c>
      <c r="G302" s="131">
        <v>1</v>
      </c>
      <c r="H302" t="s">
        <v>408</v>
      </c>
      <c r="I302" t="s">
        <v>564</v>
      </c>
      <c r="J302" t="s">
        <v>2892</v>
      </c>
      <c r="K302" t="s">
        <v>562</v>
      </c>
      <c r="L302" t="s">
        <v>62</v>
      </c>
      <c r="M302" s="145">
        <v>58717</v>
      </c>
      <c r="N302" s="145">
        <v>52783</v>
      </c>
      <c r="O302" s="145">
        <v>5934</v>
      </c>
      <c r="P302" s="131">
        <v>704604</v>
      </c>
      <c r="Q302" s="131">
        <v>704604</v>
      </c>
      <c r="R302">
        <v>0</v>
      </c>
      <c r="S302" s="155">
        <v>43101</v>
      </c>
    </row>
    <row r="303" spans="2:19">
      <c r="B303">
        <v>2017</v>
      </c>
      <c r="C303">
        <v>43070</v>
      </c>
      <c r="D303" t="s">
        <v>1430</v>
      </c>
      <c r="E303" t="s">
        <v>157</v>
      </c>
      <c r="F303">
        <v>22</v>
      </c>
      <c r="G303" s="131">
        <v>1</v>
      </c>
      <c r="H303" t="s">
        <v>181</v>
      </c>
      <c r="I303" t="s">
        <v>1127</v>
      </c>
      <c r="J303" t="s">
        <v>2893</v>
      </c>
      <c r="K303" t="s">
        <v>1125</v>
      </c>
      <c r="L303" t="s">
        <v>100</v>
      </c>
      <c r="M303" s="145">
        <v>58717</v>
      </c>
      <c r="N303" s="145">
        <v>52783</v>
      </c>
      <c r="O303" s="145">
        <v>5934</v>
      </c>
      <c r="P303" s="131">
        <v>704604</v>
      </c>
      <c r="Q303" s="131">
        <v>704604</v>
      </c>
      <c r="R303" t="s">
        <v>1207</v>
      </c>
      <c r="S303" s="155">
        <v>43101</v>
      </c>
    </row>
    <row r="304" spans="2:19">
      <c r="B304">
        <v>2017</v>
      </c>
      <c r="C304">
        <v>43089</v>
      </c>
      <c r="D304" t="s">
        <v>1431</v>
      </c>
      <c r="E304" t="s">
        <v>157</v>
      </c>
      <c r="F304">
        <v>22</v>
      </c>
      <c r="G304" s="131">
        <v>1</v>
      </c>
      <c r="H304" t="s">
        <v>181</v>
      </c>
      <c r="I304" t="s">
        <v>959</v>
      </c>
      <c r="J304" t="s">
        <v>2894</v>
      </c>
      <c r="K304" t="s">
        <v>957</v>
      </c>
      <c r="L304" t="s">
        <v>100</v>
      </c>
      <c r="M304" s="145">
        <v>58717</v>
      </c>
      <c r="N304" s="145">
        <v>52783</v>
      </c>
      <c r="O304" s="145">
        <v>5934</v>
      </c>
      <c r="P304" s="131">
        <v>704604</v>
      </c>
      <c r="Q304" s="131">
        <v>704604</v>
      </c>
      <c r="R304" t="s">
        <v>1207</v>
      </c>
      <c r="S304" s="155">
        <v>43101</v>
      </c>
    </row>
    <row r="305" spans="2:19">
      <c r="B305">
        <v>2015</v>
      </c>
      <c r="C305">
        <v>42289</v>
      </c>
      <c r="D305" t="s">
        <v>575</v>
      </c>
      <c r="E305" t="s">
        <v>165</v>
      </c>
      <c r="F305">
        <v>20</v>
      </c>
      <c r="G305" s="131">
        <v>1</v>
      </c>
      <c r="H305" t="s">
        <v>408</v>
      </c>
      <c r="I305" t="s">
        <v>1490</v>
      </c>
      <c r="J305" t="s">
        <v>2895</v>
      </c>
      <c r="K305" t="s">
        <v>510</v>
      </c>
      <c r="L305" t="s">
        <v>100</v>
      </c>
      <c r="M305" s="145">
        <v>47037</v>
      </c>
      <c r="N305" s="145">
        <v>43250</v>
      </c>
      <c r="O305" s="145">
        <v>3787</v>
      </c>
      <c r="P305" s="131">
        <v>564444</v>
      </c>
      <c r="Q305" s="131">
        <v>564444</v>
      </c>
      <c r="R305">
        <v>0</v>
      </c>
      <c r="S305" s="155">
        <v>43101</v>
      </c>
    </row>
    <row r="306" spans="2:19">
      <c r="B306">
        <v>2017</v>
      </c>
      <c r="C306">
        <v>43070</v>
      </c>
      <c r="D306" t="s">
        <v>1403</v>
      </c>
      <c r="E306" t="s">
        <v>157</v>
      </c>
      <c r="F306">
        <v>22</v>
      </c>
      <c r="G306" s="131">
        <v>1</v>
      </c>
      <c r="H306" t="s">
        <v>408</v>
      </c>
      <c r="I306" t="s">
        <v>585</v>
      </c>
      <c r="J306" t="s">
        <v>2896</v>
      </c>
      <c r="K306" t="s">
        <v>583</v>
      </c>
      <c r="L306" t="s">
        <v>62</v>
      </c>
      <c r="M306" s="145">
        <v>58717</v>
      </c>
      <c r="N306" s="145">
        <v>52783</v>
      </c>
      <c r="O306" s="145">
        <v>5934</v>
      </c>
      <c r="P306" s="131">
        <v>704604</v>
      </c>
      <c r="Q306" s="131">
        <v>704604</v>
      </c>
      <c r="R306">
        <v>0</v>
      </c>
      <c r="S306" s="155">
        <v>43101</v>
      </c>
    </row>
    <row r="307" spans="2:19">
      <c r="B307">
        <v>2017</v>
      </c>
      <c r="C307">
        <v>43070</v>
      </c>
      <c r="D307" t="s">
        <v>1405</v>
      </c>
      <c r="E307" t="s">
        <v>157</v>
      </c>
      <c r="F307">
        <v>22</v>
      </c>
      <c r="G307" s="131">
        <v>1</v>
      </c>
      <c r="H307" t="s">
        <v>408</v>
      </c>
      <c r="I307" t="s">
        <v>1404</v>
      </c>
      <c r="J307" t="s">
        <v>2897</v>
      </c>
      <c r="K307" t="s">
        <v>2029</v>
      </c>
      <c r="L307" t="s">
        <v>100</v>
      </c>
      <c r="M307" s="145">
        <v>58717</v>
      </c>
      <c r="N307" s="145">
        <v>52783</v>
      </c>
      <c r="O307" s="145">
        <v>5934</v>
      </c>
      <c r="P307" s="131">
        <v>704604</v>
      </c>
      <c r="Q307" s="131">
        <v>704604</v>
      </c>
      <c r="R307">
        <v>0</v>
      </c>
      <c r="S307" s="155">
        <v>43101</v>
      </c>
    </row>
    <row r="308" spans="2:19">
      <c r="B308">
        <v>2017</v>
      </c>
      <c r="C308">
        <v>43070</v>
      </c>
      <c r="D308" t="s">
        <v>1406</v>
      </c>
      <c r="E308" t="s">
        <v>157</v>
      </c>
      <c r="F308">
        <v>22</v>
      </c>
      <c r="G308" s="131">
        <v>1</v>
      </c>
      <c r="H308" t="s">
        <v>408</v>
      </c>
      <c r="I308" t="s">
        <v>1120</v>
      </c>
      <c r="J308" t="s">
        <v>2898</v>
      </c>
      <c r="K308" t="s">
        <v>1118</v>
      </c>
      <c r="L308" t="s">
        <v>100</v>
      </c>
      <c r="M308" s="145">
        <v>58717</v>
      </c>
      <c r="N308" s="145">
        <v>52783</v>
      </c>
      <c r="O308" s="145">
        <v>5934</v>
      </c>
      <c r="P308" s="131">
        <v>704604</v>
      </c>
      <c r="Q308" s="131">
        <v>704604</v>
      </c>
      <c r="R308">
        <v>0</v>
      </c>
      <c r="S308" s="155">
        <v>43101</v>
      </c>
    </row>
    <row r="309" spans="2:19">
      <c r="B309">
        <v>1995</v>
      </c>
      <c r="C309">
        <v>34963</v>
      </c>
      <c r="D309" t="s">
        <v>606</v>
      </c>
      <c r="E309" t="s">
        <v>165</v>
      </c>
      <c r="F309">
        <v>20</v>
      </c>
      <c r="G309" s="131">
        <v>8</v>
      </c>
      <c r="H309" t="s">
        <v>408</v>
      </c>
      <c r="I309" t="s">
        <v>608</v>
      </c>
      <c r="J309" t="s">
        <v>2899</v>
      </c>
      <c r="K309" t="s">
        <v>423</v>
      </c>
      <c r="L309" t="s">
        <v>100</v>
      </c>
      <c r="M309" s="145">
        <v>52199</v>
      </c>
      <c r="N309" s="145">
        <v>47559</v>
      </c>
      <c r="O309" s="145">
        <v>4640</v>
      </c>
      <c r="P309" s="131">
        <v>564444</v>
      </c>
      <c r="Q309" s="131">
        <v>626388</v>
      </c>
      <c r="R309">
        <v>0</v>
      </c>
      <c r="S309" s="155">
        <v>43101</v>
      </c>
    </row>
    <row r="310" spans="2:19">
      <c r="B310">
        <v>2017</v>
      </c>
      <c r="C310">
        <v>43070</v>
      </c>
      <c r="D310" t="s">
        <v>1408</v>
      </c>
      <c r="E310" t="s">
        <v>157</v>
      </c>
      <c r="F310">
        <v>22</v>
      </c>
      <c r="G310" s="131">
        <v>1</v>
      </c>
      <c r="H310" t="s">
        <v>408</v>
      </c>
      <c r="I310" t="s">
        <v>1407</v>
      </c>
      <c r="J310" t="s">
        <v>2900</v>
      </c>
      <c r="K310" t="s">
        <v>611</v>
      </c>
      <c r="L310" t="s">
        <v>100</v>
      </c>
      <c r="M310" s="145">
        <v>58717</v>
      </c>
      <c r="N310" s="145">
        <v>52783</v>
      </c>
      <c r="O310" s="145">
        <v>5934</v>
      </c>
      <c r="P310" s="131">
        <v>704604</v>
      </c>
      <c r="Q310" s="131">
        <v>704604</v>
      </c>
      <c r="R310">
        <v>0</v>
      </c>
      <c r="S310" s="155">
        <v>43101</v>
      </c>
    </row>
    <row r="311" spans="2:19">
      <c r="B311">
        <v>2017</v>
      </c>
      <c r="C311">
        <v>43070</v>
      </c>
      <c r="D311" t="s">
        <v>1409</v>
      </c>
      <c r="E311" t="s">
        <v>157</v>
      </c>
      <c r="F311">
        <v>22</v>
      </c>
      <c r="G311" s="131">
        <v>1</v>
      </c>
      <c r="H311" t="s">
        <v>408</v>
      </c>
      <c r="I311" t="s">
        <v>619</v>
      </c>
      <c r="J311" t="s">
        <v>2901</v>
      </c>
      <c r="K311" t="s">
        <v>562</v>
      </c>
      <c r="L311" t="s">
        <v>62</v>
      </c>
      <c r="M311" s="145">
        <v>58717</v>
      </c>
      <c r="N311" s="145">
        <v>52783</v>
      </c>
      <c r="O311" s="145">
        <v>5934</v>
      </c>
      <c r="P311" s="131">
        <v>704604</v>
      </c>
      <c r="Q311" s="131">
        <v>704604</v>
      </c>
      <c r="R311" t="s">
        <v>1207</v>
      </c>
      <c r="S311" s="155">
        <v>43101</v>
      </c>
    </row>
    <row r="312" spans="2:19">
      <c r="B312">
        <v>2017</v>
      </c>
      <c r="C312">
        <v>43070</v>
      </c>
      <c r="D312" t="s">
        <v>1392</v>
      </c>
      <c r="E312" t="s">
        <v>157</v>
      </c>
      <c r="F312">
        <v>22</v>
      </c>
      <c r="G312" s="131">
        <v>1</v>
      </c>
      <c r="H312" t="s">
        <v>408</v>
      </c>
      <c r="I312" t="s">
        <v>1054</v>
      </c>
      <c r="J312" t="s">
        <v>2902</v>
      </c>
      <c r="K312" t="s">
        <v>1052</v>
      </c>
      <c r="L312" t="s">
        <v>62</v>
      </c>
      <c r="M312" s="145">
        <v>58717</v>
      </c>
      <c r="N312" s="145">
        <v>52783</v>
      </c>
      <c r="O312" s="145">
        <v>5934</v>
      </c>
      <c r="P312" s="131">
        <v>704604</v>
      </c>
      <c r="Q312" s="131">
        <v>704604</v>
      </c>
      <c r="R312">
        <v>0</v>
      </c>
      <c r="S312" s="155">
        <v>43101</v>
      </c>
    </row>
    <row r="313" spans="2:19">
      <c r="B313">
        <v>2017</v>
      </c>
      <c r="C313">
        <v>43070</v>
      </c>
      <c r="D313" t="s">
        <v>1410</v>
      </c>
      <c r="E313" t="s">
        <v>157</v>
      </c>
      <c r="F313">
        <v>22</v>
      </c>
      <c r="G313" s="131">
        <v>1</v>
      </c>
      <c r="H313" t="s">
        <v>408</v>
      </c>
      <c r="I313" t="s">
        <v>631</v>
      </c>
      <c r="J313" t="s">
        <v>2903</v>
      </c>
      <c r="K313" t="s">
        <v>629</v>
      </c>
      <c r="L313" t="s">
        <v>62</v>
      </c>
      <c r="M313" s="145">
        <v>58717</v>
      </c>
      <c r="N313" s="145">
        <v>52783</v>
      </c>
      <c r="O313" s="145">
        <v>5934</v>
      </c>
      <c r="P313" s="131">
        <v>704604</v>
      </c>
      <c r="Q313" s="131">
        <v>704604</v>
      </c>
      <c r="R313">
        <v>0</v>
      </c>
      <c r="S313" s="155">
        <v>43101</v>
      </c>
    </row>
    <row r="314" spans="2:19">
      <c r="B314">
        <v>2017</v>
      </c>
      <c r="C314">
        <v>43070</v>
      </c>
      <c r="D314" t="s">
        <v>1411</v>
      </c>
      <c r="E314" t="s">
        <v>157</v>
      </c>
      <c r="F314">
        <v>22</v>
      </c>
      <c r="G314" s="131">
        <v>1</v>
      </c>
      <c r="H314" t="s">
        <v>408</v>
      </c>
      <c r="I314" t="s">
        <v>637</v>
      </c>
      <c r="J314" t="s">
        <v>2904</v>
      </c>
      <c r="K314" t="s">
        <v>635</v>
      </c>
      <c r="L314" t="s">
        <v>100</v>
      </c>
      <c r="M314" s="145">
        <v>58717</v>
      </c>
      <c r="N314" s="145">
        <v>52783</v>
      </c>
      <c r="O314" s="145">
        <v>5934</v>
      </c>
      <c r="P314" s="131">
        <v>704604</v>
      </c>
      <c r="Q314" s="131">
        <v>704604</v>
      </c>
      <c r="R314">
        <v>0</v>
      </c>
      <c r="S314" s="155">
        <v>43101</v>
      </c>
    </row>
    <row r="315" spans="2:19">
      <c r="B315">
        <v>2017</v>
      </c>
      <c r="C315">
        <v>43070</v>
      </c>
      <c r="D315" t="s">
        <v>1413</v>
      </c>
      <c r="E315" t="s">
        <v>157</v>
      </c>
      <c r="F315">
        <v>22</v>
      </c>
      <c r="G315" s="131">
        <v>1</v>
      </c>
      <c r="H315" t="s">
        <v>408</v>
      </c>
      <c r="I315" t="s">
        <v>1412</v>
      </c>
      <c r="J315" t="s">
        <v>2905</v>
      </c>
      <c r="K315" t="s">
        <v>467</v>
      </c>
      <c r="L315" t="s">
        <v>62</v>
      </c>
      <c r="M315" s="145">
        <v>58717</v>
      </c>
      <c r="N315" s="145">
        <v>52783</v>
      </c>
      <c r="O315" s="145">
        <v>5934</v>
      </c>
      <c r="P315" s="131">
        <v>704604</v>
      </c>
      <c r="Q315" s="131">
        <v>704604</v>
      </c>
      <c r="R315">
        <v>0</v>
      </c>
      <c r="S315" s="155">
        <v>43101</v>
      </c>
    </row>
    <row r="316" spans="2:19">
      <c r="B316">
        <v>2017</v>
      </c>
      <c r="C316">
        <v>43070</v>
      </c>
      <c r="D316" t="s">
        <v>1414</v>
      </c>
      <c r="E316" t="s">
        <v>157</v>
      </c>
      <c r="F316">
        <v>22</v>
      </c>
      <c r="G316" s="131">
        <v>1</v>
      </c>
      <c r="H316" t="s">
        <v>408</v>
      </c>
      <c r="I316" t="s">
        <v>648</v>
      </c>
      <c r="J316" t="s">
        <v>2906</v>
      </c>
      <c r="K316" t="s">
        <v>595</v>
      </c>
      <c r="L316" t="s">
        <v>100</v>
      </c>
      <c r="M316" s="145">
        <v>58717</v>
      </c>
      <c r="N316" s="145">
        <v>52783</v>
      </c>
      <c r="O316" s="145">
        <v>5934</v>
      </c>
      <c r="P316" s="131">
        <v>704604</v>
      </c>
      <c r="Q316" s="131">
        <v>704604</v>
      </c>
      <c r="R316" t="s">
        <v>1207</v>
      </c>
      <c r="S316" s="155">
        <v>43101</v>
      </c>
    </row>
    <row r="317" spans="2:19">
      <c r="B317">
        <v>2017</v>
      </c>
      <c r="C317">
        <v>43070</v>
      </c>
      <c r="D317" t="s">
        <v>1415</v>
      </c>
      <c r="E317" t="s">
        <v>157</v>
      </c>
      <c r="F317">
        <v>22</v>
      </c>
      <c r="G317" s="131">
        <v>1</v>
      </c>
      <c r="H317" t="s">
        <v>408</v>
      </c>
      <c r="I317" t="s">
        <v>965</v>
      </c>
      <c r="J317" t="s">
        <v>2907</v>
      </c>
      <c r="K317" t="s">
        <v>963</v>
      </c>
      <c r="L317" t="s">
        <v>100</v>
      </c>
      <c r="M317" s="145">
        <v>58717</v>
      </c>
      <c r="N317" s="145">
        <v>52783</v>
      </c>
      <c r="O317" s="145">
        <v>5934</v>
      </c>
      <c r="P317" s="131">
        <v>704604</v>
      </c>
      <c r="Q317" s="131">
        <v>704604</v>
      </c>
      <c r="R317">
        <v>0</v>
      </c>
      <c r="S317" s="155">
        <v>43101</v>
      </c>
    </row>
    <row r="318" spans="2:19">
      <c r="B318">
        <v>2017</v>
      </c>
      <c r="C318">
        <v>43070</v>
      </c>
      <c r="D318" t="s">
        <v>1416</v>
      </c>
      <c r="E318" t="s">
        <v>157</v>
      </c>
      <c r="F318">
        <v>22</v>
      </c>
      <c r="G318" s="131">
        <v>1</v>
      </c>
      <c r="H318" t="s">
        <v>408</v>
      </c>
      <c r="I318" t="s">
        <v>659</v>
      </c>
      <c r="J318" t="s">
        <v>2908</v>
      </c>
      <c r="K318" t="s">
        <v>483</v>
      </c>
      <c r="L318" t="s">
        <v>62</v>
      </c>
      <c r="M318" s="145">
        <v>58717</v>
      </c>
      <c r="N318" s="145">
        <v>52783</v>
      </c>
      <c r="O318" s="145">
        <v>5934</v>
      </c>
      <c r="P318" s="131">
        <v>704604</v>
      </c>
      <c r="Q318" s="131">
        <v>704604</v>
      </c>
      <c r="R318">
        <v>0</v>
      </c>
      <c r="S318" s="155">
        <v>43101</v>
      </c>
    </row>
    <row r="319" spans="2:19">
      <c r="B319">
        <v>2017</v>
      </c>
      <c r="C319">
        <v>43070</v>
      </c>
      <c r="D319" t="s">
        <v>1417</v>
      </c>
      <c r="E319" t="s">
        <v>157</v>
      </c>
      <c r="F319">
        <v>22</v>
      </c>
      <c r="G319" s="131">
        <v>1</v>
      </c>
      <c r="H319" t="s">
        <v>408</v>
      </c>
      <c r="I319" t="s">
        <v>665</v>
      </c>
      <c r="J319" t="s">
        <v>2909</v>
      </c>
      <c r="K319" t="s">
        <v>663</v>
      </c>
      <c r="L319" t="s">
        <v>100</v>
      </c>
      <c r="M319" s="145">
        <v>58717</v>
      </c>
      <c r="N319" s="145">
        <v>52783</v>
      </c>
      <c r="O319" s="145">
        <v>5934</v>
      </c>
      <c r="P319" s="131">
        <v>704604</v>
      </c>
      <c r="Q319" s="131">
        <v>704604</v>
      </c>
      <c r="R319">
        <v>0</v>
      </c>
      <c r="S319" s="155">
        <v>43101</v>
      </c>
    </row>
    <row r="320" spans="2:19">
      <c r="B320">
        <v>2017</v>
      </c>
      <c r="C320">
        <v>43087</v>
      </c>
      <c r="D320" t="s">
        <v>1418</v>
      </c>
      <c r="E320" t="s">
        <v>157</v>
      </c>
      <c r="F320">
        <v>22</v>
      </c>
      <c r="G320" s="131">
        <v>1</v>
      </c>
      <c r="H320" t="s">
        <v>408</v>
      </c>
      <c r="I320" t="s">
        <v>108</v>
      </c>
      <c r="J320" t="s">
        <v>2910</v>
      </c>
      <c r="K320" t="s">
        <v>106</v>
      </c>
      <c r="L320" t="s">
        <v>62</v>
      </c>
      <c r="M320" s="145">
        <v>58717</v>
      </c>
      <c r="N320" s="145">
        <v>52783</v>
      </c>
      <c r="O320" s="145">
        <v>5934</v>
      </c>
      <c r="P320" s="131">
        <v>704604</v>
      </c>
      <c r="Q320" s="131">
        <v>704604</v>
      </c>
      <c r="R320">
        <v>0</v>
      </c>
      <c r="S320" s="155">
        <v>43101</v>
      </c>
    </row>
    <row r="321" spans="2:19">
      <c r="B321">
        <v>2017</v>
      </c>
      <c r="C321">
        <v>43070</v>
      </c>
      <c r="D321" t="s">
        <v>1419</v>
      </c>
      <c r="E321" t="s">
        <v>157</v>
      </c>
      <c r="F321">
        <v>22</v>
      </c>
      <c r="G321" s="131">
        <v>1</v>
      </c>
      <c r="H321" t="s">
        <v>408</v>
      </c>
      <c r="I321" t="s">
        <v>677</v>
      </c>
      <c r="J321" t="s">
        <v>2911</v>
      </c>
      <c r="K321" t="s">
        <v>675</v>
      </c>
      <c r="L321" t="s">
        <v>62</v>
      </c>
      <c r="M321" s="145">
        <v>58717</v>
      </c>
      <c r="N321" s="145">
        <v>52783</v>
      </c>
      <c r="O321" s="145">
        <v>5934</v>
      </c>
      <c r="P321" s="131">
        <v>704604</v>
      </c>
      <c r="Q321" s="131">
        <v>704604</v>
      </c>
      <c r="R321">
        <v>0</v>
      </c>
      <c r="S321" s="155">
        <v>43101</v>
      </c>
    </row>
    <row r="322" spans="2:19">
      <c r="B322">
        <v>2017</v>
      </c>
      <c r="C322">
        <v>43070</v>
      </c>
      <c r="D322" t="s">
        <v>1420</v>
      </c>
      <c r="E322" t="s">
        <v>157</v>
      </c>
      <c r="F322">
        <v>22</v>
      </c>
      <c r="G322" s="131">
        <v>1</v>
      </c>
      <c r="H322" t="s">
        <v>408</v>
      </c>
      <c r="I322" t="s">
        <v>683</v>
      </c>
      <c r="J322" t="s">
        <v>2912</v>
      </c>
      <c r="K322" t="s">
        <v>681</v>
      </c>
      <c r="L322" t="s">
        <v>62</v>
      </c>
      <c r="M322" s="145">
        <v>58717</v>
      </c>
      <c r="N322" s="145">
        <v>52783</v>
      </c>
      <c r="O322" s="145">
        <v>5934</v>
      </c>
      <c r="P322" s="131">
        <v>704604</v>
      </c>
      <c r="Q322" s="131">
        <v>704604</v>
      </c>
      <c r="R322">
        <v>0</v>
      </c>
      <c r="S322" s="155">
        <v>43101</v>
      </c>
    </row>
    <row r="323" spans="2:19">
      <c r="B323">
        <v>2017</v>
      </c>
      <c r="C323">
        <v>43070</v>
      </c>
      <c r="D323" t="s">
        <v>1421</v>
      </c>
      <c r="E323" t="s">
        <v>157</v>
      </c>
      <c r="F323">
        <v>22</v>
      </c>
      <c r="G323" s="131">
        <v>1</v>
      </c>
      <c r="H323" t="s">
        <v>408</v>
      </c>
      <c r="I323" t="s">
        <v>687</v>
      </c>
      <c r="J323" t="s">
        <v>2913</v>
      </c>
      <c r="K323" t="s">
        <v>205</v>
      </c>
      <c r="L323" t="s">
        <v>100</v>
      </c>
      <c r="M323" s="145">
        <v>58717</v>
      </c>
      <c r="N323" s="145">
        <v>52783</v>
      </c>
      <c r="O323" s="145">
        <v>5934</v>
      </c>
      <c r="P323" s="131">
        <v>704604</v>
      </c>
      <c r="Q323" s="131">
        <v>704604</v>
      </c>
      <c r="R323">
        <v>0</v>
      </c>
      <c r="S323" s="155">
        <v>43101</v>
      </c>
    </row>
    <row r="324" spans="2:19">
      <c r="B324">
        <v>2017</v>
      </c>
      <c r="C324">
        <v>43070</v>
      </c>
      <c r="D324" t="s">
        <v>1422</v>
      </c>
      <c r="E324" t="s">
        <v>157</v>
      </c>
      <c r="F324">
        <v>22</v>
      </c>
      <c r="G324" s="131">
        <v>1</v>
      </c>
      <c r="H324" t="s">
        <v>408</v>
      </c>
      <c r="I324" t="s">
        <v>697</v>
      </c>
      <c r="J324" t="s">
        <v>2914</v>
      </c>
      <c r="K324" t="s">
        <v>681</v>
      </c>
      <c r="L324" t="s">
        <v>100</v>
      </c>
      <c r="M324" s="145">
        <v>58717</v>
      </c>
      <c r="N324" s="145">
        <v>52783</v>
      </c>
      <c r="O324" s="145">
        <v>5934</v>
      </c>
      <c r="P324" s="131">
        <v>704604</v>
      </c>
      <c r="Q324" s="131">
        <v>704604</v>
      </c>
      <c r="R324" t="s">
        <v>1207</v>
      </c>
      <c r="S324" s="155">
        <v>43101</v>
      </c>
    </row>
    <row r="325" spans="2:19">
      <c r="B325">
        <v>2017</v>
      </c>
      <c r="C325">
        <v>43070</v>
      </c>
      <c r="D325" t="s">
        <v>1424</v>
      </c>
      <c r="E325" t="s">
        <v>157</v>
      </c>
      <c r="F325">
        <v>22</v>
      </c>
      <c r="G325" s="131">
        <v>1</v>
      </c>
      <c r="H325" t="s">
        <v>408</v>
      </c>
      <c r="I325" t="s">
        <v>403</v>
      </c>
      <c r="J325" t="s">
        <v>2915</v>
      </c>
      <c r="K325" t="s">
        <v>401</v>
      </c>
      <c r="L325" t="s">
        <v>62</v>
      </c>
      <c r="M325" s="145">
        <v>58717</v>
      </c>
      <c r="N325" s="145">
        <v>52783</v>
      </c>
      <c r="O325" s="145">
        <v>5934</v>
      </c>
      <c r="P325" s="131">
        <v>704604</v>
      </c>
      <c r="Q325" s="131">
        <v>704604</v>
      </c>
      <c r="R325">
        <v>0</v>
      </c>
      <c r="S325" s="155">
        <v>43101</v>
      </c>
    </row>
    <row r="326" spans="2:19">
      <c r="B326">
        <v>2002</v>
      </c>
      <c r="C326">
        <v>37561</v>
      </c>
      <c r="D326" t="s">
        <v>710</v>
      </c>
      <c r="E326" t="s">
        <v>165</v>
      </c>
      <c r="F326">
        <v>20</v>
      </c>
      <c r="G326" s="131">
        <v>6</v>
      </c>
      <c r="H326" t="s">
        <v>167</v>
      </c>
      <c r="I326" t="s">
        <v>171</v>
      </c>
      <c r="J326" t="s">
        <v>2544</v>
      </c>
      <c r="K326" t="s">
        <v>168</v>
      </c>
      <c r="L326" t="s">
        <v>62</v>
      </c>
      <c r="M326" s="145">
        <v>50669</v>
      </c>
      <c r="N326" s="145">
        <v>46285</v>
      </c>
      <c r="O326" s="145">
        <v>4384</v>
      </c>
      <c r="P326" s="131">
        <v>564444</v>
      </c>
      <c r="Q326" s="131">
        <v>608028</v>
      </c>
      <c r="R326" t="s">
        <v>2527</v>
      </c>
      <c r="S326" s="155">
        <v>43101</v>
      </c>
    </row>
    <row r="327" spans="2:19">
      <c r="B327">
        <v>2016</v>
      </c>
      <c r="C327">
        <v>42597</v>
      </c>
      <c r="D327" t="s">
        <v>1395</v>
      </c>
      <c r="E327" t="s">
        <v>157</v>
      </c>
      <c r="F327">
        <v>22</v>
      </c>
      <c r="G327" s="131">
        <v>1</v>
      </c>
      <c r="H327" t="s">
        <v>167</v>
      </c>
      <c r="I327" t="s">
        <v>730</v>
      </c>
      <c r="J327" t="s">
        <v>2916</v>
      </c>
      <c r="K327" t="s">
        <v>728</v>
      </c>
      <c r="L327" t="s">
        <v>100</v>
      </c>
      <c r="M327" s="145">
        <v>58717</v>
      </c>
      <c r="N327" s="145">
        <v>52783</v>
      </c>
      <c r="O327" s="145">
        <v>5934</v>
      </c>
      <c r="P327" s="131">
        <v>704604</v>
      </c>
      <c r="Q327" s="131">
        <v>704604</v>
      </c>
      <c r="R327">
        <v>0</v>
      </c>
      <c r="S327" s="155">
        <v>43101</v>
      </c>
    </row>
    <row r="328" spans="2:19">
      <c r="B328">
        <v>2017</v>
      </c>
      <c r="C328">
        <v>43070</v>
      </c>
      <c r="D328" t="s">
        <v>1438</v>
      </c>
      <c r="E328" t="s">
        <v>157</v>
      </c>
      <c r="F328">
        <v>22</v>
      </c>
      <c r="G328" s="131">
        <v>1</v>
      </c>
      <c r="H328" t="s">
        <v>167</v>
      </c>
      <c r="I328" t="s">
        <v>724</v>
      </c>
      <c r="J328" t="s">
        <v>2917</v>
      </c>
      <c r="K328" t="s">
        <v>722</v>
      </c>
      <c r="L328" t="s">
        <v>100</v>
      </c>
      <c r="M328" s="145">
        <v>58717</v>
      </c>
      <c r="N328" s="145">
        <v>52783</v>
      </c>
      <c r="O328" s="145">
        <v>5934</v>
      </c>
      <c r="P328" s="131">
        <v>704604</v>
      </c>
      <c r="Q328" s="131">
        <v>704604</v>
      </c>
      <c r="R328">
        <v>0</v>
      </c>
      <c r="S328" s="155">
        <v>43101</v>
      </c>
    </row>
    <row r="329" spans="2:19">
      <c r="B329">
        <v>2017</v>
      </c>
      <c r="C329">
        <v>43087</v>
      </c>
      <c r="D329" t="s">
        <v>1440</v>
      </c>
      <c r="E329" t="s">
        <v>157</v>
      </c>
      <c r="F329">
        <v>22</v>
      </c>
      <c r="G329" s="131">
        <v>1</v>
      </c>
      <c r="H329" t="s">
        <v>167</v>
      </c>
      <c r="I329" t="s">
        <v>1439</v>
      </c>
      <c r="J329" t="s">
        <v>2918</v>
      </c>
      <c r="K329" t="s">
        <v>2069</v>
      </c>
      <c r="L329" t="s">
        <v>100</v>
      </c>
      <c r="M329" s="145">
        <v>58717</v>
      </c>
      <c r="N329" s="145">
        <v>52783</v>
      </c>
      <c r="O329" s="145">
        <v>5934</v>
      </c>
      <c r="P329" s="131">
        <v>704604</v>
      </c>
      <c r="Q329" s="131">
        <v>704604</v>
      </c>
      <c r="R329">
        <v>0</v>
      </c>
      <c r="S329" s="155">
        <v>43101</v>
      </c>
    </row>
    <row r="330" spans="2:19">
      <c r="B330">
        <v>2017</v>
      </c>
      <c r="C330">
        <v>43070</v>
      </c>
      <c r="D330" t="s">
        <v>1441</v>
      </c>
      <c r="E330" t="s">
        <v>157</v>
      </c>
      <c r="F330">
        <v>22</v>
      </c>
      <c r="G330" s="131">
        <v>1</v>
      </c>
      <c r="H330" t="s">
        <v>167</v>
      </c>
      <c r="I330" t="s">
        <v>735</v>
      </c>
      <c r="J330" t="s">
        <v>2919</v>
      </c>
      <c r="K330" t="s">
        <v>733</v>
      </c>
      <c r="L330" t="s">
        <v>100</v>
      </c>
      <c r="M330" s="145">
        <v>58717</v>
      </c>
      <c r="N330" s="145">
        <v>52783</v>
      </c>
      <c r="O330" s="145">
        <v>5934</v>
      </c>
      <c r="P330" s="131">
        <v>704604</v>
      </c>
      <c r="Q330" s="131">
        <v>704604</v>
      </c>
      <c r="R330">
        <v>0</v>
      </c>
      <c r="S330" s="155">
        <v>43101</v>
      </c>
    </row>
    <row r="331" spans="2:19">
      <c r="B331">
        <v>2017</v>
      </c>
      <c r="C331">
        <v>43070</v>
      </c>
      <c r="D331" t="s">
        <v>1442</v>
      </c>
      <c r="E331" t="s">
        <v>157</v>
      </c>
      <c r="F331">
        <v>22</v>
      </c>
      <c r="G331" s="131">
        <v>1</v>
      </c>
      <c r="H331" t="s">
        <v>167</v>
      </c>
      <c r="I331" t="s">
        <v>741</v>
      </c>
      <c r="J331" t="s">
        <v>2920</v>
      </c>
      <c r="K331" t="s">
        <v>739</v>
      </c>
      <c r="L331" t="s">
        <v>100</v>
      </c>
      <c r="M331" s="145">
        <v>58717</v>
      </c>
      <c r="N331" s="145">
        <v>52783</v>
      </c>
      <c r="O331" s="145">
        <v>5934</v>
      </c>
      <c r="P331" s="131">
        <v>704604</v>
      </c>
      <c r="Q331" s="131">
        <v>704604</v>
      </c>
      <c r="R331" t="s">
        <v>1207</v>
      </c>
      <c r="S331" s="155">
        <v>43101</v>
      </c>
    </row>
    <row r="332" spans="2:19">
      <c r="B332">
        <v>2017</v>
      </c>
      <c r="C332">
        <v>43070</v>
      </c>
      <c r="D332" t="s">
        <v>1443</v>
      </c>
      <c r="E332" t="s">
        <v>157</v>
      </c>
      <c r="F332">
        <v>22</v>
      </c>
      <c r="G332" s="131">
        <v>1</v>
      </c>
      <c r="H332" t="s">
        <v>167</v>
      </c>
      <c r="I332" t="s">
        <v>830</v>
      </c>
      <c r="J332" t="s">
        <v>2921</v>
      </c>
      <c r="K332" t="s">
        <v>733</v>
      </c>
      <c r="L332" t="s">
        <v>62</v>
      </c>
      <c r="M332" s="145">
        <v>58717</v>
      </c>
      <c r="N332" s="145">
        <v>52783</v>
      </c>
      <c r="O332" s="145">
        <v>5934</v>
      </c>
      <c r="P332" s="131">
        <v>704604</v>
      </c>
      <c r="Q332" s="131">
        <v>704604</v>
      </c>
      <c r="R332">
        <v>0</v>
      </c>
      <c r="S332" s="155">
        <v>43101</v>
      </c>
    </row>
    <row r="333" spans="2:19">
      <c r="B333">
        <v>2017</v>
      </c>
      <c r="C333">
        <v>43070</v>
      </c>
      <c r="D333" t="s">
        <v>1444</v>
      </c>
      <c r="E333" t="s">
        <v>157</v>
      </c>
      <c r="F333">
        <v>22</v>
      </c>
      <c r="G333" s="131">
        <v>1</v>
      </c>
      <c r="H333" t="s">
        <v>167</v>
      </c>
      <c r="I333" t="s">
        <v>1288</v>
      </c>
      <c r="J333" t="s">
        <v>2922</v>
      </c>
      <c r="K333" t="s">
        <v>1286</v>
      </c>
      <c r="L333" t="s">
        <v>62</v>
      </c>
      <c r="M333" s="145">
        <v>58717</v>
      </c>
      <c r="N333" s="145">
        <v>52783</v>
      </c>
      <c r="O333" s="145">
        <v>5934</v>
      </c>
      <c r="P333" s="131">
        <v>704604</v>
      </c>
      <c r="Q333" s="131">
        <v>704604</v>
      </c>
      <c r="R333" t="s">
        <v>1207</v>
      </c>
      <c r="S333" s="155">
        <v>43101</v>
      </c>
    </row>
    <row r="334" spans="2:19">
      <c r="B334">
        <v>2002</v>
      </c>
      <c r="C334">
        <v>37453</v>
      </c>
      <c r="D334" t="s">
        <v>754</v>
      </c>
      <c r="E334" t="s">
        <v>165</v>
      </c>
      <c r="F334">
        <v>20</v>
      </c>
      <c r="G334" s="131">
        <v>6</v>
      </c>
      <c r="H334" t="s">
        <v>167</v>
      </c>
      <c r="I334" t="s">
        <v>1058</v>
      </c>
      <c r="J334" t="s">
        <v>2923</v>
      </c>
      <c r="K334" t="s">
        <v>1057</v>
      </c>
      <c r="L334" t="s">
        <v>100</v>
      </c>
      <c r="M334" s="145">
        <v>50669</v>
      </c>
      <c r="N334" s="145">
        <v>46285</v>
      </c>
      <c r="O334" s="145">
        <v>4384</v>
      </c>
      <c r="P334" s="131">
        <v>564444</v>
      </c>
      <c r="Q334" s="131">
        <v>608028</v>
      </c>
      <c r="R334">
        <v>0</v>
      </c>
      <c r="S334" s="155">
        <v>43101</v>
      </c>
    </row>
    <row r="335" spans="2:19">
      <c r="B335">
        <v>2017</v>
      </c>
      <c r="C335">
        <v>43070</v>
      </c>
      <c r="D335" t="s">
        <v>1445</v>
      </c>
      <c r="E335" t="s">
        <v>157</v>
      </c>
      <c r="F335">
        <v>22</v>
      </c>
      <c r="G335" s="131">
        <v>1</v>
      </c>
      <c r="H335" t="s">
        <v>167</v>
      </c>
      <c r="I335" t="s">
        <v>200</v>
      </c>
      <c r="J335" t="s">
        <v>2924</v>
      </c>
      <c r="K335" t="s">
        <v>198</v>
      </c>
      <c r="L335" t="s">
        <v>62</v>
      </c>
      <c r="M335" s="145">
        <v>58717</v>
      </c>
      <c r="N335" s="145">
        <v>52783</v>
      </c>
      <c r="O335" s="145">
        <v>5934</v>
      </c>
      <c r="P335" s="131">
        <v>704604</v>
      </c>
      <c r="Q335" s="131">
        <v>704604</v>
      </c>
      <c r="R335" t="s">
        <v>1207</v>
      </c>
      <c r="S335" s="155">
        <v>43101</v>
      </c>
    </row>
    <row r="336" spans="2:19">
      <c r="B336">
        <v>2017</v>
      </c>
      <c r="C336">
        <v>43070</v>
      </c>
      <c r="D336" t="s">
        <v>1447</v>
      </c>
      <c r="E336" t="s">
        <v>157</v>
      </c>
      <c r="F336">
        <v>22</v>
      </c>
      <c r="G336" s="131">
        <v>1</v>
      </c>
      <c r="H336" t="s">
        <v>167</v>
      </c>
      <c r="I336" t="s">
        <v>257</v>
      </c>
      <c r="J336" t="s">
        <v>2925</v>
      </c>
      <c r="K336" t="s">
        <v>255</v>
      </c>
      <c r="L336" t="s">
        <v>100</v>
      </c>
      <c r="M336" s="145">
        <v>58717</v>
      </c>
      <c r="N336" s="145">
        <v>52783</v>
      </c>
      <c r="O336" s="145">
        <v>5934</v>
      </c>
      <c r="P336" s="131">
        <v>704604</v>
      </c>
      <c r="Q336" s="131">
        <v>704604</v>
      </c>
      <c r="R336">
        <v>0</v>
      </c>
      <c r="S336" s="155">
        <v>43101</v>
      </c>
    </row>
    <row r="337" spans="2:19">
      <c r="B337">
        <v>2017</v>
      </c>
      <c r="C337">
        <v>43070</v>
      </c>
      <c r="D337" t="s">
        <v>1448</v>
      </c>
      <c r="E337" t="s">
        <v>157</v>
      </c>
      <c r="F337">
        <v>22</v>
      </c>
      <c r="G337" s="131">
        <v>1</v>
      </c>
      <c r="H337" t="s">
        <v>167</v>
      </c>
      <c r="I337" t="s">
        <v>776</v>
      </c>
      <c r="J337" t="s">
        <v>2926</v>
      </c>
      <c r="K337" t="s">
        <v>774</v>
      </c>
      <c r="L337" t="s">
        <v>62</v>
      </c>
      <c r="M337" s="145">
        <v>58717</v>
      </c>
      <c r="N337" s="145">
        <v>52783</v>
      </c>
      <c r="O337" s="145">
        <v>5934</v>
      </c>
      <c r="P337" s="131">
        <v>704604</v>
      </c>
      <c r="Q337" s="131">
        <v>704604</v>
      </c>
      <c r="R337">
        <v>0</v>
      </c>
      <c r="S337" s="155">
        <v>43101</v>
      </c>
    </row>
    <row r="338" spans="2:19">
      <c r="B338">
        <v>2017</v>
      </c>
      <c r="C338">
        <v>43070</v>
      </c>
      <c r="D338" t="s">
        <v>1475</v>
      </c>
      <c r="E338" t="s">
        <v>157</v>
      </c>
      <c r="F338">
        <v>22</v>
      </c>
      <c r="G338" s="131">
        <v>1</v>
      </c>
      <c r="H338" t="s">
        <v>268</v>
      </c>
      <c r="I338" t="s">
        <v>782</v>
      </c>
      <c r="J338" t="s">
        <v>2927</v>
      </c>
      <c r="K338" t="s">
        <v>780</v>
      </c>
      <c r="L338" t="s">
        <v>100</v>
      </c>
      <c r="M338" s="145">
        <v>58717</v>
      </c>
      <c r="N338" s="145">
        <v>52783</v>
      </c>
      <c r="O338" s="145">
        <v>5934</v>
      </c>
      <c r="P338" s="131">
        <v>704604</v>
      </c>
      <c r="Q338" s="131">
        <v>704604</v>
      </c>
      <c r="R338">
        <v>0</v>
      </c>
      <c r="S338" s="155">
        <v>43101</v>
      </c>
    </row>
    <row r="339" spans="2:19">
      <c r="B339">
        <v>2017</v>
      </c>
      <c r="C339">
        <v>43070</v>
      </c>
      <c r="D339" t="s">
        <v>1477</v>
      </c>
      <c r="E339" t="s">
        <v>157</v>
      </c>
      <c r="F339">
        <v>22</v>
      </c>
      <c r="G339" s="131">
        <v>1</v>
      </c>
      <c r="H339" t="s">
        <v>268</v>
      </c>
      <c r="I339" t="s">
        <v>1476</v>
      </c>
      <c r="J339" t="s">
        <v>2928</v>
      </c>
      <c r="K339" t="s">
        <v>478</v>
      </c>
      <c r="L339" t="s">
        <v>62</v>
      </c>
      <c r="M339" s="145">
        <v>58717</v>
      </c>
      <c r="N339" s="145">
        <v>52783</v>
      </c>
      <c r="O339" s="145">
        <v>5934</v>
      </c>
      <c r="P339" s="131">
        <v>704604</v>
      </c>
      <c r="Q339" s="131">
        <v>704604</v>
      </c>
      <c r="R339">
        <v>0</v>
      </c>
      <c r="S339" s="155">
        <v>43101</v>
      </c>
    </row>
    <row r="340" spans="2:19">
      <c r="B340">
        <v>2017</v>
      </c>
      <c r="C340">
        <v>43070</v>
      </c>
      <c r="D340" t="s">
        <v>1478</v>
      </c>
      <c r="E340" t="s">
        <v>157</v>
      </c>
      <c r="F340">
        <v>22</v>
      </c>
      <c r="G340" s="131">
        <v>1</v>
      </c>
      <c r="H340" t="s">
        <v>268</v>
      </c>
      <c r="I340" t="s">
        <v>794</v>
      </c>
      <c r="J340" t="s">
        <v>2929</v>
      </c>
      <c r="K340" t="s">
        <v>792</v>
      </c>
      <c r="L340" t="s">
        <v>100</v>
      </c>
      <c r="M340" s="145">
        <v>58717</v>
      </c>
      <c r="N340" s="145">
        <v>52783</v>
      </c>
      <c r="O340" s="145">
        <v>5934</v>
      </c>
      <c r="P340" s="131">
        <v>704604</v>
      </c>
      <c r="Q340" s="131">
        <v>704604</v>
      </c>
      <c r="R340" t="s">
        <v>1207</v>
      </c>
      <c r="S340" s="155">
        <v>43101</v>
      </c>
    </row>
    <row r="341" spans="2:19">
      <c r="B341">
        <v>2014</v>
      </c>
      <c r="C341">
        <v>41869</v>
      </c>
      <c r="D341" t="s">
        <v>798</v>
      </c>
      <c r="E341" t="s">
        <v>165</v>
      </c>
      <c r="F341">
        <v>20</v>
      </c>
      <c r="G341" s="131">
        <v>2</v>
      </c>
      <c r="H341" t="s">
        <v>268</v>
      </c>
      <c r="I341" t="s">
        <v>1492</v>
      </c>
      <c r="J341" t="s">
        <v>2930</v>
      </c>
      <c r="K341" t="s">
        <v>69</v>
      </c>
      <c r="L341" t="s">
        <v>62</v>
      </c>
      <c r="M341" s="145">
        <v>47742</v>
      </c>
      <c r="N341" s="145">
        <v>43841</v>
      </c>
      <c r="O341" s="145">
        <v>3901</v>
      </c>
      <c r="P341" s="131">
        <v>564444</v>
      </c>
      <c r="Q341" s="131">
        <v>572904</v>
      </c>
      <c r="R341">
        <v>0</v>
      </c>
      <c r="S341" s="155">
        <v>43101</v>
      </c>
    </row>
    <row r="342" spans="2:19">
      <c r="B342">
        <v>2017</v>
      </c>
      <c r="C342">
        <v>43070</v>
      </c>
      <c r="D342" t="s">
        <v>1479</v>
      </c>
      <c r="E342" t="s">
        <v>157</v>
      </c>
      <c r="F342">
        <v>22</v>
      </c>
      <c r="G342" s="131">
        <v>1</v>
      </c>
      <c r="H342" t="s">
        <v>268</v>
      </c>
      <c r="I342" t="s">
        <v>1114</v>
      </c>
      <c r="J342" t="s">
        <v>2931</v>
      </c>
      <c r="K342" t="s">
        <v>1112</v>
      </c>
      <c r="L342" t="s">
        <v>100</v>
      </c>
      <c r="M342" s="145">
        <v>58717</v>
      </c>
      <c r="N342" s="145">
        <v>52783</v>
      </c>
      <c r="O342" s="145">
        <v>5934</v>
      </c>
      <c r="P342" s="131">
        <v>704604</v>
      </c>
      <c r="Q342" s="131">
        <v>704604</v>
      </c>
      <c r="R342">
        <v>0</v>
      </c>
      <c r="S342" s="155">
        <v>43101</v>
      </c>
    </row>
    <row r="343" spans="2:19">
      <c r="B343">
        <v>2017</v>
      </c>
      <c r="C343">
        <v>43087</v>
      </c>
      <c r="D343" t="s">
        <v>1480</v>
      </c>
      <c r="E343" t="s">
        <v>157</v>
      </c>
      <c r="F343">
        <v>22</v>
      </c>
      <c r="G343" s="131">
        <v>1</v>
      </c>
      <c r="H343" t="s">
        <v>268</v>
      </c>
      <c r="I343" t="s">
        <v>271</v>
      </c>
      <c r="J343" t="s">
        <v>2932</v>
      </c>
      <c r="K343" t="s">
        <v>269</v>
      </c>
      <c r="L343" t="s">
        <v>62</v>
      </c>
      <c r="M343" s="145">
        <v>58717</v>
      </c>
      <c r="N343" s="145">
        <v>52783</v>
      </c>
      <c r="O343" s="145">
        <v>5934</v>
      </c>
      <c r="P343" s="131">
        <v>704604</v>
      </c>
      <c r="Q343" s="131">
        <v>704604</v>
      </c>
      <c r="R343">
        <v>0</v>
      </c>
      <c r="S343" s="155">
        <v>43101</v>
      </c>
    </row>
    <row r="344" spans="2:19">
      <c r="B344">
        <v>2017</v>
      </c>
      <c r="C344">
        <v>43070</v>
      </c>
      <c r="D344" t="s">
        <v>1481</v>
      </c>
      <c r="E344" t="s">
        <v>157</v>
      </c>
      <c r="F344">
        <v>22</v>
      </c>
      <c r="G344" s="131">
        <v>1</v>
      </c>
      <c r="H344" t="s">
        <v>268</v>
      </c>
      <c r="I344" t="s">
        <v>820</v>
      </c>
      <c r="J344" t="s">
        <v>2933</v>
      </c>
      <c r="K344" t="s">
        <v>818</v>
      </c>
      <c r="L344" t="s">
        <v>100</v>
      </c>
      <c r="M344" s="145">
        <v>58717</v>
      </c>
      <c r="N344" s="145">
        <v>52783</v>
      </c>
      <c r="O344" s="145">
        <v>5934</v>
      </c>
      <c r="P344" s="131">
        <v>704604</v>
      </c>
      <c r="Q344" s="131">
        <v>704604</v>
      </c>
      <c r="R344" t="s">
        <v>1207</v>
      </c>
      <c r="S344" s="155">
        <v>43101</v>
      </c>
    </row>
    <row r="345" spans="2:19">
      <c r="B345">
        <v>2017</v>
      </c>
      <c r="C345">
        <v>43089</v>
      </c>
      <c r="D345" t="s">
        <v>1482</v>
      </c>
      <c r="E345" t="s">
        <v>157</v>
      </c>
      <c r="F345">
        <v>22</v>
      </c>
      <c r="G345" s="131">
        <v>1</v>
      </c>
      <c r="H345" t="s">
        <v>268</v>
      </c>
      <c r="I345" t="s">
        <v>1423</v>
      </c>
      <c r="J345" t="s">
        <v>2934</v>
      </c>
      <c r="K345" t="s">
        <v>2037</v>
      </c>
      <c r="L345" t="s">
        <v>62</v>
      </c>
      <c r="M345" s="145">
        <v>58717</v>
      </c>
      <c r="N345" s="145">
        <v>52783</v>
      </c>
      <c r="O345" s="145">
        <v>5934</v>
      </c>
      <c r="P345" s="131">
        <v>704604</v>
      </c>
      <c r="Q345" s="131">
        <v>704604</v>
      </c>
      <c r="R345">
        <v>0</v>
      </c>
      <c r="S345" s="155">
        <v>43101</v>
      </c>
    </row>
    <row r="346" spans="2:19">
      <c r="B346">
        <v>2017</v>
      </c>
      <c r="C346">
        <v>43070</v>
      </c>
      <c r="D346" t="s">
        <v>1452</v>
      </c>
      <c r="E346" t="s">
        <v>2489</v>
      </c>
      <c r="F346">
        <v>22</v>
      </c>
      <c r="G346" s="131">
        <v>1</v>
      </c>
      <c r="H346" t="s">
        <v>174</v>
      </c>
      <c r="I346" t="s">
        <v>842</v>
      </c>
      <c r="J346" t="s">
        <v>2935</v>
      </c>
      <c r="K346" t="s">
        <v>840</v>
      </c>
      <c r="L346" t="s">
        <v>100</v>
      </c>
      <c r="M346" s="145">
        <v>58717</v>
      </c>
      <c r="N346" s="145">
        <v>52783</v>
      </c>
      <c r="O346" s="145">
        <v>5934</v>
      </c>
      <c r="P346" s="131">
        <v>704604</v>
      </c>
      <c r="Q346" s="131">
        <v>704604</v>
      </c>
      <c r="R346" t="s">
        <v>1207</v>
      </c>
      <c r="S346" s="155">
        <v>43101</v>
      </c>
    </row>
    <row r="347" spans="2:19">
      <c r="B347">
        <v>2017</v>
      </c>
      <c r="C347">
        <v>43070</v>
      </c>
      <c r="D347" t="s">
        <v>1454</v>
      </c>
      <c r="E347" t="s">
        <v>2489</v>
      </c>
      <c r="F347">
        <v>22</v>
      </c>
      <c r="G347" s="131">
        <v>1</v>
      </c>
      <c r="H347" t="s">
        <v>174</v>
      </c>
      <c r="I347" t="s">
        <v>925</v>
      </c>
      <c r="J347" t="s">
        <v>2936</v>
      </c>
      <c r="K347" t="s">
        <v>923</v>
      </c>
      <c r="L347" t="s">
        <v>62</v>
      </c>
      <c r="M347" s="145">
        <v>58717</v>
      </c>
      <c r="N347" s="145">
        <v>52783</v>
      </c>
      <c r="O347" s="145">
        <v>5934</v>
      </c>
      <c r="P347" s="131">
        <v>704604</v>
      </c>
      <c r="Q347" s="131">
        <v>704604</v>
      </c>
      <c r="R347">
        <v>0</v>
      </c>
      <c r="S347" s="155">
        <v>43101</v>
      </c>
    </row>
    <row r="348" spans="2:19">
      <c r="B348">
        <v>2017</v>
      </c>
      <c r="C348">
        <v>43070</v>
      </c>
      <c r="D348" t="s">
        <v>1456</v>
      </c>
      <c r="E348" t="s">
        <v>2489</v>
      </c>
      <c r="F348">
        <v>22</v>
      </c>
      <c r="G348" s="131">
        <v>1</v>
      </c>
      <c r="H348" t="s">
        <v>174</v>
      </c>
      <c r="I348" t="s">
        <v>1455</v>
      </c>
      <c r="J348" t="s">
        <v>2937</v>
      </c>
      <c r="K348" t="s">
        <v>857</v>
      </c>
      <c r="L348" t="s">
        <v>100</v>
      </c>
      <c r="M348" s="145">
        <v>58717</v>
      </c>
      <c r="N348" s="145">
        <v>52783</v>
      </c>
      <c r="O348" s="145">
        <v>5934</v>
      </c>
      <c r="P348" s="131">
        <v>704604</v>
      </c>
      <c r="Q348" s="131">
        <v>704604</v>
      </c>
      <c r="R348" t="s">
        <v>1207</v>
      </c>
      <c r="S348" s="155">
        <v>43101</v>
      </c>
    </row>
    <row r="349" spans="2:19">
      <c r="B349">
        <v>2017</v>
      </c>
      <c r="C349">
        <v>43070</v>
      </c>
      <c r="D349" t="s">
        <v>1457</v>
      </c>
      <c r="E349" t="s">
        <v>2489</v>
      </c>
      <c r="F349">
        <v>22</v>
      </c>
      <c r="G349" s="131">
        <v>1</v>
      </c>
      <c r="H349" t="s">
        <v>174</v>
      </c>
      <c r="I349" t="s">
        <v>1446</v>
      </c>
      <c r="J349" t="s">
        <v>2938</v>
      </c>
      <c r="K349" t="s">
        <v>488</v>
      </c>
      <c r="L349" t="s">
        <v>100</v>
      </c>
      <c r="M349" s="145">
        <v>58717</v>
      </c>
      <c r="N349" s="145">
        <v>52783</v>
      </c>
      <c r="O349" s="145">
        <v>5934</v>
      </c>
      <c r="P349" s="131">
        <v>704604</v>
      </c>
      <c r="Q349" s="131">
        <v>704604</v>
      </c>
      <c r="R349" t="s">
        <v>1207</v>
      </c>
      <c r="S349" s="155">
        <v>43101</v>
      </c>
    </row>
    <row r="350" spans="2:19">
      <c r="B350">
        <v>2017</v>
      </c>
      <c r="C350">
        <v>43070</v>
      </c>
      <c r="D350" t="s">
        <v>1458</v>
      </c>
      <c r="E350" t="s">
        <v>2489</v>
      </c>
      <c r="F350">
        <v>22</v>
      </c>
      <c r="G350" s="131">
        <v>1</v>
      </c>
      <c r="H350" t="s">
        <v>174</v>
      </c>
      <c r="I350" t="s">
        <v>998</v>
      </c>
      <c r="J350" t="s">
        <v>2939</v>
      </c>
      <c r="K350" t="s">
        <v>996</v>
      </c>
      <c r="L350" t="s">
        <v>100</v>
      </c>
      <c r="M350" s="145">
        <v>58717</v>
      </c>
      <c r="N350" s="145">
        <v>52783</v>
      </c>
      <c r="O350" s="145">
        <v>5934</v>
      </c>
      <c r="P350" s="131">
        <v>704604</v>
      </c>
      <c r="Q350" s="131">
        <v>704604</v>
      </c>
      <c r="R350" t="s">
        <v>1207</v>
      </c>
      <c r="S350" s="155">
        <v>43101</v>
      </c>
    </row>
    <row r="351" spans="2:19">
      <c r="B351">
        <v>2001</v>
      </c>
      <c r="C351">
        <v>36951</v>
      </c>
      <c r="D351" t="s">
        <v>874</v>
      </c>
      <c r="E351" t="s">
        <v>165</v>
      </c>
      <c r="F351">
        <v>20</v>
      </c>
      <c r="G351" s="131">
        <v>6</v>
      </c>
      <c r="H351" t="s">
        <v>174</v>
      </c>
      <c r="I351" t="s">
        <v>579</v>
      </c>
      <c r="J351" t="s">
        <v>2940</v>
      </c>
      <c r="K351" t="s">
        <v>577</v>
      </c>
      <c r="L351" t="s">
        <v>100</v>
      </c>
      <c r="M351" s="145">
        <v>50669</v>
      </c>
      <c r="N351" s="145">
        <v>46285</v>
      </c>
      <c r="O351" s="145">
        <v>4384</v>
      </c>
      <c r="P351" s="131">
        <v>564444</v>
      </c>
      <c r="Q351" s="131">
        <v>608028</v>
      </c>
      <c r="R351">
        <v>0</v>
      </c>
      <c r="S351" s="155">
        <v>43101</v>
      </c>
    </row>
    <row r="352" spans="2:19">
      <c r="B352">
        <v>2017</v>
      </c>
      <c r="C352">
        <v>43070</v>
      </c>
      <c r="D352" t="s">
        <v>1459</v>
      </c>
      <c r="E352" t="s">
        <v>2489</v>
      </c>
      <c r="F352">
        <v>22</v>
      </c>
      <c r="G352" s="131">
        <v>1</v>
      </c>
      <c r="H352" t="s">
        <v>174</v>
      </c>
      <c r="I352" t="s">
        <v>881</v>
      </c>
      <c r="J352" t="s">
        <v>2941</v>
      </c>
      <c r="K352" t="s">
        <v>880</v>
      </c>
      <c r="L352" t="s">
        <v>62</v>
      </c>
      <c r="M352" s="145">
        <v>58717</v>
      </c>
      <c r="N352" s="145">
        <v>52783</v>
      </c>
      <c r="O352" s="145">
        <v>5934</v>
      </c>
      <c r="P352" s="131">
        <v>704604</v>
      </c>
      <c r="Q352" s="131">
        <v>704604</v>
      </c>
      <c r="R352">
        <v>0</v>
      </c>
      <c r="S352" s="155">
        <v>43101</v>
      </c>
    </row>
    <row r="353" spans="2:19">
      <c r="B353">
        <v>2017</v>
      </c>
      <c r="C353">
        <v>43070</v>
      </c>
      <c r="D353" t="s">
        <v>1460</v>
      </c>
      <c r="E353" t="s">
        <v>2489</v>
      </c>
      <c r="F353">
        <v>22</v>
      </c>
      <c r="G353" s="131">
        <v>1</v>
      </c>
      <c r="H353" t="s">
        <v>174</v>
      </c>
      <c r="I353" t="s">
        <v>886</v>
      </c>
      <c r="J353" t="s">
        <v>2942</v>
      </c>
      <c r="K353" t="s">
        <v>884</v>
      </c>
      <c r="L353" t="s">
        <v>62</v>
      </c>
      <c r="M353" s="145">
        <v>58717</v>
      </c>
      <c r="N353" s="145">
        <v>52783</v>
      </c>
      <c r="O353" s="145">
        <v>5934</v>
      </c>
      <c r="P353" s="131">
        <v>704604</v>
      </c>
      <c r="Q353" s="131">
        <v>704604</v>
      </c>
      <c r="R353">
        <v>0</v>
      </c>
      <c r="S353" s="155">
        <v>43101</v>
      </c>
    </row>
    <row r="354" spans="2:19">
      <c r="B354">
        <v>2017</v>
      </c>
      <c r="C354">
        <v>43070</v>
      </c>
      <c r="D354" t="s">
        <v>1468</v>
      </c>
      <c r="E354" t="s">
        <v>2489</v>
      </c>
      <c r="F354">
        <v>22</v>
      </c>
      <c r="G354" s="131">
        <v>1</v>
      </c>
      <c r="H354" t="s">
        <v>211</v>
      </c>
      <c r="I354" t="s">
        <v>1467</v>
      </c>
      <c r="J354" t="s">
        <v>2943</v>
      </c>
      <c r="K354" t="s">
        <v>2067</v>
      </c>
      <c r="L354" t="s">
        <v>62</v>
      </c>
      <c r="M354" s="145">
        <v>58717</v>
      </c>
      <c r="N354" s="145">
        <v>52783</v>
      </c>
      <c r="O354" s="145">
        <v>5934</v>
      </c>
      <c r="P354" s="131">
        <v>704604</v>
      </c>
      <c r="Q354" s="131">
        <v>704604</v>
      </c>
      <c r="R354">
        <v>0</v>
      </c>
      <c r="S354" s="155">
        <v>43101</v>
      </c>
    </row>
    <row r="355" spans="2:19">
      <c r="B355">
        <v>2017</v>
      </c>
      <c r="C355">
        <v>43070</v>
      </c>
      <c r="D355" t="s">
        <v>1432</v>
      </c>
      <c r="E355" t="s">
        <v>157</v>
      </c>
      <c r="F355">
        <v>22</v>
      </c>
      <c r="G355" s="131">
        <v>1</v>
      </c>
      <c r="H355" t="s">
        <v>181</v>
      </c>
      <c r="I355" t="s">
        <v>902</v>
      </c>
      <c r="J355" t="s">
        <v>2944</v>
      </c>
      <c r="K355" t="s">
        <v>681</v>
      </c>
      <c r="L355" t="s">
        <v>62</v>
      </c>
      <c r="M355" s="145">
        <v>58717</v>
      </c>
      <c r="N355" s="145">
        <v>52783</v>
      </c>
      <c r="O355" s="145">
        <v>5934</v>
      </c>
      <c r="P355" s="131">
        <v>704604</v>
      </c>
      <c r="Q355" s="131">
        <v>704604</v>
      </c>
      <c r="R355">
        <v>0</v>
      </c>
      <c r="S355" s="155">
        <v>43101</v>
      </c>
    </row>
    <row r="356" spans="2:19">
      <c r="B356">
        <v>2017</v>
      </c>
      <c r="C356">
        <v>43087</v>
      </c>
      <c r="D356" t="s">
        <v>1434</v>
      </c>
      <c r="E356" t="s">
        <v>157</v>
      </c>
      <c r="F356">
        <v>22</v>
      </c>
      <c r="G356" s="131">
        <v>1</v>
      </c>
      <c r="H356" t="s">
        <v>181</v>
      </c>
      <c r="I356" t="s">
        <v>1433</v>
      </c>
      <c r="J356" t="s">
        <v>2945</v>
      </c>
      <c r="K356" t="s">
        <v>2061</v>
      </c>
      <c r="L356" t="s">
        <v>62</v>
      </c>
      <c r="M356" s="145">
        <v>58717</v>
      </c>
      <c r="N356" s="145">
        <v>52783</v>
      </c>
      <c r="O356" s="145">
        <v>5934</v>
      </c>
      <c r="P356" s="131">
        <v>704604</v>
      </c>
      <c r="Q356" s="131">
        <v>704604</v>
      </c>
      <c r="R356">
        <v>0</v>
      </c>
      <c r="S356" s="155">
        <v>43101</v>
      </c>
    </row>
    <row r="357" spans="2:19">
      <c r="B357">
        <v>2017</v>
      </c>
      <c r="C357">
        <v>43087</v>
      </c>
      <c r="D357" t="s">
        <v>1469</v>
      </c>
      <c r="E357" t="s">
        <v>2489</v>
      </c>
      <c r="F357">
        <v>22</v>
      </c>
      <c r="G357" s="131">
        <v>1</v>
      </c>
      <c r="H357" t="s">
        <v>211</v>
      </c>
      <c r="I357" t="s">
        <v>919</v>
      </c>
      <c r="J357" t="s">
        <v>2946</v>
      </c>
      <c r="K357" t="s">
        <v>917</v>
      </c>
      <c r="L357" t="s">
        <v>62</v>
      </c>
      <c r="M357" s="145">
        <v>58717</v>
      </c>
      <c r="N357" s="145">
        <v>52783</v>
      </c>
      <c r="O357" s="145">
        <v>5934</v>
      </c>
      <c r="P357" s="131">
        <v>704604</v>
      </c>
      <c r="Q357" s="131">
        <v>704604</v>
      </c>
      <c r="R357" t="s">
        <v>1207</v>
      </c>
      <c r="S357" s="155">
        <v>43101</v>
      </c>
    </row>
    <row r="358" spans="2:19">
      <c r="B358">
        <v>2017</v>
      </c>
      <c r="C358">
        <v>43070</v>
      </c>
      <c r="D358" t="s">
        <v>1470</v>
      </c>
      <c r="E358" t="s">
        <v>2489</v>
      </c>
      <c r="F358">
        <v>22</v>
      </c>
      <c r="G358" s="131">
        <v>1</v>
      </c>
      <c r="H358" t="s">
        <v>211</v>
      </c>
      <c r="I358" t="s">
        <v>1453</v>
      </c>
      <c r="J358" t="s">
        <v>2947</v>
      </c>
      <c r="K358" t="s">
        <v>846</v>
      </c>
      <c r="L358" t="s">
        <v>100</v>
      </c>
      <c r="M358" s="145">
        <v>58717</v>
      </c>
      <c r="N358" s="145">
        <v>52783</v>
      </c>
      <c r="O358" s="145">
        <v>5934</v>
      </c>
      <c r="P358" s="131">
        <v>704604</v>
      </c>
      <c r="Q358" s="131">
        <v>704604</v>
      </c>
      <c r="R358" t="s">
        <v>1207</v>
      </c>
      <c r="S358" s="155">
        <v>43101</v>
      </c>
    </row>
    <row r="359" spans="2:19">
      <c r="B359">
        <v>2017</v>
      </c>
      <c r="C359">
        <v>43087</v>
      </c>
      <c r="D359" t="s">
        <v>1471</v>
      </c>
      <c r="E359" t="s">
        <v>2489</v>
      </c>
      <c r="F359">
        <v>22</v>
      </c>
      <c r="G359" s="131">
        <v>1</v>
      </c>
      <c r="H359" t="s">
        <v>211</v>
      </c>
      <c r="I359" t="s">
        <v>866</v>
      </c>
      <c r="J359" t="s">
        <v>2948</v>
      </c>
      <c r="K359" t="s">
        <v>863</v>
      </c>
      <c r="L359" t="s">
        <v>100</v>
      </c>
      <c r="M359" s="145">
        <v>58717</v>
      </c>
      <c r="N359" s="145">
        <v>52783</v>
      </c>
      <c r="O359" s="145">
        <v>5934</v>
      </c>
      <c r="P359" s="131">
        <v>704604</v>
      </c>
      <c r="Q359" s="131">
        <v>704604</v>
      </c>
      <c r="R359">
        <v>0</v>
      </c>
      <c r="S359" s="155">
        <v>43101</v>
      </c>
    </row>
    <row r="360" spans="2:19">
      <c r="B360">
        <v>2017</v>
      </c>
      <c r="C360">
        <v>43070</v>
      </c>
      <c r="D360" t="s">
        <v>1472</v>
      </c>
      <c r="E360" t="s">
        <v>2489</v>
      </c>
      <c r="F360">
        <v>22</v>
      </c>
      <c r="G360" s="131">
        <v>1</v>
      </c>
      <c r="H360" t="s">
        <v>211</v>
      </c>
      <c r="I360" t="s">
        <v>1107</v>
      </c>
      <c r="J360" t="s">
        <v>2949</v>
      </c>
      <c r="K360" t="s">
        <v>733</v>
      </c>
      <c r="L360" t="s">
        <v>62</v>
      </c>
      <c r="M360" s="145">
        <v>58717</v>
      </c>
      <c r="N360" s="145">
        <v>52783</v>
      </c>
      <c r="O360" s="145">
        <v>5934</v>
      </c>
      <c r="P360" s="131">
        <v>704604</v>
      </c>
      <c r="Q360" s="131">
        <v>704604</v>
      </c>
      <c r="R360">
        <v>0</v>
      </c>
      <c r="S360" s="155">
        <v>43101</v>
      </c>
    </row>
    <row r="361" spans="2:19">
      <c r="B361">
        <v>2017</v>
      </c>
      <c r="C361">
        <v>43070</v>
      </c>
      <c r="D361" t="s">
        <v>1435</v>
      </c>
      <c r="E361" t="s">
        <v>157</v>
      </c>
      <c r="F361">
        <v>22</v>
      </c>
      <c r="G361" s="131">
        <v>1</v>
      </c>
      <c r="H361" t="s">
        <v>181</v>
      </c>
      <c r="I361" t="s">
        <v>943</v>
      </c>
      <c r="J361" t="s">
        <v>2950</v>
      </c>
      <c r="K361" t="s">
        <v>941</v>
      </c>
      <c r="L361" t="s">
        <v>100</v>
      </c>
      <c r="M361" s="145">
        <v>58717</v>
      </c>
      <c r="N361" s="145">
        <v>52783</v>
      </c>
      <c r="O361" s="145">
        <v>5934</v>
      </c>
      <c r="P361" s="131">
        <v>704604</v>
      </c>
      <c r="Q361" s="131">
        <v>704604</v>
      </c>
      <c r="R361">
        <v>0</v>
      </c>
      <c r="S361" s="155">
        <v>43101</v>
      </c>
    </row>
    <row r="362" spans="2:19">
      <c r="B362">
        <v>2017</v>
      </c>
      <c r="C362">
        <v>43070</v>
      </c>
      <c r="D362" t="s">
        <v>1473</v>
      </c>
      <c r="E362" t="s">
        <v>2489</v>
      </c>
      <c r="F362">
        <v>22</v>
      </c>
      <c r="G362" s="131">
        <v>1</v>
      </c>
      <c r="H362" t="s">
        <v>211</v>
      </c>
      <c r="I362" t="s">
        <v>949</v>
      </c>
      <c r="J362" t="s">
        <v>2951</v>
      </c>
      <c r="K362" t="s">
        <v>947</v>
      </c>
      <c r="L362" t="s">
        <v>100</v>
      </c>
      <c r="M362" s="145">
        <v>58717</v>
      </c>
      <c r="N362" s="145">
        <v>52783</v>
      </c>
      <c r="O362" s="145">
        <v>5934</v>
      </c>
      <c r="P362" s="131">
        <v>704604</v>
      </c>
      <c r="Q362" s="131">
        <v>704604</v>
      </c>
      <c r="R362" t="s">
        <v>1207</v>
      </c>
      <c r="S362" s="155">
        <v>43101</v>
      </c>
    </row>
    <row r="363" spans="2:19">
      <c r="B363">
        <v>2016</v>
      </c>
      <c r="C363">
        <v>42430</v>
      </c>
      <c r="D363" t="s">
        <v>951</v>
      </c>
      <c r="E363" t="s">
        <v>165</v>
      </c>
      <c r="F363">
        <v>20</v>
      </c>
      <c r="G363" s="131">
        <v>1</v>
      </c>
      <c r="H363" t="s">
        <v>181</v>
      </c>
      <c r="I363" t="s">
        <v>1486</v>
      </c>
      <c r="J363" t="s">
        <v>2952</v>
      </c>
      <c r="K363" t="s">
        <v>2055</v>
      </c>
      <c r="L363" t="s">
        <v>100</v>
      </c>
      <c r="M363" s="145">
        <v>47037</v>
      </c>
      <c r="N363" s="145">
        <v>43250</v>
      </c>
      <c r="O363" s="145">
        <v>3787</v>
      </c>
      <c r="P363" s="131">
        <v>564444</v>
      </c>
      <c r="Q363" s="131">
        <v>564444</v>
      </c>
      <c r="R363" t="s">
        <v>1207</v>
      </c>
      <c r="S363" s="155">
        <v>43101</v>
      </c>
    </row>
    <row r="364" spans="2:19">
      <c r="B364">
        <v>2017</v>
      </c>
      <c r="C364">
        <v>43070</v>
      </c>
      <c r="D364" t="s">
        <v>1474</v>
      </c>
      <c r="E364" t="s">
        <v>2489</v>
      </c>
      <c r="F364">
        <v>22</v>
      </c>
      <c r="G364" s="131">
        <v>1</v>
      </c>
      <c r="H364" t="s">
        <v>211</v>
      </c>
      <c r="I364" t="s">
        <v>573</v>
      </c>
      <c r="J364" t="s">
        <v>2953</v>
      </c>
      <c r="K364" t="s">
        <v>571</v>
      </c>
      <c r="L364" t="s">
        <v>100</v>
      </c>
      <c r="M364" s="145">
        <v>58717</v>
      </c>
      <c r="N364" s="145">
        <v>52783</v>
      </c>
      <c r="O364" s="145">
        <v>5934</v>
      </c>
      <c r="P364" s="131">
        <v>704604</v>
      </c>
      <c r="Q364" s="131">
        <v>704604</v>
      </c>
      <c r="R364" t="s">
        <v>1207</v>
      </c>
      <c r="S364" s="155">
        <v>43101</v>
      </c>
    </row>
    <row r="365" spans="2:19">
      <c r="B365">
        <v>2017</v>
      </c>
      <c r="C365">
        <v>43070</v>
      </c>
      <c r="D365" t="s">
        <v>1436</v>
      </c>
      <c r="E365" t="s">
        <v>157</v>
      </c>
      <c r="F365">
        <v>22</v>
      </c>
      <c r="G365" s="131">
        <v>1</v>
      </c>
      <c r="H365" t="s">
        <v>181</v>
      </c>
      <c r="I365" t="s">
        <v>654</v>
      </c>
      <c r="J365" t="s">
        <v>2954</v>
      </c>
      <c r="K365" t="s">
        <v>652</v>
      </c>
      <c r="L365" t="s">
        <v>62</v>
      </c>
      <c r="M365" s="145">
        <v>58717</v>
      </c>
      <c r="N365" s="145">
        <v>52783</v>
      </c>
      <c r="O365" s="145">
        <v>5934</v>
      </c>
      <c r="P365" s="131">
        <v>704604</v>
      </c>
      <c r="Q365" s="131">
        <v>704604</v>
      </c>
      <c r="R365">
        <v>0</v>
      </c>
      <c r="S365" s="155">
        <v>43101</v>
      </c>
    </row>
    <row r="366" spans="2:19">
      <c r="B366">
        <v>2007</v>
      </c>
      <c r="C366">
        <v>39170</v>
      </c>
      <c r="D366" t="s">
        <v>967</v>
      </c>
      <c r="E366" t="s">
        <v>165</v>
      </c>
      <c r="F366">
        <v>20</v>
      </c>
      <c r="G366" s="131">
        <v>4</v>
      </c>
      <c r="H366" t="s">
        <v>174</v>
      </c>
      <c r="I366" t="s">
        <v>970</v>
      </c>
      <c r="J366" t="s">
        <v>2955</v>
      </c>
      <c r="K366" t="s">
        <v>968</v>
      </c>
      <c r="L366" t="s">
        <v>62</v>
      </c>
      <c r="M366" s="145">
        <v>49184</v>
      </c>
      <c r="N366" s="145">
        <v>45047</v>
      </c>
      <c r="O366" s="145">
        <v>4137</v>
      </c>
      <c r="P366" s="131">
        <v>564444</v>
      </c>
      <c r="Q366" s="131">
        <v>590208</v>
      </c>
      <c r="R366">
        <v>0</v>
      </c>
      <c r="S366" s="155">
        <v>43101</v>
      </c>
    </row>
    <row r="367" spans="2:19">
      <c r="B367">
        <v>2017</v>
      </c>
      <c r="C367">
        <v>43087</v>
      </c>
      <c r="D367" t="s">
        <v>1462</v>
      </c>
      <c r="E367" t="s">
        <v>2489</v>
      </c>
      <c r="F367">
        <v>22</v>
      </c>
      <c r="G367" s="131">
        <v>1</v>
      </c>
      <c r="H367" t="s">
        <v>174</v>
      </c>
      <c r="I367" t="s">
        <v>1461</v>
      </c>
      <c r="J367" t="s">
        <v>2956</v>
      </c>
      <c r="K367" t="s">
        <v>2009</v>
      </c>
      <c r="L367" t="s">
        <v>100</v>
      </c>
      <c r="M367" s="145">
        <v>58717</v>
      </c>
      <c r="N367" s="145">
        <v>52783</v>
      </c>
      <c r="O367" s="145">
        <v>5934</v>
      </c>
      <c r="P367" s="131">
        <v>704604</v>
      </c>
      <c r="Q367" s="131">
        <v>704604</v>
      </c>
      <c r="R367">
        <v>0</v>
      </c>
      <c r="S367" s="155">
        <v>43101</v>
      </c>
    </row>
    <row r="368" spans="2:19">
      <c r="B368">
        <v>2017</v>
      </c>
      <c r="C368">
        <v>43070</v>
      </c>
      <c r="D368" t="s">
        <v>1425</v>
      </c>
      <c r="E368" t="s">
        <v>157</v>
      </c>
      <c r="F368">
        <v>22</v>
      </c>
      <c r="G368" s="131">
        <v>1</v>
      </c>
      <c r="H368" t="s">
        <v>408</v>
      </c>
      <c r="I368" t="s">
        <v>1140</v>
      </c>
      <c r="J368" t="s">
        <v>2957</v>
      </c>
      <c r="K368" t="s">
        <v>1138</v>
      </c>
      <c r="L368" t="s">
        <v>62</v>
      </c>
      <c r="M368" s="145">
        <v>58717</v>
      </c>
      <c r="N368" s="145">
        <v>52783</v>
      </c>
      <c r="O368" s="145">
        <v>5934</v>
      </c>
      <c r="P368" s="131">
        <v>704604</v>
      </c>
      <c r="Q368" s="131">
        <v>704604</v>
      </c>
      <c r="R368">
        <v>0</v>
      </c>
      <c r="S368" s="155">
        <v>43101</v>
      </c>
    </row>
    <row r="369" spans="2:19">
      <c r="B369">
        <v>2017</v>
      </c>
      <c r="C369">
        <v>43070</v>
      </c>
      <c r="D369" t="s">
        <v>1426</v>
      </c>
      <c r="E369" t="s">
        <v>157</v>
      </c>
      <c r="F369">
        <v>22</v>
      </c>
      <c r="G369" s="131">
        <v>1</v>
      </c>
      <c r="H369" t="s">
        <v>408</v>
      </c>
      <c r="I369" t="s">
        <v>986</v>
      </c>
      <c r="J369" t="s">
        <v>2958</v>
      </c>
      <c r="K369" t="s">
        <v>984</v>
      </c>
      <c r="L369" t="s">
        <v>62</v>
      </c>
      <c r="M369" s="145">
        <v>58717</v>
      </c>
      <c r="N369" s="145">
        <v>52783</v>
      </c>
      <c r="O369" s="145">
        <v>5934</v>
      </c>
      <c r="P369" s="131">
        <v>704604</v>
      </c>
      <c r="Q369" s="131">
        <v>704604</v>
      </c>
      <c r="R369">
        <v>0</v>
      </c>
      <c r="S369" s="155">
        <v>43101</v>
      </c>
    </row>
    <row r="370" spans="2:19">
      <c r="B370">
        <v>2017</v>
      </c>
      <c r="C370">
        <v>43070</v>
      </c>
      <c r="D370" t="s">
        <v>1428</v>
      </c>
      <c r="E370" t="s">
        <v>157</v>
      </c>
      <c r="F370">
        <v>22</v>
      </c>
      <c r="G370" s="131">
        <v>1</v>
      </c>
      <c r="H370" t="s">
        <v>408</v>
      </c>
      <c r="I370" t="s">
        <v>1427</v>
      </c>
      <c r="J370" t="s">
        <v>2959</v>
      </c>
      <c r="K370" t="s">
        <v>990</v>
      </c>
      <c r="L370" t="s">
        <v>100</v>
      </c>
      <c r="M370" s="145">
        <v>58717</v>
      </c>
      <c r="N370" s="145">
        <v>52783</v>
      </c>
      <c r="O370" s="145">
        <v>5934</v>
      </c>
      <c r="P370" s="131">
        <v>704604</v>
      </c>
      <c r="Q370" s="131">
        <v>704604</v>
      </c>
      <c r="R370" t="s">
        <v>1207</v>
      </c>
      <c r="S370" s="155">
        <v>43101</v>
      </c>
    </row>
    <row r="371" spans="2:19">
      <c r="B371">
        <v>2017</v>
      </c>
      <c r="C371">
        <v>43070</v>
      </c>
      <c r="D371" t="s">
        <v>1449</v>
      </c>
      <c r="E371" t="s">
        <v>157</v>
      </c>
      <c r="F371">
        <v>22</v>
      </c>
      <c r="G371" s="131">
        <v>1</v>
      </c>
      <c r="H371" t="s">
        <v>167</v>
      </c>
      <c r="I371" t="s">
        <v>1158</v>
      </c>
      <c r="J371" t="s">
        <v>2960</v>
      </c>
      <c r="K371" t="s">
        <v>1156</v>
      </c>
      <c r="L371" t="s">
        <v>62</v>
      </c>
      <c r="M371" s="145">
        <v>58717</v>
      </c>
      <c r="N371" s="145">
        <v>52783</v>
      </c>
      <c r="O371" s="145">
        <v>5934</v>
      </c>
      <c r="P371" s="131">
        <v>704604</v>
      </c>
      <c r="Q371" s="131">
        <v>704604</v>
      </c>
      <c r="R371" t="s">
        <v>1207</v>
      </c>
      <c r="S371" s="155">
        <v>43101</v>
      </c>
    </row>
    <row r="372" spans="2:19">
      <c r="B372">
        <v>2017</v>
      </c>
      <c r="C372">
        <v>43089</v>
      </c>
      <c r="D372" t="s">
        <v>1450</v>
      </c>
      <c r="E372" t="s">
        <v>157</v>
      </c>
      <c r="F372">
        <v>22</v>
      </c>
      <c r="G372" s="131">
        <v>1</v>
      </c>
      <c r="H372" t="s">
        <v>167</v>
      </c>
      <c r="I372" t="s">
        <v>309</v>
      </c>
      <c r="J372" t="s">
        <v>2961</v>
      </c>
      <c r="K372" t="s">
        <v>307</v>
      </c>
      <c r="L372" t="s">
        <v>100</v>
      </c>
      <c r="M372" s="145">
        <v>58717</v>
      </c>
      <c r="N372" s="145">
        <v>52783</v>
      </c>
      <c r="O372" s="145">
        <v>5934</v>
      </c>
      <c r="P372" s="131">
        <v>704604</v>
      </c>
      <c r="Q372" s="131">
        <v>704604</v>
      </c>
      <c r="R372">
        <v>0</v>
      </c>
      <c r="S372" s="155">
        <v>43101</v>
      </c>
    </row>
    <row r="373" spans="2:19">
      <c r="B373">
        <v>2013</v>
      </c>
      <c r="C373">
        <v>41487</v>
      </c>
      <c r="D373" t="s">
        <v>1006</v>
      </c>
      <c r="E373" t="s">
        <v>165</v>
      </c>
      <c r="F373">
        <v>20</v>
      </c>
      <c r="G373" s="131">
        <v>2</v>
      </c>
      <c r="H373" t="s">
        <v>167</v>
      </c>
      <c r="I373" t="s">
        <v>1145</v>
      </c>
      <c r="J373" t="s">
        <v>2962</v>
      </c>
      <c r="K373" t="s">
        <v>1143</v>
      </c>
      <c r="L373" t="s">
        <v>100</v>
      </c>
      <c r="M373" s="145">
        <v>47742</v>
      </c>
      <c r="N373" s="145">
        <v>43841</v>
      </c>
      <c r="O373" s="145">
        <v>3901</v>
      </c>
      <c r="P373" s="131">
        <v>564444</v>
      </c>
      <c r="Q373" s="131">
        <v>572904</v>
      </c>
      <c r="R373" t="s">
        <v>1207</v>
      </c>
      <c r="S373" s="155">
        <v>43101</v>
      </c>
    </row>
    <row r="374" spans="2:19">
      <c r="B374">
        <v>2017</v>
      </c>
      <c r="C374">
        <v>43070</v>
      </c>
      <c r="D374" t="s">
        <v>1483</v>
      </c>
      <c r="E374" t="s">
        <v>157</v>
      </c>
      <c r="F374">
        <v>22</v>
      </c>
      <c r="G374" s="131">
        <v>1</v>
      </c>
      <c r="H374" t="s">
        <v>268</v>
      </c>
      <c r="I374" t="s">
        <v>1226</v>
      </c>
      <c r="J374" t="s">
        <v>2963</v>
      </c>
      <c r="K374" t="s">
        <v>1224</v>
      </c>
      <c r="L374" t="s">
        <v>100</v>
      </c>
      <c r="M374" s="145">
        <v>58717</v>
      </c>
      <c r="N374" s="145">
        <v>52783</v>
      </c>
      <c r="O374" s="145">
        <v>5934</v>
      </c>
      <c r="P374" s="131">
        <v>704604</v>
      </c>
      <c r="Q374" s="131">
        <v>704604</v>
      </c>
      <c r="R374" t="s">
        <v>1391</v>
      </c>
      <c r="S374" s="155">
        <v>43101</v>
      </c>
    </row>
    <row r="375" spans="2:19">
      <c r="B375">
        <v>2018</v>
      </c>
      <c r="C375">
        <v>43103</v>
      </c>
      <c r="D375" t="s">
        <v>1396</v>
      </c>
      <c r="E375" t="s">
        <v>157</v>
      </c>
      <c r="F375">
        <v>22</v>
      </c>
      <c r="G375" s="131">
        <v>1</v>
      </c>
      <c r="H375" t="s">
        <v>268</v>
      </c>
      <c r="I375" t="s">
        <v>825</v>
      </c>
      <c r="J375" t="s">
        <v>2964</v>
      </c>
      <c r="K375" t="s">
        <v>823</v>
      </c>
      <c r="L375" t="s">
        <v>62</v>
      </c>
      <c r="M375" s="145">
        <v>58717</v>
      </c>
      <c r="N375" s="145">
        <v>52783</v>
      </c>
      <c r="O375" s="145">
        <v>5934</v>
      </c>
      <c r="P375" s="131">
        <v>704604</v>
      </c>
      <c r="Q375" s="131">
        <v>704604</v>
      </c>
      <c r="R375">
        <v>0</v>
      </c>
      <c r="S375" s="155">
        <v>43101</v>
      </c>
    </row>
    <row r="376" spans="2:19">
      <c r="B376">
        <v>2017</v>
      </c>
      <c r="C376">
        <v>43070</v>
      </c>
      <c r="D376" t="s">
        <v>1484</v>
      </c>
      <c r="E376" t="s">
        <v>157</v>
      </c>
      <c r="F376">
        <v>22</v>
      </c>
      <c r="G376" s="131">
        <v>1</v>
      </c>
      <c r="H376" t="s">
        <v>268</v>
      </c>
      <c r="I376" t="s">
        <v>1024</v>
      </c>
      <c r="J376" t="s">
        <v>2965</v>
      </c>
      <c r="K376" t="s">
        <v>1022</v>
      </c>
      <c r="L376" t="s">
        <v>100</v>
      </c>
      <c r="M376" s="145">
        <v>58717</v>
      </c>
      <c r="N376" s="145">
        <v>52783</v>
      </c>
      <c r="O376" s="145">
        <v>5934</v>
      </c>
      <c r="P376" s="131">
        <v>704604</v>
      </c>
      <c r="Q376" s="131">
        <v>704604</v>
      </c>
      <c r="R376">
        <v>0</v>
      </c>
      <c r="S376" s="155">
        <v>43101</v>
      </c>
    </row>
    <row r="377" spans="2:19">
      <c r="B377">
        <v>2017</v>
      </c>
      <c r="C377">
        <v>43070</v>
      </c>
      <c r="D377" t="s">
        <v>1463</v>
      </c>
      <c r="E377" t="s">
        <v>2489</v>
      </c>
      <c r="F377">
        <v>22</v>
      </c>
      <c r="G377" s="131">
        <v>1</v>
      </c>
      <c r="H377" t="s">
        <v>174</v>
      </c>
      <c r="I377" t="s">
        <v>1030</v>
      </c>
      <c r="J377" t="s">
        <v>2966</v>
      </c>
      <c r="K377" t="s">
        <v>1028</v>
      </c>
      <c r="L377" t="s">
        <v>62</v>
      </c>
      <c r="M377" s="145">
        <v>58717</v>
      </c>
      <c r="N377" s="145">
        <v>52783</v>
      </c>
      <c r="O377" s="145">
        <v>5934</v>
      </c>
      <c r="P377" s="131">
        <v>704604</v>
      </c>
      <c r="Q377" s="131">
        <v>704604</v>
      </c>
      <c r="R377">
        <v>0</v>
      </c>
      <c r="S377" s="155">
        <v>43101</v>
      </c>
    </row>
    <row r="378" spans="2:19">
      <c r="B378">
        <v>2017</v>
      </c>
      <c r="C378">
        <v>43070</v>
      </c>
      <c r="D378" t="s">
        <v>1464</v>
      </c>
      <c r="E378" t="s">
        <v>2489</v>
      </c>
      <c r="F378">
        <v>22</v>
      </c>
      <c r="G378" s="131">
        <v>1</v>
      </c>
      <c r="H378" t="s">
        <v>174</v>
      </c>
      <c r="I378" t="s">
        <v>1038</v>
      </c>
      <c r="J378" t="s">
        <v>2967</v>
      </c>
      <c r="K378" t="s">
        <v>1035</v>
      </c>
      <c r="L378" t="s">
        <v>62</v>
      </c>
      <c r="M378" s="145">
        <v>58717</v>
      </c>
      <c r="N378" s="145">
        <v>52783</v>
      </c>
      <c r="O378" s="145">
        <v>5934</v>
      </c>
      <c r="P378" s="131">
        <v>704604</v>
      </c>
      <c r="Q378" s="131">
        <v>704604</v>
      </c>
      <c r="R378">
        <v>0</v>
      </c>
      <c r="S378" s="155">
        <v>43101</v>
      </c>
    </row>
    <row r="379" spans="2:19">
      <c r="B379">
        <v>2017</v>
      </c>
      <c r="C379">
        <v>43070</v>
      </c>
      <c r="D379" t="s">
        <v>1465</v>
      </c>
      <c r="E379" t="s">
        <v>2489</v>
      </c>
      <c r="F379">
        <v>22</v>
      </c>
      <c r="G379" s="131">
        <v>1</v>
      </c>
      <c r="H379" t="s">
        <v>174</v>
      </c>
      <c r="I379" t="s">
        <v>1043</v>
      </c>
      <c r="J379" t="s">
        <v>2968</v>
      </c>
      <c r="K379" t="s">
        <v>1041</v>
      </c>
      <c r="L379" t="s">
        <v>100</v>
      </c>
      <c r="M379" s="145">
        <v>58717</v>
      </c>
      <c r="N379" s="145">
        <v>52783</v>
      </c>
      <c r="O379" s="145">
        <v>5934</v>
      </c>
      <c r="P379" s="131">
        <v>704604</v>
      </c>
      <c r="Q379" s="131">
        <v>704604</v>
      </c>
      <c r="R379" t="s">
        <v>1207</v>
      </c>
      <c r="S379" s="155">
        <v>43101</v>
      </c>
    </row>
    <row r="380" spans="2:19">
      <c r="B380">
        <v>2014</v>
      </c>
      <c r="C380">
        <v>42002</v>
      </c>
      <c r="D380" t="s">
        <v>1046</v>
      </c>
      <c r="E380" t="s">
        <v>165</v>
      </c>
      <c r="F380">
        <v>20</v>
      </c>
      <c r="G380" s="131">
        <v>2</v>
      </c>
      <c r="H380" t="s">
        <v>211</v>
      </c>
      <c r="I380" t="s">
        <v>1493</v>
      </c>
      <c r="J380" t="s">
        <v>2969</v>
      </c>
      <c r="K380" t="s">
        <v>2042</v>
      </c>
      <c r="L380" t="s">
        <v>62</v>
      </c>
      <c r="M380" s="145">
        <v>47742</v>
      </c>
      <c r="N380" s="145">
        <v>43841</v>
      </c>
      <c r="O380" s="145">
        <v>3901</v>
      </c>
      <c r="P380" s="131">
        <v>564444</v>
      </c>
      <c r="Q380" s="131">
        <v>572904</v>
      </c>
      <c r="R380" t="s">
        <v>1207</v>
      </c>
      <c r="S380" s="155">
        <v>43101</v>
      </c>
    </row>
    <row r="381" spans="2:19">
      <c r="B381">
        <v>2018</v>
      </c>
      <c r="C381">
        <v>43103</v>
      </c>
      <c r="D381" t="s">
        <v>1437</v>
      </c>
      <c r="E381" t="s">
        <v>157</v>
      </c>
      <c r="F381">
        <v>22</v>
      </c>
      <c r="G381" s="131">
        <v>1</v>
      </c>
      <c r="H381" t="s">
        <v>181</v>
      </c>
      <c r="I381" t="s">
        <v>1393</v>
      </c>
      <c r="J381" t="s">
        <v>2970</v>
      </c>
      <c r="K381" t="s">
        <v>182</v>
      </c>
      <c r="L381" t="s">
        <v>100</v>
      </c>
      <c r="M381" s="145">
        <v>58717</v>
      </c>
      <c r="N381" s="145">
        <v>52783</v>
      </c>
      <c r="O381" s="145">
        <v>5934</v>
      </c>
      <c r="P381" s="131">
        <v>704604</v>
      </c>
      <c r="Q381" s="131">
        <v>704604</v>
      </c>
      <c r="R381" t="s">
        <v>1207</v>
      </c>
      <c r="S381" s="155">
        <v>43101</v>
      </c>
    </row>
    <row r="382" spans="2:19">
      <c r="B382">
        <v>2014</v>
      </c>
      <c r="C382">
        <v>41869</v>
      </c>
      <c r="D382" t="s">
        <v>1056</v>
      </c>
      <c r="E382" t="s">
        <v>165</v>
      </c>
      <c r="F382">
        <v>20</v>
      </c>
      <c r="G382" s="131">
        <v>2</v>
      </c>
      <c r="H382" t="s">
        <v>181</v>
      </c>
      <c r="I382" t="s">
        <v>1487</v>
      </c>
      <c r="J382" t="s">
        <v>2971</v>
      </c>
      <c r="K382" t="s">
        <v>2031</v>
      </c>
      <c r="L382" t="s">
        <v>62</v>
      </c>
      <c r="M382" s="145">
        <v>47742</v>
      </c>
      <c r="N382" s="145">
        <v>43841</v>
      </c>
      <c r="O382" s="145">
        <v>3901</v>
      </c>
      <c r="P382" s="131">
        <v>564444</v>
      </c>
      <c r="Q382" s="131">
        <v>572904</v>
      </c>
      <c r="R382">
        <v>0</v>
      </c>
      <c r="S382" s="155">
        <v>43101</v>
      </c>
    </row>
    <row r="383" spans="2:19">
      <c r="B383">
        <v>2015</v>
      </c>
      <c r="C383">
        <v>42201</v>
      </c>
      <c r="D383" t="s">
        <v>1065</v>
      </c>
      <c r="E383" t="s">
        <v>1066</v>
      </c>
      <c r="F383">
        <v>15</v>
      </c>
      <c r="G383" s="131">
        <v>1</v>
      </c>
      <c r="H383" t="s">
        <v>189</v>
      </c>
      <c r="I383" t="s">
        <v>2560</v>
      </c>
      <c r="J383" t="s">
        <v>2972</v>
      </c>
      <c r="K383" t="s">
        <v>2119</v>
      </c>
      <c r="L383" t="s">
        <v>100</v>
      </c>
      <c r="M383" s="145">
        <v>29010</v>
      </c>
      <c r="N383" s="145">
        <v>27565</v>
      </c>
      <c r="O383" s="145">
        <v>1445</v>
      </c>
      <c r="P383" s="131">
        <v>348120</v>
      </c>
      <c r="Q383" s="131">
        <v>348120</v>
      </c>
      <c r="R383">
        <v>0</v>
      </c>
      <c r="S383" s="155">
        <v>43101</v>
      </c>
    </row>
    <row r="384" spans="2:19">
      <c r="B384">
        <v>2015</v>
      </c>
      <c r="C384">
        <v>42289</v>
      </c>
      <c r="D384" t="s">
        <v>1067</v>
      </c>
      <c r="E384" t="s">
        <v>1066</v>
      </c>
      <c r="F384">
        <v>15</v>
      </c>
      <c r="G384" s="131">
        <v>1</v>
      </c>
      <c r="H384" t="s">
        <v>174</v>
      </c>
      <c r="I384" t="s">
        <v>2561</v>
      </c>
      <c r="J384" t="s">
        <v>2562</v>
      </c>
      <c r="K384" t="s">
        <v>2048</v>
      </c>
      <c r="L384" t="s">
        <v>62</v>
      </c>
      <c r="M384" s="145">
        <v>29010</v>
      </c>
      <c r="N384" s="145">
        <v>27565</v>
      </c>
      <c r="O384" s="145">
        <v>1445</v>
      </c>
      <c r="P384" s="131">
        <v>348120</v>
      </c>
      <c r="Q384" s="131">
        <v>348120</v>
      </c>
      <c r="R384">
        <v>0</v>
      </c>
      <c r="S384" s="155">
        <v>43101</v>
      </c>
    </row>
    <row r="385" spans="2:19">
      <c r="B385">
        <v>2013</v>
      </c>
      <c r="C385">
        <v>41323</v>
      </c>
      <c r="D385" t="s">
        <v>1068</v>
      </c>
      <c r="E385" t="s">
        <v>1066</v>
      </c>
      <c r="F385">
        <v>15</v>
      </c>
      <c r="G385" s="131">
        <v>2</v>
      </c>
      <c r="H385" t="s">
        <v>189</v>
      </c>
      <c r="I385" t="s">
        <v>2344</v>
      </c>
      <c r="J385" t="s">
        <v>2973</v>
      </c>
      <c r="K385" t="s">
        <v>2034</v>
      </c>
      <c r="L385" t="s">
        <v>62</v>
      </c>
      <c r="M385" s="145">
        <v>29359</v>
      </c>
      <c r="N385" s="145">
        <v>27887</v>
      </c>
      <c r="O385" s="145">
        <v>1472</v>
      </c>
      <c r="P385" s="131">
        <v>348120</v>
      </c>
      <c r="Q385" s="131">
        <v>352308</v>
      </c>
      <c r="R385">
        <v>0</v>
      </c>
      <c r="S385" s="155">
        <v>43101</v>
      </c>
    </row>
    <row r="386" spans="2:19">
      <c r="B386">
        <v>2016</v>
      </c>
      <c r="C386">
        <v>42537</v>
      </c>
      <c r="D386" t="s">
        <v>2568</v>
      </c>
      <c r="E386" t="s">
        <v>1066</v>
      </c>
      <c r="F386">
        <v>15</v>
      </c>
      <c r="G386" s="131">
        <v>1</v>
      </c>
      <c r="H386" t="s">
        <v>211</v>
      </c>
      <c r="I386" t="s">
        <v>2571</v>
      </c>
      <c r="J386" t="s">
        <v>2572</v>
      </c>
      <c r="K386" t="s">
        <v>2052</v>
      </c>
      <c r="L386" t="s">
        <v>100</v>
      </c>
      <c r="M386" s="145">
        <v>29010</v>
      </c>
      <c r="N386" s="145">
        <v>27565</v>
      </c>
      <c r="O386" s="145">
        <v>1445</v>
      </c>
      <c r="P386" s="131">
        <v>348120</v>
      </c>
      <c r="Q386" s="131">
        <v>348120</v>
      </c>
      <c r="R386">
        <v>0</v>
      </c>
      <c r="S386" s="155">
        <v>43101</v>
      </c>
    </row>
    <row r="387" spans="2:19">
      <c r="B387">
        <v>2014</v>
      </c>
      <c r="C387">
        <v>41927</v>
      </c>
      <c r="D387" t="s">
        <v>1073</v>
      </c>
      <c r="E387" t="s">
        <v>1074</v>
      </c>
      <c r="F387">
        <v>13</v>
      </c>
      <c r="G387" s="131">
        <v>2</v>
      </c>
      <c r="H387" t="s">
        <v>408</v>
      </c>
      <c r="I387" t="s">
        <v>2682</v>
      </c>
      <c r="J387" t="s">
        <v>2974</v>
      </c>
      <c r="K387" t="s">
        <v>2101</v>
      </c>
      <c r="L387" t="s">
        <v>100</v>
      </c>
      <c r="M387" s="145">
        <v>24510</v>
      </c>
      <c r="N387" s="145">
        <v>23517</v>
      </c>
      <c r="O387" s="145">
        <v>993</v>
      </c>
      <c r="P387" s="131">
        <v>290688</v>
      </c>
      <c r="Q387" s="131">
        <v>294120</v>
      </c>
      <c r="R387">
        <v>0</v>
      </c>
      <c r="S387" s="155">
        <v>43101</v>
      </c>
    </row>
    <row r="388" spans="2:19">
      <c r="B388">
        <v>2014</v>
      </c>
      <c r="C388">
        <v>41913</v>
      </c>
      <c r="D388" t="s">
        <v>1078</v>
      </c>
      <c r="E388" t="s">
        <v>1074</v>
      </c>
      <c r="F388">
        <v>13</v>
      </c>
      <c r="G388" s="131">
        <v>2</v>
      </c>
      <c r="H388" t="s">
        <v>408</v>
      </c>
      <c r="I388" t="s">
        <v>2375</v>
      </c>
      <c r="J388" t="s">
        <v>2579</v>
      </c>
      <c r="K388" t="s">
        <v>483</v>
      </c>
      <c r="L388" t="s">
        <v>62</v>
      </c>
      <c r="M388" s="145">
        <v>24510</v>
      </c>
      <c r="N388" s="145">
        <v>23517</v>
      </c>
      <c r="O388" s="145">
        <v>993</v>
      </c>
      <c r="P388" s="131">
        <v>290688</v>
      </c>
      <c r="Q388" s="131">
        <v>294120</v>
      </c>
      <c r="R388">
        <v>0</v>
      </c>
      <c r="S388" s="155">
        <v>43101</v>
      </c>
    </row>
    <row r="389" spans="2:19">
      <c r="B389">
        <v>2015</v>
      </c>
      <c r="C389">
        <v>42293</v>
      </c>
      <c r="D389" t="s">
        <v>1082</v>
      </c>
      <c r="E389" t="s">
        <v>1074</v>
      </c>
      <c r="F389">
        <v>13</v>
      </c>
      <c r="G389" s="131">
        <v>1</v>
      </c>
      <c r="H389" t="s">
        <v>408</v>
      </c>
      <c r="I389" t="s">
        <v>2684</v>
      </c>
      <c r="J389" t="s">
        <v>2975</v>
      </c>
      <c r="K389" t="s">
        <v>2106</v>
      </c>
      <c r="L389" t="s">
        <v>62</v>
      </c>
      <c r="M389" s="145">
        <v>24224</v>
      </c>
      <c r="N389" s="145">
        <v>23257</v>
      </c>
      <c r="O389" s="145">
        <v>967</v>
      </c>
      <c r="P389" s="131">
        <v>290688</v>
      </c>
      <c r="Q389" s="131">
        <v>290688</v>
      </c>
      <c r="R389">
        <v>0</v>
      </c>
      <c r="S389" s="155">
        <v>43101</v>
      </c>
    </row>
    <row r="390" spans="2:19">
      <c r="B390">
        <v>2015</v>
      </c>
      <c r="C390">
        <v>42186</v>
      </c>
      <c r="D390" t="s">
        <v>1084</v>
      </c>
      <c r="E390" t="s">
        <v>1074</v>
      </c>
      <c r="F390">
        <v>13</v>
      </c>
      <c r="G390" s="131">
        <v>1</v>
      </c>
      <c r="H390" t="s">
        <v>408</v>
      </c>
      <c r="I390" t="s">
        <v>2623</v>
      </c>
      <c r="J390" t="s">
        <v>2976</v>
      </c>
      <c r="K390" t="s">
        <v>2095</v>
      </c>
      <c r="L390" t="s">
        <v>62</v>
      </c>
      <c r="M390" s="145">
        <v>24224</v>
      </c>
      <c r="N390" s="145">
        <v>23257</v>
      </c>
      <c r="O390" s="145">
        <v>967</v>
      </c>
      <c r="P390" s="131">
        <v>290688</v>
      </c>
      <c r="Q390" s="131">
        <v>290688</v>
      </c>
      <c r="R390">
        <v>0</v>
      </c>
      <c r="S390" s="155">
        <v>43101</v>
      </c>
    </row>
    <row r="391" spans="2:19">
      <c r="B391">
        <v>2014</v>
      </c>
      <c r="C391">
        <v>41913</v>
      </c>
      <c r="D391" t="s">
        <v>1085</v>
      </c>
      <c r="E391" t="s">
        <v>1074</v>
      </c>
      <c r="F391">
        <v>13</v>
      </c>
      <c r="G391" s="131">
        <v>2</v>
      </c>
      <c r="H391" t="s">
        <v>408</v>
      </c>
      <c r="I391" t="s">
        <v>2977</v>
      </c>
      <c r="J391" t="s">
        <v>2978</v>
      </c>
      <c r="K391" t="s">
        <v>2979</v>
      </c>
      <c r="L391" t="s">
        <v>100</v>
      </c>
      <c r="M391" s="145">
        <v>24510</v>
      </c>
      <c r="N391" s="145">
        <v>23517</v>
      </c>
      <c r="O391" s="145">
        <v>993</v>
      </c>
      <c r="P391" s="131">
        <v>290688</v>
      </c>
      <c r="Q391" s="131">
        <v>294120</v>
      </c>
      <c r="R391">
        <v>0</v>
      </c>
      <c r="S391" s="155">
        <v>43101</v>
      </c>
    </row>
    <row r="392" spans="2:19">
      <c r="B392">
        <v>2014</v>
      </c>
      <c r="C392">
        <v>41927</v>
      </c>
      <c r="D392" t="s">
        <v>1086</v>
      </c>
      <c r="E392" t="s">
        <v>1074</v>
      </c>
      <c r="F392">
        <v>13</v>
      </c>
      <c r="G392" s="131">
        <v>2</v>
      </c>
      <c r="H392" t="s">
        <v>181</v>
      </c>
      <c r="I392" t="s">
        <v>2586</v>
      </c>
      <c r="J392" t="s">
        <v>2980</v>
      </c>
      <c r="K392" t="s">
        <v>1214</v>
      </c>
      <c r="L392" t="s">
        <v>100</v>
      </c>
      <c r="M392" s="145">
        <v>24510</v>
      </c>
      <c r="N392" s="145">
        <v>23517</v>
      </c>
      <c r="O392" s="145">
        <v>993</v>
      </c>
      <c r="P392" s="131">
        <v>290688</v>
      </c>
      <c r="Q392" s="131">
        <v>294120</v>
      </c>
      <c r="R392">
        <v>0</v>
      </c>
      <c r="S392" s="155">
        <v>43101</v>
      </c>
    </row>
    <row r="393" spans="2:19">
      <c r="B393">
        <v>2014</v>
      </c>
      <c r="C393">
        <v>41932</v>
      </c>
      <c r="D393" t="s">
        <v>1096</v>
      </c>
      <c r="E393" t="s">
        <v>1074</v>
      </c>
      <c r="F393">
        <v>13</v>
      </c>
      <c r="G393" s="131">
        <v>2</v>
      </c>
      <c r="H393" t="s">
        <v>268</v>
      </c>
      <c r="I393" t="s">
        <v>2699</v>
      </c>
      <c r="J393" t="s">
        <v>2981</v>
      </c>
      <c r="K393" t="s">
        <v>2112</v>
      </c>
      <c r="L393" t="s">
        <v>100</v>
      </c>
      <c r="M393" s="145">
        <v>24510</v>
      </c>
      <c r="N393" s="145">
        <v>23517</v>
      </c>
      <c r="O393" s="145">
        <v>993</v>
      </c>
      <c r="P393" s="131">
        <v>290688</v>
      </c>
      <c r="Q393" s="131">
        <v>294120</v>
      </c>
      <c r="R393">
        <v>0</v>
      </c>
      <c r="S393" s="155">
        <v>43101</v>
      </c>
    </row>
    <row r="394" spans="2:19">
      <c r="B394">
        <v>2014</v>
      </c>
      <c r="C394">
        <v>41927</v>
      </c>
      <c r="D394" t="s">
        <v>1098</v>
      </c>
      <c r="E394" t="s">
        <v>1074</v>
      </c>
      <c r="F394">
        <v>13</v>
      </c>
      <c r="G394" s="131">
        <v>2</v>
      </c>
      <c r="H394" t="s">
        <v>167</v>
      </c>
      <c r="I394" t="s">
        <v>2704</v>
      </c>
      <c r="J394" t="s">
        <v>2982</v>
      </c>
      <c r="K394" t="s">
        <v>2109</v>
      </c>
      <c r="L394" t="s">
        <v>62</v>
      </c>
      <c r="M394" s="145">
        <v>24510</v>
      </c>
      <c r="N394" s="145">
        <v>23517</v>
      </c>
      <c r="O394" s="145">
        <v>993</v>
      </c>
      <c r="P394" s="131">
        <v>290688</v>
      </c>
      <c r="Q394" s="131">
        <v>294120</v>
      </c>
      <c r="R394">
        <v>0</v>
      </c>
      <c r="S394" s="155">
        <v>43101</v>
      </c>
    </row>
    <row r="395" spans="2:19">
      <c r="B395">
        <v>2014</v>
      </c>
      <c r="C395">
        <v>41913</v>
      </c>
      <c r="D395" t="s">
        <v>1104</v>
      </c>
      <c r="E395" t="s">
        <v>1074</v>
      </c>
      <c r="F395">
        <v>13</v>
      </c>
      <c r="G395" s="131">
        <v>2</v>
      </c>
      <c r="H395" t="s">
        <v>211</v>
      </c>
      <c r="I395" t="s">
        <v>2591</v>
      </c>
      <c r="J395" t="s">
        <v>2983</v>
      </c>
      <c r="K395" t="s">
        <v>2076</v>
      </c>
      <c r="L395" t="s">
        <v>100</v>
      </c>
      <c r="M395" s="145">
        <v>24510</v>
      </c>
      <c r="N395" s="145">
        <v>23517</v>
      </c>
      <c r="O395" s="145">
        <v>993</v>
      </c>
      <c r="P395" s="131">
        <v>290688</v>
      </c>
      <c r="Q395" s="131">
        <v>294120</v>
      </c>
      <c r="R395">
        <v>0</v>
      </c>
      <c r="S395" s="155">
        <v>43101</v>
      </c>
    </row>
    <row r="396" spans="2:19">
      <c r="B396">
        <v>2016</v>
      </c>
      <c r="C396">
        <v>42452</v>
      </c>
      <c r="D396" t="s">
        <v>1110</v>
      </c>
      <c r="E396" t="s">
        <v>1074</v>
      </c>
      <c r="F396">
        <v>13</v>
      </c>
      <c r="G396" s="131">
        <v>1</v>
      </c>
      <c r="H396" t="s">
        <v>408</v>
      </c>
      <c r="I396" t="s">
        <v>2680</v>
      </c>
      <c r="J396" t="s">
        <v>2984</v>
      </c>
      <c r="K396" t="s">
        <v>2146</v>
      </c>
      <c r="L396" t="s">
        <v>100</v>
      </c>
      <c r="M396" s="145">
        <v>24224</v>
      </c>
      <c r="N396" s="145">
        <v>23257</v>
      </c>
      <c r="O396" s="145">
        <v>967</v>
      </c>
      <c r="P396" s="131">
        <v>290688</v>
      </c>
      <c r="Q396" s="131">
        <v>290688</v>
      </c>
      <c r="R396">
        <v>0</v>
      </c>
      <c r="S396" s="155">
        <v>43101</v>
      </c>
    </row>
    <row r="397" spans="2:19">
      <c r="B397">
        <v>2014</v>
      </c>
      <c r="C397">
        <v>41913</v>
      </c>
      <c r="D397" t="s">
        <v>1111</v>
      </c>
      <c r="E397" t="s">
        <v>1074</v>
      </c>
      <c r="F397">
        <v>13</v>
      </c>
      <c r="G397" s="131">
        <v>2</v>
      </c>
      <c r="H397" t="s">
        <v>181</v>
      </c>
      <c r="I397" t="s">
        <v>1243</v>
      </c>
      <c r="J397" t="s">
        <v>2985</v>
      </c>
      <c r="K397" t="s">
        <v>1241</v>
      </c>
      <c r="L397" t="s">
        <v>62</v>
      </c>
      <c r="M397" s="145">
        <v>24510</v>
      </c>
      <c r="N397" s="145">
        <v>23517</v>
      </c>
      <c r="O397" s="145">
        <v>993</v>
      </c>
      <c r="P397" s="131">
        <v>290688</v>
      </c>
      <c r="Q397" s="131">
        <v>294120</v>
      </c>
      <c r="R397">
        <v>0</v>
      </c>
      <c r="S397" s="155">
        <v>43101</v>
      </c>
    </row>
    <row r="398" spans="2:19">
      <c r="B398">
        <v>2014</v>
      </c>
      <c r="C398">
        <v>41919</v>
      </c>
      <c r="D398" t="s">
        <v>1117</v>
      </c>
      <c r="E398" t="s">
        <v>1074</v>
      </c>
      <c r="F398">
        <v>13</v>
      </c>
      <c r="G398" s="131">
        <v>2</v>
      </c>
      <c r="H398" t="s">
        <v>57</v>
      </c>
      <c r="I398" t="s">
        <v>2337</v>
      </c>
      <c r="J398" t="s">
        <v>2986</v>
      </c>
      <c r="K398" t="s">
        <v>768</v>
      </c>
      <c r="L398" t="s">
        <v>62</v>
      </c>
      <c r="M398" s="145">
        <v>24510</v>
      </c>
      <c r="N398" s="145">
        <v>23517</v>
      </c>
      <c r="O398" s="145">
        <v>993</v>
      </c>
      <c r="P398" s="131">
        <v>290688</v>
      </c>
      <c r="Q398" s="131">
        <v>294120</v>
      </c>
      <c r="R398">
        <v>0</v>
      </c>
      <c r="S398" s="155">
        <v>43101</v>
      </c>
    </row>
    <row r="399" spans="2:19">
      <c r="B399">
        <v>2016</v>
      </c>
      <c r="C399">
        <v>42452</v>
      </c>
      <c r="D399" t="s">
        <v>1124</v>
      </c>
      <c r="E399" t="s">
        <v>1074</v>
      </c>
      <c r="F399">
        <v>13</v>
      </c>
      <c r="G399" s="131">
        <v>1</v>
      </c>
      <c r="H399" t="s">
        <v>211</v>
      </c>
      <c r="I399" t="s">
        <v>2987</v>
      </c>
      <c r="J399" t="s">
        <v>2988</v>
      </c>
      <c r="K399" t="s">
        <v>2989</v>
      </c>
      <c r="L399" t="s">
        <v>100</v>
      </c>
      <c r="M399" s="145">
        <v>24224</v>
      </c>
      <c r="N399" s="145">
        <v>23257</v>
      </c>
      <c r="O399" s="145">
        <v>967</v>
      </c>
      <c r="P399" s="131">
        <v>290688</v>
      </c>
      <c r="Q399" s="131">
        <v>290688</v>
      </c>
      <c r="R399">
        <v>0</v>
      </c>
      <c r="S399" s="155">
        <v>43101</v>
      </c>
    </row>
    <row r="400" spans="2:19">
      <c r="B400">
        <v>2017</v>
      </c>
      <c r="C400">
        <v>42851</v>
      </c>
      <c r="D400" t="s">
        <v>1129</v>
      </c>
      <c r="E400" t="s">
        <v>1074</v>
      </c>
      <c r="F400">
        <v>13</v>
      </c>
      <c r="G400" s="131">
        <v>1</v>
      </c>
      <c r="H400" t="s">
        <v>268</v>
      </c>
      <c r="I400" t="s">
        <v>2630</v>
      </c>
      <c r="J400" t="s">
        <v>2990</v>
      </c>
      <c r="K400" t="s">
        <v>2092</v>
      </c>
      <c r="L400" t="s">
        <v>100</v>
      </c>
      <c r="M400" s="145">
        <v>24224</v>
      </c>
      <c r="N400" s="145">
        <v>23257</v>
      </c>
      <c r="O400" s="145">
        <v>967</v>
      </c>
      <c r="P400" s="131">
        <v>290688</v>
      </c>
      <c r="Q400" s="131">
        <v>290688</v>
      </c>
      <c r="R400">
        <v>0</v>
      </c>
      <c r="S400" s="155">
        <v>43101</v>
      </c>
    </row>
    <row r="401" spans="2:19">
      <c r="B401">
        <v>2014</v>
      </c>
      <c r="C401">
        <v>41913</v>
      </c>
      <c r="D401" t="s">
        <v>1131</v>
      </c>
      <c r="E401" t="s">
        <v>1074</v>
      </c>
      <c r="F401">
        <v>13</v>
      </c>
      <c r="G401" s="131">
        <v>2</v>
      </c>
      <c r="H401" t="s">
        <v>174</v>
      </c>
      <c r="I401" t="s">
        <v>2342</v>
      </c>
      <c r="J401" t="s">
        <v>2991</v>
      </c>
      <c r="K401" t="s">
        <v>2045</v>
      </c>
      <c r="L401" t="s">
        <v>100</v>
      </c>
      <c r="M401" s="145">
        <v>24510</v>
      </c>
      <c r="N401" s="145">
        <v>23517</v>
      </c>
      <c r="O401" s="145">
        <v>993</v>
      </c>
      <c r="P401" s="131">
        <v>290688</v>
      </c>
      <c r="Q401" s="131">
        <v>294120</v>
      </c>
      <c r="R401">
        <v>0</v>
      </c>
      <c r="S401" s="155">
        <v>43101</v>
      </c>
    </row>
    <row r="402" spans="2:19">
      <c r="B402">
        <v>2016</v>
      </c>
      <c r="C402">
        <v>42662</v>
      </c>
      <c r="D402" t="s">
        <v>1137</v>
      </c>
      <c r="E402" t="s">
        <v>1074</v>
      </c>
      <c r="F402">
        <v>13</v>
      </c>
      <c r="G402" s="131">
        <v>1</v>
      </c>
      <c r="H402" t="s">
        <v>408</v>
      </c>
      <c r="I402" t="s">
        <v>2681</v>
      </c>
      <c r="J402" t="s">
        <v>2992</v>
      </c>
      <c r="K402" t="s">
        <v>2151</v>
      </c>
      <c r="L402" t="s">
        <v>62</v>
      </c>
      <c r="M402" s="145">
        <v>24224</v>
      </c>
      <c r="N402" s="145">
        <v>23257</v>
      </c>
      <c r="O402" s="145">
        <v>967</v>
      </c>
      <c r="P402" s="131">
        <v>290688</v>
      </c>
      <c r="Q402" s="131">
        <v>290688</v>
      </c>
      <c r="R402">
        <v>0</v>
      </c>
      <c r="S402" s="155">
        <v>43101</v>
      </c>
    </row>
    <row r="403" spans="2:19">
      <c r="B403">
        <v>2014</v>
      </c>
      <c r="C403">
        <v>41914</v>
      </c>
      <c r="D403" t="s">
        <v>1142</v>
      </c>
      <c r="E403" t="s">
        <v>1074</v>
      </c>
      <c r="F403">
        <v>13</v>
      </c>
      <c r="G403" s="131">
        <v>2</v>
      </c>
      <c r="H403" t="s">
        <v>268</v>
      </c>
      <c r="I403" t="s">
        <v>2601</v>
      </c>
      <c r="J403" t="s">
        <v>2602</v>
      </c>
      <c r="K403" t="s">
        <v>2021</v>
      </c>
      <c r="L403" t="s">
        <v>100</v>
      </c>
      <c r="M403" s="145">
        <v>24510</v>
      </c>
      <c r="N403" s="145">
        <v>23517</v>
      </c>
      <c r="O403" s="145">
        <v>993</v>
      </c>
      <c r="P403" s="131">
        <v>290688</v>
      </c>
      <c r="Q403" s="131">
        <v>294120</v>
      </c>
      <c r="R403">
        <v>0</v>
      </c>
      <c r="S403" s="155">
        <v>43101</v>
      </c>
    </row>
    <row r="404" spans="2:19">
      <c r="B404">
        <v>2014</v>
      </c>
      <c r="C404">
        <v>41913</v>
      </c>
      <c r="D404" t="s">
        <v>1149</v>
      </c>
      <c r="E404" t="s">
        <v>1074</v>
      </c>
      <c r="F404">
        <v>13</v>
      </c>
      <c r="G404" s="131">
        <v>2</v>
      </c>
      <c r="H404" t="s">
        <v>181</v>
      </c>
      <c r="I404" t="s">
        <v>2688</v>
      </c>
      <c r="J404" t="s">
        <v>2993</v>
      </c>
      <c r="K404" t="s">
        <v>2026</v>
      </c>
      <c r="L404" t="s">
        <v>62</v>
      </c>
      <c r="M404" s="145">
        <v>24510</v>
      </c>
      <c r="N404" s="145">
        <v>23517</v>
      </c>
      <c r="O404" s="145">
        <v>993</v>
      </c>
      <c r="P404" s="131">
        <v>290688</v>
      </c>
      <c r="Q404" s="131">
        <v>294120</v>
      </c>
      <c r="R404">
        <v>0</v>
      </c>
      <c r="S404" s="155">
        <v>43101</v>
      </c>
    </row>
    <row r="405" spans="2:19">
      <c r="B405">
        <v>2014</v>
      </c>
      <c r="C405">
        <v>41913</v>
      </c>
      <c r="D405" t="s">
        <v>1155</v>
      </c>
      <c r="E405" t="s">
        <v>1074</v>
      </c>
      <c r="F405">
        <v>13</v>
      </c>
      <c r="G405" s="131">
        <v>2</v>
      </c>
      <c r="H405" t="s">
        <v>268</v>
      </c>
      <c r="I405" t="s">
        <v>2612</v>
      </c>
      <c r="J405" t="s">
        <v>2994</v>
      </c>
      <c r="K405" t="s">
        <v>805</v>
      </c>
      <c r="L405" t="s">
        <v>62</v>
      </c>
      <c r="M405" s="145">
        <v>24510</v>
      </c>
      <c r="N405" s="145">
        <v>23517</v>
      </c>
      <c r="O405" s="145">
        <v>993</v>
      </c>
      <c r="P405" s="131">
        <v>290688</v>
      </c>
      <c r="Q405" s="131">
        <v>294120</v>
      </c>
      <c r="R405">
        <v>0</v>
      </c>
      <c r="S405" s="155">
        <v>43101</v>
      </c>
    </row>
    <row r="406" spans="2:19">
      <c r="B406">
        <v>2017</v>
      </c>
      <c r="C406">
        <v>42863</v>
      </c>
      <c r="D406" t="s">
        <v>1165</v>
      </c>
      <c r="E406" t="s">
        <v>1074</v>
      </c>
      <c r="F406">
        <v>13</v>
      </c>
      <c r="G406" s="131">
        <v>1</v>
      </c>
      <c r="H406" t="s">
        <v>167</v>
      </c>
      <c r="I406" t="s">
        <v>2636</v>
      </c>
      <c r="J406" t="s">
        <v>2995</v>
      </c>
      <c r="K406" t="s">
        <v>2138</v>
      </c>
      <c r="L406" t="s">
        <v>62</v>
      </c>
      <c r="M406" s="145">
        <v>24224</v>
      </c>
      <c r="N406" s="145">
        <v>23257</v>
      </c>
      <c r="O406" s="145">
        <v>967</v>
      </c>
      <c r="P406" s="131">
        <v>290688</v>
      </c>
      <c r="Q406" s="131">
        <v>290688</v>
      </c>
      <c r="R406">
        <v>0</v>
      </c>
      <c r="S406" s="155">
        <v>43101</v>
      </c>
    </row>
    <row r="407" spans="2:19">
      <c r="B407">
        <v>2015</v>
      </c>
      <c r="C407">
        <v>42289</v>
      </c>
      <c r="D407" t="s">
        <v>377</v>
      </c>
      <c r="E407" t="s">
        <v>1170</v>
      </c>
      <c r="F407">
        <v>8</v>
      </c>
      <c r="G407" s="131">
        <v>1</v>
      </c>
      <c r="H407" t="s">
        <v>181</v>
      </c>
      <c r="I407" t="s">
        <v>2609</v>
      </c>
      <c r="J407" t="s">
        <v>2996</v>
      </c>
      <c r="K407" t="s">
        <v>2130</v>
      </c>
      <c r="L407" t="s">
        <v>62</v>
      </c>
      <c r="M407" s="145">
        <v>16282</v>
      </c>
      <c r="N407" s="145">
        <v>15818</v>
      </c>
      <c r="O407" s="145">
        <v>464</v>
      </c>
      <c r="P407" s="131">
        <v>195384</v>
      </c>
      <c r="Q407" s="131">
        <v>195384</v>
      </c>
      <c r="R407">
        <v>0</v>
      </c>
      <c r="S407" s="155">
        <v>43101</v>
      </c>
    </row>
    <row r="408" spans="2:19">
      <c r="B408">
        <v>2011</v>
      </c>
      <c r="C408">
        <v>40897</v>
      </c>
      <c r="D408" t="s">
        <v>1171</v>
      </c>
      <c r="E408" t="s">
        <v>1170</v>
      </c>
      <c r="F408">
        <v>8</v>
      </c>
      <c r="G408" s="131">
        <v>3</v>
      </c>
      <c r="H408" t="s">
        <v>408</v>
      </c>
      <c r="I408" t="s">
        <v>411</v>
      </c>
      <c r="J408" t="s">
        <v>2997</v>
      </c>
      <c r="K408" t="s">
        <v>2182</v>
      </c>
      <c r="L408" t="s">
        <v>100</v>
      </c>
      <c r="M408" s="145">
        <v>16585</v>
      </c>
      <c r="N408" s="145">
        <v>16121</v>
      </c>
      <c r="O408" s="145">
        <v>464</v>
      </c>
      <c r="P408" s="131">
        <v>195384</v>
      </c>
      <c r="Q408" s="131">
        <v>199020</v>
      </c>
      <c r="R408">
        <v>0</v>
      </c>
      <c r="S408" s="155">
        <v>43101</v>
      </c>
    </row>
    <row r="409" spans="2:19">
      <c r="B409">
        <v>2015</v>
      </c>
      <c r="C409">
        <v>42186</v>
      </c>
      <c r="D409" t="s">
        <v>1180</v>
      </c>
      <c r="E409" t="s">
        <v>1170</v>
      </c>
      <c r="F409">
        <v>8</v>
      </c>
      <c r="G409" s="131">
        <v>1</v>
      </c>
      <c r="H409" t="s">
        <v>268</v>
      </c>
      <c r="I409" t="s">
        <v>2692</v>
      </c>
      <c r="J409" t="s">
        <v>2998</v>
      </c>
      <c r="K409" t="s">
        <v>2124</v>
      </c>
      <c r="L409" t="s">
        <v>62</v>
      </c>
      <c r="M409" s="145">
        <v>16282</v>
      </c>
      <c r="N409" s="145">
        <v>15818</v>
      </c>
      <c r="O409" s="145">
        <v>464</v>
      </c>
      <c r="P409" s="131">
        <v>195384</v>
      </c>
      <c r="Q409" s="131">
        <v>195384</v>
      </c>
      <c r="R409">
        <v>0</v>
      </c>
      <c r="S409" s="155">
        <v>43101</v>
      </c>
    </row>
    <row r="410" spans="2:19">
      <c r="B410">
        <v>1989</v>
      </c>
      <c r="C410">
        <v>32580</v>
      </c>
      <c r="D410" t="s">
        <v>1191</v>
      </c>
      <c r="E410" t="s">
        <v>1170</v>
      </c>
      <c r="F410">
        <v>8</v>
      </c>
      <c r="G410" s="131">
        <v>8</v>
      </c>
      <c r="H410" t="s">
        <v>174</v>
      </c>
      <c r="I410" t="s">
        <v>1188</v>
      </c>
      <c r="J410" t="s">
        <v>2999</v>
      </c>
      <c r="K410" t="s">
        <v>1186</v>
      </c>
      <c r="L410" t="s">
        <v>62</v>
      </c>
      <c r="M410" s="145">
        <v>17369</v>
      </c>
      <c r="N410" s="145">
        <v>16903</v>
      </c>
      <c r="O410" s="145">
        <v>466</v>
      </c>
      <c r="P410" s="131">
        <v>195384</v>
      </c>
      <c r="Q410" s="131">
        <v>208428</v>
      </c>
      <c r="R410">
        <v>0</v>
      </c>
      <c r="S410" s="155">
        <v>43101</v>
      </c>
    </row>
    <row r="411" spans="2:19">
      <c r="B411">
        <v>1998</v>
      </c>
      <c r="C411">
        <v>36084</v>
      </c>
      <c r="D411" t="s">
        <v>1194</v>
      </c>
      <c r="E411" t="s">
        <v>1170</v>
      </c>
      <c r="F411">
        <v>8</v>
      </c>
      <c r="G411" s="131">
        <v>7</v>
      </c>
      <c r="H411" t="s">
        <v>268</v>
      </c>
      <c r="I411" t="s">
        <v>1197</v>
      </c>
      <c r="J411" t="s">
        <v>3000</v>
      </c>
      <c r="K411" t="s">
        <v>1195</v>
      </c>
      <c r="L411" t="s">
        <v>100</v>
      </c>
      <c r="M411" s="145">
        <v>17209</v>
      </c>
      <c r="N411" s="145">
        <v>16744</v>
      </c>
      <c r="O411" s="145">
        <v>465</v>
      </c>
      <c r="P411" s="131">
        <v>195384</v>
      </c>
      <c r="Q411" s="131">
        <v>206508</v>
      </c>
      <c r="R411">
        <v>0</v>
      </c>
      <c r="S411" s="155">
        <v>43101</v>
      </c>
    </row>
    <row r="412" spans="2:19">
      <c r="B412">
        <v>1991</v>
      </c>
      <c r="C412">
        <v>33484</v>
      </c>
      <c r="D412" t="s">
        <v>1201</v>
      </c>
      <c r="E412" t="s">
        <v>1170</v>
      </c>
      <c r="F412">
        <v>8</v>
      </c>
      <c r="G412" s="131">
        <v>8</v>
      </c>
      <c r="H412" t="s">
        <v>408</v>
      </c>
      <c r="I412" t="s">
        <v>1205</v>
      </c>
      <c r="J412" t="s">
        <v>3001</v>
      </c>
      <c r="K412" t="s">
        <v>1202</v>
      </c>
      <c r="L412" t="s">
        <v>100</v>
      </c>
      <c r="M412" s="145">
        <v>17369</v>
      </c>
      <c r="N412" s="145">
        <v>16903</v>
      </c>
      <c r="O412" s="145">
        <v>466</v>
      </c>
      <c r="P412" s="131">
        <v>195384</v>
      </c>
      <c r="Q412" s="131">
        <v>208428</v>
      </c>
      <c r="R412">
        <v>0</v>
      </c>
      <c r="S412" s="155">
        <v>43101</v>
      </c>
    </row>
    <row r="413" spans="2:19">
      <c r="B413">
        <v>1996</v>
      </c>
      <c r="C413">
        <v>35096</v>
      </c>
      <c r="D413" t="s">
        <v>1208</v>
      </c>
      <c r="E413" t="s">
        <v>1170</v>
      </c>
      <c r="F413">
        <v>8</v>
      </c>
      <c r="G413" s="131">
        <v>8</v>
      </c>
      <c r="H413" t="s">
        <v>167</v>
      </c>
      <c r="I413" t="s">
        <v>1211</v>
      </c>
      <c r="J413" t="s">
        <v>3002</v>
      </c>
      <c r="K413" t="s">
        <v>1209</v>
      </c>
      <c r="L413" t="s">
        <v>100</v>
      </c>
      <c r="M413" s="145">
        <v>17369</v>
      </c>
      <c r="N413" s="145">
        <v>16903</v>
      </c>
      <c r="O413" s="145">
        <v>466</v>
      </c>
      <c r="P413" s="131">
        <v>195384</v>
      </c>
      <c r="Q413" s="131">
        <v>208428</v>
      </c>
      <c r="R413">
        <v>0</v>
      </c>
      <c r="S413" s="155">
        <v>43101</v>
      </c>
    </row>
    <row r="414" spans="2:19">
      <c r="B414">
        <v>2015</v>
      </c>
      <c r="C414">
        <v>42289</v>
      </c>
      <c r="D414" t="s">
        <v>1213</v>
      </c>
      <c r="E414" t="s">
        <v>1170</v>
      </c>
      <c r="F414">
        <v>8</v>
      </c>
      <c r="G414" s="131">
        <v>1</v>
      </c>
      <c r="H414" t="s">
        <v>211</v>
      </c>
      <c r="I414" t="s">
        <v>2697</v>
      </c>
      <c r="J414" t="s">
        <v>3003</v>
      </c>
      <c r="K414" t="s">
        <v>2135</v>
      </c>
      <c r="L414" t="s">
        <v>100</v>
      </c>
      <c r="M414" s="145">
        <v>16282</v>
      </c>
      <c r="N414" s="145">
        <v>15818</v>
      </c>
      <c r="O414" s="145">
        <v>464</v>
      </c>
      <c r="P414" s="131">
        <v>195384</v>
      </c>
      <c r="Q414" s="131">
        <v>195384</v>
      </c>
      <c r="R414">
        <v>0</v>
      </c>
      <c r="S414" s="155">
        <v>43101</v>
      </c>
    </row>
    <row r="415" spans="2:19">
      <c r="B415">
        <v>1997</v>
      </c>
      <c r="C415">
        <v>35643</v>
      </c>
      <c r="D415" t="s">
        <v>1218</v>
      </c>
      <c r="E415" t="s">
        <v>1170</v>
      </c>
      <c r="F415">
        <v>8</v>
      </c>
      <c r="G415" s="131">
        <v>7</v>
      </c>
      <c r="H415" t="s">
        <v>174</v>
      </c>
      <c r="I415" t="s">
        <v>1221</v>
      </c>
      <c r="J415" t="s">
        <v>3004</v>
      </c>
      <c r="K415" t="s">
        <v>1219</v>
      </c>
      <c r="L415" t="s">
        <v>100</v>
      </c>
      <c r="M415" s="145">
        <v>17209</v>
      </c>
      <c r="N415" s="145">
        <v>16744</v>
      </c>
      <c r="O415" s="145">
        <v>465</v>
      </c>
      <c r="P415" s="131">
        <v>195384</v>
      </c>
      <c r="Q415" s="131">
        <v>206508</v>
      </c>
      <c r="R415">
        <v>0</v>
      </c>
      <c r="S415" s="155">
        <v>43101</v>
      </c>
    </row>
    <row r="416" spans="2:19">
      <c r="B416">
        <v>2015</v>
      </c>
      <c r="C416">
        <v>42289</v>
      </c>
      <c r="D416" t="s">
        <v>1223</v>
      </c>
      <c r="E416" t="s">
        <v>1170</v>
      </c>
      <c r="F416">
        <v>8</v>
      </c>
      <c r="G416" s="131">
        <v>1</v>
      </c>
      <c r="H416" t="s">
        <v>211</v>
      </c>
      <c r="I416" t="s">
        <v>3005</v>
      </c>
      <c r="J416" t="s">
        <v>3006</v>
      </c>
      <c r="K416" t="s">
        <v>2133</v>
      </c>
      <c r="L416" t="s">
        <v>100</v>
      </c>
      <c r="M416" s="145">
        <v>16282</v>
      </c>
      <c r="N416" s="145">
        <v>15818</v>
      </c>
      <c r="O416" s="145">
        <v>464</v>
      </c>
      <c r="P416" s="131">
        <v>195384</v>
      </c>
      <c r="Q416" s="131">
        <v>195384</v>
      </c>
      <c r="R416">
        <v>0</v>
      </c>
      <c r="S416" s="155">
        <v>43101</v>
      </c>
    </row>
    <row r="417" spans="2:19">
      <c r="B417">
        <v>1996</v>
      </c>
      <c r="C417">
        <v>35254</v>
      </c>
      <c r="D417" t="s">
        <v>1228</v>
      </c>
      <c r="E417" t="s">
        <v>1170</v>
      </c>
      <c r="F417">
        <v>8</v>
      </c>
      <c r="G417" s="131">
        <v>8</v>
      </c>
      <c r="H417" t="s">
        <v>181</v>
      </c>
      <c r="I417" t="s">
        <v>1237</v>
      </c>
      <c r="J417" t="s">
        <v>3007</v>
      </c>
      <c r="K417" t="s">
        <v>1235</v>
      </c>
      <c r="L417" t="s">
        <v>100</v>
      </c>
      <c r="M417" s="145">
        <v>17369</v>
      </c>
      <c r="N417" s="145">
        <v>16903</v>
      </c>
      <c r="O417" s="145">
        <v>466</v>
      </c>
      <c r="P417" s="131">
        <v>195384</v>
      </c>
      <c r="Q417" s="131">
        <v>208428</v>
      </c>
      <c r="R417">
        <v>0</v>
      </c>
      <c r="S417" s="155">
        <v>43101</v>
      </c>
    </row>
    <row r="418" spans="2:19">
      <c r="B418">
        <v>1975</v>
      </c>
      <c r="C418">
        <v>27442</v>
      </c>
      <c r="D418" t="s">
        <v>390</v>
      </c>
      <c r="E418" t="s">
        <v>273</v>
      </c>
      <c r="F418">
        <v>6</v>
      </c>
      <c r="G418" s="131">
        <v>8</v>
      </c>
      <c r="H418" t="s">
        <v>57</v>
      </c>
      <c r="I418" t="s">
        <v>387</v>
      </c>
      <c r="J418" t="s">
        <v>3008</v>
      </c>
      <c r="K418" t="s">
        <v>385</v>
      </c>
      <c r="L418" t="s">
        <v>100</v>
      </c>
      <c r="M418" s="145">
        <v>15190</v>
      </c>
      <c r="N418" s="145">
        <v>14731</v>
      </c>
      <c r="O418" s="145">
        <v>459</v>
      </c>
      <c r="P418" s="131">
        <v>172080</v>
      </c>
      <c r="Q418" s="131">
        <v>182280</v>
      </c>
      <c r="R418">
        <v>0</v>
      </c>
      <c r="S418" s="155">
        <v>43101</v>
      </c>
    </row>
    <row r="419" spans="2:19">
      <c r="B419">
        <v>2015</v>
      </c>
      <c r="C419">
        <v>42318</v>
      </c>
      <c r="D419" t="s">
        <v>1251</v>
      </c>
      <c r="E419" t="s">
        <v>273</v>
      </c>
      <c r="F419">
        <v>6</v>
      </c>
      <c r="G419" s="131">
        <v>1</v>
      </c>
      <c r="H419" t="s">
        <v>408</v>
      </c>
      <c r="I419" t="s">
        <v>3009</v>
      </c>
      <c r="J419" t="s">
        <v>3010</v>
      </c>
      <c r="K419" t="s">
        <v>2143</v>
      </c>
      <c r="L419" t="s">
        <v>100</v>
      </c>
      <c r="M419" s="145">
        <v>14340</v>
      </c>
      <c r="N419" s="145">
        <v>13851</v>
      </c>
      <c r="O419" s="145">
        <v>489</v>
      </c>
      <c r="P419" s="131">
        <v>172080</v>
      </c>
      <c r="Q419" s="131">
        <v>172080</v>
      </c>
      <c r="R419">
        <v>0</v>
      </c>
      <c r="S419" s="155">
        <v>43101</v>
      </c>
    </row>
    <row r="420" spans="2:19">
      <c r="B420">
        <v>1993</v>
      </c>
      <c r="C420">
        <v>34151</v>
      </c>
      <c r="D420" t="s">
        <v>1256</v>
      </c>
      <c r="E420" t="s">
        <v>273</v>
      </c>
      <c r="F420">
        <v>6</v>
      </c>
      <c r="G420" s="131">
        <v>8</v>
      </c>
      <c r="H420" t="s">
        <v>167</v>
      </c>
      <c r="I420" t="s">
        <v>1258</v>
      </c>
      <c r="J420" t="s">
        <v>3011</v>
      </c>
      <c r="K420" t="s">
        <v>1257</v>
      </c>
      <c r="L420" t="s">
        <v>62</v>
      </c>
      <c r="M420" s="145">
        <v>15190</v>
      </c>
      <c r="N420" s="145">
        <v>14731</v>
      </c>
      <c r="O420" s="145">
        <v>459</v>
      </c>
      <c r="P420" s="131">
        <v>172080</v>
      </c>
      <c r="Q420" s="131">
        <v>182280</v>
      </c>
      <c r="R420">
        <v>0</v>
      </c>
      <c r="S420" s="155">
        <v>43101</v>
      </c>
    </row>
    <row r="421" spans="2:19">
      <c r="B421">
        <v>2014</v>
      </c>
      <c r="C421">
        <v>41913</v>
      </c>
      <c r="D421" t="s">
        <v>1260</v>
      </c>
      <c r="E421" t="s">
        <v>273</v>
      </c>
      <c r="F421">
        <v>6</v>
      </c>
      <c r="G421" s="131">
        <v>2</v>
      </c>
      <c r="H421" t="s">
        <v>268</v>
      </c>
      <c r="I421" t="s">
        <v>2700</v>
      </c>
      <c r="J421" t="s">
        <v>3012</v>
      </c>
      <c r="K421" t="s">
        <v>2103</v>
      </c>
      <c r="L421" t="s">
        <v>100</v>
      </c>
      <c r="M421" s="145">
        <v>14459</v>
      </c>
      <c r="N421" s="145">
        <v>13973</v>
      </c>
      <c r="O421" s="145">
        <v>486</v>
      </c>
      <c r="P421" s="131">
        <v>172080</v>
      </c>
      <c r="Q421" s="131">
        <v>173508</v>
      </c>
      <c r="R421">
        <v>0</v>
      </c>
      <c r="S421" s="155">
        <v>43101</v>
      </c>
    </row>
    <row r="422" spans="2:19">
      <c r="B422">
        <v>1989</v>
      </c>
      <c r="C422">
        <v>32672</v>
      </c>
      <c r="D422" t="s">
        <v>1266</v>
      </c>
      <c r="E422" t="s">
        <v>273</v>
      </c>
      <c r="F422">
        <v>6</v>
      </c>
      <c r="G422" s="131">
        <v>8</v>
      </c>
      <c r="H422" t="s">
        <v>57</v>
      </c>
      <c r="I422" t="s">
        <v>123</v>
      </c>
      <c r="J422" t="s">
        <v>3013</v>
      </c>
      <c r="K422" t="s">
        <v>120</v>
      </c>
      <c r="L422" t="s">
        <v>100</v>
      </c>
      <c r="M422" s="145">
        <v>15190</v>
      </c>
      <c r="N422" s="145">
        <v>14731</v>
      </c>
      <c r="O422" s="145">
        <v>459</v>
      </c>
      <c r="P422" s="131">
        <v>172080</v>
      </c>
      <c r="Q422" s="131">
        <v>182280</v>
      </c>
      <c r="R422">
        <v>0</v>
      </c>
      <c r="S422" s="155">
        <v>43101</v>
      </c>
    </row>
    <row r="423" spans="2:19">
      <c r="B423">
        <v>1994</v>
      </c>
      <c r="C423">
        <v>34408</v>
      </c>
      <c r="D423" t="s">
        <v>1270</v>
      </c>
      <c r="E423" t="s">
        <v>273</v>
      </c>
      <c r="F423">
        <v>6</v>
      </c>
      <c r="G423" s="131">
        <v>8</v>
      </c>
      <c r="H423" t="s">
        <v>211</v>
      </c>
      <c r="I423" t="s">
        <v>2696</v>
      </c>
      <c r="J423" t="s">
        <v>3014</v>
      </c>
      <c r="K423" t="s">
        <v>1271</v>
      </c>
      <c r="L423" t="s">
        <v>62</v>
      </c>
      <c r="M423" s="145">
        <v>15190</v>
      </c>
      <c r="N423" s="145">
        <v>14731</v>
      </c>
      <c r="O423" s="145">
        <v>459</v>
      </c>
      <c r="P423" s="131">
        <v>172080</v>
      </c>
      <c r="Q423" s="131">
        <v>182280</v>
      </c>
      <c r="R423">
        <v>0</v>
      </c>
      <c r="S423" s="155">
        <v>43101</v>
      </c>
    </row>
    <row r="424" spans="2:19">
      <c r="B424">
        <v>2015</v>
      </c>
      <c r="C424">
        <v>42186</v>
      </c>
      <c r="D424" t="s">
        <v>1275</v>
      </c>
      <c r="E424" t="s">
        <v>455</v>
      </c>
      <c r="F424">
        <v>4</v>
      </c>
      <c r="G424" s="131">
        <v>1</v>
      </c>
      <c r="H424" t="s">
        <v>181</v>
      </c>
      <c r="I424" t="s">
        <v>2686</v>
      </c>
      <c r="J424" t="s">
        <v>3015</v>
      </c>
      <c r="K424" t="s">
        <v>2121</v>
      </c>
      <c r="L424" t="s">
        <v>100</v>
      </c>
      <c r="M424" s="145">
        <v>12674</v>
      </c>
      <c r="N424" s="145">
        <v>12155</v>
      </c>
      <c r="O424" s="145">
        <v>519</v>
      </c>
      <c r="P424" s="131">
        <v>152088</v>
      </c>
      <c r="Q424" s="131">
        <v>152088</v>
      </c>
      <c r="R424">
        <v>0</v>
      </c>
      <c r="S424" s="155">
        <v>43101</v>
      </c>
    </row>
    <row r="425" spans="2:19">
      <c r="B425">
        <v>2013</v>
      </c>
      <c r="C425">
        <v>41519</v>
      </c>
      <c r="D425" t="s">
        <v>1277</v>
      </c>
      <c r="E425" t="s">
        <v>455</v>
      </c>
      <c r="F425">
        <v>4</v>
      </c>
      <c r="G425" s="131">
        <v>2</v>
      </c>
      <c r="H425" t="s">
        <v>57</v>
      </c>
      <c r="I425" t="s">
        <v>3016</v>
      </c>
      <c r="J425" t="s">
        <v>3017</v>
      </c>
      <c r="K425" t="s">
        <v>3018</v>
      </c>
      <c r="L425" t="s">
        <v>100</v>
      </c>
      <c r="M425" s="145">
        <v>12778</v>
      </c>
      <c r="N425" s="145">
        <v>12262</v>
      </c>
      <c r="O425" s="145">
        <v>516</v>
      </c>
      <c r="P425" s="131">
        <v>152088</v>
      </c>
      <c r="Q425" s="131">
        <v>153336</v>
      </c>
      <c r="R425">
        <v>0</v>
      </c>
      <c r="S425" s="155">
        <v>43101</v>
      </c>
    </row>
    <row r="426" spans="2:19">
      <c r="B426">
        <v>1998</v>
      </c>
      <c r="C426">
        <v>36115</v>
      </c>
      <c r="D426" t="s">
        <v>1278</v>
      </c>
      <c r="E426" t="s">
        <v>455</v>
      </c>
      <c r="F426">
        <v>4</v>
      </c>
      <c r="G426" s="131">
        <v>7</v>
      </c>
      <c r="H426" t="s">
        <v>167</v>
      </c>
      <c r="I426" t="s">
        <v>1281</v>
      </c>
      <c r="J426" t="s">
        <v>3019</v>
      </c>
      <c r="K426" t="s">
        <v>1279</v>
      </c>
      <c r="L426" t="s">
        <v>100</v>
      </c>
      <c r="M426" s="145">
        <v>13315</v>
      </c>
      <c r="N426" s="145">
        <v>12814</v>
      </c>
      <c r="O426" s="145">
        <v>501</v>
      </c>
      <c r="P426" s="131">
        <v>152088</v>
      </c>
      <c r="Q426" s="131">
        <v>159780</v>
      </c>
      <c r="R426" t="s">
        <v>2632</v>
      </c>
      <c r="S426" s="155">
        <v>43101</v>
      </c>
    </row>
    <row r="427" spans="2:19">
      <c r="B427">
        <v>2015</v>
      </c>
      <c r="C427">
        <v>42289</v>
      </c>
      <c r="D427" t="s">
        <v>1284</v>
      </c>
      <c r="E427" t="s">
        <v>455</v>
      </c>
      <c r="F427">
        <v>4</v>
      </c>
      <c r="G427" s="131">
        <v>1</v>
      </c>
      <c r="H427" t="s">
        <v>174</v>
      </c>
      <c r="I427" t="s">
        <v>2695</v>
      </c>
      <c r="J427" t="s">
        <v>3020</v>
      </c>
      <c r="K427" t="s">
        <v>2141</v>
      </c>
      <c r="L427" t="s">
        <v>62</v>
      </c>
      <c r="M427" s="145">
        <v>12674</v>
      </c>
      <c r="N427" s="145">
        <v>12155</v>
      </c>
      <c r="O427" s="145">
        <v>519</v>
      </c>
      <c r="P427" s="131">
        <v>152088</v>
      </c>
      <c r="Q427" s="131">
        <v>152088</v>
      </c>
      <c r="R427">
        <v>0</v>
      </c>
      <c r="S427" s="155">
        <v>43101</v>
      </c>
    </row>
    <row r="428" spans="2:19">
      <c r="B428">
        <v>2012</v>
      </c>
      <c r="C428">
        <v>40910</v>
      </c>
      <c r="D428" t="s">
        <v>1290</v>
      </c>
      <c r="E428" t="s">
        <v>455</v>
      </c>
      <c r="F428">
        <v>4</v>
      </c>
      <c r="G428" s="131">
        <v>2</v>
      </c>
      <c r="H428" t="s">
        <v>189</v>
      </c>
      <c r="I428" t="s">
        <v>2689</v>
      </c>
      <c r="J428" t="s">
        <v>3021</v>
      </c>
      <c r="K428" t="s">
        <v>2014</v>
      </c>
      <c r="L428" t="s">
        <v>100</v>
      </c>
      <c r="M428" s="145">
        <v>12778</v>
      </c>
      <c r="N428" s="145">
        <v>12262</v>
      </c>
      <c r="O428" s="145">
        <v>516</v>
      </c>
      <c r="P428" s="131">
        <v>152088</v>
      </c>
      <c r="Q428" s="131">
        <v>153336</v>
      </c>
      <c r="R428">
        <v>0</v>
      </c>
      <c r="S428" s="155">
        <v>43101</v>
      </c>
    </row>
    <row r="429" spans="2:19">
      <c r="B429">
        <v>2002</v>
      </c>
      <c r="C429">
        <v>37305</v>
      </c>
      <c r="D429" t="s">
        <v>1291</v>
      </c>
      <c r="E429" t="s">
        <v>2194</v>
      </c>
      <c r="F429">
        <v>3</v>
      </c>
      <c r="G429" s="131">
        <v>6</v>
      </c>
      <c r="H429" t="s">
        <v>181</v>
      </c>
      <c r="I429" t="s">
        <v>1293</v>
      </c>
      <c r="J429" t="s">
        <v>3022</v>
      </c>
      <c r="K429" t="s">
        <v>1125</v>
      </c>
      <c r="L429" t="s">
        <v>62</v>
      </c>
      <c r="M429" s="145">
        <v>12414</v>
      </c>
      <c r="N429" s="145">
        <v>11899</v>
      </c>
      <c r="O429" s="145">
        <v>515</v>
      </c>
      <c r="P429" s="131">
        <v>142968</v>
      </c>
      <c r="Q429" s="131">
        <v>148968</v>
      </c>
      <c r="R429">
        <v>0</v>
      </c>
      <c r="S429" s="155">
        <v>43101</v>
      </c>
    </row>
    <row r="430" spans="2:19">
      <c r="B430">
        <v>1989</v>
      </c>
      <c r="C430">
        <v>32580</v>
      </c>
      <c r="D430" t="s">
        <v>1297</v>
      </c>
      <c r="E430" t="s">
        <v>2194</v>
      </c>
      <c r="F430">
        <v>3</v>
      </c>
      <c r="G430" s="131">
        <v>8</v>
      </c>
      <c r="H430" t="s">
        <v>408</v>
      </c>
      <c r="I430" t="s">
        <v>1298</v>
      </c>
      <c r="J430" t="s">
        <v>3023</v>
      </c>
      <c r="K430" t="s">
        <v>327</v>
      </c>
      <c r="L430" t="s">
        <v>62</v>
      </c>
      <c r="M430" s="145">
        <v>12620</v>
      </c>
      <c r="N430" s="145">
        <v>12110</v>
      </c>
      <c r="O430" s="145">
        <v>510</v>
      </c>
      <c r="P430" s="131">
        <v>142968</v>
      </c>
      <c r="Q430" s="131">
        <v>151440</v>
      </c>
      <c r="R430">
        <v>0</v>
      </c>
      <c r="S430" s="155">
        <v>43101</v>
      </c>
    </row>
    <row r="431" spans="2:19">
      <c r="B431">
        <v>1990</v>
      </c>
      <c r="C431">
        <v>33175</v>
      </c>
      <c r="D431" t="s">
        <v>1327</v>
      </c>
      <c r="E431" t="s">
        <v>1332</v>
      </c>
      <c r="F431">
        <v>2</v>
      </c>
      <c r="G431" s="131">
        <v>8</v>
      </c>
      <c r="H431" t="s">
        <v>211</v>
      </c>
      <c r="I431" t="s">
        <v>1329</v>
      </c>
      <c r="J431" t="s">
        <v>3024</v>
      </c>
      <c r="K431" t="s">
        <v>1328</v>
      </c>
      <c r="L431" t="s">
        <v>62</v>
      </c>
      <c r="M431" s="145">
        <v>11864</v>
      </c>
      <c r="N431" s="145">
        <v>11345</v>
      </c>
      <c r="O431" s="145">
        <v>519</v>
      </c>
      <c r="P431" s="131">
        <v>134400</v>
      </c>
      <c r="Q431" s="131">
        <v>142368</v>
      </c>
      <c r="R431">
        <v>0</v>
      </c>
      <c r="S431" s="155">
        <v>43101</v>
      </c>
    </row>
    <row r="432" spans="2:19">
      <c r="B432">
        <v>1996</v>
      </c>
      <c r="C432">
        <v>35254</v>
      </c>
      <c r="D432" t="s">
        <v>1358</v>
      </c>
      <c r="E432" t="s">
        <v>2196</v>
      </c>
      <c r="F432">
        <v>1</v>
      </c>
      <c r="G432" s="131">
        <v>8</v>
      </c>
      <c r="H432" t="s">
        <v>181</v>
      </c>
      <c r="I432" t="s">
        <v>1361</v>
      </c>
      <c r="J432" t="s">
        <v>3025</v>
      </c>
      <c r="K432" t="s">
        <v>1359</v>
      </c>
      <c r="L432" t="s">
        <v>100</v>
      </c>
      <c r="M432" s="145">
        <v>11173</v>
      </c>
      <c r="N432" s="145">
        <v>10640</v>
      </c>
      <c r="O432" s="145">
        <v>533</v>
      </c>
      <c r="P432" s="131">
        <v>126120</v>
      </c>
      <c r="Q432" s="131">
        <v>134076</v>
      </c>
      <c r="R432">
        <v>0</v>
      </c>
      <c r="S432" s="155">
        <v>43101</v>
      </c>
    </row>
    <row r="433" spans="2:19">
      <c r="B433">
        <v>1999</v>
      </c>
      <c r="C433">
        <v>36356</v>
      </c>
      <c r="D433" t="s">
        <v>1363</v>
      </c>
      <c r="E433" t="s">
        <v>2196</v>
      </c>
      <c r="F433">
        <v>1</v>
      </c>
      <c r="G433" s="131">
        <v>7</v>
      </c>
      <c r="H433" t="s">
        <v>268</v>
      </c>
      <c r="I433" t="s">
        <v>1366</v>
      </c>
      <c r="J433" t="s">
        <v>3026</v>
      </c>
      <c r="K433" t="s">
        <v>1364</v>
      </c>
      <c r="L433" t="s">
        <v>62</v>
      </c>
      <c r="M433" s="145">
        <v>11076</v>
      </c>
      <c r="N433" s="145">
        <v>10543</v>
      </c>
      <c r="O433" s="145">
        <v>533</v>
      </c>
      <c r="P433" s="131">
        <v>126120</v>
      </c>
      <c r="Q433" s="131">
        <v>132912</v>
      </c>
      <c r="R433">
        <v>0</v>
      </c>
      <c r="S433" s="155">
        <v>43101</v>
      </c>
    </row>
    <row r="434" spans="2:19">
      <c r="B434">
        <v>1994</v>
      </c>
      <c r="C434">
        <v>34408</v>
      </c>
      <c r="D434" t="s">
        <v>1372</v>
      </c>
      <c r="E434" t="s">
        <v>2196</v>
      </c>
      <c r="F434">
        <v>1</v>
      </c>
      <c r="G434" s="131">
        <v>8</v>
      </c>
      <c r="H434" t="s">
        <v>211</v>
      </c>
      <c r="I434" t="s">
        <v>1375</v>
      </c>
      <c r="J434" t="s">
        <v>3027</v>
      </c>
      <c r="K434" t="s">
        <v>1373</v>
      </c>
      <c r="L434" t="s">
        <v>62</v>
      </c>
      <c r="M434" s="145">
        <v>11173</v>
      </c>
      <c r="N434" s="145">
        <v>10640</v>
      </c>
      <c r="O434" s="145">
        <v>533</v>
      </c>
      <c r="P434" s="131">
        <v>126120</v>
      </c>
      <c r="Q434" s="131">
        <v>134076</v>
      </c>
    </row>
  </sheetData>
  <autoFilter ref="A1:Y230" xr:uid="{00000000-0009-0000-0000-000006000000}">
    <filterColumn colId="2">
      <filters>
        <filter val="27442"/>
        <filter val="32371"/>
        <filter val="32580"/>
        <filter val="32672"/>
        <filter val="33175"/>
        <filter val="33484"/>
        <filter val="34151"/>
        <filter val="34408"/>
        <filter val="34963"/>
        <filter val="35096"/>
        <filter val="35254"/>
        <filter val="35643"/>
        <filter val="36054"/>
        <filter val="36069"/>
        <filter val="36084"/>
        <filter val="36115"/>
        <filter val="36356"/>
        <filter val="36951"/>
        <filter val="37173"/>
        <filter val="37288"/>
        <filter val="37305"/>
        <filter val="37355"/>
        <filter val="37378"/>
        <filter val="37453"/>
        <filter val="37561"/>
        <filter val="37655"/>
        <filter val="37658"/>
        <filter val="38018"/>
        <filter val="38135"/>
        <filter val="38607"/>
        <filter val="38926"/>
        <filter val="39170"/>
        <filter val="39510"/>
        <filter val="40256"/>
        <filter val="40262"/>
        <filter val="40603"/>
        <filter val="40633"/>
        <filter val="40634"/>
        <filter val="40637"/>
        <filter val="40648"/>
        <filter val="40658"/>
        <filter val="40662"/>
        <filter val="40892"/>
        <filter val="40893"/>
        <filter val="40896"/>
        <filter val="40897"/>
        <filter val="40910"/>
        <filter val="40924"/>
        <filter val="40969"/>
        <filter val="41068"/>
        <filter val="41127"/>
        <filter val="41138"/>
        <filter val="41149"/>
        <filter val="41165"/>
        <filter val="41254"/>
        <filter val="41260"/>
        <filter val="41306"/>
        <filter val="41323"/>
        <filter val="41487"/>
        <filter val="41519"/>
        <filter val="41526"/>
        <filter val="41571"/>
        <filter val="41704"/>
        <filter val="41711"/>
        <filter val="41869"/>
        <filter val="41913"/>
        <filter val="41914"/>
        <filter val="41919"/>
        <filter val="41927"/>
        <filter val="41932"/>
        <filter val="41946"/>
        <filter val="41967"/>
        <filter val="41988"/>
        <filter val="42002"/>
        <filter val="42184"/>
        <filter val="42186"/>
        <filter val="42201"/>
        <filter val="42289"/>
        <filter val="42293"/>
        <filter val="42313"/>
        <filter val="42318"/>
        <filter val="42354"/>
        <filter val="42376"/>
        <filter val="42391"/>
        <filter val="42430"/>
        <filter val="42436"/>
        <filter val="42452"/>
        <filter val="42537"/>
        <filter val="42538"/>
        <filter val="42569"/>
        <filter val="42597"/>
        <filter val="42653"/>
        <filter val="42662"/>
        <filter val="42821"/>
        <filter val="42835"/>
        <filter val="42851"/>
        <filter val="42863"/>
        <filter val="42891"/>
        <filter val="43070"/>
        <filter val="43087"/>
        <filter val="43089"/>
        <filter val="43103"/>
      </filters>
    </filterColumn>
  </autoFilter>
  <conditionalFormatting sqref="G1:G230">
    <cfRule type="cellIs" dxfId="282" priority="4" operator="greaterThan">
      <formula>7</formula>
    </cfRule>
  </conditionalFormatting>
  <conditionalFormatting sqref="G234:G434">
    <cfRule type="cellIs" dxfId="281" priority="1" operator="greaterThan">
      <formula>7</formula>
    </cfRule>
  </conditionalFormatting>
  <dataValidations count="1">
    <dataValidation allowBlank="1" showInputMessage="1" showErrorMessage="1" sqref="D233:L233 C232:C233 H1:H231 L1:L231 M1:M434 N1:N231 N233:N434 O1:O434 C1:G230 P1:Q230 I1:K230 R1:XFD1048576 P233:Q434 C435:Q1048576 C234:L434" xr:uid="{00000000-0002-0000-0600-000000000000}"/>
  </dataValidations>
  <pageMargins left="0.69930555555555596" right="0.69930555555555596"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4.4"/>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916"/>
  <sheetViews>
    <sheetView zoomScale="99" zoomScaleNormal="99" workbookViewId="0">
      <selection activeCell="C3" sqref="C3:C45"/>
    </sheetView>
  </sheetViews>
  <sheetFormatPr defaultColWidth="9" defaultRowHeight="14.4"/>
  <cols>
    <col min="2" max="2" width="22.5546875" customWidth="1"/>
    <col min="6" max="6" width="15.5546875" customWidth="1"/>
  </cols>
  <sheetData>
    <row r="1" spans="1:11" ht="16.2">
      <c r="B1" s="1070" t="s">
        <v>466</v>
      </c>
      <c r="C1" s="1070"/>
      <c r="D1" s="1070"/>
      <c r="E1" s="1070"/>
      <c r="F1" s="1070"/>
      <c r="G1" s="176"/>
      <c r="H1" s="176"/>
      <c r="I1" s="176"/>
      <c r="J1" s="176"/>
      <c r="K1" s="176"/>
    </row>
    <row r="2" spans="1:11" ht="32.4">
      <c r="B2" s="334"/>
      <c r="C2" s="335" t="s">
        <v>3041</v>
      </c>
      <c r="D2" s="335" t="s">
        <v>3042</v>
      </c>
      <c r="E2" s="335" t="s">
        <v>3043</v>
      </c>
      <c r="F2" s="335" t="s">
        <v>3044</v>
      </c>
    </row>
    <row r="3" spans="1:11" ht="16.2">
      <c r="A3">
        <v>1</v>
      </c>
      <c r="B3" s="336" t="s">
        <v>2029</v>
      </c>
      <c r="C3" s="337" t="s">
        <v>81</v>
      </c>
      <c r="D3" s="337">
        <v>152</v>
      </c>
      <c r="E3" s="337">
        <v>50</v>
      </c>
      <c r="F3" s="337">
        <v>2003173281</v>
      </c>
      <c r="G3" t="b">
        <f>B3=H3</f>
        <v>1</v>
      </c>
      <c r="H3" s="331" t="s">
        <v>2029</v>
      </c>
      <c r="I3" s="331" t="s">
        <v>2030</v>
      </c>
    </row>
    <row r="4" spans="1:11" ht="16.2">
      <c r="A4">
        <v>2</v>
      </c>
      <c r="B4" s="338" t="s">
        <v>663</v>
      </c>
      <c r="C4" s="337" t="s">
        <v>81</v>
      </c>
      <c r="D4" s="337">
        <v>154</v>
      </c>
      <c r="E4" s="337">
        <v>75</v>
      </c>
      <c r="F4" s="337">
        <v>6906050086</v>
      </c>
      <c r="G4" t="b">
        <f t="shared" ref="G4:G45" si="0">B4=H4</f>
        <v>1</v>
      </c>
      <c r="H4" s="331" t="s">
        <v>663</v>
      </c>
      <c r="I4" s="331" t="s">
        <v>664</v>
      </c>
    </row>
    <row r="5" spans="1:11" ht="16.2">
      <c r="A5">
        <v>3</v>
      </c>
      <c r="B5" s="338" t="s">
        <v>2146</v>
      </c>
      <c r="C5" s="337" t="s">
        <v>161</v>
      </c>
      <c r="D5" s="337">
        <v>161</v>
      </c>
      <c r="E5" s="337">
        <v>55</v>
      </c>
      <c r="F5" s="337">
        <v>2004967894</v>
      </c>
      <c r="G5" t="b">
        <f t="shared" si="0"/>
        <v>1</v>
      </c>
      <c r="H5" s="332" t="s">
        <v>2146</v>
      </c>
      <c r="I5" s="332" t="s">
        <v>2147</v>
      </c>
    </row>
    <row r="6" spans="1:11" ht="16.2">
      <c r="A6">
        <v>4</v>
      </c>
      <c r="B6" s="338" t="s">
        <v>240</v>
      </c>
      <c r="C6" s="337" t="s">
        <v>3038</v>
      </c>
      <c r="D6" s="337">
        <v>157</v>
      </c>
      <c r="E6" s="337">
        <v>52</v>
      </c>
      <c r="F6" s="337">
        <v>2000136663</v>
      </c>
      <c r="G6" t="b">
        <f t="shared" si="0"/>
        <v>1</v>
      </c>
      <c r="H6" s="331" t="s">
        <v>240</v>
      </c>
      <c r="I6" s="331" t="s">
        <v>241</v>
      </c>
    </row>
    <row r="7" spans="1:11" ht="16.2">
      <c r="A7">
        <v>5</v>
      </c>
      <c r="B7" s="338" t="s">
        <v>2098</v>
      </c>
      <c r="C7" s="337" t="s">
        <v>161</v>
      </c>
      <c r="D7" s="337">
        <v>160</v>
      </c>
      <c r="E7" s="337">
        <v>57</v>
      </c>
      <c r="F7" s="337">
        <v>2003487151</v>
      </c>
      <c r="G7" t="b">
        <f t="shared" si="0"/>
        <v>1</v>
      </c>
      <c r="H7" s="331" t="s">
        <v>2098</v>
      </c>
      <c r="I7" s="331" t="s">
        <v>2099</v>
      </c>
    </row>
    <row r="8" spans="1:11" ht="16.2">
      <c r="A8">
        <v>6</v>
      </c>
      <c r="B8" s="338" t="s">
        <v>2018</v>
      </c>
      <c r="C8" s="337" t="s">
        <v>3038</v>
      </c>
      <c r="D8" s="337">
        <v>133</v>
      </c>
      <c r="E8" s="337">
        <v>63</v>
      </c>
      <c r="F8" s="337">
        <v>20004173607</v>
      </c>
      <c r="G8" t="b">
        <f t="shared" si="0"/>
        <v>1</v>
      </c>
      <c r="H8" s="331" t="s">
        <v>2018</v>
      </c>
      <c r="I8" s="331" t="s">
        <v>2019</v>
      </c>
    </row>
    <row r="9" spans="1:11" ht="16.2">
      <c r="A9">
        <v>7</v>
      </c>
      <c r="B9" s="338" t="s">
        <v>675</v>
      </c>
      <c r="C9" s="337" t="s">
        <v>3036</v>
      </c>
      <c r="D9" s="337">
        <v>157</v>
      </c>
      <c r="E9" s="337">
        <v>64.5</v>
      </c>
      <c r="F9" s="337">
        <v>2000136681</v>
      </c>
      <c r="G9" t="b">
        <f t="shared" si="0"/>
        <v>0</v>
      </c>
      <c r="H9" s="331" t="s">
        <v>3045</v>
      </c>
      <c r="I9" s="331" t="s">
        <v>676</v>
      </c>
    </row>
    <row r="10" spans="1:11" ht="16.2">
      <c r="A10">
        <v>8</v>
      </c>
      <c r="B10" s="338" t="s">
        <v>611</v>
      </c>
      <c r="C10" s="337" t="s">
        <v>161</v>
      </c>
      <c r="D10" s="337">
        <v>152</v>
      </c>
      <c r="E10" s="337">
        <v>60</v>
      </c>
      <c r="F10" s="337">
        <v>2000136768</v>
      </c>
      <c r="G10" t="b">
        <f t="shared" si="0"/>
        <v>1</v>
      </c>
      <c r="H10" s="331" t="s">
        <v>611</v>
      </c>
      <c r="I10" s="331" t="s">
        <v>2431</v>
      </c>
    </row>
    <row r="11" spans="1:11" ht="16.2">
      <c r="A11">
        <v>9</v>
      </c>
      <c r="B11" s="338" t="s">
        <v>690</v>
      </c>
      <c r="C11" s="337" t="s">
        <v>81</v>
      </c>
      <c r="D11" s="337">
        <v>157</v>
      </c>
      <c r="E11" s="337">
        <v>73</v>
      </c>
      <c r="F11" s="337">
        <v>2000136843</v>
      </c>
      <c r="G11" t="b">
        <f t="shared" si="0"/>
        <v>1</v>
      </c>
      <c r="H11" s="331" t="s">
        <v>690</v>
      </c>
      <c r="I11" s="331" t="s">
        <v>691</v>
      </c>
    </row>
    <row r="12" spans="1:11" ht="16.2">
      <c r="A12">
        <v>10</v>
      </c>
      <c r="B12" s="338" t="s">
        <v>327</v>
      </c>
      <c r="C12" s="337" t="s">
        <v>3036</v>
      </c>
      <c r="D12" s="337">
        <v>156</v>
      </c>
      <c r="E12" s="337">
        <v>65</v>
      </c>
      <c r="F12" s="337">
        <v>2000136738</v>
      </c>
      <c r="G12" t="b">
        <f t="shared" si="0"/>
        <v>1</v>
      </c>
      <c r="H12" s="331" t="s">
        <v>327</v>
      </c>
      <c r="I12" s="331" t="s">
        <v>711</v>
      </c>
    </row>
    <row r="13" spans="1:11" ht="16.2">
      <c r="A13">
        <v>11</v>
      </c>
      <c r="B13" s="338" t="s">
        <v>467</v>
      </c>
      <c r="C13" s="337" t="s">
        <v>161</v>
      </c>
      <c r="D13" s="337">
        <v>175</v>
      </c>
      <c r="E13" s="337">
        <v>110</v>
      </c>
      <c r="F13" s="337">
        <v>2004252587</v>
      </c>
      <c r="G13" t="b">
        <f t="shared" si="0"/>
        <v>1</v>
      </c>
      <c r="H13" s="331" t="s">
        <v>467</v>
      </c>
      <c r="I13" s="331" t="s">
        <v>2050</v>
      </c>
    </row>
    <row r="14" spans="1:11" ht="16.2">
      <c r="A14">
        <v>12</v>
      </c>
      <c r="B14" s="338" t="s">
        <v>595</v>
      </c>
      <c r="C14" s="337">
        <v>65</v>
      </c>
      <c r="D14" s="337">
        <v>171</v>
      </c>
      <c r="E14" s="337" t="s">
        <v>115</v>
      </c>
      <c r="F14" s="337">
        <v>2000136813</v>
      </c>
      <c r="G14" t="b">
        <f t="shared" si="0"/>
        <v>1</v>
      </c>
      <c r="H14" s="339" t="s">
        <v>595</v>
      </c>
      <c r="I14" s="339" t="s">
        <v>62</v>
      </c>
    </row>
    <row r="15" spans="1:11" ht="16.2">
      <c r="A15">
        <v>13</v>
      </c>
      <c r="B15" s="338" t="s">
        <v>595</v>
      </c>
      <c r="C15" s="337" t="s">
        <v>161</v>
      </c>
      <c r="D15" s="337">
        <v>157</v>
      </c>
      <c r="E15" s="337">
        <v>53</v>
      </c>
      <c r="F15" s="337">
        <v>2000136792</v>
      </c>
      <c r="G15" t="b">
        <f t="shared" si="0"/>
        <v>1</v>
      </c>
      <c r="H15" s="339" t="s">
        <v>595</v>
      </c>
      <c r="I15" s="339" t="s">
        <v>3046</v>
      </c>
    </row>
    <row r="16" spans="1:11" s="127" customFormat="1" ht="16.2">
      <c r="A16">
        <v>14</v>
      </c>
      <c r="B16" s="338" t="s">
        <v>635</v>
      </c>
      <c r="C16" s="337" t="s">
        <v>161</v>
      </c>
      <c r="D16" s="337">
        <v>160</v>
      </c>
      <c r="E16" s="337">
        <v>60</v>
      </c>
      <c r="F16" s="337">
        <v>2000136811</v>
      </c>
      <c r="G16" t="b">
        <f t="shared" si="0"/>
        <v>1</v>
      </c>
      <c r="H16" s="331" t="s">
        <v>635</v>
      </c>
      <c r="I16" s="331" t="s">
        <v>636</v>
      </c>
    </row>
    <row r="17" spans="1:9" ht="16.2">
      <c r="A17">
        <v>15</v>
      </c>
      <c r="B17" s="338" t="s">
        <v>2182</v>
      </c>
      <c r="C17" s="337" t="s">
        <v>81</v>
      </c>
      <c r="D17" s="337">
        <v>175</v>
      </c>
      <c r="E17" s="337">
        <v>60</v>
      </c>
      <c r="F17" s="337">
        <v>2000136635</v>
      </c>
      <c r="G17" t="b">
        <f t="shared" si="0"/>
        <v>1</v>
      </c>
      <c r="H17" s="331" t="s">
        <v>2182</v>
      </c>
      <c r="I17" s="331" t="s">
        <v>410</v>
      </c>
    </row>
    <row r="18" spans="1:9" ht="16.2">
      <c r="A18">
        <v>16</v>
      </c>
      <c r="B18" s="338" t="s">
        <v>205</v>
      </c>
      <c r="C18" s="337" t="s">
        <v>161</v>
      </c>
      <c r="D18" s="337">
        <v>150</v>
      </c>
      <c r="E18" s="337">
        <v>53</v>
      </c>
      <c r="F18" s="337">
        <v>2000136794</v>
      </c>
      <c r="G18" t="b">
        <f t="shared" si="0"/>
        <v>1</v>
      </c>
      <c r="H18" s="331" t="s">
        <v>205</v>
      </c>
      <c r="I18" s="331" t="s">
        <v>308</v>
      </c>
    </row>
    <row r="19" spans="1:9" ht="16.2">
      <c r="A19">
        <v>17</v>
      </c>
      <c r="B19" s="338" t="s">
        <v>963</v>
      </c>
      <c r="C19" s="337" t="s">
        <v>115</v>
      </c>
      <c r="D19" s="337">
        <v>163</v>
      </c>
      <c r="E19" s="337">
        <v>90</v>
      </c>
      <c r="F19" s="337">
        <v>2000136798</v>
      </c>
      <c r="G19" t="b">
        <f t="shared" si="0"/>
        <v>1</v>
      </c>
      <c r="H19" s="331" t="s">
        <v>963</v>
      </c>
      <c r="I19" s="331" t="s">
        <v>2450</v>
      </c>
    </row>
    <row r="20" spans="1:9" ht="16.2">
      <c r="A20">
        <v>18</v>
      </c>
      <c r="B20" s="338" t="s">
        <v>401</v>
      </c>
      <c r="C20" s="337" t="s">
        <v>3038</v>
      </c>
      <c r="D20" s="337">
        <v>163</v>
      </c>
      <c r="E20" s="337">
        <v>67</v>
      </c>
      <c r="F20" s="337">
        <v>2001657976</v>
      </c>
      <c r="G20" t="b">
        <f t="shared" si="0"/>
        <v>1</v>
      </c>
      <c r="H20" s="331" t="s">
        <v>401</v>
      </c>
      <c r="I20" s="331" t="s">
        <v>402</v>
      </c>
    </row>
    <row r="21" spans="1:9" ht="32.4">
      <c r="A21">
        <v>19</v>
      </c>
      <c r="B21" s="338" t="s">
        <v>1118</v>
      </c>
      <c r="C21" s="337" t="s">
        <v>161</v>
      </c>
      <c r="D21" s="337">
        <v>163</v>
      </c>
      <c r="E21" s="337">
        <v>53</v>
      </c>
      <c r="F21" s="337">
        <v>2001658413</v>
      </c>
      <c r="G21" t="b">
        <f t="shared" si="0"/>
        <v>1</v>
      </c>
      <c r="H21" s="333" t="s">
        <v>1118</v>
      </c>
      <c r="I21" s="333" t="s">
        <v>1119</v>
      </c>
    </row>
    <row r="22" spans="1:9" ht="16.2">
      <c r="A22">
        <v>20</v>
      </c>
      <c r="B22" s="338" t="s">
        <v>2101</v>
      </c>
      <c r="C22" s="337" t="s">
        <v>161</v>
      </c>
      <c r="D22" s="337">
        <v>152</v>
      </c>
      <c r="E22" s="337">
        <v>43</v>
      </c>
      <c r="F22" s="337">
        <v>2004682619</v>
      </c>
      <c r="G22" t="b">
        <f t="shared" si="0"/>
        <v>1</v>
      </c>
      <c r="H22" s="331" t="s">
        <v>2101</v>
      </c>
      <c r="I22" s="331" t="s">
        <v>847</v>
      </c>
    </row>
    <row r="23" spans="1:9" ht="16.2">
      <c r="A23">
        <v>21</v>
      </c>
      <c r="B23" s="338" t="s">
        <v>990</v>
      </c>
      <c r="C23" s="337" t="s">
        <v>161</v>
      </c>
      <c r="D23" s="337">
        <v>160</v>
      </c>
      <c r="E23" s="337">
        <v>60</v>
      </c>
      <c r="F23" s="337">
        <v>2000136817</v>
      </c>
      <c r="G23" t="b">
        <f t="shared" si="0"/>
        <v>1</v>
      </c>
      <c r="H23" s="331" t="s">
        <v>990</v>
      </c>
      <c r="I23" s="331" t="s">
        <v>991</v>
      </c>
    </row>
    <row r="24" spans="1:9" ht="16.2">
      <c r="A24">
        <v>22</v>
      </c>
      <c r="B24" s="338" t="s">
        <v>629</v>
      </c>
      <c r="C24" s="337" t="s">
        <v>161</v>
      </c>
      <c r="D24" s="337">
        <v>163</v>
      </c>
      <c r="E24" s="337">
        <v>69</v>
      </c>
      <c r="F24" s="337">
        <v>2000136732</v>
      </c>
      <c r="G24" t="b">
        <f t="shared" si="0"/>
        <v>1</v>
      </c>
      <c r="H24" s="331" t="s">
        <v>629</v>
      </c>
      <c r="I24" s="331" t="s">
        <v>630</v>
      </c>
    </row>
    <row r="25" spans="1:9" ht="32.4">
      <c r="A25">
        <v>23</v>
      </c>
      <c r="B25" s="338" t="s">
        <v>1052</v>
      </c>
      <c r="C25" s="337" t="s">
        <v>81</v>
      </c>
      <c r="D25" s="337" t="s">
        <v>3047</v>
      </c>
      <c r="E25" s="337">
        <v>63</v>
      </c>
      <c r="F25" s="337">
        <v>2000136669</v>
      </c>
      <c r="G25" t="b">
        <f t="shared" si="0"/>
        <v>1</v>
      </c>
      <c r="H25" s="331" t="s">
        <v>1052</v>
      </c>
      <c r="I25" s="331" t="s">
        <v>1053</v>
      </c>
    </row>
    <row r="26" spans="1:9" ht="16.2">
      <c r="A26">
        <v>24</v>
      </c>
      <c r="B26" s="338" t="s">
        <v>1202</v>
      </c>
      <c r="C26" s="337" t="s">
        <v>81</v>
      </c>
      <c r="D26" s="337">
        <v>157</v>
      </c>
      <c r="E26" s="337">
        <v>64</v>
      </c>
      <c r="F26" s="337">
        <v>2000136841</v>
      </c>
      <c r="G26" t="b">
        <f t="shared" si="0"/>
        <v>1</v>
      </c>
      <c r="H26" s="331" t="s">
        <v>1202</v>
      </c>
      <c r="I26" s="331" t="s">
        <v>1203</v>
      </c>
    </row>
    <row r="27" spans="1:9" ht="16.2">
      <c r="A27">
        <v>25</v>
      </c>
      <c r="B27" s="340" t="s">
        <v>623</v>
      </c>
      <c r="C27" s="341" t="s">
        <v>2723</v>
      </c>
      <c r="D27" s="334" t="s">
        <v>2723</v>
      </c>
      <c r="E27" s="334" t="s">
        <v>2723</v>
      </c>
      <c r="F27" s="334" t="s">
        <v>2723</v>
      </c>
      <c r="G27" t="b">
        <f t="shared" si="0"/>
        <v>1</v>
      </c>
      <c r="H27" s="331" t="s">
        <v>623</v>
      </c>
      <c r="I27" s="331" t="s">
        <v>624</v>
      </c>
    </row>
    <row r="28" spans="1:9" ht="16.2">
      <c r="A28">
        <v>26</v>
      </c>
      <c r="B28" s="338" t="s">
        <v>2095</v>
      </c>
      <c r="C28" s="337" t="s">
        <v>161</v>
      </c>
      <c r="D28" s="337" t="s">
        <v>3048</v>
      </c>
      <c r="E28" s="337">
        <v>65</v>
      </c>
      <c r="F28" s="337">
        <v>2004513677</v>
      </c>
      <c r="G28" t="b">
        <f t="shared" si="0"/>
        <v>1</v>
      </c>
      <c r="H28" s="331" t="s">
        <v>2095</v>
      </c>
      <c r="I28" s="331" t="s">
        <v>2096</v>
      </c>
    </row>
    <row r="29" spans="1:9" ht="16.2">
      <c r="A29">
        <v>27</v>
      </c>
      <c r="B29" s="338" t="s">
        <v>2149</v>
      </c>
      <c r="C29" s="337" t="s">
        <v>3037</v>
      </c>
      <c r="D29" s="337">
        <v>160</v>
      </c>
      <c r="E29" s="337">
        <v>55</v>
      </c>
      <c r="F29" s="337">
        <v>2004794942</v>
      </c>
      <c r="G29" t="b">
        <f t="shared" si="0"/>
        <v>1</v>
      </c>
      <c r="H29" s="332" t="s">
        <v>2149</v>
      </c>
      <c r="I29" s="332" t="s">
        <v>3049</v>
      </c>
    </row>
    <row r="30" spans="1:9" ht="16.2">
      <c r="A30">
        <v>28</v>
      </c>
      <c r="B30" s="338" t="s">
        <v>423</v>
      </c>
      <c r="C30" s="342"/>
      <c r="D30" s="342"/>
      <c r="E30" s="342"/>
      <c r="F30" s="342"/>
      <c r="G30" t="b">
        <f t="shared" si="0"/>
        <v>1</v>
      </c>
      <c r="H30" s="330" t="s">
        <v>423</v>
      </c>
      <c r="I30" s="330" t="s">
        <v>607</v>
      </c>
    </row>
    <row r="31" spans="1:9" ht="32.4">
      <c r="A31">
        <v>29</v>
      </c>
      <c r="B31" s="338" t="s">
        <v>1138</v>
      </c>
      <c r="C31" s="337" t="s">
        <v>115</v>
      </c>
      <c r="D31" s="337">
        <v>180</v>
      </c>
      <c r="E31" s="337">
        <v>71</v>
      </c>
      <c r="F31" s="337" t="s">
        <v>3039</v>
      </c>
      <c r="G31" t="b">
        <f t="shared" si="0"/>
        <v>1</v>
      </c>
      <c r="H31" s="333" t="s">
        <v>1138</v>
      </c>
      <c r="I31" s="333" t="s">
        <v>1139</v>
      </c>
    </row>
    <row r="32" spans="1:9" ht="16.2">
      <c r="A32">
        <v>30</v>
      </c>
      <c r="B32" s="338" t="s">
        <v>2143</v>
      </c>
      <c r="C32" s="337" t="s">
        <v>3038</v>
      </c>
      <c r="D32" s="337">
        <v>147</v>
      </c>
      <c r="E32" s="337">
        <v>48</v>
      </c>
      <c r="F32" s="337">
        <v>2004410100</v>
      </c>
      <c r="G32" t="b">
        <f t="shared" si="0"/>
        <v>1</v>
      </c>
      <c r="H32" s="331" t="s">
        <v>2143</v>
      </c>
      <c r="I32" s="331" t="s">
        <v>3050</v>
      </c>
    </row>
    <row r="33" spans="1:9" ht="16.2">
      <c r="A33">
        <v>31</v>
      </c>
      <c r="B33" s="338" t="s">
        <v>2106</v>
      </c>
      <c r="C33" s="337" t="s">
        <v>161</v>
      </c>
      <c r="D33" s="337">
        <v>150</v>
      </c>
      <c r="E33" s="337">
        <v>59</v>
      </c>
      <c r="F33" s="337">
        <v>2004682620</v>
      </c>
      <c r="G33" t="b">
        <f t="shared" si="0"/>
        <v>1</v>
      </c>
      <c r="H33" s="331" t="s">
        <v>2106</v>
      </c>
      <c r="I33" s="331" t="s">
        <v>2107</v>
      </c>
    </row>
    <row r="34" spans="1:9" ht="16.2">
      <c r="A34">
        <v>32</v>
      </c>
      <c r="B34" s="338" t="s">
        <v>583</v>
      </c>
      <c r="C34" s="337" t="s">
        <v>115</v>
      </c>
      <c r="D34" s="337">
        <v>165</v>
      </c>
      <c r="E34" s="337">
        <v>80</v>
      </c>
      <c r="F34" s="337">
        <v>60021402934</v>
      </c>
      <c r="G34" t="b">
        <f t="shared" si="0"/>
        <v>1</v>
      </c>
      <c r="H34" s="331" t="s">
        <v>583</v>
      </c>
      <c r="I34" s="331" t="s">
        <v>584</v>
      </c>
    </row>
    <row r="35" spans="1:9" ht="16.2">
      <c r="A35">
        <v>33</v>
      </c>
      <c r="B35" s="338" t="s">
        <v>3051</v>
      </c>
      <c r="C35" s="337" t="s">
        <v>161</v>
      </c>
      <c r="D35" s="337">
        <v>170</v>
      </c>
      <c r="E35" s="337">
        <v>78</v>
      </c>
      <c r="F35" s="343">
        <v>78101200808</v>
      </c>
      <c r="G35" t="b">
        <f t="shared" si="0"/>
        <v>0</v>
      </c>
      <c r="H35" s="331" t="s">
        <v>483</v>
      </c>
      <c r="I35" s="331" t="s">
        <v>2072</v>
      </c>
    </row>
    <row r="36" spans="1:9" ht="16.2">
      <c r="A36">
        <v>34</v>
      </c>
      <c r="B36" s="338" t="s">
        <v>483</v>
      </c>
      <c r="C36" s="337" t="s">
        <v>161</v>
      </c>
      <c r="D36" s="337">
        <v>170</v>
      </c>
      <c r="E36" s="337">
        <v>80</v>
      </c>
      <c r="F36" s="343">
        <v>60021402934</v>
      </c>
      <c r="G36" t="b">
        <f t="shared" si="0"/>
        <v>1</v>
      </c>
      <c r="H36" s="331" t="s">
        <v>483</v>
      </c>
      <c r="I36" s="331" t="s">
        <v>658</v>
      </c>
    </row>
    <row r="37" spans="1:9" ht="16.2">
      <c r="A37">
        <v>35</v>
      </c>
      <c r="B37" s="338" t="s">
        <v>562</v>
      </c>
      <c r="C37" s="337" t="s">
        <v>115</v>
      </c>
      <c r="D37" s="337">
        <v>165</v>
      </c>
      <c r="E37" s="337">
        <v>60</v>
      </c>
      <c r="F37" s="343">
        <v>2000136714</v>
      </c>
      <c r="G37" t="b">
        <f t="shared" si="0"/>
        <v>1</v>
      </c>
      <c r="H37" s="331" t="s">
        <v>562</v>
      </c>
      <c r="I37" s="331" t="s">
        <v>618</v>
      </c>
    </row>
    <row r="38" spans="1:9" ht="16.2">
      <c r="A38">
        <v>36</v>
      </c>
      <c r="B38" s="338" t="s">
        <v>562</v>
      </c>
      <c r="C38" s="337" t="s">
        <v>161</v>
      </c>
      <c r="D38" s="337">
        <v>164</v>
      </c>
      <c r="E38" s="337">
        <v>65</v>
      </c>
      <c r="F38" s="344" t="s">
        <v>3040</v>
      </c>
      <c r="G38" t="b">
        <f t="shared" si="0"/>
        <v>1</v>
      </c>
      <c r="H38" s="331" t="s">
        <v>562</v>
      </c>
      <c r="I38" s="331" t="s">
        <v>563</v>
      </c>
    </row>
    <row r="39" spans="1:9" ht="16.2">
      <c r="A39">
        <v>37</v>
      </c>
      <c r="B39" s="338" t="s">
        <v>510</v>
      </c>
      <c r="C39" s="337" t="s">
        <v>161</v>
      </c>
      <c r="D39" s="337">
        <v>152</v>
      </c>
      <c r="E39" s="337">
        <v>53</v>
      </c>
      <c r="F39" s="337">
        <v>2004042327</v>
      </c>
      <c r="G39" t="b">
        <f t="shared" si="0"/>
        <v>1</v>
      </c>
      <c r="H39" s="331" t="s">
        <v>510</v>
      </c>
      <c r="I39" s="331" t="s">
        <v>2539</v>
      </c>
    </row>
    <row r="40" spans="1:9" ht="16.2">
      <c r="A40">
        <v>38</v>
      </c>
      <c r="B40" s="338" t="s">
        <v>681</v>
      </c>
      <c r="C40" s="337" t="s">
        <v>81</v>
      </c>
      <c r="D40" s="337">
        <v>175</v>
      </c>
      <c r="E40" s="337">
        <v>64</v>
      </c>
      <c r="F40" s="337">
        <v>2000136736</v>
      </c>
      <c r="G40" t="b">
        <f t="shared" si="0"/>
        <v>1</v>
      </c>
      <c r="H40" s="331" t="s">
        <v>681</v>
      </c>
      <c r="I40" s="331" t="s">
        <v>682</v>
      </c>
    </row>
    <row r="41" spans="1:9" ht="16.2">
      <c r="A41">
        <v>39</v>
      </c>
      <c r="B41" s="338" t="s">
        <v>681</v>
      </c>
      <c r="C41" s="337" t="s">
        <v>161</v>
      </c>
      <c r="D41" s="337">
        <v>165</v>
      </c>
      <c r="E41" s="337">
        <v>64</v>
      </c>
      <c r="F41" s="337">
        <v>2000136815</v>
      </c>
      <c r="G41" t="b">
        <f t="shared" si="0"/>
        <v>1</v>
      </c>
      <c r="H41" s="331" t="s">
        <v>681</v>
      </c>
      <c r="I41" s="331" t="s">
        <v>696</v>
      </c>
    </row>
    <row r="42" spans="1:9" ht="16.2">
      <c r="A42">
        <v>40</v>
      </c>
      <c r="B42" s="338" t="s">
        <v>2039</v>
      </c>
      <c r="C42" s="337" t="s">
        <v>161</v>
      </c>
      <c r="D42" s="337">
        <v>161</v>
      </c>
      <c r="E42" s="337">
        <v>58</v>
      </c>
      <c r="F42" s="337">
        <v>2003473010</v>
      </c>
      <c r="G42" t="b">
        <f t="shared" si="0"/>
        <v>1</v>
      </c>
      <c r="H42" s="331" t="s">
        <v>2039</v>
      </c>
      <c r="I42" s="331" t="s">
        <v>2040</v>
      </c>
    </row>
    <row r="43" spans="1:9" ht="16.2">
      <c r="A43">
        <v>41</v>
      </c>
      <c r="B43" s="338" t="s">
        <v>984</v>
      </c>
      <c r="C43" s="337" t="s">
        <v>161</v>
      </c>
      <c r="D43" s="337">
        <v>160</v>
      </c>
      <c r="E43" s="337">
        <v>79</v>
      </c>
      <c r="F43" s="337">
        <v>2000136687</v>
      </c>
      <c r="G43" t="b">
        <f t="shared" si="0"/>
        <v>1</v>
      </c>
      <c r="H43" s="331" t="s">
        <v>984</v>
      </c>
      <c r="I43" s="331" t="s">
        <v>985</v>
      </c>
    </row>
    <row r="44" spans="1:9" ht="16.2">
      <c r="A44">
        <v>42</v>
      </c>
      <c r="B44" s="338" t="s">
        <v>106</v>
      </c>
      <c r="C44" s="337" t="s">
        <v>115</v>
      </c>
      <c r="D44" s="337">
        <v>170</v>
      </c>
      <c r="E44" s="337">
        <v>78</v>
      </c>
      <c r="F44" s="337">
        <v>2001658197</v>
      </c>
      <c r="G44" t="b">
        <f t="shared" si="0"/>
        <v>1</v>
      </c>
      <c r="H44" s="330" t="s">
        <v>106</v>
      </c>
      <c r="I44" s="330" t="s">
        <v>107</v>
      </c>
    </row>
    <row r="45" spans="1:9" ht="16.2">
      <c r="A45">
        <v>43</v>
      </c>
      <c r="B45" s="338" t="s">
        <v>2151</v>
      </c>
      <c r="C45" s="337" t="s">
        <v>115</v>
      </c>
      <c r="D45" s="337">
        <v>171</v>
      </c>
      <c r="E45" s="337">
        <v>81.099999999999994</v>
      </c>
      <c r="F45" s="337">
        <v>2004135354</v>
      </c>
      <c r="G45" t="b">
        <f t="shared" si="0"/>
        <v>1</v>
      </c>
      <c r="H45" s="331" t="s">
        <v>2151</v>
      </c>
      <c r="I45" s="331" t="s">
        <v>135</v>
      </c>
    </row>
    <row r="48" spans="1:9">
      <c r="C48" s="345"/>
      <c r="D48" s="345"/>
      <c r="E48" s="345"/>
      <c r="F48" s="345"/>
    </row>
    <row r="49" spans="3:6">
      <c r="C49" s="345"/>
      <c r="D49" s="345"/>
      <c r="E49" s="345"/>
      <c r="F49" s="345"/>
    </row>
    <row r="50" spans="3:6">
      <c r="C50" s="345"/>
      <c r="D50" s="345"/>
      <c r="E50" s="345"/>
      <c r="F50" s="345"/>
    </row>
    <row r="51" spans="3:6">
      <c r="C51" s="345"/>
      <c r="D51" s="345"/>
      <c r="E51" s="345"/>
      <c r="F51" s="345"/>
    </row>
    <row r="52" spans="3:6">
      <c r="C52" s="345"/>
      <c r="D52" s="345"/>
      <c r="E52" s="345"/>
      <c r="F52" s="345"/>
    </row>
    <row r="53" spans="3:6">
      <c r="C53" s="345"/>
      <c r="D53" s="345"/>
      <c r="E53" s="345"/>
      <c r="F53" s="345"/>
    </row>
    <row r="54" spans="3:6">
      <c r="C54" s="345"/>
      <c r="D54" s="345"/>
      <c r="E54" s="345"/>
      <c r="F54" s="345"/>
    </row>
    <row r="55" spans="3:6">
      <c r="C55" s="345"/>
      <c r="D55" s="345"/>
      <c r="E55" s="345"/>
      <c r="F55" s="345"/>
    </row>
    <row r="56" spans="3:6">
      <c r="C56" s="345"/>
      <c r="D56" s="345"/>
      <c r="E56" s="345"/>
      <c r="F56" s="345"/>
    </row>
    <row r="57" spans="3:6">
      <c r="C57" s="345"/>
      <c r="D57" s="345"/>
      <c r="E57" s="345"/>
      <c r="F57" s="345"/>
    </row>
    <row r="58" spans="3:6">
      <c r="C58" s="345"/>
      <c r="D58" s="345"/>
      <c r="E58" s="345"/>
      <c r="F58" s="345"/>
    </row>
    <row r="59" spans="3:6">
      <c r="C59" s="345"/>
      <c r="D59" s="345"/>
      <c r="E59" s="345"/>
      <c r="F59" s="345"/>
    </row>
    <row r="60" spans="3:6">
      <c r="C60" s="345"/>
      <c r="D60" s="345"/>
      <c r="E60" s="345"/>
      <c r="F60" s="345"/>
    </row>
    <row r="61" spans="3:6">
      <c r="C61" s="345"/>
      <c r="D61" s="345"/>
      <c r="E61" s="345"/>
      <c r="F61" s="345"/>
    </row>
    <row r="62" spans="3:6">
      <c r="C62" s="345"/>
      <c r="D62" s="345"/>
      <c r="E62" s="345"/>
      <c r="F62" s="345"/>
    </row>
    <row r="63" spans="3:6">
      <c r="C63" s="345"/>
      <c r="D63" s="345"/>
      <c r="E63" s="345"/>
      <c r="F63" s="345"/>
    </row>
    <row r="64" spans="3:6">
      <c r="C64" s="345"/>
      <c r="D64" s="345"/>
      <c r="E64" s="345"/>
      <c r="F64" s="345"/>
    </row>
    <row r="65" spans="3:6">
      <c r="C65" s="345"/>
      <c r="D65" s="345"/>
      <c r="E65" s="345"/>
      <c r="F65" s="345"/>
    </row>
    <row r="66" spans="3:6">
      <c r="C66" s="345"/>
      <c r="D66" s="345"/>
      <c r="E66" s="345"/>
      <c r="F66" s="345"/>
    </row>
    <row r="67" spans="3:6">
      <c r="C67" s="345"/>
      <c r="D67" s="345"/>
      <c r="E67" s="345"/>
      <c r="F67" s="345"/>
    </row>
    <row r="68" spans="3:6">
      <c r="C68" s="345"/>
      <c r="D68" s="345"/>
      <c r="E68" s="345"/>
      <c r="F68" s="345"/>
    </row>
    <row r="69" spans="3:6">
      <c r="C69" s="345"/>
      <c r="D69" s="345"/>
      <c r="E69" s="345"/>
      <c r="F69" s="345"/>
    </row>
    <row r="70" spans="3:6">
      <c r="C70" s="345"/>
      <c r="D70" s="345"/>
      <c r="E70" s="345"/>
      <c r="F70" s="345"/>
    </row>
    <row r="71" spans="3:6">
      <c r="C71" s="345"/>
      <c r="D71" s="345"/>
      <c r="E71" s="345"/>
      <c r="F71" s="345"/>
    </row>
    <row r="72" spans="3:6">
      <c r="C72" s="345"/>
      <c r="D72" s="345"/>
      <c r="E72" s="345"/>
      <c r="F72" s="345"/>
    </row>
    <row r="73" spans="3:6">
      <c r="C73" s="345"/>
      <c r="D73" s="345"/>
      <c r="E73" s="345"/>
      <c r="F73" s="345"/>
    </row>
    <row r="74" spans="3:6">
      <c r="C74" s="345"/>
      <c r="D74" s="345"/>
      <c r="E74" s="345"/>
      <c r="F74" s="345"/>
    </row>
    <row r="75" spans="3:6">
      <c r="C75" s="345"/>
      <c r="D75" s="345"/>
      <c r="E75" s="345"/>
      <c r="F75" s="345"/>
    </row>
    <row r="76" spans="3:6">
      <c r="C76" s="345"/>
      <c r="D76" s="345"/>
      <c r="E76" s="345"/>
      <c r="F76" s="345"/>
    </row>
    <row r="77" spans="3:6">
      <c r="C77" s="345"/>
      <c r="D77" s="345"/>
      <c r="E77" s="345"/>
      <c r="F77" s="345"/>
    </row>
    <row r="78" spans="3:6">
      <c r="C78" s="345"/>
      <c r="D78" s="345"/>
      <c r="E78" s="345"/>
      <c r="F78" s="345"/>
    </row>
    <row r="79" spans="3:6">
      <c r="C79" s="345"/>
      <c r="D79" s="345"/>
      <c r="E79" s="345"/>
      <c r="F79" s="345"/>
    </row>
    <row r="80" spans="3:6">
      <c r="C80" s="345"/>
      <c r="D80" s="345"/>
      <c r="E80" s="345"/>
      <c r="F80" s="345"/>
    </row>
    <row r="81" spans="3:6">
      <c r="C81" s="345"/>
      <c r="D81" s="345"/>
      <c r="E81" s="345"/>
      <c r="F81" s="345"/>
    </row>
    <row r="82" spans="3:6">
      <c r="C82" s="345"/>
      <c r="D82" s="345"/>
      <c r="E82" s="345"/>
      <c r="F82" s="345"/>
    </row>
    <row r="83" spans="3:6">
      <c r="C83" s="345"/>
      <c r="D83" s="345"/>
      <c r="E83" s="345"/>
      <c r="F83" s="345"/>
    </row>
    <row r="84" spans="3:6">
      <c r="C84" s="345"/>
      <c r="D84" s="345"/>
      <c r="E84" s="345"/>
      <c r="F84" s="345"/>
    </row>
    <row r="85" spans="3:6">
      <c r="C85" s="345"/>
      <c r="D85" s="345"/>
      <c r="E85" s="345"/>
      <c r="F85" s="345"/>
    </row>
    <row r="86" spans="3:6">
      <c r="C86" s="345"/>
      <c r="D86" s="345"/>
      <c r="E86" s="345"/>
      <c r="F86" s="345"/>
    </row>
    <row r="87" spans="3:6">
      <c r="C87" s="345"/>
      <c r="D87" s="345"/>
      <c r="E87" s="345"/>
      <c r="F87" s="345"/>
    </row>
    <row r="88" spans="3:6">
      <c r="C88" s="345"/>
      <c r="D88" s="345"/>
      <c r="E88" s="345"/>
      <c r="F88" s="345"/>
    </row>
    <row r="89" spans="3:6">
      <c r="C89" s="345"/>
      <c r="D89" s="345"/>
      <c r="E89" s="345"/>
      <c r="F89" s="345"/>
    </row>
    <row r="90" spans="3:6">
      <c r="C90" s="345"/>
      <c r="D90" s="345"/>
      <c r="E90" s="345"/>
      <c r="F90" s="345"/>
    </row>
    <row r="91" spans="3:6">
      <c r="C91" s="345"/>
      <c r="D91" s="345"/>
      <c r="E91" s="345"/>
      <c r="F91" s="345"/>
    </row>
    <row r="92" spans="3:6">
      <c r="C92" s="345"/>
      <c r="D92" s="345"/>
      <c r="E92" s="345"/>
      <c r="F92" s="345"/>
    </row>
    <row r="93" spans="3:6">
      <c r="C93" s="345"/>
      <c r="D93" s="345"/>
      <c r="E93" s="345"/>
      <c r="F93" s="345"/>
    </row>
    <row r="94" spans="3:6">
      <c r="C94" s="345"/>
      <c r="D94" s="345"/>
      <c r="E94" s="345"/>
      <c r="F94" s="345"/>
    </row>
    <row r="95" spans="3:6">
      <c r="C95" s="345"/>
      <c r="D95" s="345"/>
      <c r="E95" s="345"/>
      <c r="F95" s="345"/>
    </row>
    <row r="96" spans="3:6">
      <c r="C96" s="345"/>
      <c r="D96" s="345"/>
      <c r="E96" s="345"/>
      <c r="F96" s="345"/>
    </row>
    <row r="97" spans="3:6">
      <c r="C97" s="345"/>
      <c r="D97" s="345"/>
      <c r="E97" s="345"/>
      <c r="F97" s="345"/>
    </row>
    <row r="98" spans="3:6">
      <c r="C98" s="345"/>
      <c r="D98" s="345"/>
      <c r="E98" s="345"/>
      <c r="F98" s="345"/>
    </row>
    <row r="99" spans="3:6">
      <c r="C99" s="345"/>
      <c r="D99" s="345"/>
      <c r="E99" s="345"/>
      <c r="F99" s="345"/>
    </row>
    <row r="100" spans="3:6">
      <c r="C100" s="345"/>
      <c r="D100" s="345"/>
      <c r="E100" s="345"/>
      <c r="F100" s="345"/>
    </row>
    <row r="101" spans="3:6">
      <c r="C101" s="345"/>
      <c r="D101" s="345"/>
      <c r="E101" s="345"/>
      <c r="F101" s="345"/>
    </row>
    <row r="102" spans="3:6">
      <c r="C102" s="345"/>
      <c r="D102" s="345"/>
      <c r="E102" s="345"/>
      <c r="F102" s="345"/>
    </row>
    <row r="103" spans="3:6">
      <c r="C103" s="345"/>
      <c r="D103" s="345"/>
      <c r="E103" s="345"/>
      <c r="F103" s="345"/>
    </row>
    <row r="104" spans="3:6">
      <c r="C104" s="345"/>
      <c r="D104" s="345"/>
      <c r="E104" s="345"/>
      <c r="F104" s="345"/>
    </row>
    <row r="105" spans="3:6">
      <c r="C105" s="345"/>
      <c r="D105" s="345"/>
      <c r="E105" s="345"/>
      <c r="F105" s="345"/>
    </row>
    <row r="106" spans="3:6">
      <c r="C106" s="345"/>
      <c r="D106" s="345"/>
      <c r="E106" s="345"/>
      <c r="F106" s="345"/>
    </row>
    <row r="107" spans="3:6">
      <c r="C107" s="345"/>
      <c r="D107" s="345"/>
      <c r="E107" s="345"/>
      <c r="F107" s="345"/>
    </row>
    <row r="108" spans="3:6">
      <c r="C108" s="345"/>
      <c r="D108" s="345"/>
      <c r="E108" s="345"/>
      <c r="F108" s="345"/>
    </row>
    <row r="109" spans="3:6">
      <c r="C109" s="345"/>
      <c r="D109" s="345"/>
      <c r="E109" s="345"/>
      <c r="F109" s="345"/>
    </row>
    <row r="110" spans="3:6">
      <c r="C110" s="345"/>
      <c r="D110" s="345"/>
      <c r="E110" s="345"/>
      <c r="F110" s="345"/>
    </row>
    <row r="111" spans="3:6">
      <c r="C111" s="345"/>
      <c r="D111" s="345"/>
      <c r="E111" s="345"/>
      <c r="F111" s="345"/>
    </row>
    <row r="112" spans="3:6">
      <c r="C112" s="345"/>
      <c r="D112" s="345"/>
      <c r="E112" s="345"/>
      <c r="F112" s="345"/>
    </row>
    <row r="113" spans="3:6">
      <c r="C113" s="345"/>
      <c r="D113" s="345"/>
      <c r="E113" s="345"/>
      <c r="F113" s="345"/>
    </row>
    <row r="114" spans="3:6">
      <c r="C114" s="345"/>
      <c r="D114" s="345"/>
      <c r="E114" s="345"/>
      <c r="F114" s="345"/>
    </row>
    <row r="115" spans="3:6">
      <c r="C115" s="345"/>
      <c r="D115" s="345"/>
      <c r="E115" s="345"/>
      <c r="F115" s="345"/>
    </row>
    <row r="116" spans="3:6">
      <c r="C116" s="345"/>
      <c r="D116" s="345"/>
      <c r="E116" s="345"/>
      <c r="F116" s="345"/>
    </row>
    <row r="117" spans="3:6">
      <c r="C117" s="345"/>
      <c r="D117" s="345"/>
      <c r="E117" s="345"/>
      <c r="F117" s="345"/>
    </row>
    <row r="118" spans="3:6">
      <c r="C118" s="345"/>
      <c r="D118" s="345"/>
      <c r="E118" s="345"/>
      <c r="F118" s="345"/>
    </row>
    <row r="119" spans="3:6">
      <c r="C119" s="345"/>
      <c r="D119" s="345"/>
      <c r="E119" s="345"/>
      <c r="F119" s="345"/>
    </row>
    <row r="120" spans="3:6">
      <c r="C120" s="345"/>
      <c r="D120" s="345"/>
      <c r="E120" s="345"/>
      <c r="F120" s="345"/>
    </row>
    <row r="121" spans="3:6">
      <c r="C121" s="345"/>
      <c r="D121" s="345"/>
      <c r="E121" s="345"/>
      <c r="F121" s="345"/>
    </row>
    <row r="122" spans="3:6">
      <c r="C122" s="345"/>
      <c r="D122" s="345"/>
      <c r="E122" s="345"/>
      <c r="F122" s="345"/>
    </row>
    <row r="123" spans="3:6">
      <c r="C123" s="345"/>
      <c r="D123" s="345"/>
      <c r="E123" s="345"/>
      <c r="F123" s="345"/>
    </row>
    <row r="124" spans="3:6">
      <c r="C124" s="345"/>
      <c r="D124" s="345"/>
      <c r="E124" s="345"/>
      <c r="F124" s="345"/>
    </row>
    <row r="125" spans="3:6">
      <c r="C125" s="345"/>
      <c r="D125" s="345"/>
      <c r="E125" s="345"/>
      <c r="F125" s="345"/>
    </row>
    <row r="126" spans="3:6">
      <c r="C126" s="345"/>
      <c r="D126" s="345"/>
      <c r="E126" s="345"/>
      <c r="F126" s="345"/>
    </row>
    <row r="127" spans="3:6">
      <c r="C127" s="345"/>
      <c r="D127" s="345"/>
      <c r="E127" s="345"/>
      <c r="F127" s="345"/>
    </row>
    <row r="128" spans="3:6">
      <c r="C128" s="345"/>
      <c r="D128" s="345"/>
      <c r="E128" s="345"/>
      <c r="F128" s="345"/>
    </row>
    <row r="129" spans="3:6">
      <c r="C129" s="345"/>
      <c r="D129" s="345"/>
      <c r="E129" s="345"/>
      <c r="F129" s="345"/>
    </row>
    <row r="130" spans="3:6">
      <c r="C130" s="345"/>
      <c r="D130" s="345"/>
      <c r="E130" s="345"/>
      <c r="F130" s="345"/>
    </row>
    <row r="131" spans="3:6">
      <c r="C131" s="345"/>
      <c r="D131" s="345"/>
      <c r="E131" s="345"/>
      <c r="F131" s="345"/>
    </row>
    <row r="132" spans="3:6">
      <c r="C132" s="345"/>
      <c r="D132" s="345"/>
      <c r="E132" s="345"/>
      <c r="F132" s="345"/>
    </row>
    <row r="133" spans="3:6">
      <c r="C133" s="345"/>
      <c r="D133" s="345"/>
      <c r="E133" s="345"/>
      <c r="F133" s="345"/>
    </row>
    <row r="134" spans="3:6">
      <c r="C134" s="345"/>
      <c r="D134" s="345"/>
      <c r="E134" s="345"/>
      <c r="F134" s="345"/>
    </row>
    <row r="135" spans="3:6">
      <c r="C135" s="345"/>
      <c r="D135" s="345"/>
      <c r="E135" s="345"/>
      <c r="F135" s="345"/>
    </row>
    <row r="136" spans="3:6">
      <c r="C136" s="345"/>
      <c r="D136" s="345"/>
      <c r="E136" s="345"/>
      <c r="F136" s="345"/>
    </row>
    <row r="137" spans="3:6">
      <c r="C137" s="345"/>
      <c r="D137" s="345"/>
      <c r="E137" s="345"/>
      <c r="F137" s="345"/>
    </row>
    <row r="138" spans="3:6">
      <c r="C138" s="345"/>
      <c r="D138" s="345"/>
      <c r="E138" s="345"/>
      <c r="F138" s="345"/>
    </row>
    <row r="139" spans="3:6">
      <c r="C139" s="345"/>
      <c r="D139" s="345"/>
      <c r="E139" s="345"/>
      <c r="F139" s="345"/>
    </row>
    <row r="140" spans="3:6">
      <c r="C140" s="345"/>
      <c r="D140" s="345"/>
      <c r="E140" s="345"/>
      <c r="F140" s="345"/>
    </row>
    <row r="141" spans="3:6">
      <c r="C141" s="345"/>
      <c r="D141" s="345"/>
      <c r="E141" s="345"/>
      <c r="F141" s="345"/>
    </row>
    <row r="142" spans="3:6">
      <c r="C142" s="345"/>
      <c r="D142" s="345"/>
      <c r="E142" s="345"/>
      <c r="F142" s="345"/>
    </row>
    <row r="143" spans="3:6">
      <c r="C143" s="345"/>
      <c r="D143" s="345"/>
      <c r="E143" s="345"/>
      <c r="F143" s="345"/>
    </row>
    <row r="144" spans="3:6">
      <c r="C144" s="345"/>
      <c r="D144" s="345"/>
      <c r="E144" s="345"/>
      <c r="F144" s="345"/>
    </row>
    <row r="145" spans="3:6">
      <c r="C145" s="345"/>
      <c r="D145" s="345"/>
      <c r="E145" s="345"/>
      <c r="F145" s="345"/>
    </row>
    <row r="146" spans="3:6">
      <c r="C146" s="345"/>
      <c r="D146" s="345"/>
      <c r="E146" s="345"/>
      <c r="F146" s="345"/>
    </row>
    <row r="147" spans="3:6">
      <c r="C147" s="345"/>
      <c r="D147" s="345"/>
      <c r="E147" s="345"/>
      <c r="F147" s="345"/>
    </row>
    <row r="148" spans="3:6">
      <c r="C148" s="345"/>
      <c r="D148" s="345"/>
      <c r="E148" s="345"/>
      <c r="F148" s="345"/>
    </row>
    <row r="149" spans="3:6">
      <c r="C149" s="345"/>
      <c r="D149" s="345"/>
      <c r="E149" s="345"/>
      <c r="F149" s="345"/>
    </row>
    <row r="150" spans="3:6">
      <c r="C150" s="345"/>
      <c r="D150" s="345"/>
      <c r="E150" s="345"/>
      <c r="F150" s="345"/>
    </row>
    <row r="151" spans="3:6">
      <c r="C151" s="345"/>
      <c r="D151" s="345"/>
      <c r="E151" s="345"/>
      <c r="F151" s="345"/>
    </row>
    <row r="152" spans="3:6">
      <c r="C152" s="345"/>
      <c r="D152" s="345"/>
      <c r="E152" s="345"/>
      <c r="F152" s="345"/>
    </row>
    <row r="153" spans="3:6">
      <c r="C153" s="345"/>
      <c r="D153" s="345"/>
      <c r="E153" s="345"/>
      <c r="F153" s="345"/>
    </row>
    <row r="154" spans="3:6">
      <c r="C154" s="345"/>
      <c r="D154" s="345"/>
      <c r="E154" s="345"/>
      <c r="F154" s="345"/>
    </row>
    <row r="155" spans="3:6">
      <c r="C155" s="345"/>
      <c r="D155" s="345"/>
      <c r="E155" s="345"/>
      <c r="F155" s="345"/>
    </row>
    <row r="156" spans="3:6">
      <c r="C156" s="345"/>
      <c r="D156" s="345"/>
      <c r="E156" s="345"/>
      <c r="F156" s="345"/>
    </row>
    <row r="157" spans="3:6">
      <c r="C157" s="345"/>
      <c r="D157" s="345"/>
      <c r="E157" s="345"/>
      <c r="F157" s="345"/>
    </row>
    <row r="158" spans="3:6">
      <c r="C158" s="345"/>
      <c r="D158" s="345"/>
      <c r="E158" s="345"/>
      <c r="F158" s="345"/>
    </row>
    <row r="159" spans="3:6">
      <c r="C159" s="345"/>
      <c r="D159" s="345"/>
      <c r="E159" s="345"/>
      <c r="F159" s="345"/>
    </row>
    <row r="160" spans="3:6">
      <c r="C160" s="345"/>
      <c r="D160" s="345"/>
      <c r="E160" s="345"/>
      <c r="F160" s="345"/>
    </row>
    <row r="161" spans="3:6">
      <c r="C161" s="345"/>
      <c r="D161" s="345"/>
      <c r="E161" s="345"/>
      <c r="F161" s="345"/>
    </row>
    <row r="162" spans="3:6">
      <c r="C162" s="345"/>
      <c r="D162" s="345"/>
      <c r="E162" s="345"/>
      <c r="F162" s="345"/>
    </row>
    <row r="163" spans="3:6">
      <c r="C163" s="345"/>
      <c r="D163" s="345"/>
      <c r="E163" s="345"/>
      <c r="F163" s="345"/>
    </row>
    <row r="164" spans="3:6">
      <c r="C164" s="345"/>
      <c r="D164" s="345"/>
      <c r="E164" s="345"/>
      <c r="F164" s="345"/>
    </row>
    <row r="165" spans="3:6">
      <c r="C165" s="345"/>
      <c r="D165" s="345"/>
      <c r="E165" s="345"/>
      <c r="F165" s="345"/>
    </row>
    <row r="166" spans="3:6">
      <c r="C166" s="345"/>
      <c r="D166" s="345"/>
      <c r="E166" s="345"/>
      <c r="F166" s="345"/>
    </row>
    <row r="167" spans="3:6">
      <c r="C167" s="345"/>
      <c r="D167" s="345"/>
      <c r="E167" s="345"/>
      <c r="F167" s="345"/>
    </row>
    <row r="168" spans="3:6">
      <c r="C168" s="345"/>
      <c r="D168" s="345"/>
      <c r="E168" s="345"/>
      <c r="F168" s="345"/>
    </row>
    <row r="169" spans="3:6">
      <c r="C169" s="345"/>
      <c r="D169" s="345"/>
      <c r="E169" s="345"/>
      <c r="F169" s="345"/>
    </row>
    <row r="170" spans="3:6">
      <c r="C170" s="345"/>
      <c r="D170" s="345"/>
      <c r="E170" s="345"/>
      <c r="F170" s="345"/>
    </row>
    <row r="171" spans="3:6">
      <c r="C171" s="345"/>
      <c r="D171" s="345"/>
      <c r="E171" s="345"/>
      <c r="F171" s="345"/>
    </row>
    <row r="172" spans="3:6">
      <c r="C172" s="345"/>
      <c r="D172" s="345"/>
      <c r="E172" s="345"/>
      <c r="F172" s="345"/>
    </row>
    <row r="173" spans="3:6">
      <c r="C173" s="345"/>
      <c r="D173" s="345"/>
      <c r="E173" s="345"/>
      <c r="F173" s="345"/>
    </row>
    <row r="174" spans="3:6">
      <c r="C174" s="345"/>
      <c r="D174" s="345"/>
      <c r="E174" s="345"/>
      <c r="F174" s="345"/>
    </row>
    <row r="175" spans="3:6">
      <c r="C175" s="345"/>
      <c r="D175" s="345"/>
      <c r="E175" s="345"/>
      <c r="F175" s="345"/>
    </row>
    <row r="176" spans="3:6">
      <c r="C176" s="345"/>
      <c r="D176" s="345"/>
      <c r="E176" s="345"/>
      <c r="F176" s="345"/>
    </row>
    <row r="177" spans="3:6">
      <c r="C177" s="345"/>
      <c r="D177" s="345"/>
      <c r="E177" s="345"/>
      <c r="F177" s="345"/>
    </row>
    <row r="178" spans="3:6">
      <c r="C178" s="345"/>
      <c r="D178" s="345"/>
      <c r="E178" s="345"/>
      <c r="F178" s="345"/>
    </row>
    <row r="179" spans="3:6">
      <c r="C179" s="345"/>
      <c r="D179" s="345"/>
      <c r="E179" s="345"/>
      <c r="F179" s="345"/>
    </row>
    <row r="180" spans="3:6">
      <c r="C180" s="345"/>
      <c r="D180" s="345"/>
      <c r="E180" s="345"/>
      <c r="F180" s="345"/>
    </row>
    <row r="181" spans="3:6">
      <c r="C181" s="345"/>
      <c r="D181" s="345"/>
      <c r="E181" s="345"/>
      <c r="F181" s="345"/>
    </row>
    <row r="182" spans="3:6">
      <c r="C182" s="345"/>
      <c r="D182" s="345"/>
      <c r="E182" s="345"/>
      <c r="F182" s="345"/>
    </row>
    <row r="183" spans="3:6">
      <c r="C183" s="345"/>
      <c r="D183" s="345"/>
      <c r="E183" s="345"/>
      <c r="F183" s="345"/>
    </row>
    <row r="184" spans="3:6">
      <c r="C184" s="345"/>
      <c r="D184" s="345"/>
      <c r="E184" s="345"/>
      <c r="F184" s="345"/>
    </row>
    <row r="185" spans="3:6">
      <c r="C185" s="345"/>
      <c r="D185" s="345"/>
      <c r="E185" s="345"/>
      <c r="F185" s="345"/>
    </row>
    <row r="186" spans="3:6">
      <c r="C186" s="345"/>
      <c r="D186" s="345"/>
      <c r="E186" s="345"/>
      <c r="F186" s="345"/>
    </row>
    <row r="187" spans="3:6">
      <c r="C187" s="345"/>
      <c r="D187" s="345"/>
      <c r="E187" s="345"/>
      <c r="F187" s="345"/>
    </row>
    <row r="188" spans="3:6">
      <c r="C188" s="345"/>
      <c r="D188" s="345"/>
      <c r="E188" s="345"/>
      <c r="F188" s="345"/>
    </row>
    <row r="189" spans="3:6">
      <c r="C189" s="345"/>
      <c r="D189" s="345"/>
      <c r="E189" s="345"/>
      <c r="F189" s="345"/>
    </row>
    <row r="190" spans="3:6">
      <c r="C190" s="345"/>
      <c r="D190" s="345"/>
      <c r="E190" s="345"/>
      <c r="F190" s="345"/>
    </row>
    <row r="191" spans="3:6">
      <c r="C191" s="345"/>
      <c r="D191" s="345"/>
      <c r="E191" s="345"/>
      <c r="F191" s="345"/>
    </row>
    <row r="192" spans="3:6">
      <c r="C192" s="345"/>
      <c r="D192" s="345"/>
      <c r="E192" s="345"/>
      <c r="F192" s="345"/>
    </row>
    <row r="193" spans="3:6">
      <c r="C193" s="345"/>
      <c r="D193" s="345"/>
      <c r="E193" s="345"/>
      <c r="F193" s="345"/>
    </row>
    <row r="194" spans="3:6">
      <c r="C194" s="345"/>
      <c r="D194" s="345"/>
      <c r="E194" s="345"/>
      <c r="F194" s="345"/>
    </row>
    <row r="195" spans="3:6">
      <c r="C195" s="345"/>
      <c r="D195" s="345"/>
      <c r="E195" s="345"/>
      <c r="F195" s="345"/>
    </row>
    <row r="196" spans="3:6">
      <c r="C196" s="345"/>
      <c r="D196" s="345"/>
      <c r="E196" s="345"/>
      <c r="F196" s="345"/>
    </row>
    <row r="197" spans="3:6">
      <c r="C197" s="345"/>
      <c r="D197" s="345"/>
      <c r="E197" s="345"/>
      <c r="F197" s="345"/>
    </row>
    <row r="198" spans="3:6">
      <c r="C198" s="345"/>
      <c r="D198" s="345"/>
      <c r="E198" s="345"/>
      <c r="F198" s="345"/>
    </row>
    <row r="199" spans="3:6">
      <c r="C199" s="345"/>
      <c r="D199" s="345"/>
      <c r="E199" s="345"/>
      <c r="F199" s="345"/>
    </row>
    <row r="200" spans="3:6">
      <c r="C200" s="345"/>
      <c r="D200" s="345"/>
      <c r="E200" s="345"/>
      <c r="F200" s="345"/>
    </row>
    <row r="201" spans="3:6">
      <c r="C201" s="345"/>
      <c r="D201" s="345"/>
      <c r="E201" s="345"/>
      <c r="F201" s="345"/>
    </row>
    <row r="202" spans="3:6">
      <c r="C202" s="345"/>
      <c r="D202" s="345"/>
      <c r="E202" s="345"/>
      <c r="F202" s="345"/>
    </row>
    <row r="203" spans="3:6">
      <c r="C203" s="345"/>
      <c r="D203" s="345"/>
      <c r="E203" s="345"/>
      <c r="F203" s="345"/>
    </row>
    <row r="204" spans="3:6">
      <c r="C204" s="345"/>
      <c r="D204" s="345"/>
      <c r="E204" s="345"/>
      <c r="F204" s="345"/>
    </row>
    <row r="205" spans="3:6">
      <c r="C205" s="345"/>
      <c r="D205" s="345"/>
      <c r="E205" s="345"/>
      <c r="F205" s="345"/>
    </row>
    <row r="206" spans="3:6">
      <c r="C206" s="345"/>
      <c r="D206" s="345"/>
      <c r="E206" s="345"/>
      <c r="F206" s="345"/>
    </row>
    <row r="207" spans="3:6">
      <c r="C207" s="345"/>
      <c r="D207" s="345"/>
      <c r="E207" s="345"/>
      <c r="F207" s="345"/>
    </row>
    <row r="208" spans="3:6">
      <c r="C208" s="345"/>
      <c r="D208" s="345"/>
      <c r="E208" s="345"/>
      <c r="F208" s="345"/>
    </row>
    <row r="209" spans="3:6">
      <c r="C209" s="345"/>
      <c r="D209" s="345"/>
      <c r="E209" s="345"/>
      <c r="F209" s="345"/>
    </row>
    <row r="210" spans="3:6">
      <c r="C210" s="345"/>
      <c r="D210" s="345"/>
      <c r="E210" s="345"/>
      <c r="F210" s="345"/>
    </row>
    <row r="211" spans="3:6">
      <c r="C211" s="345"/>
      <c r="D211" s="345"/>
      <c r="E211" s="345"/>
      <c r="F211" s="345"/>
    </row>
    <row r="212" spans="3:6">
      <c r="C212" s="345"/>
      <c r="D212" s="345"/>
      <c r="E212" s="345"/>
      <c r="F212" s="345"/>
    </row>
    <row r="213" spans="3:6">
      <c r="C213" s="345"/>
      <c r="D213" s="345"/>
      <c r="E213" s="345"/>
      <c r="F213" s="345"/>
    </row>
    <row r="214" spans="3:6">
      <c r="C214" s="345"/>
      <c r="D214" s="345"/>
      <c r="E214" s="345"/>
      <c r="F214" s="345"/>
    </row>
    <row r="215" spans="3:6">
      <c r="C215" s="345"/>
      <c r="D215" s="345"/>
      <c r="E215" s="345"/>
      <c r="F215" s="345"/>
    </row>
    <row r="216" spans="3:6">
      <c r="C216" s="345"/>
      <c r="D216" s="345"/>
      <c r="E216" s="345"/>
      <c r="F216" s="345"/>
    </row>
    <row r="217" spans="3:6">
      <c r="C217" s="345"/>
      <c r="D217" s="345"/>
      <c r="E217" s="345"/>
      <c r="F217" s="345"/>
    </row>
    <row r="218" spans="3:6">
      <c r="C218" s="345"/>
      <c r="D218" s="345"/>
      <c r="E218" s="345"/>
      <c r="F218" s="345"/>
    </row>
    <row r="219" spans="3:6">
      <c r="C219" s="345"/>
      <c r="D219" s="345"/>
      <c r="E219" s="345"/>
      <c r="F219" s="345"/>
    </row>
    <row r="220" spans="3:6">
      <c r="C220" s="345"/>
      <c r="D220" s="345"/>
      <c r="E220" s="345"/>
      <c r="F220" s="345"/>
    </row>
    <row r="221" spans="3:6">
      <c r="C221" s="345"/>
      <c r="D221" s="345"/>
      <c r="E221" s="345"/>
      <c r="F221" s="345"/>
    </row>
    <row r="222" spans="3:6">
      <c r="C222" s="345"/>
      <c r="D222" s="345"/>
      <c r="E222" s="345"/>
      <c r="F222" s="345"/>
    </row>
    <row r="223" spans="3:6">
      <c r="C223" s="345"/>
      <c r="D223" s="345"/>
      <c r="E223" s="345"/>
      <c r="F223" s="345"/>
    </row>
    <row r="224" spans="3:6">
      <c r="C224" s="345"/>
      <c r="D224" s="345"/>
      <c r="E224" s="345"/>
      <c r="F224" s="345"/>
    </row>
    <row r="225" spans="3:6">
      <c r="C225" s="345"/>
      <c r="D225" s="345"/>
      <c r="E225" s="345"/>
      <c r="F225" s="345"/>
    </row>
    <row r="226" spans="3:6">
      <c r="C226" s="345"/>
      <c r="D226" s="345"/>
      <c r="E226" s="345"/>
      <c r="F226" s="345"/>
    </row>
    <row r="227" spans="3:6">
      <c r="C227" s="345"/>
      <c r="D227" s="345"/>
      <c r="E227" s="345"/>
      <c r="F227" s="345"/>
    </row>
    <row r="228" spans="3:6">
      <c r="C228" s="345"/>
      <c r="D228" s="345"/>
      <c r="E228" s="345"/>
      <c r="F228" s="345"/>
    </row>
    <row r="229" spans="3:6">
      <c r="C229" s="345"/>
      <c r="D229" s="345"/>
      <c r="E229" s="345"/>
      <c r="F229" s="345"/>
    </row>
    <row r="230" spans="3:6">
      <c r="C230" s="345"/>
      <c r="D230" s="345"/>
      <c r="E230" s="345"/>
      <c r="F230" s="345"/>
    </row>
    <row r="231" spans="3:6">
      <c r="C231" s="345"/>
      <c r="D231" s="345"/>
      <c r="E231" s="345"/>
      <c r="F231" s="345"/>
    </row>
    <row r="232" spans="3:6">
      <c r="C232" s="345"/>
      <c r="D232" s="345"/>
      <c r="E232" s="345"/>
      <c r="F232" s="345"/>
    </row>
    <row r="233" spans="3:6">
      <c r="C233" s="345"/>
      <c r="D233" s="345"/>
      <c r="E233" s="345"/>
      <c r="F233" s="345"/>
    </row>
    <row r="234" spans="3:6">
      <c r="C234" s="345"/>
      <c r="D234" s="345"/>
      <c r="E234" s="345"/>
      <c r="F234" s="345"/>
    </row>
    <row r="235" spans="3:6">
      <c r="C235" s="345"/>
      <c r="D235" s="345"/>
      <c r="E235" s="345"/>
      <c r="F235" s="345"/>
    </row>
    <row r="236" spans="3:6">
      <c r="C236" s="345"/>
      <c r="D236" s="345"/>
      <c r="E236" s="345"/>
      <c r="F236" s="345"/>
    </row>
    <row r="237" spans="3:6">
      <c r="C237" s="345"/>
      <c r="D237" s="345"/>
      <c r="E237" s="345"/>
      <c r="F237" s="345"/>
    </row>
    <row r="238" spans="3:6">
      <c r="C238" s="345"/>
      <c r="D238" s="345"/>
      <c r="E238" s="345"/>
      <c r="F238" s="345"/>
    </row>
    <row r="239" spans="3:6">
      <c r="C239" s="345"/>
      <c r="D239" s="345"/>
      <c r="E239" s="345"/>
      <c r="F239" s="345"/>
    </row>
    <row r="240" spans="3:6">
      <c r="C240" s="345"/>
      <c r="D240" s="345"/>
      <c r="E240" s="345"/>
      <c r="F240" s="345"/>
    </row>
    <row r="241" spans="3:6">
      <c r="C241" s="345"/>
      <c r="D241" s="345"/>
      <c r="E241" s="345"/>
      <c r="F241" s="345"/>
    </row>
    <row r="242" spans="3:6">
      <c r="C242" s="345"/>
      <c r="D242" s="345"/>
      <c r="E242" s="345"/>
      <c r="F242" s="345"/>
    </row>
    <row r="243" spans="3:6">
      <c r="C243" s="345"/>
      <c r="D243" s="345"/>
      <c r="E243" s="345"/>
      <c r="F243" s="345"/>
    </row>
    <row r="244" spans="3:6">
      <c r="C244" s="345"/>
      <c r="D244" s="345"/>
      <c r="E244" s="345"/>
      <c r="F244" s="345"/>
    </row>
    <row r="245" spans="3:6">
      <c r="C245" s="345"/>
      <c r="D245" s="345"/>
      <c r="E245" s="345"/>
      <c r="F245" s="345"/>
    </row>
    <row r="246" spans="3:6">
      <c r="C246" s="345"/>
      <c r="D246" s="345"/>
      <c r="E246" s="345"/>
      <c r="F246" s="345"/>
    </row>
    <row r="247" spans="3:6">
      <c r="C247" s="345"/>
      <c r="D247" s="345"/>
      <c r="E247" s="345"/>
      <c r="F247" s="345"/>
    </row>
    <row r="248" spans="3:6">
      <c r="C248" s="345"/>
      <c r="D248" s="345"/>
      <c r="E248" s="345"/>
      <c r="F248" s="345"/>
    </row>
    <row r="249" spans="3:6">
      <c r="C249" s="345"/>
      <c r="D249" s="345"/>
      <c r="E249" s="345"/>
      <c r="F249" s="345"/>
    </row>
    <row r="250" spans="3:6">
      <c r="C250" s="345"/>
      <c r="D250" s="345"/>
      <c r="E250" s="345"/>
      <c r="F250" s="345"/>
    </row>
    <row r="251" spans="3:6">
      <c r="C251" s="345"/>
      <c r="D251" s="345"/>
      <c r="E251" s="345"/>
      <c r="F251" s="345"/>
    </row>
    <row r="252" spans="3:6">
      <c r="C252" s="345"/>
      <c r="D252" s="345"/>
      <c r="E252" s="345"/>
      <c r="F252" s="345"/>
    </row>
    <row r="253" spans="3:6">
      <c r="C253" s="345"/>
      <c r="D253" s="345"/>
      <c r="E253" s="345"/>
      <c r="F253" s="345"/>
    </row>
    <row r="254" spans="3:6">
      <c r="C254" s="345"/>
      <c r="D254" s="345"/>
      <c r="E254" s="345"/>
      <c r="F254" s="345"/>
    </row>
    <row r="255" spans="3:6">
      <c r="C255" s="345"/>
      <c r="D255" s="345"/>
      <c r="E255" s="345"/>
      <c r="F255" s="345"/>
    </row>
    <row r="256" spans="3:6">
      <c r="C256" s="345"/>
      <c r="D256" s="345"/>
      <c r="E256" s="345"/>
      <c r="F256" s="345"/>
    </row>
    <row r="257" spans="3:6">
      <c r="C257" s="345"/>
      <c r="D257" s="345"/>
      <c r="E257" s="345"/>
      <c r="F257" s="345"/>
    </row>
    <row r="258" spans="3:6">
      <c r="C258" s="345"/>
      <c r="D258" s="345"/>
      <c r="E258" s="345"/>
      <c r="F258" s="345"/>
    </row>
    <row r="259" spans="3:6">
      <c r="C259" s="345"/>
      <c r="D259" s="345"/>
      <c r="E259" s="345"/>
      <c r="F259" s="345"/>
    </row>
    <row r="260" spans="3:6">
      <c r="C260" s="345"/>
      <c r="D260" s="345"/>
      <c r="E260" s="345"/>
      <c r="F260" s="345"/>
    </row>
    <row r="261" spans="3:6">
      <c r="C261" s="345"/>
      <c r="D261" s="345"/>
      <c r="E261" s="345"/>
      <c r="F261" s="345"/>
    </row>
    <row r="262" spans="3:6">
      <c r="C262" s="345"/>
      <c r="D262" s="345"/>
      <c r="E262" s="345"/>
      <c r="F262" s="345"/>
    </row>
    <row r="263" spans="3:6">
      <c r="C263" s="345"/>
      <c r="D263" s="345"/>
      <c r="E263" s="345"/>
      <c r="F263" s="345"/>
    </row>
    <row r="264" spans="3:6">
      <c r="C264" s="345"/>
      <c r="D264" s="345"/>
      <c r="E264" s="345"/>
      <c r="F264" s="345"/>
    </row>
    <row r="265" spans="3:6">
      <c r="C265" s="345"/>
      <c r="D265" s="345"/>
      <c r="E265" s="345"/>
      <c r="F265" s="345"/>
    </row>
    <row r="266" spans="3:6">
      <c r="C266" s="345"/>
      <c r="D266" s="345"/>
      <c r="E266" s="345"/>
      <c r="F266" s="345"/>
    </row>
    <row r="267" spans="3:6">
      <c r="C267" s="345"/>
      <c r="D267" s="345"/>
      <c r="E267" s="345"/>
      <c r="F267" s="345"/>
    </row>
    <row r="268" spans="3:6">
      <c r="C268" s="345"/>
      <c r="D268" s="345"/>
      <c r="E268" s="345"/>
      <c r="F268" s="345"/>
    </row>
    <row r="269" spans="3:6">
      <c r="C269" s="345"/>
      <c r="D269" s="345"/>
      <c r="E269" s="345"/>
      <c r="F269" s="345"/>
    </row>
    <row r="270" spans="3:6">
      <c r="C270" s="345"/>
      <c r="D270" s="345"/>
      <c r="E270" s="345"/>
      <c r="F270" s="345"/>
    </row>
    <row r="271" spans="3:6">
      <c r="C271" s="345"/>
      <c r="D271" s="345"/>
      <c r="E271" s="345"/>
      <c r="F271" s="345"/>
    </row>
    <row r="272" spans="3:6">
      <c r="C272" s="345"/>
      <c r="D272" s="345"/>
      <c r="E272" s="345"/>
      <c r="F272" s="345"/>
    </row>
    <row r="273" spans="3:6">
      <c r="C273" s="345"/>
      <c r="D273" s="345"/>
      <c r="E273" s="345"/>
      <c r="F273" s="345"/>
    </row>
    <row r="274" spans="3:6">
      <c r="C274" s="345"/>
      <c r="D274" s="345"/>
      <c r="E274" s="345"/>
      <c r="F274" s="345"/>
    </row>
    <row r="275" spans="3:6">
      <c r="C275" s="345"/>
      <c r="D275" s="345"/>
      <c r="E275" s="345"/>
      <c r="F275" s="345"/>
    </row>
    <row r="276" spans="3:6">
      <c r="C276" s="345"/>
      <c r="D276" s="345"/>
      <c r="E276" s="345"/>
      <c r="F276" s="345"/>
    </row>
    <row r="277" spans="3:6">
      <c r="C277" s="345"/>
      <c r="D277" s="345"/>
      <c r="E277" s="345"/>
      <c r="F277" s="345"/>
    </row>
    <row r="278" spans="3:6">
      <c r="C278" s="345"/>
      <c r="D278" s="345"/>
      <c r="E278" s="345"/>
      <c r="F278" s="345"/>
    </row>
    <row r="279" spans="3:6">
      <c r="C279" s="345"/>
      <c r="D279" s="345"/>
      <c r="E279" s="345"/>
      <c r="F279" s="345"/>
    </row>
    <row r="280" spans="3:6">
      <c r="C280" s="345"/>
      <c r="D280" s="345"/>
      <c r="E280" s="345"/>
      <c r="F280" s="345"/>
    </row>
    <row r="281" spans="3:6">
      <c r="C281" s="345"/>
      <c r="D281" s="345"/>
      <c r="E281" s="345"/>
      <c r="F281" s="345"/>
    </row>
    <row r="282" spans="3:6">
      <c r="C282" s="345"/>
      <c r="D282" s="345"/>
      <c r="E282" s="345"/>
      <c r="F282" s="345"/>
    </row>
    <row r="283" spans="3:6">
      <c r="C283" s="345"/>
      <c r="D283" s="345"/>
      <c r="E283" s="345"/>
      <c r="F283" s="345"/>
    </row>
    <row r="284" spans="3:6">
      <c r="C284" s="345"/>
      <c r="D284" s="345"/>
      <c r="E284" s="345"/>
      <c r="F284" s="345"/>
    </row>
    <row r="285" spans="3:6">
      <c r="C285" s="345"/>
      <c r="D285" s="345"/>
      <c r="E285" s="345"/>
      <c r="F285" s="345"/>
    </row>
    <row r="286" spans="3:6">
      <c r="C286" s="345"/>
      <c r="D286" s="345"/>
      <c r="E286" s="345"/>
      <c r="F286" s="345"/>
    </row>
    <row r="287" spans="3:6">
      <c r="C287" s="345"/>
      <c r="D287" s="345"/>
      <c r="E287" s="345"/>
      <c r="F287" s="345"/>
    </row>
    <row r="288" spans="3:6">
      <c r="C288" s="345"/>
      <c r="D288" s="345"/>
      <c r="E288" s="345"/>
      <c r="F288" s="345"/>
    </row>
    <row r="289" spans="3:6">
      <c r="C289" s="345"/>
      <c r="D289" s="345"/>
      <c r="E289" s="345"/>
      <c r="F289" s="345"/>
    </row>
    <row r="290" spans="3:6">
      <c r="C290" s="345"/>
      <c r="D290" s="345"/>
      <c r="E290" s="345"/>
      <c r="F290" s="345"/>
    </row>
    <row r="291" spans="3:6">
      <c r="C291" s="345"/>
      <c r="D291" s="345"/>
      <c r="E291" s="345"/>
      <c r="F291" s="345"/>
    </row>
    <row r="292" spans="3:6">
      <c r="C292" s="345"/>
      <c r="D292" s="345"/>
      <c r="E292" s="345"/>
      <c r="F292" s="345"/>
    </row>
    <row r="293" spans="3:6">
      <c r="C293" s="345"/>
      <c r="D293" s="345"/>
      <c r="E293" s="345"/>
      <c r="F293" s="345"/>
    </row>
    <row r="294" spans="3:6">
      <c r="C294" s="345"/>
      <c r="D294" s="345"/>
      <c r="E294" s="345"/>
      <c r="F294" s="345"/>
    </row>
    <row r="295" spans="3:6">
      <c r="C295" s="345"/>
      <c r="D295" s="345"/>
      <c r="E295" s="345"/>
      <c r="F295" s="345"/>
    </row>
    <row r="296" spans="3:6">
      <c r="C296" s="345"/>
      <c r="D296" s="345"/>
      <c r="E296" s="345"/>
      <c r="F296" s="345"/>
    </row>
    <row r="297" spans="3:6">
      <c r="C297" s="345"/>
      <c r="D297" s="345"/>
      <c r="E297" s="345"/>
      <c r="F297" s="345"/>
    </row>
    <row r="298" spans="3:6">
      <c r="C298" s="345"/>
      <c r="D298" s="345"/>
      <c r="E298" s="345"/>
      <c r="F298" s="345"/>
    </row>
    <row r="299" spans="3:6">
      <c r="C299" s="345"/>
      <c r="D299" s="345"/>
      <c r="E299" s="345"/>
      <c r="F299" s="345"/>
    </row>
    <row r="300" spans="3:6">
      <c r="C300" s="345"/>
      <c r="D300" s="345"/>
      <c r="E300" s="345"/>
      <c r="F300" s="345"/>
    </row>
    <row r="301" spans="3:6">
      <c r="C301" s="345"/>
      <c r="D301" s="345"/>
      <c r="E301" s="345"/>
      <c r="F301" s="345"/>
    </row>
    <row r="302" spans="3:6">
      <c r="C302" s="345"/>
      <c r="D302" s="345"/>
      <c r="E302" s="345"/>
      <c r="F302" s="345"/>
    </row>
    <row r="303" spans="3:6">
      <c r="C303" s="345"/>
      <c r="D303" s="345"/>
      <c r="E303" s="345"/>
      <c r="F303" s="345"/>
    </row>
    <row r="304" spans="3:6">
      <c r="C304" s="345"/>
      <c r="D304" s="345"/>
      <c r="E304" s="345"/>
      <c r="F304" s="345"/>
    </row>
    <row r="305" spans="3:6">
      <c r="C305" s="345"/>
      <c r="D305" s="345"/>
      <c r="E305" s="345"/>
      <c r="F305" s="345"/>
    </row>
    <row r="306" spans="3:6">
      <c r="C306" s="345"/>
      <c r="D306" s="345"/>
      <c r="E306" s="345"/>
      <c r="F306" s="345"/>
    </row>
    <row r="307" spans="3:6">
      <c r="C307" s="345"/>
      <c r="D307" s="345"/>
      <c r="E307" s="345"/>
      <c r="F307" s="345"/>
    </row>
    <row r="308" spans="3:6">
      <c r="C308" s="345"/>
      <c r="D308" s="345"/>
      <c r="E308" s="345"/>
      <c r="F308" s="345"/>
    </row>
    <row r="309" spans="3:6">
      <c r="C309" s="345"/>
      <c r="D309" s="345"/>
      <c r="E309" s="345"/>
      <c r="F309" s="345"/>
    </row>
    <row r="310" spans="3:6">
      <c r="C310" s="345"/>
      <c r="D310" s="345"/>
      <c r="E310" s="345"/>
      <c r="F310" s="345"/>
    </row>
    <row r="311" spans="3:6">
      <c r="C311" s="345"/>
      <c r="D311" s="345"/>
      <c r="E311" s="345"/>
      <c r="F311" s="345"/>
    </row>
    <row r="312" spans="3:6">
      <c r="C312" s="345"/>
      <c r="D312" s="345"/>
      <c r="E312" s="345"/>
      <c r="F312" s="345"/>
    </row>
    <row r="313" spans="3:6">
      <c r="C313" s="345"/>
      <c r="D313" s="345"/>
      <c r="E313" s="345"/>
      <c r="F313" s="345"/>
    </row>
    <row r="314" spans="3:6">
      <c r="C314" s="345"/>
      <c r="D314" s="345"/>
      <c r="E314" s="345"/>
      <c r="F314" s="345"/>
    </row>
    <row r="315" spans="3:6">
      <c r="C315" s="345"/>
      <c r="D315" s="345"/>
      <c r="E315" s="345"/>
      <c r="F315" s="345"/>
    </row>
    <row r="316" spans="3:6">
      <c r="C316" s="345"/>
      <c r="D316" s="345"/>
      <c r="E316" s="345"/>
      <c r="F316" s="345"/>
    </row>
    <row r="317" spans="3:6">
      <c r="C317" s="345"/>
      <c r="D317" s="345"/>
      <c r="E317" s="345"/>
      <c r="F317" s="345"/>
    </row>
    <row r="318" spans="3:6">
      <c r="C318" s="345"/>
      <c r="D318" s="345"/>
      <c r="E318" s="345"/>
      <c r="F318" s="345"/>
    </row>
    <row r="319" spans="3:6">
      <c r="C319" s="345"/>
      <c r="D319" s="345"/>
      <c r="E319" s="345"/>
      <c r="F319" s="345"/>
    </row>
    <row r="320" spans="3:6">
      <c r="C320" s="345"/>
      <c r="D320" s="345"/>
      <c r="E320" s="345"/>
      <c r="F320" s="345"/>
    </row>
    <row r="321" spans="3:6">
      <c r="C321" s="345"/>
      <c r="D321" s="345"/>
      <c r="E321" s="345"/>
      <c r="F321" s="345"/>
    </row>
    <row r="322" spans="3:6">
      <c r="C322" s="345"/>
      <c r="D322" s="345"/>
      <c r="E322" s="345"/>
      <c r="F322" s="345"/>
    </row>
    <row r="323" spans="3:6">
      <c r="C323" s="345"/>
      <c r="D323" s="345"/>
      <c r="E323" s="345"/>
      <c r="F323" s="345"/>
    </row>
    <row r="324" spans="3:6">
      <c r="C324" s="345"/>
      <c r="D324" s="345"/>
      <c r="E324" s="345"/>
      <c r="F324" s="345"/>
    </row>
    <row r="325" spans="3:6">
      <c r="C325" s="345"/>
      <c r="D325" s="345"/>
      <c r="E325" s="345"/>
      <c r="F325" s="345"/>
    </row>
    <row r="326" spans="3:6">
      <c r="C326" s="345"/>
      <c r="D326" s="345"/>
      <c r="E326" s="345"/>
      <c r="F326" s="345"/>
    </row>
    <row r="327" spans="3:6">
      <c r="C327" s="345"/>
      <c r="D327" s="345"/>
      <c r="E327" s="345"/>
      <c r="F327" s="345"/>
    </row>
    <row r="328" spans="3:6">
      <c r="C328" s="345"/>
      <c r="D328" s="345"/>
      <c r="E328" s="345"/>
      <c r="F328" s="345"/>
    </row>
    <row r="329" spans="3:6">
      <c r="C329" s="345"/>
      <c r="D329" s="345"/>
      <c r="E329" s="345"/>
      <c r="F329" s="345"/>
    </row>
    <row r="330" spans="3:6">
      <c r="C330" s="345"/>
      <c r="D330" s="345"/>
      <c r="E330" s="345"/>
      <c r="F330" s="345"/>
    </row>
    <row r="331" spans="3:6">
      <c r="C331" s="345"/>
      <c r="D331" s="345"/>
      <c r="E331" s="345"/>
      <c r="F331" s="345"/>
    </row>
    <row r="332" spans="3:6">
      <c r="C332" s="345"/>
      <c r="D332" s="345"/>
      <c r="E332" s="345"/>
      <c r="F332" s="345"/>
    </row>
    <row r="333" spans="3:6">
      <c r="C333" s="345"/>
      <c r="D333" s="345"/>
      <c r="E333" s="345"/>
      <c r="F333" s="345"/>
    </row>
    <row r="334" spans="3:6">
      <c r="C334" s="345"/>
      <c r="D334" s="345"/>
      <c r="E334" s="345"/>
      <c r="F334" s="345"/>
    </row>
    <row r="335" spans="3:6">
      <c r="C335" s="345"/>
      <c r="D335" s="345"/>
      <c r="E335" s="345"/>
      <c r="F335" s="345"/>
    </row>
    <row r="336" spans="3:6">
      <c r="C336" s="345"/>
      <c r="D336" s="345"/>
      <c r="E336" s="345"/>
      <c r="F336" s="345"/>
    </row>
    <row r="337" spans="3:6">
      <c r="C337" s="345"/>
      <c r="D337" s="345"/>
      <c r="E337" s="345"/>
      <c r="F337" s="345"/>
    </row>
    <row r="338" spans="3:6">
      <c r="C338" s="345"/>
      <c r="D338" s="345"/>
      <c r="E338" s="345"/>
      <c r="F338" s="345"/>
    </row>
    <row r="339" spans="3:6">
      <c r="C339" s="345"/>
      <c r="D339" s="345"/>
      <c r="E339" s="345"/>
      <c r="F339" s="345"/>
    </row>
    <row r="340" spans="3:6">
      <c r="C340" s="345"/>
      <c r="D340" s="345"/>
      <c r="E340" s="345"/>
      <c r="F340" s="345"/>
    </row>
    <row r="341" spans="3:6">
      <c r="C341" s="345"/>
      <c r="D341" s="345"/>
      <c r="E341" s="345"/>
      <c r="F341" s="345"/>
    </row>
    <row r="342" spans="3:6">
      <c r="C342" s="345"/>
      <c r="D342" s="345"/>
      <c r="E342" s="345"/>
      <c r="F342" s="345"/>
    </row>
    <row r="343" spans="3:6">
      <c r="C343" s="345"/>
      <c r="D343" s="345"/>
      <c r="E343" s="345"/>
      <c r="F343" s="345"/>
    </row>
    <row r="344" spans="3:6">
      <c r="C344" s="345"/>
      <c r="D344" s="345"/>
      <c r="E344" s="345"/>
      <c r="F344" s="345"/>
    </row>
    <row r="345" spans="3:6">
      <c r="C345" s="345"/>
      <c r="D345" s="345"/>
      <c r="E345" s="345"/>
      <c r="F345" s="345"/>
    </row>
    <row r="346" spans="3:6">
      <c r="C346" s="345"/>
      <c r="D346" s="345"/>
      <c r="E346" s="345"/>
      <c r="F346" s="345"/>
    </row>
    <row r="347" spans="3:6">
      <c r="C347" s="345"/>
      <c r="D347" s="345"/>
      <c r="E347" s="345"/>
      <c r="F347" s="345"/>
    </row>
    <row r="348" spans="3:6">
      <c r="C348" s="345"/>
      <c r="D348" s="345"/>
      <c r="E348" s="345"/>
      <c r="F348" s="345"/>
    </row>
    <row r="349" spans="3:6">
      <c r="C349" s="345"/>
      <c r="D349" s="345"/>
      <c r="E349" s="345"/>
      <c r="F349" s="345"/>
    </row>
    <row r="350" spans="3:6">
      <c r="C350" s="345"/>
      <c r="D350" s="345"/>
      <c r="E350" s="345"/>
      <c r="F350" s="345"/>
    </row>
    <row r="351" spans="3:6">
      <c r="C351" s="345"/>
      <c r="D351" s="345"/>
      <c r="E351" s="345"/>
      <c r="F351" s="345"/>
    </row>
    <row r="352" spans="3:6">
      <c r="C352" s="345"/>
      <c r="D352" s="345"/>
      <c r="E352" s="345"/>
      <c r="F352" s="345"/>
    </row>
    <row r="353" spans="3:6">
      <c r="C353" s="345"/>
      <c r="D353" s="345"/>
      <c r="E353" s="345"/>
      <c r="F353" s="345"/>
    </row>
    <row r="354" spans="3:6">
      <c r="C354" s="345"/>
      <c r="D354" s="345"/>
      <c r="E354" s="345"/>
      <c r="F354" s="345"/>
    </row>
    <row r="355" spans="3:6">
      <c r="C355" s="345"/>
      <c r="D355" s="345"/>
      <c r="E355" s="345"/>
      <c r="F355" s="345"/>
    </row>
    <row r="356" spans="3:6">
      <c r="C356" s="345"/>
      <c r="D356" s="345"/>
      <c r="E356" s="345"/>
      <c r="F356" s="345"/>
    </row>
    <row r="357" spans="3:6">
      <c r="C357" s="345"/>
      <c r="D357" s="345"/>
      <c r="E357" s="345"/>
      <c r="F357" s="345"/>
    </row>
    <row r="358" spans="3:6">
      <c r="C358" s="345"/>
      <c r="D358" s="345"/>
      <c r="E358" s="345"/>
      <c r="F358" s="345"/>
    </row>
    <row r="359" spans="3:6">
      <c r="C359" s="345"/>
      <c r="D359" s="345"/>
      <c r="E359" s="345"/>
      <c r="F359" s="345"/>
    </row>
    <row r="360" spans="3:6">
      <c r="C360" s="345"/>
      <c r="D360" s="345"/>
      <c r="E360" s="345"/>
      <c r="F360" s="345"/>
    </row>
    <row r="361" spans="3:6">
      <c r="C361" s="345"/>
      <c r="D361" s="345"/>
      <c r="E361" s="345"/>
      <c r="F361" s="345"/>
    </row>
    <row r="362" spans="3:6">
      <c r="C362" s="345"/>
      <c r="D362" s="345"/>
      <c r="E362" s="345"/>
      <c r="F362" s="345"/>
    </row>
    <row r="363" spans="3:6">
      <c r="C363" s="345"/>
      <c r="D363" s="345"/>
      <c r="E363" s="345"/>
      <c r="F363" s="345"/>
    </row>
    <row r="364" spans="3:6">
      <c r="C364" s="345"/>
      <c r="D364" s="345"/>
      <c r="E364" s="345"/>
      <c r="F364" s="345"/>
    </row>
    <row r="365" spans="3:6">
      <c r="C365" s="345"/>
      <c r="D365" s="345"/>
      <c r="E365" s="345"/>
      <c r="F365" s="345"/>
    </row>
    <row r="366" spans="3:6">
      <c r="C366" s="345"/>
      <c r="D366" s="345"/>
      <c r="E366" s="345"/>
      <c r="F366" s="345"/>
    </row>
    <row r="367" spans="3:6">
      <c r="C367" s="345"/>
      <c r="D367" s="345"/>
      <c r="E367" s="345"/>
      <c r="F367" s="345"/>
    </row>
    <row r="368" spans="3:6">
      <c r="C368" s="345"/>
      <c r="D368" s="345"/>
      <c r="E368" s="345"/>
      <c r="F368" s="345"/>
    </row>
    <row r="369" spans="3:6">
      <c r="C369" s="345"/>
      <c r="D369" s="345"/>
      <c r="E369" s="345"/>
      <c r="F369" s="345"/>
    </row>
    <row r="370" spans="3:6">
      <c r="C370" s="345"/>
      <c r="D370" s="345"/>
      <c r="E370" s="345"/>
      <c r="F370" s="345"/>
    </row>
    <row r="371" spans="3:6">
      <c r="C371" s="345"/>
      <c r="D371" s="345"/>
      <c r="E371" s="345"/>
      <c r="F371" s="345"/>
    </row>
    <row r="372" spans="3:6">
      <c r="C372" s="345"/>
      <c r="D372" s="345"/>
      <c r="E372" s="345"/>
      <c r="F372" s="345"/>
    </row>
    <row r="373" spans="3:6">
      <c r="C373" s="345"/>
      <c r="D373" s="345"/>
      <c r="E373" s="345"/>
      <c r="F373" s="345"/>
    </row>
    <row r="374" spans="3:6">
      <c r="C374" s="345"/>
      <c r="D374" s="345"/>
      <c r="E374" s="345"/>
      <c r="F374" s="345"/>
    </row>
    <row r="375" spans="3:6">
      <c r="C375" s="345"/>
      <c r="D375" s="345"/>
      <c r="E375" s="345"/>
      <c r="F375" s="345"/>
    </row>
    <row r="376" spans="3:6">
      <c r="C376" s="345"/>
      <c r="D376" s="345"/>
      <c r="E376" s="345"/>
      <c r="F376" s="345"/>
    </row>
    <row r="377" spans="3:6">
      <c r="C377" s="345"/>
      <c r="D377" s="345"/>
      <c r="E377" s="345"/>
      <c r="F377" s="345"/>
    </row>
    <row r="378" spans="3:6">
      <c r="C378" s="345"/>
      <c r="D378" s="345"/>
      <c r="E378" s="345"/>
      <c r="F378" s="345"/>
    </row>
    <row r="379" spans="3:6">
      <c r="C379" s="345"/>
      <c r="D379" s="345"/>
      <c r="E379" s="345"/>
      <c r="F379" s="345"/>
    </row>
    <row r="380" spans="3:6">
      <c r="C380" s="345"/>
      <c r="D380" s="345"/>
      <c r="E380" s="345"/>
      <c r="F380" s="345"/>
    </row>
    <row r="381" spans="3:6">
      <c r="C381" s="345"/>
      <c r="D381" s="345"/>
      <c r="E381" s="345"/>
      <c r="F381" s="345"/>
    </row>
    <row r="382" spans="3:6">
      <c r="C382" s="345"/>
      <c r="D382" s="345"/>
      <c r="E382" s="345"/>
      <c r="F382" s="345"/>
    </row>
    <row r="383" spans="3:6">
      <c r="C383" s="345"/>
      <c r="D383" s="345"/>
      <c r="E383" s="345"/>
      <c r="F383" s="345"/>
    </row>
    <row r="384" spans="3:6">
      <c r="C384" s="345"/>
      <c r="D384" s="345"/>
      <c r="E384" s="345"/>
      <c r="F384" s="345"/>
    </row>
    <row r="385" spans="3:6">
      <c r="C385" s="345"/>
      <c r="D385" s="345"/>
      <c r="E385" s="345"/>
      <c r="F385" s="345"/>
    </row>
    <row r="386" spans="3:6">
      <c r="C386" s="345"/>
      <c r="D386" s="345"/>
      <c r="E386" s="345"/>
      <c r="F386" s="345"/>
    </row>
    <row r="387" spans="3:6">
      <c r="C387" s="345"/>
      <c r="D387" s="345"/>
      <c r="E387" s="345"/>
      <c r="F387" s="345"/>
    </row>
    <row r="388" spans="3:6">
      <c r="C388" s="345"/>
      <c r="D388" s="345"/>
      <c r="E388" s="345"/>
      <c r="F388" s="345"/>
    </row>
    <row r="389" spans="3:6">
      <c r="C389" s="345"/>
      <c r="D389" s="345"/>
      <c r="E389" s="345"/>
      <c r="F389" s="345"/>
    </row>
    <row r="390" spans="3:6">
      <c r="C390" s="345"/>
      <c r="D390" s="345"/>
      <c r="E390" s="345"/>
      <c r="F390" s="345"/>
    </row>
    <row r="391" spans="3:6">
      <c r="C391" s="345"/>
      <c r="D391" s="345"/>
      <c r="E391" s="345"/>
      <c r="F391" s="345"/>
    </row>
    <row r="392" spans="3:6">
      <c r="C392" s="345"/>
      <c r="D392" s="345"/>
      <c r="E392" s="345"/>
      <c r="F392" s="345"/>
    </row>
    <row r="393" spans="3:6">
      <c r="C393" s="345"/>
      <c r="D393" s="345"/>
      <c r="E393" s="345"/>
      <c r="F393" s="345"/>
    </row>
    <row r="394" spans="3:6">
      <c r="C394" s="345"/>
      <c r="D394" s="345"/>
      <c r="E394" s="345"/>
      <c r="F394" s="345"/>
    </row>
    <row r="395" spans="3:6">
      <c r="C395" s="345"/>
      <c r="D395" s="345"/>
      <c r="E395" s="345"/>
      <c r="F395" s="345"/>
    </row>
    <row r="396" spans="3:6">
      <c r="C396" s="345"/>
      <c r="D396" s="345"/>
      <c r="E396" s="345"/>
      <c r="F396" s="345"/>
    </row>
    <row r="397" spans="3:6">
      <c r="C397" s="345"/>
      <c r="D397" s="345"/>
      <c r="E397" s="345"/>
      <c r="F397" s="345"/>
    </row>
    <row r="398" spans="3:6">
      <c r="C398" s="345"/>
      <c r="D398" s="345"/>
      <c r="E398" s="345"/>
      <c r="F398" s="345"/>
    </row>
    <row r="399" spans="3:6">
      <c r="C399" s="345"/>
      <c r="D399" s="345"/>
      <c r="E399" s="345"/>
      <c r="F399" s="345"/>
    </row>
    <row r="400" spans="3:6">
      <c r="C400" s="345"/>
      <c r="D400" s="345"/>
      <c r="E400" s="345"/>
      <c r="F400" s="345"/>
    </row>
    <row r="401" spans="3:6">
      <c r="C401" s="345"/>
      <c r="D401" s="345"/>
      <c r="E401" s="345"/>
      <c r="F401" s="345"/>
    </row>
    <row r="402" spans="3:6">
      <c r="C402" s="345"/>
      <c r="D402" s="345"/>
      <c r="E402" s="345"/>
      <c r="F402" s="345"/>
    </row>
    <row r="403" spans="3:6">
      <c r="C403" s="345"/>
      <c r="D403" s="345"/>
      <c r="E403" s="345"/>
      <c r="F403" s="345"/>
    </row>
    <row r="404" spans="3:6">
      <c r="C404" s="345"/>
      <c r="D404" s="345"/>
      <c r="E404" s="345"/>
      <c r="F404" s="345"/>
    </row>
    <row r="405" spans="3:6">
      <c r="C405" s="345"/>
      <c r="D405" s="345"/>
      <c r="E405" s="345"/>
      <c r="F405" s="345"/>
    </row>
    <row r="406" spans="3:6">
      <c r="C406" s="345"/>
      <c r="D406" s="345"/>
      <c r="E406" s="345"/>
      <c r="F406" s="345"/>
    </row>
    <row r="407" spans="3:6">
      <c r="C407" s="345"/>
      <c r="D407" s="345"/>
      <c r="E407" s="345"/>
      <c r="F407" s="345"/>
    </row>
    <row r="408" spans="3:6">
      <c r="C408" s="345"/>
      <c r="D408" s="345"/>
      <c r="E408" s="345"/>
      <c r="F408" s="345"/>
    </row>
    <row r="409" spans="3:6">
      <c r="C409" s="345"/>
      <c r="D409" s="345"/>
      <c r="E409" s="345"/>
      <c r="F409" s="345"/>
    </row>
    <row r="410" spans="3:6">
      <c r="C410" s="345"/>
      <c r="D410" s="345"/>
      <c r="E410" s="345"/>
      <c r="F410" s="345"/>
    </row>
    <row r="411" spans="3:6">
      <c r="C411" s="345"/>
      <c r="D411" s="345"/>
      <c r="E411" s="345"/>
      <c r="F411" s="345"/>
    </row>
    <row r="412" spans="3:6">
      <c r="C412" s="345"/>
      <c r="D412" s="345"/>
      <c r="E412" s="345"/>
      <c r="F412" s="345"/>
    </row>
    <row r="413" spans="3:6">
      <c r="C413" s="345"/>
      <c r="D413" s="345"/>
      <c r="E413" s="345"/>
      <c r="F413" s="345"/>
    </row>
    <row r="414" spans="3:6">
      <c r="C414" s="345"/>
      <c r="D414" s="345"/>
      <c r="E414" s="345"/>
      <c r="F414" s="345"/>
    </row>
    <row r="415" spans="3:6">
      <c r="C415" s="345"/>
      <c r="D415" s="345"/>
      <c r="E415" s="345"/>
      <c r="F415" s="345"/>
    </row>
    <row r="416" spans="3:6">
      <c r="C416" s="345"/>
      <c r="D416" s="345"/>
      <c r="E416" s="345"/>
      <c r="F416" s="345"/>
    </row>
    <row r="417" spans="3:6">
      <c r="C417" s="345"/>
      <c r="D417" s="345"/>
      <c r="E417" s="345"/>
      <c r="F417" s="345"/>
    </row>
    <row r="418" spans="3:6">
      <c r="C418" s="345"/>
      <c r="D418" s="345"/>
      <c r="E418" s="345"/>
      <c r="F418" s="345"/>
    </row>
    <row r="419" spans="3:6">
      <c r="C419" s="345"/>
      <c r="D419" s="345"/>
      <c r="E419" s="345"/>
      <c r="F419" s="345"/>
    </row>
    <row r="420" spans="3:6">
      <c r="C420" s="345"/>
      <c r="D420" s="345"/>
      <c r="E420" s="345"/>
      <c r="F420" s="345"/>
    </row>
    <row r="421" spans="3:6">
      <c r="C421" s="345"/>
      <c r="D421" s="345"/>
      <c r="E421" s="345"/>
      <c r="F421" s="345"/>
    </row>
    <row r="422" spans="3:6">
      <c r="C422" s="345"/>
      <c r="D422" s="345"/>
      <c r="E422" s="345"/>
      <c r="F422" s="345"/>
    </row>
    <row r="423" spans="3:6">
      <c r="C423" s="345"/>
      <c r="D423" s="345"/>
      <c r="E423" s="345"/>
      <c r="F423" s="345"/>
    </row>
    <row r="424" spans="3:6">
      <c r="C424" s="345"/>
      <c r="D424" s="345"/>
      <c r="E424" s="345"/>
      <c r="F424" s="345"/>
    </row>
    <row r="425" spans="3:6">
      <c r="C425" s="345"/>
      <c r="D425" s="345"/>
      <c r="E425" s="345"/>
      <c r="F425" s="345"/>
    </row>
    <row r="426" spans="3:6">
      <c r="C426" s="345"/>
      <c r="D426" s="345"/>
      <c r="E426" s="345"/>
      <c r="F426" s="345"/>
    </row>
    <row r="427" spans="3:6">
      <c r="C427" s="345"/>
      <c r="D427" s="345"/>
      <c r="E427" s="345"/>
      <c r="F427" s="345"/>
    </row>
    <row r="428" spans="3:6">
      <c r="C428" s="345"/>
      <c r="D428" s="345"/>
      <c r="E428" s="345"/>
      <c r="F428" s="345"/>
    </row>
    <row r="429" spans="3:6">
      <c r="C429" s="345"/>
      <c r="D429" s="345"/>
      <c r="E429" s="345"/>
      <c r="F429" s="345"/>
    </row>
    <row r="430" spans="3:6">
      <c r="C430" s="345"/>
      <c r="D430" s="345"/>
      <c r="E430" s="345"/>
      <c r="F430" s="345"/>
    </row>
    <row r="431" spans="3:6">
      <c r="C431" s="345"/>
      <c r="D431" s="345"/>
      <c r="E431" s="345"/>
      <c r="F431" s="345"/>
    </row>
    <row r="432" spans="3:6">
      <c r="C432" s="345"/>
      <c r="D432" s="345"/>
      <c r="E432" s="345"/>
      <c r="F432" s="345"/>
    </row>
    <row r="433" spans="3:6">
      <c r="C433" s="345"/>
      <c r="D433" s="345"/>
      <c r="E433" s="345"/>
      <c r="F433" s="345"/>
    </row>
    <row r="434" spans="3:6">
      <c r="C434" s="345"/>
      <c r="D434" s="345"/>
      <c r="E434" s="345"/>
      <c r="F434" s="345"/>
    </row>
    <row r="435" spans="3:6">
      <c r="C435" s="345"/>
      <c r="D435" s="345"/>
      <c r="E435" s="345"/>
      <c r="F435" s="345"/>
    </row>
    <row r="436" spans="3:6">
      <c r="C436" s="345"/>
      <c r="D436" s="345"/>
      <c r="E436" s="345"/>
      <c r="F436" s="345"/>
    </row>
    <row r="437" spans="3:6">
      <c r="C437" s="345"/>
      <c r="D437" s="345"/>
      <c r="E437" s="345"/>
      <c r="F437" s="345"/>
    </row>
    <row r="438" spans="3:6">
      <c r="C438" s="345"/>
      <c r="D438" s="345"/>
      <c r="E438" s="345"/>
      <c r="F438" s="345"/>
    </row>
    <row r="439" spans="3:6">
      <c r="C439" s="345"/>
      <c r="D439" s="345"/>
      <c r="E439" s="345"/>
      <c r="F439" s="345"/>
    </row>
    <row r="440" spans="3:6">
      <c r="C440" s="345"/>
      <c r="D440" s="345"/>
      <c r="E440" s="345"/>
      <c r="F440" s="345"/>
    </row>
    <row r="441" spans="3:6">
      <c r="C441" s="345"/>
      <c r="D441" s="345"/>
      <c r="E441" s="345"/>
      <c r="F441" s="345"/>
    </row>
    <row r="442" spans="3:6">
      <c r="C442" s="345"/>
      <c r="D442" s="345"/>
      <c r="E442" s="345"/>
      <c r="F442" s="345"/>
    </row>
    <row r="443" spans="3:6">
      <c r="C443" s="345"/>
      <c r="D443" s="345"/>
      <c r="E443" s="345"/>
      <c r="F443" s="345"/>
    </row>
    <row r="444" spans="3:6">
      <c r="C444" s="345"/>
      <c r="D444" s="345"/>
      <c r="E444" s="345"/>
      <c r="F444" s="345"/>
    </row>
    <row r="445" spans="3:6">
      <c r="C445" s="345"/>
      <c r="D445" s="345"/>
      <c r="E445" s="345"/>
      <c r="F445" s="345"/>
    </row>
    <row r="446" spans="3:6">
      <c r="C446" s="345"/>
      <c r="D446" s="345"/>
      <c r="E446" s="345"/>
      <c r="F446" s="345"/>
    </row>
    <row r="447" spans="3:6">
      <c r="C447" s="345"/>
      <c r="D447" s="345"/>
      <c r="E447" s="345"/>
      <c r="F447" s="345"/>
    </row>
    <row r="448" spans="3:6">
      <c r="C448" s="345"/>
      <c r="D448" s="345"/>
      <c r="E448" s="345"/>
      <c r="F448" s="345"/>
    </row>
    <row r="449" spans="3:6">
      <c r="C449" s="345"/>
      <c r="D449" s="345"/>
      <c r="E449" s="345"/>
      <c r="F449" s="345"/>
    </row>
    <row r="450" spans="3:6">
      <c r="C450" s="345"/>
      <c r="D450" s="345"/>
      <c r="E450" s="345"/>
      <c r="F450" s="345"/>
    </row>
    <row r="451" spans="3:6">
      <c r="C451" s="345"/>
      <c r="D451" s="345"/>
      <c r="E451" s="345"/>
      <c r="F451" s="345"/>
    </row>
    <row r="452" spans="3:6">
      <c r="C452" s="345"/>
      <c r="D452" s="345"/>
      <c r="E452" s="345"/>
      <c r="F452" s="345"/>
    </row>
    <row r="453" spans="3:6">
      <c r="C453" s="345"/>
      <c r="D453" s="345"/>
      <c r="E453" s="345"/>
      <c r="F453" s="345"/>
    </row>
    <row r="454" spans="3:6">
      <c r="C454" s="345"/>
      <c r="D454" s="345"/>
      <c r="E454" s="345"/>
      <c r="F454" s="345"/>
    </row>
    <row r="455" spans="3:6">
      <c r="C455" s="345"/>
      <c r="D455" s="345"/>
      <c r="E455" s="345"/>
      <c r="F455" s="345"/>
    </row>
    <row r="456" spans="3:6">
      <c r="C456" s="345"/>
      <c r="D456" s="345"/>
      <c r="E456" s="345"/>
      <c r="F456" s="345"/>
    </row>
    <row r="457" spans="3:6">
      <c r="C457" s="345"/>
      <c r="D457" s="345"/>
      <c r="E457" s="345"/>
      <c r="F457" s="345"/>
    </row>
    <row r="458" spans="3:6">
      <c r="C458" s="345"/>
      <c r="D458" s="345"/>
      <c r="E458" s="345"/>
      <c r="F458" s="345"/>
    </row>
    <row r="459" spans="3:6">
      <c r="C459" s="345"/>
      <c r="D459" s="345"/>
      <c r="E459" s="345"/>
      <c r="F459" s="345"/>
    </row>
    <row r="460" spans="3:6">
      <c r="C460" s="345"/>
      <c r="D460" s="345"/>
      <c r="E460" s="345"/>
      <c r="F460" s="345"/>
    </row>
    <row r="461" spans="3:6">
      <c r="C461" s="345"/>
      <c r="D461" s="345"/>
      <c r="E461" s="345"/>
      <c r="F461" s="345"/>
    </row>
    <row r="462" spans="3:6">
      <c r="C462" s="345"/>
      <c r="D462" s="345"/>
      <c r="E462" s="345"/>
      <c r="F462" s="345"/>
    </row>
    <row r="463" spans="3:6">
      <c r="C463" s="345"/>
      <c r="D463" s="345"/>
      <c r="E463" s="345"/>
      <c r="F463" s="345"/>
    </row>
    <row r="464" spans="3:6">
      <c r="C464" s="345"/>
      <c r="D464" s="345"/>
      <c r="E464" s="345"/>
      <c r="F464" s="345"/>
    </row>
    <row r="465" spans="3:6">
      <c r="C465" s="345"/>
      <c r="D465" s="345"/>
      <c r="E465" s="345"/>
      <c r="F465" s="345"/>
    </row>
    <row r="466" spans="3:6">
      <c r="C466" s="345"/>
      <c r="D466" s="345"/>
      <c r="E466" s="345"/>
      <c r="F466" s="345"/>
    </row>
    <row r="467" spans="3:6">
      <c r="C467" s="345"/>
      <c r="D467" s="345"/>
      <c r="E467" s="345"/>
      <c r="F467" s="345"/>
    </row>
    <row r="468" spans="3:6">
      <c r="C468" s="345"/>
      <c r="D468" s="345"/>
      <c r="E468" s="345"/>
      <c r="F468" s="345"/>
    </row>
    <row r="469" spans="3:6">
      <c r="C469" s="345"/>
      <c r="D469" s="345"/>
      <c r="E469" s="345"/>
      <c r="F469" s="345"/>
    </row>
    <row r="470" spans="3:6">
      <c r="C470" s="345"/>
      <c r="D470" s="345"/>
      <c r="E470" s="345"/>
      <c r="F470" s="345"/>
    </row>
    <row r="471" spans="3:6">
      <c r="C471" s="345"/>
      <c r="D471" s="345"/>
      <c r="E471" s="345"/>
      <c r="F471" s="345"/>
    </row>
    <row r="472" spans="3:6">
      <c r="C472" s="345"/>
      <c r="D472" s="345"/>
      <c r="E472" s="345"/>
      <c r="F472" s="345"/>
    </row>
    <row r="473" spans="3:6">
      <c r="C473" s="345"/>
      <c r="D473" s="345"/>
      <c r="E473" s="345"/>
      <c r="F473" s="345"/>
    </row>
    <row r="474" spans="3:6">
      <c r="C474" s="345"/>
      <c r="D474" s="345"/>
      <c r="E474" s="345"/>
      <c r="F474" s="345"/>
    </row>
    <row r="475" spans="3:6">
      <c r="C475" s="345"/>
      <c r="D475" s="345"/>
      <c r="E475" s="345"/>
      <c r="F475" s="345"/>
    </row>
    <row r="476" spans="3:6">
      <c r="C476" s="345"/>
      <c r="D476" s="345"/>
      <c r="E476" s="345"/>
      <c r="F476" s="345"/>
    </row>
    <row r="477" spans="3:6">
      <c r="C477" s="345"/>
      <c r="D477" s="345"/>
      <c r="E477" s="345"/>
      <c r="F477" s="345"/>
    </row>
    <row r="478" spans="3:6">
      <c r="C478" s="345"/>
      <c r="D478" s="345"/>
      <c r="E478" s="345"/>
      <c r="F478" s="345"/>
    </row>
    <row r="479" spans="3:6">
      <c r="C479" s="345"/>
      <c r="D479" s="345"/>
      <c r="E479" s="345"/>
      <c r="F479" s="345"/>
    </row>
    <row r="480" spans="3:6">
      <c r="C480" s="345"/>
      <c r="D480" s="345"/>
      <c r="E480" s="345"/>
      <c r="F480" s="345"/>
    </row>
    <row r="481" spans="3:6">
      <c r="C481" s="345"/>
      <c r="D481" s="345"/>
      <c r="E481" s="345"/>
      <c r="F481" s="345"/>
    </row>
    <row r="482" spans="3:6">
      <c r="C482" s="345"/>
      <c r="D482" s="345"/>
      <c r="E482" s="345"/>
      <c r="F482" s="345"/>
    </row>
    <row r="483" spans="3:6">
      <c r="C483" s="345"/>
      <c r="D483" s="345"/>
      <c r="E483" s="345"/>
      <c r="F483" s="345"/>
    </row>
    <row r="484" spans="3:6">
      <c r="C484" s="345"/>
      <c r="D484" s="345"/>
      <c r="E484" s="345"/>
      <c r="F484" s="345"/>
    </row>
    <row r="485" spans="3:6">
      <c r="C485" s="345"/>
      <c r="D485" s="345"/>
      <c r="E485" s="345"/>
      <c r="F485" s="345"/>
    </row>
    <row r="486" spans="3:6">
      <c r="C486" s="345"/>
      <c r="D486" s="345"/>
      <c r="E486" s="345"/>
      <c r="F486" s="345"/>
    </row>
    <row r="487" spans="3:6">
      <c r="C487" s="345"/>
      <c r="D487" s="345"/>
      <c r="E487" s="345"/>
      <c r="F487" s="345"/>
    </row>
    <row r="488" spans="3:6">
      <c r="C488" s="345"/>
      <c r="D488" s="345"/>
      <c r="E488" s="345"/>
      <c r="F488" s="345"/>
    </row>
    <row r="489" spans="3:6">
      <c r="C489" s="345"/>
      <c r="D489" s="345"/>
      <c r="E489" s="345"/>
      <c r="F489" s="345"/>
    </row>
    <row r="490" spans="3:6">
      <c r="C490" s="345"/>
      <c r="D490" s="345"/>
      <c r="E490" s="345"/>
      <c r="F490" s="345"/>
    </row>
    <row r="491" spans="3:6">
      <c r="C491" s="345"/>
      <c r="D491" s="345"/>
      <c r="E491" s="345"/>
      <c r="F491" s="345"/>
    </row>
    <row r="492" spans="3:6">
      <c r="C492" s="345"/>
      <c r="D492" s="345"/>
      <c r="E492" s="345"/>
      <c r="F492" s="345"/>
    </row>
    <row r="493" spans="3:6">
      <c r="C493" s="345"/>
      <c r="D493" s="345"/>
      <c r="E493" s="345"/>
      <c r="F493" s="345"/>
    </row>
    <row r="494" spans="3:6">
      <c r="C494" s="345"/>
      <c r="D494" s="345"/>
      <c r="E494" s="345"/>
      <c r="F494" s="345"/>
    </row>
    <row r="495" spans="3:6">
      <c r="C495" s="345"/>
      <c r="D495" s="345"/>
      <c r="E495" s="345"/>
      <c r="F495" s="345"/>
    </row>
    <row r="496" spans="3:6">
      <c r="C496" s="345"/>
      <c r="D496" s="345"/>
      <c r="E496" s="345"/>
      <c r="F496" s="345"/>
    </row>
    <row r="497" spans="3:6">
      <c r="C497" s="345"/>
      <c r="D497" s="345"/>
      <c r="E497" s="345"/>
      <c r="F497" s="345"/>
    </row>
    <row r="498" spans="3:6">
      <c r="C498" s="345"/>
      <c r="D498" s="345"/>
      <c r="E498" s="345"/>
      <c r="F498" s="345"/>
    </row>
    <row r="499" spans="3:6">
      <c r="C499" s="345"/>
      <c r="D499" s="345"/>
      <c r="E499" s="345"/>
      <c r="F499" s="345"/>
    </row>
    <row r="500" spans="3:6">
      <c r="C500" s="345"/>
      <c r="D500" s="345"/>
      <c r="E500" s="345"/>
      <c r="F500" s="345"/>
    </row>
    <row r="501" spans="3:6">
      <c r="C501" s="345"/>
      <c r="D501" s="345"/>
      <c r="E501" s="345"/>
      <c r="F501" s="345"/>
    </row>
    <row r="502" spans="3:6">
      <c r="C502" s="345"/>
      <c r="D502" s="345"/>
      <c r="E502" s="345"/>
      <c r="F502" s="345"/>
    </row>
    <row r="503" spans="3:6">
      <c r="C503" s="345"/>
      <c r="D503" s="345"/>
      <c r="E503" s="345"/>
      <c r="F503" s="345"/>
    </row>
    <row r="504" spans="3:6">
      <c r="C504" s="345"/>
      <c r="D504" s="345"/>
      <c r="E504" s="345"/>
      <c r="F504" s="345"/>
    </row>
    <row r="505" spans="3:6">
      <c r="C505" s="345"/>
      <c r="D505" s="345"/>
      <c r="E505" s="345"/>
      <c r="F505" s="345"/>
    </row>
    <row r="506" spans="3:6">
      <c r="C506" s="345"/>
      <c r="D506" s="345"/>
      <c r="E506" s="345"/>
      <c r="F506" s="345"/>
    </row>
    <row r="507" spans="3:6">
      <c r="C507" s="345"/>
      <c r="D507" s="345"/>
      <c r="E507" s="345"/>
      <c r="F507" s="345"/>
    </row>
    <row r="508" spans="3:6">
      <c r="C508" s="345"/>
      <c r="D508" s="345"/>
      <c r="E508" s="345"/>
      <c r="F508" s="345"/>
    </row>
    <row r="509" spans="3:6">
      <c r="C509" s="345"/>
      <c r="D509" s="345"/>
      <c r="E509" s="345"/>
      <c r="F509" s="345"/>
    </row>
    <row r="510" spans="3:6">
      <c r="C510" s="345"/>
      <c r="D510" s="345"/>
      <c r="E510" s="345"/>
      <c r="F510" s="345"/>
    </row>
    <row r="511" spans="3:6">
      <c r="C511" s="345"/>
      <c r="D511" s="345"/>
      <c r="E511" s="345"/>
      <c r="F511" s="345"/>
    </row>
    <row r="512" spans="3:6">
      <c r="C512" s="345"/>
      <c r="D512" s="345"/>
      <c r="E512" s="345"/>
      <c r="F512" s="345"/>
    </row>
    <row r="513" spans="3:6">
      <c r="C513" s="345"/>
      <c r="D513" s="345"/>
      <c r="E513" s="345"/>
      <c r="F513" s="345"/>
    </row>
    <row r="514" spans="3:6">
      <c r="C514" s="345"/>
      <c r="D514" s="345"/>
      <c r="E514" s="345"/>
      <c r="F514" s="345"/>
    </row>
    <row r="515" spans="3:6">
      <c r="C515" s="345"/>
      <c r="D515" s="345"/>
      <c r="E515" s="345"/>
      <c r="F515" s="345"/>
    </row>
    <row r="516" spans="3:6">
      <c r="C516" s="345"/>
      <c r="D516" s="345"/>
      <c r="E516" s="345"/>
      <c r="F516" s="345"/>
    </row>
    <row r="517" spans="3:6">
      <c r="C517" s="345"/>
      <c r="D517" s="345"/>
      <c r="E517" s="345"/>
      <c r="F517" s="345"/>
    </row>
    <row r="518" spans="3:6">
      <c r="C518" s="345"/>
      <c r="D518" s="345"/>
      <c r="E518" s="345"/>
      <c r="F518" s="345"/>
    </row>
    <row r="519" spans="3:6">
      <c r="C519" s="345"/>
      <c r="D519" s="345"/>
      <c r="E519" s="345"/>
      <c r="F519" s="345"/>
    </row>
    <row r="520" spans="3:6">
      <c r="C520" s="345"/>
      <c r="D520" s="345"/>
      <c r="E520" s="345"/>
      <c r="F520" s="345"/>
    </row>
    <row r="521" spans="3:6">
      <c r="C521" s="345"/>
      <c r="D521" s="345"/>
      <c r="E521" s="345"/>
      <c r="F521" s="345"/>
    </row>
    <row r="522" spans="3:6">
      <c r="C522" s="345"/>
      <c r="D522" s="345"/>
      <c r="E522" s="345"/>
      <c r="F522" s="345"/>
    </row>
    <row r="523" spans="3:6">
      <c r="C523" s="345"/>
      <c r="D523" s="345"/>
      <c r="E523" s="345"/>
      <c r="F523" s="345"/>
    </row>
    <row r="524" spans="3:6">
      <c r="C524" s="345"/>
      <c r="D524" s="345"/>
      <c r="E524" s="345"/>
      <c r="F524" s="345"/>
    </row>
    <row r="525" spans="3:6">
      <c r="C525" s="345"/>
      <c r="D525" s="345"/>
      <c r="E525" s="345"/>
      <c r="F525" s="345"/>
    </row>
    <row r="526" spans="3:6">
      <c r="C526" s="345"/>
      <c r="D526" s="345"/>
      <c r="E526" s="345"/>
      <c r="F526" s="345"/>
    </row>
    <row r="527" spans="3:6">
      <c r="C527" s="345"/>
      <c r="D527" s="345"/>
      <c r="E527" s="345"/>
      <c r="F527" s="345"/>
    </row>
    <row r="528" spans="3:6">
      <c r="C528" s="345"/>
      <c r="D528" s="345"/>
      <c r="E528" s="345"/>
      <c r="F528" s="345"/>
    </row>
    <row r="529" spans="3:6">
      <c r="C529" s="345"/>
      <c r="D529" s="345"/>
      <c r="E529" s="345"/>
      <c r="F529" s="345"/>
    </row>
    <row r="530" spans="3:6">
      <c r="C530" s="345"/>
      <c r="D530" s="345"/>
      <c r="E530" s="345"/>
      <c r="F530" s="345"/>
    </row>
    <row r="531" spans="3:6">
      <c r="C531" s="345"/>
      <c r="D531" s="345"/>
      <c r="E531" s="345"/>
      <c r="F531" s="345"/>
    </row>
    <row r="532" spans="3:6">
      <c r="C532" s="345"/>
      <c r="D532" s="345"/>
      <c r="E532" s="345"/>
      <c r="F532" s="345"/>
    </row>
    <row r="533" spans="3:6">
      <c r="C533" s="345"/>
      <c r="D533" s="345"/>
      <c r="E533" s="345"/>
      <c r="F533" s="345"/>
    </row>
    <row r="534" spans="3:6">
      <c r="C534" s="345"/>
      <c r="D534" s="345"/>
      <c r="E534" s="345"/>
      <c r="F534" s="345"/>
    </row>
    <row r="535" spans="3:6">
      <c r="C535" s="345"/>
      <c r="D535" s="345"/>
      <c r="E535" s="345"/>
      <c r="F535" s="345"/>
    </row>
    <row r="536" spans="3:6">
      <c r="C536" s="345"/>
      <c r="D536" s="345"/>
      <c r="E536" s="345"/>
      <c r="F536" s="345"/>
    </row>
    <row r="537" spans="3:6">
      <c r="C537" s="345"/>
      <c r="D537" s="345"/>
      <c r="E537" s="345"/>
      <c r="F537" s="345"/>
    </row>
    <row r="538" spans="3:6">
      <c r="C538" s="345"/>
      <c r="D538" s="345"/>
      <c r="E538" s="345"/>
      <c r="F538" s="345"/>
    </row>
    <row r="539" spans="3:6">
      <c r="C539" s="345"/>
      <c r="D539" s="345"/>
      <c r="E539" s="345"/>
      <c r="F539" s="345"/>
    </row>
    <row r="540" spans="3:6">
      <c r="C540" s="345"/>
      <c r="D540" s="345"/>
      <c r="E540" s="345"/>
      <c r="F540" s="345"/>
    </row>
    <row r="541" spans="3:6">
      <c r="C541" s="345"/>
      <c r="D541" s="345"/>
      <c r="E541" s="345"/>
      <c r="F541" s="345"/>
    </row>
    <row r="542" spans="3:6">
      <c r="C542" s="345"/>
      <c r="D542" s="345"/>
      <c r="E542" s="345"/>
      <c r="F542" s="345"/>
    </row>
    <row r="543" spans="3:6">
      <c r="C543" s="345"/>
      <c r="D543" s="345"/>
      <c r="E543" s="345"/>
      <c r="F543" s="345"/>
    </row>
    <row r="544" spans="3:6">
      <c r="C544" s="345"/>
      <c r="D544" s="345"/>
      <c r="E544" s="345"/>
      <c r="F544" s="345"/>
    </row>
    <row r="545" spans="3:6">
      <c r="C545" s="345"/>
      <c r="D545" s="345"/>
      <c r="E545" s="345"/>
      <c r="F545" s="345"/>
    </row>
    <row r="546" spans="3:6">
      <c r="C546" s="345"/>
      <c r="D546" s="345"/>
      <c r="E546" s="345"/>
      <c r="F546" s="345"/>
    </row>
    <row r="547" spans="3:6">
      <c r="C547" s="345"/>
      <c r="D547" s="345"/>
      <c r="E547" s="345"/>
      <c r="F547" s="345"/>
    </row>
    <row r="548" spans="3:6">
      <c r="C548" s="345"/>
      <c r="D548" s="345"/>
      <c r="E548" s="345"/>
      <c r="F548" s="345"/>
    </row>
    <row r="549" spans="3:6">
      <c r="C549" s="345"/>
      <c r="D549" s="345"/>
      <c r="E549" s="345"/>
      <c r="F549" s="345"/>
    </row>
    <row r="550" spans="3:6">
      <c r="C550" s="345"/>
      <c r="D550" s="345"/>
      <c r="E550" s="345"/>
      <c r="F550" s="345"/>
    </row>
    <row r="551" spans="3:6">
      <c r="C551" s="345"/>
      <c r="D551" s="345"/>
      <c r="E551" s="345"/>
      <c r="F551" s="345"/>
    </row>
    <row r="552" spans="3:6">
      <c r="C552" s="345"/>
      <c r="D552" s="345"/>
      <c r="E552" s="345"/>
      <c r="F552" s="345"/>
    </row>
    <row r="553" spans="3:6">
      <c r="C553" s="345"/>
      <c r="D553" s="345"/>
      <c r="E553" s="345"/>
      <c r="F553" s="345"/>
    </row>
    <row r="554" spans="3:6">
      <c r="C554" s="345"/>
      <c r="D554" s="345"/>
      <c r="E554" s="345"/>
      <c r="F554" s="345"/>
    </row>
    <row r="555" spans="3:6">
      <c r="C555" s="345"/>
      <c r="D555" s="345"/>
      <c r="E555" s="345"/>
      <c r="F555" s="345"/>
    </row>
    <row r="556" spans="3:6">
      <c r="C556" s="345"/>
      <c r="D556" s="345"/>
      <c r="E556" s="345"/>
      <c r="F556" s="345"/>
    </row>
    <row r="557" spans="3:6">
      <c r="C557" s="345"/>
      <c r="D557" s="345"/>
      <c r="E557" s="345"/>
      <c r="F557" s="345"/>
    </row>
    <row r="558" spans="3:6">
      <c r="C558" s="345"/>
      <c r="D558" s="345"/>
      <c r="E558" s="345"/>
      <c r="F558" s="345"/>
    </row>
    <row r="559" spans="3:6">
      <c r="C559" s="345"/>
      <c r="D559" s="345"/>
      <c r="E559" s="345"/>
      <c r="F559" s="345"/>
    </row>
    <row r="560" spans="3:6">
      <c r="C560" s="345"/>
      <c r="D560" s="345"/>
      <c r="E560" s="345"/>
      <c r="F560" s="345"/>
    </row>
    <row r="561" spans="3:6">
      <c r="C561" s="345"/>
      <c r="D561" s="345"/>
      <c r="E561" s="345"/>
      <c r="F561" s="345"/>
    </row>
    <row r="562" spans="3:6">
      <c r="C562" s="345"/>
      <c r="D562" s="345"/>
      <c r="E562" s="345"/>
      <c r="F562" s="345"/>
    </row>
    <row r="563" spans="3:6">
      <c r="C563" s="345"/>
      <c r="D563" s="345"/>
      <c r="E563" s="345"/>
      <c r="F563" s="345"/>
    </row>
    <row r="564" spans="3:6">
      <c r="C564" s="345"/>
      <c r="D564" s="345"/>
      <c r="E564" s="345"/>
      <c r="F564" s="345"/>
    </row>
    <row r="565" spans="3:6">
      <c r="C565" s="345"/>
      <c r="D565" s="345"/>
      <c r="E565" s="345"/>
      <c r="F565" s="345"/>
    </row>
    <row r="566" spans="3:6">
      <c r="C566" s="345"/>
      <c r="D566" s="345"/>
      <c r="E566" s="345"/>
      <c r="F566" s="345"/>
    </row>
    <row r="567" spans="3:6">
      <c r="C567" s="345"/>
      <c r="D567" s="345"/>
      <c r="E567" s="345"/>
      <c r="F567" s="345"/>
    </row>
    <row r="568" spans="3:6">
      <c r="C568" s="345"/>
      <c r="D568" s="345"/>
      <c r="E568" s="345"/>
      <c r="F568" s="345"/>
    </row>
    <row r="569" spans="3:6">
      <c r="C569" s="345"/>
      <c r="D569" s="345"/>
      <c r="E569" s="345"/>
      <c r="F569" s="345"/>
    </row>
    <row r="570" spans="3:6">
      <c r="C570" s="345"/>
      <c r="D570" s="345"/>
      <c r="E570" s="345"/>
      <c r="F570" s="345"/>
    </row>
    <row r="571" spans="3:6">
      <c r="C571" s="345"/>
      <c r="D571" s="345"/>
      <c r="E571" s="345"/>
      <c r="F571" s="345"/>
    </row>
    <row r="572" spans="3:6">
      <c r="C572" s="345"/>
      <c r="D572" s="345"/>
      <c r="E572" s="345"/>
      <c r="F572" s="345"/>
    </row>
    <row r="573" spans="3:6">
      <c r="C573" s="345"/>
      <c r="D573" s="345"/>
      <c r="E573" s="345"/>
      <c r="F573" s="345"/>
    </row>
    <row r="574" spans="3:6">
      <c r="C574" s="345"/>
      <c r="D574" s="345"/>
      <c r="E574" s="345"/>
      <c r="F574" s="345"/>
    </row>
    <row r="575" spans="3:6">
      <c r="C575" s="345"/>
      <c r="D575" s="345"/>
      <c r="E575" s="345"/>
      <c r="F575" s="345"/>
    </row>
    <row r="576" spans="3:6">
      <c r="C576" s="345"/>
      <c r="D576" s="345"/>
      <c r="E576" s="345"/>
      <c r="F576" s="345"/>
    </row>
    <row r="577" spans="3:6">
      <c r="C577" s="345"/>
      <c r="D577" s="345"/>
      <c r="E577" s="345"/>
      <c r="F577" s="345"/>
    </row>
    <row r="578" spans="3:6">
      <c r="C578" s="345"/>
      <c r="D578" s="345"/>
      <c r="E578" s="345"/>
      <c r="F578" s="345"/>
    </row>
    <row r="579" spans="3:6">
      <c r="C579" s="345"/>
      <c r="D579" s="345"/>
      <c r="E579" s="345"/>
      <c r="F579" s="345"/>
    </row>
    <row r="580" spans="3:6">
      <c r="C580" s="345"/>
      <c r="D580" s="345"/>
      <c r="E580" s="345"/>
      <c r="F580" s="345"/>
    </row>
    <row r="581" spans="3:6">
      <c r="C581" s="345"/>
      <c r="D581" s="345"/>
      <c r="E581" s="345"/>
      <c r="F581" s="345"/>
    </row>
    <row r="582" spans="3:6">
      <c r="C582" s="345"/>
      <c r="D582" s="345"/>
      <c r="E582" s="345"/>
      <c r="F582" s="345"/>
    </row>
    <row r="583" spans="3:6">
      <c r="C583" s="345"/>
      <c r="D583" s="345"/>
      <c r="E583" s="345"/>
      <c r="F583" s="345"/>
    </row>
    <row r="584" spans="3:6">
      <c r="C584" s="345"/>
      <c r="D584" s="345"/>
      <c r="E584" s="345"/>
      <c r="F584" s="345"/>
    </row>
    <row r="585" spans="3:6">
      <c r="C585" s="345"/>
      <c r="D585" s="345"/>
      <c r="E585" s="345"/>
      <c r="F585" s="345"/>
    </row>
    <row r="586" spans="3:6">
      <c r="C586" s="345"/>
      <c r="D586" s="345"/>
      <c r="E586" s="345"/>
      <c r="F586" s="345"/>
    </row>
    <row r="587" spans="3:6">
      <c r="C587" s="345"/>
      <c r="D587" s="345"/>
      <c r="E587" s="345"/>
      <c r="F587" s="345"/>
    </row>
    <row r="588" spans="3:6">
      <c r="C588" s="345"/>
      <c r="D588" s="345"/>
      <c r="E588" s="345"/>
      <c r="F588" s="345"/>
    </row>
    <row r="589" spans="3:6">
      <c r="C589" s="345"/>
      <c r="D589" s="345"/>
      <c r="E589" s="345"/>
      <c r="F589" s="345"/>
    </row>
    <row r="590" spans="3:6">
      <c r="C590" s="345"/>
      <c r="D590" s="345"/>
      <c r="E590" s="345"/>
      <c r="F590" s="345"/>
    </row>
    <row r="591" spans="3:6">
      <c r="C591" s="345"/>
      <c r="D591" s="345"/>
      <c r="E591" s="345"/>
      <c r="F591" s="345"/>
    </row>
    <row r="592" spans="3:6">
      <c r="C592" s="345"/>
      <c r="D592" s="345"/>
      <c r="E592" s="345"/>
      <c r="F592" s="345"/>
    </row>
    <row r="593" spans="3:6">
      <c r="C593" s="345"/>
      <c r="D593" s="345"/>
      <c r="E593" s="345"/>
      <c r="F593" s="345"/>
    </row>
    <row r="594" spans="3:6">
      <c r="C594" s="345"/>
      <c r="D594" s="345"/>
      <c r="E594" s="345"/>
      <c r="F594" s="345"/>
    </row>
    <row r="595" spans="3:6">
      <c r="C595" s="345"/>
      <c r="D595" s="345"/>
      <c r="E595" s="345"/>
      <c r="F595" s="345"/>
    </row>
    <row r="596" spans="3:6">
      <c r="C596" s="345"/>
      <c r="D596" s="345"/>
      <c r="E596" s="345"/>
      <c r="F596" s="345"/>
    </row>
    <row r="597" spans="3:6">
      <c r="C597" s="345"/>
      <c r="D597" s="345"/>
      <c r="E597" s="345"/>
      <c r="F597" s="345"/>
    </row>
    <row r="598" spans="3:6">
      <c r="C598" s="345"/>
      <c r="D598" s="345"/>
      <c r="E598" s="345"/>
      <c r="F598" s="345"/>
    </row>
    <row r="599" spans="3:6">
      <c r="C599" s="345"/>
      <c r="D599" s="345"/>
      <c r="E599" s="345"/>
      <c r="F599" s="345"/>
    </row>
    <row r="600" spans="3:6">
      <c r="C600" s="345"/>
      <c r="D600" s="345"/>
      <c r="E600" s="345"/>
      <c r="F600" s="345"/>
    </row>
    <row r="601" spans="3:6">
      <c r="C601" s="345"/>
      <c r="D601" s="345"/>
      <c r="E601" s="345"/>
      <c r="F601" s="345"/>
    </row>
    <row r="602" spans="3:6">
      <c r="C602" s="345"/>
      <c r="D602" s="345"/>
      <c r="E602" s="345"/>
      <c r="F602" s="345"/>
    </row>
    <row r="603" spans="3:6">
      <c r="C603" s="345"/>
      <c r="D603" s="345"/>
      <c r="E603" s="345"/>
      <c r="F603" s="345"/>
    </row>
    <row r="604" spans="3:6">
      <c r="C604" s="345"/>
      <c r="D604" s="345"/>
      <c r="E604" s="345"/>
      <c r="F604" s="345"/>
    </row>
    <row r="605" spans="3:6">
      <c r="C605" s="345"/>
      <c r="D605" s="345"/>
      <c r="E605" s="345"/>
      <c r="F605" s="345"/>
    </row>
    <row r="606" spans="3:6">
      <c r="C606" s="345"/>
      <c r="D606" s="345"/>
      <c r="E606" s="345"/>
      <c r="F606" s="345"/>
    </row>
    <row r="607" spans="3:6">
      <c r="C607" s="345"/>
      <c r="D607" s="345"/>
      <c r="E607" s="345"/>
      <c r="F607" s="345"/>
    </row>
    <row r="608" spans="3:6">
      <c r="C608" s="345"/>
      <c r="D608" s="345"/>
      <c r="E608" s="345"/>
      <c r="F608" s="345"/>
    </row>
    <row r="609" spans="3:6">
      <c r="C609" s="345"/>
      <c r="D609" s="345"/>
      <c r="E609" s="345"/>
      <c r="F609" s="345"/>
    </row>
    <row r="610" spans="3:6">
      <c r="C610" s="345"/>
      <c r="D610" s="345"/>
      <c r="E610" s="345"/>
      <c r="F610" s="345"/>
    </row>
    <row r="611" spans="3:6">
      <c r="C611" s="345"/>
      <c r="D611" s="345"/>
      <c r="E611" s="345"/>
      <c r="F611" s="345"/>
    </row>
    <row r="612" spans="3:6">
      <c r="C612" s="345"/>
      <c r="D612" s="345"/>
      <c r="E612" s="345"/>
      <c r="F612" s="345"/>
    </row>
    <row r="613" spans="3:6">
      <c r="C613" s="345"/>
      <c r="D613" s="345"/>
      <c r="E613" s="345"/>
      <c r="F613" s="345"/>
    </row>
    <row r="614" spans="3:6">
      <c r="C614" s="345"/>
      <c r="D614" s="345"/>
      <c r="E614" s="345"/>
      <c r="F614" s="345"/>
    </row>
    <row r="615" spans="3:6">
      <c r="C615" s="345"/>
      <c r="D615" s="345"/>
      <c r="E615" s="345"/>
      <c r="F615" s="345"/>
    </row>
    <row r="616" spans="3:6">
      <c r="C616" s="345"/>
      <c r="D616" s="345"/>
      <c r="E616" s="345"/>
      <c r="F616" s="345"/>
    </row>
    <row r="617" spans="3:6">
      <c r="C617" s="345"/>
      <c r="D617" s="345"/>
      <c r="E617" s="345"/>
      <c r="F617" s="345"/>
    </row>
    <row r="618" spans="3:6">
      <c r="C618" s="345"/>
      <c r="D618" s="345"/>
      <c r="E618" s="345"/>
      <c r="F618" s="345"/>
    </row>
    <row r="619" spans="3:6">
      <c r="C619" s="345"/>
      <c r="D619" s="345"/>
      <c r="E619" s="345"/>
      <c r="F619" s="345"/>
    </row>
    <row r="620" spans="3:6">
      <c r="C620" s="345"/>
      <c r="D620" s="345"/>
      <c r="E620" s="345"/>
      <c r="F620" s="345"/>
    </row>
    <row r="621" spans="3:6">
      <c r="C621" s="345"/>
      <c r="D621" s="345"/>
      <c r="E621" s="345"/>
      <c r="F621" s="345"/>
    </row>
    <row r="622" spans="3:6">
      <c r="C622" s="345"/>
      <c r="D622" s="345"/>
      <c r="E622" s="345"/>
      <c r="F622" s="345"/>
    </row>
    <row r="623" spans="3:6">
      <c r="C623" s="345"/>
      <c r="D623" s="345"/>
      <c r="E623" s="345"/>
      <c r="F623" s="345"/>
    </row>
    <row r="624" spans="3:6">
      <c r="C624" s="345"/>
      <c r="D624" s="345"/>
      <c r="E624" s="345"/>
      <c r="F624" s="345"/>
    </row>
    <row r="625" spans="3:6">
      <c r="C625" s="345"/>
      <c r="D625" s="345"/>
      <c r="E625" s="345"/>
      <c r="F625" s="345"/>
    </row>
    <row r="626" spans="3:6">
      <c r="C626" s="345"/>
      <c r="D626" s="345"/>
      <c r="E626" s="345"/>
      <c r="F626" s="345"/>
    </row>
    <row r="627" spans="3:6">
      <c r="C627" s="345"/>
      <c r="D627" s="345"/>
      <c r="E627" s="345"/>
      <c r="F627" s="345"/>
    </row>
    <row r="628" spans="3:6">
      <c r="C628" s="345"/>
      <c r="D628" s="345"/>
      <c r="E628" s="345"/>
      <c r="F628" s="345"/>
    </row>
    <row r="629" spans="3:6">
      <c r="C629" s="345"/>
      <c r="D629" s="345"/>
      <c r="E629" s="345"/>
      <c r="F629" s="345"/>
    </row>
    <row r="630" spans="3:6">
      <c r="C630" s="345"/>
      <c r="D630" s="345"/>
      <c r="E630" s="345"/>
      <c r="F630" s="345"/>
    </row>
    <row r="631" spans="3:6">
      <c r="C631" s="345"/>
      <c r="D631" s="345"/>
      <c r="E631" s="345"/>
      <c r="F631" s="345"/>
    </row>
    <row r="632" spans="3:6">
      <c r="C632" s="345"/>
      <c r="D632" s="345"/>
      <c r="E632" s="345"/>
      <c r="F632" s="345"/>
    </row>
    <row r="633" spans="3:6">
      <c r="C633" s="345"/>
      <c r="D633" s="345"/>
      <c r="E633" s="345"/>
      <c r="F633" s="345"/>
    </row>
    <row r="634" spans="3:6">
      <c r="C634" s="345"/>
      <c r="D634" s="345"/>
      <c r="E634" s="345"/>
      <c r="F634" s="345"/>
    </row>
    <row r="635" spans="3:6">
      <c r="C635" s="345"/>
      <c r="D635" s="345"/>
      <c r="E635" s="345"/>
      <c r="F635" s="345"/>
    </row>
    <row r="636" spans="3:6">
      <c r="C636" s="345"/>
      <c r="D636" s="345"/>
      <c r="E636" s="345"/>
      <c r="F636" s="345"/>
    </row>
    <row r="637" spans="3:6">
      <c r="C637" s="345"/>
      <c r="D637" s="345"/>
      <c r="E637" s="345"/>
      <c r="F637" s="345"/>
    </row>
    <row r="638" spans="3:6">
      <c r="C638" s="345"/>
      <c r="D638" s="345"/>
      <c r="E638" s="345"/>
      <c r="F638" s="345"/>
    </row>
    <row r="639" spans="3:6">
      <c r="C639" s="345"/>
      <c r="D639" s="345"/>
      <c r="E639" s="345"/>
      <c r="F639" s="345"/>
    </row>
    <row r="640" spans="3:6">
      <c r="C640" s="345"/>
      <c r="D640" s="345"/>
      <c r="E640" s="345"/>
      <c r="F640" s="345"/>
    </row>
    <row r="641" spans="3:6">
      <c r="C641" s="345"/>
      <c r="D641" s="345"/>
      <c r="E641" s="345"/>
      <c r="F641" s="345"/>
    </row>
    <row r="642" spans="3:6">
      <c r="C642" s="345"/>
      <c r="D642" s="345"/>
      <c r="E642" s="345"/>
      <c r="F642" s="345"/>
    </row>
    <row r="643" spans="3:6">
      <c r="C643" s="345"/>
      <c r="D643" s="345"/>
      <c r="E643" s="345"/>
      <c r="F643" s="345"/>
    </row>
    <row r="644" spans="3:6">
      <c r="C644" s="345"/>
      <c r="D644" s="345"/>
      <c r="E644" s="345"/>
      <c r="F644" s="345"/>
    </row>
    <row r="645" spans="3:6">
      <c r="C645" s="345"/>
      <c r="D645" s="345"/>
      <c r="E645" s="345"/>
      <c r="F645" s="345"/>
    </row>
    <row r="646" spans="3:6">
      <c r="C646" s="345"/>
      <c r="D646" s="345"/>
      <c r="E646" s="345"/>
      <c r="F646" s="345"/>
    </row>
    <row r="647" spans="3:6">
      <c r="C647" s="345"/>
      <c r="D647" s="345"/>
      <c r="E647" s="345"/>
      <c r="F647" s="345"/>
    </row>
    <row r="648" spans="3:6">
      <c r="C648" s="345"/>
      <c r="D648" s="345"/>
      <c r="E648" s="345"/>
      <c r="F648" s="345"/>
    </row>
    <row r="649" spans="3:6">
      <c r="C649" s="345"/>
      <c r="D649" s="345"/>
      <c r="E649" s="345"/>
      <c r="F649" s="345"/>
    </row>
    <row r="650" spans="3:6">
      <c r="C650" s="345"/>
      <c r="D650" s="345"/>
      <c r="E650" s="345"/>
      <c r="F650" s="345"/>
    </row>
    <row r="651" spans="3:6">
      <c r="C651" s="345"/>
      <c r="D651" s="345"/>
      <c r="E651" s="345"/>
      <c r="F651" s="345"/>
    </row>
    <row r="652" spans="3:6">
      <c r="C652" s="345"/>
      <c r="D652" s="345"/>
      <c r="E652" s="345"/>
      <c r="F652" s="345"/>
    </row>
    <row r="653" spans="3:6">
      <c r="C653" s="345"/>
      <c r="D653" s="345"/>
      <c r="E653" s="345"/>
      <c r="F653" s="345"/>
    </row>
    <row r="654" spans="3:6">
      <c r="C654" s="345"/>
      <c r="D654" s="345"/>
      <c r="E654" s="345"/>
      <c r="F654" s="345"/>
    </row>
    <row r="655" spans="3:6">
      <c r="C655" s="345"/>
      <c r="D655" s="345"/>
      <c r="E655" s="345"/>
      <c r="F655" s="345"/>
    </row>
    <row r="656" spans="3:6">
      <c r="C656" s="345"/>
      <c r="D656" s="345"/>
      <c r="E656" s="345"/>
      <c r="F656" s="345"/>
    </row>
    <row r="657" spans="3:6">
      <c r="C657" s="345"/>
      <c r="D657" s="345"/>
      <c r="E657" s="345"/>
      <c r="F657" s="345"/>
    </row>
    <row r="658" spans="3:6">
      <c r="C658" s="345"/>
      <c r="D658" s="345"/>
      <c r="E658" s="345"/>
      <c r="F658" s="345"/>
    </row>
    <row r="659" spans="3:6">
      <c r="C659" s="345"/>
      <c r="D659" s="345"/>
      <c r="E659" s="345"/>
      <c r="F659" s="345"/>
    </row>
    <row r="660" spans="3:6">
      <c r="C660" s="345"/>
      <c r="D660" s="345"/>
      <c r="E660" s="345"/>
      <c r="F660" s="345"/>
    </row>
    <row r="661" spans="3:6">
      <c r="C661" s="345"/>
      <c r="D661" s="345"/>
      <c r="E661" s="345"/>
      <c r="F661" s="345"/>
    </row>
    <row r="662" spans="3:6">
      <c r="C662" s="345"/>
      <c r="D662" s="345"/>
      <c r="E662" s="345"/>
      <c r="F662" s="345"/>
    </row>
    <row r="663" spans="3:6">
      <c r="C663" s="345"/>
      <c r="D663" s="345"/>
      <c r="E663" s="345"/>
      <c r="F663" s="345"/>
    </row>
    <row r="664" spans="3:6">
      <c r="C664" s="345"/>
      <c r="D664" s="345"/>
      <c r="E664" s="345"/>
      <c r="F664" s="345"/>
    </row>
    <row r="665" spans="3:6">
      <c r="C665" s="345"/>
      <c r="D665" s="345"/>
      <c r="E665" s="345"/>
      <c r="F665" s="345"/>
    </row>
    <row r="666" spans="3:6">
      <c r="C666" s="345"/>
      <c r="D666" s="345"/>
      <c r="E666" s="345"/>
      <c r="F666" s="345"/>
    </row>
    <row r="667" spans="3:6">
      <c r="C667" s="345"/>
      <c r="D667" s="345"/>
      <c r="E667" s="345"/>
      <c r="F667" s="345"/>
    </row>
    <row r="668" spans="3:6">
      <c r="C668" s="345"/>
      <c r="D668" s="345"/>
      <c r="E668" s="345"/>
      <c r="F668" s="345"/>
    </row>
    <row r="669" spans="3:6">
      <c r="C669" s="345"/>
      <c r="D669" s="345"/>
      <c r="E669" s="345"/>
      <c r="F669" s="345"/>
    </row>
    <row r="670" spans="3:6">
      <c r="C670" s="345"/>
      <c r="D670" s="345"/>
      <c r="E670" s="345"/>
      <c r="F670" s="345"/>
    </row>
    <row r="671" spans="3:6">
      <c r="C671" s="345"/>
      <c r="D671" s="345"/>
      <c r="E671" s="345"/>
      <c r="F671" s="345"/>
    </row>
    <row r="672" spans="3:6">
      <c r="C672" s="345"/>
      <c r="D672" s="345"/>
      <c r="E672" s="345"/>
      <c r="F672" s="345"/>
    </row>
    <row r="673" spans="3:6">
      <c r="C673" s="345"/>
      <c r="D673" s="345"/>
      <c r="E673" s="345"/>
      <c r="F673" s="345"/>
    </row>
    <row r="674" spans="3:6">
      <c r="C674" s="345"/>
      <c r="D674" s="345"/>
      <c r="E674" s="345"/>
      <c r="F674" s="345"/>
    </row>
    <row r="675" spans="3:6">
      <c r="C675" s="345"/>
      <c r="D675" s="345"/>
      <c r="E675" s="345"/>
      <c r="F675" s="345"/>
    </row>
    <row r="676" spans="3:6">
      <c r="C676" s="345"/>
      <c r="D676" s="345"/>
      <c r="E676" s="345"/>
      <c r="F676" s="345"/>
    </row>
    <row r="677" spans="3:6">
      <c r="C677" s="345"/>
      <c r="D677" s="345"/>
      <c r="E677" s="345"/>
      <c r="F677" s="345"/>
    </row>
    <row r="678" spans="3:6">
      <c r="C678" s="345"/>
      <c r="D678" s="345"/>
      <c r="E678" s="345"/>
      <c r="F678" s="345"/>
    </row>
    <row r="679" spans="3:6">
      <c r="C679" s="345"/>
      <c r="D679" s="345"/>
      <c r="E679" s="345"/>
      <c r="F679" s="345"/>
    </row>
    <row r="680" spans="3:6">
      <c r="C680" s="345"/>
      <c r="D680" s="345"/>
      <c r="E680" s="345"/>
      <c r="F680" s="345"/>
    </row>
    <row r="681" spans="3:6">
      <c r="C681" s="345"/>
      <c r="D681" s="345"/>
      <c r="E681" s="345"/>
      <c r="F681" s="345"/>
    </row>
    <row r="682" spans="3:6">
      <c r="C682" s="345"/>
      <c r="D682" s="345"/>
      <c r="E682" s="345"/>
      <c r="F682" s="345"/>
    </row>
    <row r="683" spans="3:6">
      <c r="C683" s="345"/>
      <c r="D683" s="345"/>
      <c r="E683" s="345"/>
      <c r="F683" s="345"/>
    </row>
    <row r="684" spans="3:6">
      <c r="C684" s="345"/>
      <c r="D684" s="345"/>
      <c r="E684" s="345"/>
      <c r="F684" s="345"/>
    </row>
    <row r="685" spans="3:6">
      <c r="C685" s="345"/>
      <c r="D685" s="345"/>
      <c r="E685" s="345"/>
      <c r="F685" s="345"/>
    </row>
    <row r="686" spans="3:6">
      <c r="C686" s="345"/>
      <c r="D686" s="345"/>
      <c r="E686" s="345"/>
      <c r="F686" s="345"/>
    </row>
    <row r="687" spans="3:6">
      <c r="C687" s="345"/>
      <c r="D687" s="345"/>
      <c r="E687" s="345"/>
      <c r="F687" s="345"/>
    </row>
    <row r="688" spans="3:6">
      <c r="C688" s="345"/>
      <c r="D688" s="345"/>
      <c r="E688" s="345"/>
      <c r="F688" s="345"/>
    </row>
    <row r="689" spans="3:6">
      <c r="C689" s="345"/>
      <c r="D689" s="345"/>
      <c r="E689" s="345"/>
      <c r="F689" s="345"/>
    </row>
    <row r="690" spans="3:6">
      <c r="C690" s="345"/>
      <c r="D690" s="345"/>
      <c r="E690" s="345"/>
      <c r="F690" s="345"/>
    </row>
    <row r="691" spans="3:6">
      <c r="C691" s="345"/>
      <c r="D691" s="345"/>
      <c r="E691" s="345"/>
      <c r="F691" s="345"/>
    </row>
    <row r="692" spans="3:6">
      <c r="C692" s="345"/>
      <c r="D692" s="345"/>
      <c r="E692" s="345"/>
      <c r="F692" s="345"/>
    </row>
    <row r="693" spans="3:6">
      <c r="C693" s="345"/>
      <c r="D693" s="345"/>
      <c r="E693" s="345"/>
      <c r="F693" s="345"/>
    </row>
    <row r="694" spans="3:6">
      <c r="C694" s="345"/>
      <c r="D694" s="345"/>
      <c r="E694" s="345"/>
      <c r="F694" s="345"/>
    </row>
    <row r="695" spans="3:6">
      <c r="C695" s="345"/>
      <c r="D695" s="345"/>
      <c r="E695" s="345"/>
      <c r="F695" s="345"/>
    </row>
    <row r="696" spans="3:6">
      <c r="C696" s="345"/>
      <c r="D696" s="345"/>
      <c r="E696" s="345"/>
      <c r="F696" s="345"/>
    </row>
    <row r="697" spans="3:6">
      <c r="C697" s="345"/>
      <c r="D697" s="345"/>
      <c r="E697" s="345"/>
      <c r="F697" s="345"/>
    </row>
    <row r="698" spans="3:6">
      <c r="C698" s="345"/>
      <c r="D698" s="345"/>
      <c r="E698" s="345"/>
      <c r="F698" s="345"/>
    </row>
    <row r="699" spans="3:6">
      <c r="C699" s="345"/>
      <c r="D699" s="345"/>
      <c r="E699" s="345"/>
      <c r="F699" s="345"/>
    </row>
    <row r="700" spans="3:6">
      <c r="C700" s="345"/>
      <c r="D700" s="345"/>
      <c r="E700" s="345"/>
      <c r="F700" s="345"/>
    </row>
    <row r="701" spans="3:6">
      <c r="C701" s="345"/>
      <c r="D701" s="345"/>
      <c r="E701" s="345"/>
      <c r="F701" s="345"/>
    </row>
    <row r="702" spans="3:6">
      <c r="C702" s="345"/>
      <c r="D702" s="345"/>
      <c r="E702" s="345"/>
      <c r="F702" s="345"/>
    </row>
    <row r="703" spans="3:6">
      <c r="C703" s="345"/>
      <c r="D703" s="345"/>
      <c r="E703" s="345"/>
      <c r="F703" s="345"/>
    </row>
    <row r="704" spans="3:6">
      <c r="C704" s="345"/>
      <c r="D704" s="345"/>
      <c r="E704" s="345"/>
      <c r="F704" s="345"/>
    </row>
    <row r="705" spans="3:6">
      <c r="C705" s="345"/>
      <c r="D705" s="345"/>
      <c r="E705" s="345"/>
      <c r="F705" s="345"/>
    </row>
    <row r="706" spans="3:6">
      <c r="C706" s="345"/>
      <c r="D706" s="345"/>
      <c r="E706" s="345"/>
      <c r="F706" s="345"/>
    </row>
    <row r="707" spans="3:6">
      <c r="C707" s="345"/>
      <c r="D707" s="345"/>
      <c r="E707" s="345"/>
      <c r="F707" s="345"/>
    </row>
    <row r="708" spans="3:6">
      <c r="C708" s="345"/>
      <c r="D708" s="345"/>
      <c r="E708" s="345"/>
      <c r="F708" s="345"/>
    </row>
    <row r="709" spans="3:6">
      <c r="C709" s="345"/>
      <c r="D709" s="345"/>
      <c r="E709" s="345"/>
      <c r="F709" s="345"/>
    </row>
    <row r="710" spans="3:6">
      <c r="C710" s="345"/>
      <c r="D710" s="345"/>
      <c r="E710" s="345"/>
      <c r="F710" s="345"/>
    </row>
    <row r="711" spans="3:6">
      <c r="C711" s="345"/>
      <c r="D711" s="345"/>
      <c r="E711" s="345"/>
      <c r="F711" s="345"/>
    </row>
    <row r="712" spans="3:6">
      <c r="C712" s="345"/>
      <c r="D712" s="345"/>
      <c r="E712" s="345"/>
      <c r="F712" s="345"/>
    </row>
    <row r="713" spans="3:6">
      <c r="C713" s="345"/>
      <c r="D713" s="345"/>
      <c r="E713" s="345"/>
      <c r="F713" s="345"/>
    </row>
    <row r="714" spans="3:6">
      <c r="C714" s="345"/>
      <c r="D714" s="345"/>
      <c r="E714" s="345"/>
      <c r="F714" s="345"/>
    </row>
    <row r="715" spans="3:6">
      <c r="C715" s="345"/>
      <c r="D715" s="345"/>
      <c r="E715" s="345"/>
      <c r="F715" s="345"/>
    </row>
    <row r="716" spans="3:6">
      <c r="C716" s="345"/>
      <c r="D716" s="345"/>
      <c r="E716" s="345"/>
      <c r="F716" s="345"/>
    </row>
    <row r="717" spans="3:6">
      <c r="C717" s="345"/>
      <c r="D717" s="345"/>
      <c r="E717" s="345"/>
      <c r="F717" s="345"/>
    </row>
    <row r="718" spans="3:6">
      <c r="C718" s="345"/>
      <c r="D718" s="345"/>
      <c r="E718" s="345"/>
      <c r="F718" s="345"/>
    </row>
    <row r="719" spans="3:6">
      <c r="C719" s="345"/>
      <c r="D719" s="345"/>
      <c r="E719" s="345"/>
      <c r="F719" s="345"/>
    </row>
    <row r="720" spans="3:6">
      <c r="C720" s="345"/>
      <c r="D720" s="345"/>
      <c r="E720" s="345"/>
      <c r="F720" s="345"/>
    </row>
    <row r="721" spans="3:6">
      <c r="C721" s="345"/>
      <c r="D721" s="345"/>
      <c r="E721" s="345"/>
      <c r="F721" s="345"/>
    </row>
    <row r="722" spans="3:6">
      <c r="C722" s="345"/>
      <c r="D722" s="345"/>
      <c r="E722" s="345"/>
      <c r="F722" s="345"/>
    </row>
    <row r="723" spans="3:6">
      <c r="C723" s="345"/>
      <c r="D723" s="345"/>
      <c r="E723" s="345"/>
      <c r="F723" s="345"/>
    </row>
    <row r="724" spans="3:6">
      <c r="C724" s="345"/>
      <c r="D724" s="345"/>
      <c r="E724" s="345"/>
      <c r="F724" s="345"/>
    </row>
    <row r="725" spans="3:6">
      <c r="C725" s="345"/>
      <c r="D725" s="345"/>
      <c r="E725" s="345"/>
      <c r="F725" s="345"/>
    </row>
    <row r="726" spans="3:6">
      <c r="C726" s="345"/>
      <c r="D726" s="345"/>
      <c r="E726" s="345"/>
      <c r="F726" s="345"/>
    </row>
    <row r="727" spans="3:6">
      <c r="C727" s="345"/>
      <c r="D727" s="345"/>
      <c r="E727" s="345"/>
      <c r="F727" s="345"/>
    </row>
    <row r="728" spans="3:6">
      <c r="C728" s="345"/>
      <c r="D728" s="345"/>
      <c r="E728" s="345"/>
      <c r="F728" s="345"/>
    </row>
    <row r="729" spans="3:6">
      <c r="C729" s="345"/>
      <c r="D729" s="345"/>
      <c r="E729" s="345"/>
      <c r="F729" s="345"/>
    </row>
    <row r="730" spans="3:6">
      <c r="C730" s="345"/>
      <c r="D730" s="345"/>
      <c r="E730" s="345"/>
      <c r="F730" s="345"/>
    </row>
    <row r="731" spans="3:6">
      <c r="C731" s="345"/>
      <c r="D731" s="345"/>
      <c r="E731" s="345"/>
      <c r="F731" s="345"/>
    </row>
    <row r="732" spans="3:6">
      <c r="C732" s="345"/>
      <c r="D732" s="345"/>
      <c r="E732" s="345"/>
      <c r="F732" s="345"/>
    </row>
    <row r="733" spans="3:6">
      <c r="C733" s="345"/>
      <c r="D733" s="345"/>
      <c r="E733" s="345"/>
      <c r="F733" s="345"/>
    </row>
    <row r="734" spans="3:6">
      <c r="C734" s="345"/>
      <c r="D734" s="345"/>
      <c r="E734" s="345"/>
      <c r="F734" s="345"/>
    </row>
    <row r="735" spans="3:6">
      <c r="C735" s="345"/>
      <c r="D735" s="345"/>
      <c r="E735" s="345"/>
      <c r="F735" s="345"/>
    </row>
    <row r="736" spans="3:6">
      <c r="C736" s="345"/>
      <c r="D736" s="345"/>
      <c r="E736" s="345"/>
      <c r="F736" s="345"/>
    </row>
    <row r="737" spans="3:6">
      <c r="C737" s="345"/>
      <c r="D737" s="345"/>
      <c r="E737" s="345"/>
      <c r="F737" s="345"/>
    </row>
    <row r="738" spans="3:6">
      <c r="C738" s="345"/>
      <c r="D738" s="345"/>
      <c r="E738" s="345"/>
      <c r="F738" s="345"/>
    </row>
    <row r="739" spans="3:6">
      <c r="C739" s="345"/>
      <c r="D739" s="345"/>
      <c r="E739" s="345"/>
      <c r="F739" s="345"/>
    </row>
    <row r="740" spans="3:6">
      <c r="C740" s="345"/>
      <c r="D740" s="345"/>
      <c r="E740" s="345"/>
      <c r="F740" s="345"/>
    </row>
    <row r="741" spans="3:6">
      <c r="C741" s="345"/>
      <c r="D741" s="345"/>
      <c r="E741" s="345"/>
      <c r="F741" s="345"/>
    </row>
    <row r="742" spans="3:6">
      <c r="C742" s="345"/>
      <c r="D742" s="345"/>
      <c r="E742" s="345"/>
      <c r="F742" s="345"/>
    </row>
    <row r="743" spans="3:6">
      <c r="C743" s="345"/>
      <c r="D743" s="345"/>
      <c r="E743" s="345"/>
      <c r="F743" s="345"/>
    </row>
    <row r="744" spans="3:6">
      <c r="C744" s="345"/>
      <c r="D744" s="345"/>
      <c r="E744" s="345"/>
      <c r="F744" s="345"/>
    </row>
    <row r="745" spans="3:6">
      <c r="C745" s="345"/>
      <c r="D745" s="345"/>
      <c r="E745" s="345"/>
      <c r="F745" s="345"/>
    </row>
    <row r="746" spans="3:6">
      <c r="C746" s="345"/>
      <c r="D746" s="345"/>
      <c r="E746" s="345"/>
      <c r="F746" s="345"/>
    </row>
    <row r="747" spans="3:6">
      <c r="C747" s="345"/>
      <c r="D747" s="345"/>
      <c r="E747" s="345"/>
      <c r="F747" s="345"/>
    </row>
    <row r="748" spans="3:6">
      <c r="C748" s="345"/>
      <c r="D748" s="345"/>
      <c r="E748" s="345"/>
      <c r="F748" s="345"/>
    </row>
    <row r="749" spans="3:6">
      <c r="C749" s="345"/>
      <c r="D749" s="345"/>
      <c r="E749" s="345"/>
      <c r="F749" s="345"/>
    </row>
    <row r="750" spans="3:6">
      <c r="C750" s="345"/>
      <c r="D750" s="345"/>
      <c r="E750" s="345"/>
      <c r="F750" s="345"/>
    </row>
    <row r="751" spans="3:6">
      <c r="C751" s="345"/>
      <c r="D751" s="345"/>
      <c r="E751" s="345"/>
      <c r="F751" s="345"/>
    </row>
    <row r="752" spans="3:6">
      <c r="C752" s="345"/>
      <c r="D752" s="345"/>
      <c r="E752" s="345"/>
      <c r="F752" s="345"/>
    </row>
    <row r="753" spans="3:6">
      <c r="C753" s="345"/>
      <c r="D753" s="345"/>
      <c r="E753" s="345"/>
      <c r="F753" s="345"/>
    </row>
    <row r="754" spans="3:6">
      <c r="C754" s="345"/>
      <c r="D754" s="345"/>
      <c r="E754" s="345"/>
      <c r="F754" s="345"/>
    </row>
    <row r="755" spans="3:6">
      <c r="C755" s="345"/>
      <c r="D755" s="345"/>
      <c r="E755" s="345"/>
      <c r="F755" s="345"/>
    </row>
    <row r="756" spans="3:6">
      <c r="C756" s="345"/>
      <c r="D756" s="345"/>
      <c r="E756" s="345"/>
      <c r="F756" s="345"/>
    </row>
    <row r="757" spans="3:6">
      <c r="C757" s="345"/>
      <c r="D757" s="345"/>
      <c r="E757" s="345"/>
      <c r="F757" s="345"/>
    </row>
    <row r="758" spans="3:6">
      <c r="C758" s="345"/>
      <c r="D758" s="345"/>
      <c r="E758" s="345"/>
      <c r="F758" s="345"/>
    </row>
    <row r="759" spans="3:6">
      <c r="C759" s="345"/>
      <c r="D759" s="345"/>
      <c r="E759" s="345"/>
      <c r="F759" s="345"/>
    </row>
    <row r="760" spans="3:6">
      <c r="C760" s="345"/>
      <c r="D760" s="345"/>
      <c r="E760" s="345"/>
      <c r="F760" s="345"/>
    </row>
    <row r="761" spans="3:6">
      <c r="C761" s="345"/>
      <c r="D761" s="345"/>
      <c r="E761" s="345"/>
      <c r="F761" s="345"/>
    </row>
    <row r="762" spans="3:6">
      <c r="C762" s="345"/>
      <c r="D762" s="345"/>
      <c r="E762" s="345"/>
      <c r="F762" s="345"/>
    </row>
    <row r="763" spans="3:6">
      <c r="C763" s="345"/>
      <c r="D763" s="345"/>
      <c r="E763" s="345"/>
      <c r="F763" s="345"/>
    </row>
    <row r="764" spans="3:6">
      <c r="C764" s="345"/>
      <c r="D764" s="345"/>
      <c r="E764" s="345"/>
      <c r="F764" s="345"/>
    </row>
    <row r="765" spans="3:6">
      <c r="C765" s="345"/>
      <c r="D765" s="345"/>
      <c r="E765" s="345"/>
      <c r="F765" s="345"/>
    </row>
    <row r="766" spans="3:6">
      <c r="C766" s="345"/>
      <c r="D766" s="345"/>
      <c r="E766" s="345"/>
      <c r="F766" s="345"/>
    </row>
    <row r="767" spans="3:6">
      <c r="C767" s="345"/>
      <c r="D767" s="345"/>
      <c r="E767" s="345"/>
      <c r="F767" s="345"/>
    </row>
    <row r="768" spans="3:6">
      <c r="C768" s="345"/>
      <c r="D768" s="345"/>
      <c r="E768" s="345"/>
      <c r="F768" s="345"/>
    </row>
    <row r="769" spans="3:6">
      <c r="C769" s="345"/>
      <c r="D769" s="345"/>
      <c r="E769" s="345"/>
      <c r="F769" s="345"/>
    </row>
    <row r="770" spans="3:6">
      <c r="C770" s="345"/>
      <c r="D770" s="345"/>
      <c r="E770" s="345"/>
      <c r="F770" s="345"/>
    </row>
    <row r="771" spans="3:6">
      <c r="C771" s="345"/>
      <c r="D771" s="345"/>
      <c r="E771" s="345"/>
      <c r="F771" s="345"/>
    </row>
    <row r="772" spans="3:6">
      <c r="C772" s="345"/>
      <c r="D772" s="345"/>
      <c r="E772" s="345"/>
      <c r="F772" s="345"/>
    </row>
    <row r="773" spans="3:6">
      <c r="C773" s="345"/>
      <c r="D773" s="345"/>
      <c r="E773" s="345"/>
      <c r="F773" s="345"/>
    </row>
    <row r="774" spans="3:6">
      <c r="C774" s="345"/>
      <c r="D774" s="345"/>
      <c r="E774" s="345"/>
      <c r="F774" s="345"/>
    </row>
    <row r="775" spans="3:6">
      <c r="C775" s="345"/>
      <c r="D775" s="345"/>
      <c r="E775" s="345"/>
      <c r="F775" s="345"/>
    </row>
    <row r="776" spans="3:6">
      <c r="C776" s="345"/>
      <c r="D776" s="345"/>
      <c r="E776" s="345"/>
      <c r="F776" s="345"/>
    </row>
    <row r="777" spans="3:6">
      <c r="C777" s="345"/>
      <c r="D777" s="345"/>
      <c r="E777" s="345"/>
      <c r="F777" s="345"/>
    </row>
    <row r="778" spans="3:6">
      <c r="C778" s="345"/>
      <c r="D778" s="345"/>
      <c r="E778" s="345"/>
      <c r="F778" s="345"/>
    </row>
    <row r="779" spans="3:6">
      <c r="C779" s="345"/>
      <c r="D779" s="345"/>
      <c r="E779" s="345"/>
      <c r="F779" s="345"/>
    </row>
    <row r="780" spans="3:6">
      <c r="C780" s="345"/>
      <c r="D780" s="345"/>
      <c r="E780" s="345"/>
      <c r="F780" s="345"/>
    </row>
    <row r="781" spans="3:6">
      <c r="C781" s="345"/>
      <c r="D781" s="345"/>
      <c r="E781" s="345"/>
      <c r="F781" s="345"/>
    </row>
    <row r="782" spans="3:6">
      <c r="C782" s="345"/>
      <c r="D782" s="345"/>
      <c r="E782" s="345"/>
      <c r="F782" s="345"/>
    </row>
    <row r="783" spans="3:6">
      <c r="C783" s="345"/>
      <c r="D783" s="345"/>
      <c r="E783" s="345"/>
      <c r="F783" s="345"/>
    </row>
    <row r="784" spans="3:6">
      <c r="C784" s="345"/>
      <c r="D784" s="345"/>
      <c r="E784" s="345"/>
      <c r="F784" s="345"/>
    </row>
    <row r="785" spans="3:6">
      <c r="C785" s="345"/>
      <c r="D785" s="345"/>
      <c r="E785" s="345"/>
      <c r="F785" s="345"/>
    </row>
    <row r="786" spans="3:6">
      <c r="C786" s="345"/>
      <c r="D786" s="345"/>
      <c r="E786" s="345"/>
      <c r="F786" s="345"/>
    </row>
    <row r="787" spans="3:6">
      <c r="C787" s="345"/>
      <c r="D787" s="345"/>
      <c r="E787" s="345"/>
      <c r="F787" s="345"/>
    </row>
    <row r="788" spans="3:6">
      <c r="C788" s="345"/>
      <c r="D788" s="345"/>
      <c r="E788" s="345"/>
      <c r="F788" s="345"/>
    </row>
    <row r="789" spans="3:6">
      <c r="C789" s="345"/>
      <c r="D789" s="345"/>
      <c r="E789" s="345"/>
      <c r="F789" s="345"/>
    </row>
    <row r="790" spans="3:6">
      <c r="C790" s="345"/>
      <c r="D790" s="345"/>
      <c r="E790" s="345"/>
      <c r="F790" s="345"/>
    </row>
    <row r="791" spans="3:6">
      <c r="C791" s="345"/>
      <c r="D791" s="345"/>
      <c r="E791" s="345"/>
      <c r="F791" s="345"/>
    </row>
    <row r="792" spans="3:6">
      <c r="C792" s="345"/>
      <c r="D792" s="345"/>
      <c r="E792" s="345"/>
      <c r="F792" s="345"/>
    </row>
    <row r="793" spans="3:6">
      <c r="C793" s="345"/>
      <c r="D793" s="345"/>
      <c r="E793" s="345"/>
      <c r="F793" s="345"/>
    </row>
    <row r="794" spans="3:6">
      <c r="C794" s="345"/>
      <c r="D794" s="345"/>
      <c r="E794" s="345"/>
      <c r="F794" s="345"/>
    </row>
    <row r="795" spans="3:6">
      <c r="C795" s="345"/>
      <c r="D795" s="345"/>
      <c r="E795" s="345"/>
      <c r="F795" s="345"/>
    </row>
    <row r="796" spans="3:6">
      <c r="C796" s="345"/>
      <c r="D796" s="345"/>
      <c r="E796" s="345"/>
      <c r="F796" s="345"/>
    </row>
    <row r="797" spans="3:6">
      <c r="C797" s="345"/>
      <c r="D797" s="345"/>
      <c r="E797" s="345"/>
      <c r="F797" s="345"/>
    </row>
    <row r="798" spans="3:6">
      <c r="C798" s="345"/>
      <c r="D798" s="345"/>
      <c r="E798" s="345"/>
      <c r="F798" s="345"/>
    </row>
    <row r="799" spans="3:6">
      <c r="C799" s="345"/>
      <c r="D799" s="345"/>
      <c r="E799" s="345"/>
      <c r="F799" s="345"/>
    </row>
    <row r="800" spans="3:6">
      <c r="C800" s="345"/>
      <c r="D800" s="345"/>
      <c r="E800" s="345"/>
      <c r="F800" s="345"/>
    </row>
    <row r="801" spans="3:6">
      <c r="C801" s="345"/>
      <c r="D801" s="345"/>
      <c r="E801" s="345"/>
      <c r="F801" s="345"/>
    </row>
    <row r="802" spans="3:6">
      <c r="C802" s="345"/>
      <c r="D802" s="345"/>
      <c r="E802" s="345"/>
      <c r="F802" s="345"/>
    </row>
    <row r="803" spans="3:6">
      <c r="C803" s="345"/>
      <c r="D803" s="345"/>
      <c r="E803" s="345"/>
      <c r="F803" s="345"/>
    </row>
    <row r="804" spans="3:6">
      <c r="C804" s="345"/>
      <c r="D804" s="345"/>
      <c r="E804" s="345"/>
      <c r="F804" s="345"/>
    </row>
    <row r="805" spans="3:6">
      <c r="C805" s="345"/>
      <c r="D805" s="345"/>
      <c r="E805" s="345"/>
      <c r="F805" s="345"/>
    </row>
    <row r="806" spans="3:6">
      <c r="C806" s="345"/>
      <c r="D806" s="345"/>
      <c r="E806" s="345"/>
      <c r="F806" s="345"/>
    </row>
    <row r="807" spans="3:6">
      <c r="C807" s="345"/>
      <c r="D807" s="345"/>
      <c r="E807" s="345"/>
      <c r="F807" s="345"/>
    </row>
    <row r="808" spans="3:6">
      <c r="C808" s="345"/>
      <c r="D808" s="345"/>
      <c r="E808" s="345"/>
      <c r="F808" s="345"/>
    </row>
    <row r="809" spans="3:6">
      <c r="C809" s="345"/>
      <c r="D809" s="345"/>
      <c r="E809" s="345"/>
      <c r="F809" s="345"/>
    </row>
    <row r="810" spans="3:6">
      <c r="C810" s="345"/>
      <c r="D810" s="345"/>
      <c r="E810" s="345"/>
      <c r="F810" s="345"/>
    </row>
    <row r="811" spans="3:6">
      <c r="C811" s="345"/>
      <c r="D811" s="345"/>
      <c r="E811" s="345"/>
      <c r="F811" s="345"/>
    </row>
    <row r="812" spans="3:6">
      <c r="C812" s="345"/>
      <c r="D812" s="345"/>
      <c r="E812" s="345"/>
      <c r="F812" s="345"/>
    </row>
    <row r="813" spans="3:6">
      <c r="C813" s="345"/>
      <c r="D813" s="345"/>
      <c r="E813" s="345"/>
      <c r="F813" s="345"/>
    </row>
    <row r="814" spans="3:6">
      <c r="C814" s="345"/>
      <c r="D814" s="345"/>
      <c r="E814" s="345"/>
      <c r="F814" s="345"/>
    </row>
    <row r="815" spans="3:6">
      <c r="C815" s="345"/>
      <c r="D815" s="345"/>
      <c r="E815" s="345"/>
      <c r="F815" s="345"/>
    </row>
    <row r="816" spans="3:6">
      <c r="C816" s="345"/>
      <c r="D816" s="345"/>
      <c r="E816" s="345"/>
      <c r="F816" s="345"/>
    </row>
    <row r="817" spans="3:6">
      <c r="C817" s="345"/>
      <c r="D817" s="345"/>
      <c r="E817" s="345"/>
      <c r="F817" s="345"/>
    </row>
    <row r="818" spans="3:6">
      <c r="C818" s="345"/>
      <c r="D818" s="345"/>
      <c r="E818" s="345"/>
      <c r="F818" s="345"/>
    </row>
    <row r="819" spans="3:6">
      <c r="C819" s="345"/>
      <c r="D819" s="345"/>
      <c r="E819" s="345"/>
      <c r="F819" s="345"/>
    </row>
    <row r="820" spans="3:6">
      <c r="C820" s="345"/>
      <c r="D820" s="345"/>
      <c r="E820" s="345"/>
      <c r="F820" s="345"/>
    </row>
    <row r="821" spans="3:6">
      <c r="C821" s="345"/>
      <c r="D821" s="345"/>
      <c r="E821" s="345"/>
      <c r="F821" s="345"/>
    </row>
    <row r="822" spans="3:6">
      <c r="C822" s="345"/>
      <c r="D822" s="345"/>
      <c r="E822" s="345"/>
      <c r="F822" s="345"/>
    </row>
    <row r="823" spans="3:6">
      <c r="C823" s="345"/>
      <c r="D823" s="345"/>
      <c r="E823" s="345"/>
      <c r="F823" s="345"/>
    </row>
    <row r="824" spans="3:6">
      <c r="C824" s="345"/>
      <c r="D824" s="345"/>
      <c r="E824" s="345"/>
      <c r="F824" s="345"/>
    </row>
    <row r="825" spans="3:6">
      <c r="C825" s="345"/>
      <c r="D825" s="345"/>
      <c r="E825" s="345"/>
      <c r="F825" s="345"/>
    </row>
    <row r="826" spans="3:6">
      <c r="C826" s="345"/>
      <c r="D826" s="345"/>
      <c r="E826" s="345"/>
      <c r="F826" s="345"/>
    </row>
    <row r="827" spans="3:6">
      <c r="C827" s="345"/>
      <c r="D827" s="345"/>
      <c r="E827" s="345"/>
      <c r="F827" s="345"/>
    </row>
    <row r="828" spans="3:6">
      <c r="C828" s="345"/>
      <c r="D828" s="345"/>
      <c r="E828" s="345"/>
      <c r="F828" s="345"/>
    </row>
    <row r="829" spans="3:6">
      <c r="C829" s="345"/>
      <c r="D829" s="345"/>
      <c r="E829" s="345"/>
      <c r="F829" s="345"/>
    </row>
    <row r="830" spans="3:6">
      <c r="C830" s="345"/>
      <c r="D830" s="345"/>
      <c r="E830" s="345"/>
      <c r="F830" s="345"/>
    </row>
    <row r="831" spans="3:6">
      <c r="C831" s="345"/>
      <c r="D831" s="345"/>
      <c r="E831" s="345"/>
      <c r="F831" s="345"/>
    </row>
    <row r="832" spans="3:6">
      <c r="C832" s="345"/>
      <c r="D832" s="345"/>
      <c r="E832" s="345"/>
      <c r="F832" s="345"/>
    </row>
    <row r="833" spans="3:6">
      <c r="C833" s="345"/>
      <c r="D833" s="345"/>
      <c r="E833" s="345"/>
      <c r="F833" s="345"/>
    </row>
    <row r="834" spans="3:6">
      <c r="C834" s="345"/>
      <c r="D834" s="345"/>
      <c r="E834" s="345"/>
      <c r="F834" s="345"/>
    </row>
    <row r="835" spans="3:6">
      <c r="C835" s="345"/>
      <c r="D835" s="345"/>
      <c r="E835" s="345"/>
      <c r="F835" s="345"/>
    </row>
    <row r="836" spans="3:6">
      <c r="C836" s="345"/>
      <c r="D836" s="345"/>
      <c r="E836" s="345"/>
      <c r="F836" s="345"/>
    </row>
    <row r="837" spans="3:6">
      <c r="C837" s="345"/>
      <c r="D837" s="345"/>
      <c r="E837" s="345"/>
      <c r="F837" s="345"/>
    </row>
    <row r="838" spans="3:6">
      <c r="C838" s="345"/>
      <c r="D838" s="345"/>
      <c r="E838" s="345"/>
      <c r="F838" s="345"/>
    </row>
    <row r="839" spans="3:6">
      <c r="C839" s="345"/>
      <c r="D839" s="345"/>
      <c r="E839" s="345"/>
      <c r="F839" s="345"/>
    </row>
    <row r="840" spans="3:6">
      <c r="C840" s="345"/>
      <c r="D840" s="345"/>
      <c r="E840" s="345"/>
      <c r="F840" s="345"/>
    </row>
    <row r="841" spans="3:6">
      <c r="C841" s="345"/>
      <c r="D841" s="345"/>
      <c r="E841" s="345"/>
      <c r="F841" s="345"/>
    </row>
    <row r="842" spans="3:6">
      <c r="C842" s="345"/>
      <c r="D842" s="345"/>
      <c r="E842" s="345"/>
      <c r="F842" s="345"/>
    </row>
    <row r="843" spans="3:6">
      <c r="C843" s="345"/>
      <c r="D843" s="345"/>
      <c r="E843" s="345"/>
      <c r="F843" s="345"/>
    </row>
    <row r="844" spans="3:6">
      <c r="C844" s="345"/>
      <c r="D844" s="345"/>
      <c r="E844" s="345"/>
      <c r="F844" s="345"/>
    </row>
    <row r="845" spans="3:6">
      <c r="C845" s="345"/>
      <c r="D845" s="345"/>
      <c r="E845" s="345"/>
      <c r="F845" s="345"/>
    </row>
    <row r="846" spans="3:6">
      <c r="C846" s="345"/>
      <c r="D846" s="345"/>
      <c r="E846" s="345"/>
      <c r="F846" s="345"/>
    </row>
    <row r="847" spans="3:6">
      <c r="C847" s="345"/>
      <c r="D847" s="345"/>
      <c r="E847" s="345"/>
      <c r="F847" s="345"/>
    </row>
    <row r="848" spans="3:6">
      <c r="C848" s="345"/>
      <c r="D848" s="345"/>
      <c r="E848" s="345"/>
      <c r="F848" s="345"/>
    </row>
    <row r="849" spans="3:6">
      <c r="C849" s="345"/>
      <c r="D849" s="345"/>
      <c r="E849" s="345"/>
      <c r="F849" s="345"/>
    </row>
    <row r="850" spans="3:6">
      <c r="C850" s="345"/>
      <c r="D850" s="345"/>
      <c r="E850" s="345"/>
      <c r="F850" s="345"/>
    </row>
    <row r="851" spans="3:6">
      <c r="C851" s="345"/>
      <c r="D851" s="345"/>
      <c r="E851" s="345"/>
      <c r="F851" s="345"/>
    </row>
    <row r="852" spans="3:6">
      <c r="C852" s="345"/>
      <c r="D852" s="345"/>
      <c r="E852" s="345"/>
      <c r="F852" s="345"/>
    </row>
    <row r="853" spans="3:6">
      <c r="C853" s="345"/>
      <c r="D853" s="345"/>
      <c r="E853" s="345"/>
      <c r="F853" s="345"/>
    </row>
    <row r="854" spans="3:6">
      <c r="C854" s="345"/>
      <c r="D854" s="345"/>
      <c r="E854" s="345"/>
      <c r="F854" s="345"/>
    </row>
    <row r="855" spans="3:6">
      <c r="C855" s="345"/>
      <c r="D855" s="345"/>
      <c r="E855" s="345"/>
      <c r="F855" s="345"/>
    </row>
    <row r="856" spans="3:6">
      <c r="C856" s="345"/>
      <c r="D856" s="345"/>
      <c r="E856" s="345"/>
      <c r="F856" s="345"/>
    </row>
    <row r="857" spans="3:6">
      <c r="C857" s="345"/>
      <c r="D857" s="345"/>
      <c r="E857" s="345"/>
      <c r="F857" s="345"/>
    </row>
    <row r="858" spans="3:6">
      <c r="C858" s="345"/>
      <c r="D858" s="345"/>
      <c r="E858" s="345"/>
      <c r="F858" s="345"/>
    </row>
    <row r="859" spans="3:6">
      <c r="C859" s="345"/>
      <c r="D859" s="345"/>
      <c r="E859" s="345"/>
      <c r="F859" s="345"/>
    </row>
    <row r="860" spans="3:6">
      <c r="C860" s="345"/>
      <c r="D860" s="345"/>
      <c r="E860" s="345"/>
      <c r="F860" s="345"/>
    </row>
    <row r="861" spans="3:6">
      <c r="C861" s="345"/>
      <c r="D861" s="345"/>
      <c r="E861" s="345"/>
      <c r="F861" s="345"/>
    </row>
    <row r="862" spans="3:6">
      <c r="C862" s="345"/>
      <c r="D862" s="345"/>
      <c r="E862" s="345"/>
      <c r="F862" s="345"/>
    </row>
    <row r="863" spans="3:6">
      <c r="C863" s="345"/>
      <c r="D863" s="345"/>
      <c r="E863" s="345"/>
      <c r="F863" s="345"/>
    </row>
    <row r="864" spans="3:6">
      <c r="C864" s="345"/>
      <c r="D864" s="345"/>
      <c r="E864" s="345"/>
      <c r="F864" s="345"/>
    </row>
    <row r="865" spans="3:6">
      <c r="C865" s="345"/>
      <c r="D865" s="345"/>
      <c r="E865" s="345"/>
      <c r="F865" s="345"/>
    </row>
    <row r="866" spans="3:6">
      <c r="C866" s="345"/>
      <c r="D866" s="345"/>
      <c r="E866" s="345"/>
      <c r="F866" s="345"/>
    </row>
    <row r="867" spans="3:6">
      <c r="C867" s="345"/>
      <c r="D867" s="345"/>
      <c r="E867" s="345"/>
      <c r="F867" s="345"/>
    </row>
    <row r="868" spans="3:6">
      <c r="C868" s="345"/>
      <c r="D868" s="345"/>
      <c r="E868" s="345"/>
      <c r="F868" s="345"/>
    </row>
    <row r="869" spans="3:6">
      <c r="C869" s="345"/>
      <c r="D869" s="345"/>
      <c r="E869" s="345"/>
      <c r="F869" s="345"/>
    </row>
    <row r="870" spans="3:6">
      <c r="C870" s="345"/>
      <c r="D870" s="345"/>
      <c r="E870" s="345"/>
      <c r="F870" s="345"/>
    </row>
    <row r="871" spans="3:6">
      <c r="C871" s="345"/>
      <c r="D871" s="345"/>
      <c r="E871" s="345"/>
      <c r="F871" s="345"/>
    </row>
    <row r="872" spans="3:6">
      <c r="C872" s="345"/>
      <c r="D872" s="345"/>
      <c r="E872" s="345"/>
      <c r="F872" s="345"/>
    </row>
    <row r="873" spans="3:6">
      <c r="C873" s="345"/>
      <c r="D873" s="345"/>
      <c r="E873" s="345"/>
      <c r="F873" s="345"/>
    </row>
    <row r="874" spans="3:6">
      <c r="C874" s="345"/>
      <c r="D874" s="345"/>
      <c r="E874" s="345"/>
      <c r="F874" s="345"/>
    </row>
    <row r="875" spans="3:6">
      <c r="C875" s="345"/>
      <c r="D875" s="345"/>
      <c r="E875" s="345"/>
      <c r="F875" s="345"/>
    </row>
    <row r="876" spans="3:6">
      <c r="C876" s="345"/>
      <c r="D876" s="345"/>
      <c r="E876" s="345"/>
      <c r="F876" s="345"/>
    </row>
    <row r="877" spans="3:6">
      <c r="C877" s="345"/>
      <c r="D877" s="345"/>
      <c r="E877" s="345"/>
      <c r="F877" s="345"/>
    </row>
    <row r="878" spans="3:6">
      <c r="C878" s="345"/>
      <c r="D878" s="345"/>
      <c r="E878" s="345"/>
      <c r="F878" s="345"/>
    </row>
    <row r="879" spans="3:6">
      <c r="C879" s="345"/>
      <c r="D879" s="345"/>
      <c r="E879" s="345"/>
      <c r="F879" s="345"/>
    </row>
    <row r="880" spans="3:6">
      <c r="C880" s="345"/>
      <c r="D880" s="345"/>
      <c r="E880" s="345"/>
      <c r="F880" s="345"/>
    </row>
    <row r="881" spans="3:6">
      <c r="C881" s="345"/>
      <c r="D881" s="345"/>
      <c r="E881" s="345"/>
      <c r="F881" s="345"/>
    </row>
    <row r="882" spans="3:6">
      <c r="C882" s="345"/>
      <c r="D882" s="345"/>
      <c r="E882" s="345"/>
      <c r="F882" s="345"/>
    </row>
    <row r="883" spans="3:6">
      <c r="C883" s="345"/>
      <c r="D883" s="345"/>
      <c r="E883" s="345"/>
      <c r="F883" s="345"/>
    </row>
    <row r="884" spans="3:6">
      <c r="C884" s="345"/>
      <c r="D884" s="345"/>
      <c r="E884" s="345"/>
      <c r="F884" s="345"/>
    </row>
    <row r="885" spans="3:6">
      <c r="C885" s="345"/>
      <c r="D885" s="345"/>
      <c r="E885" s="345"/>
      <c r="F885" s="345"/>
    </row>
    <row r="886" spans="3:6">
      <c r="C886" s="345"/>
      <c r="D886" s="345"/>
      <c r="E886" s="345"/>
      <c r="F886" s="345"/>
    </row>
    <row r="887" spans="3:6">
      <c r="C887" s="345"/>
      <c r="D887" s="345"/>
      <c r="E887" s="345"/>
      <c r="F887" s="345"/>
    </row>
    <row r="888" spans="3:6">
      <c r="C888" s="345"/>
      <c r="D888" s="345"/>
      <c r="E888" s="345"/>
      <c r="F888" s="345"/>
    </row>
    <row r="889" spans="3:6">
      <c r="C889" s="345"/>
      <c r="D889" s="345"/>
      <c r="E889" s="345"/>
      <c r="F889" s="345"/>
    </row>
    <row r="890" spans="3:6">
      <c r="C890" s="345"/>
      <c r="D890" s="345"/>
      <c r="E890" s="345"/>
      <c r="F890" s="345"/>
    </row>
    <row r="891" spans="3:6">
      <c r="C891" s="345"/>
      <c r="D891" s="345"/>
      <c r="E891" s="345"/>
      <c r="F891" s="345"/>
    </row>
    <row r="892" spans="3:6">
      <c r="C892" s="345"/>
      <c r="D892" s="345"/>
      <c r="E892" s="345"/>
      <c r="F892" s="345"/>
    </row>
    <row r="893" spans="3:6">
      <c r="C893" s="345"/>
      <c r="D893" s="345"/>
      <c r="E893" s="345"/>
      <c r="F893" s="345"/>
    </row>
    <row r="894" spans="3:6">
      <c r="C894" s="345"/>
      <c r="D894" s="345"/>
      <c r="E894" s="345"/>
      <c r="F894" s="345"/>
    </row>
    <row r="895" spans="3:6">
      <c r="C895" s="345"/>
      <c r="D895" s="345"/>
      <c r="E895" s="345"/>
      <c r="F895" s="345"/>
    </row>
    <row r="896" spans="3:6">
      <c r="C896" s="345"/>
      <c r="D896" s="345"/>
      <c r="E896" s="345"/>
      <c r="F896" s="345"/>
    </row>
    <row r="897" spans="3:6">
      <c r="C897" s="345"/>
      <c r="D897" s="345"/>
      <c r="E897" s="345"/>
      <c r="F897" s="345"/>
    </row>
    <row r="898" spans="3:6">
      <c r="C898" s="345"/>
      <c r="D898" s="345"/>
      <c r="E898" s="345"/>
      <c r="F898" s="345"/>
    </row>
    <row r="899" spans="3:6">
      <c r="C899" s="345"/>
      <c r="D899" s="345"/>
      <c r="E899" s="345"/>
      <c r="F899" s="345"/>
    </row>
    <row r="900" spans="3:6">
      <c r="C900" s="345"/>
      <c r="D900" s="345"/>
      <c r="E900" s="345"/>
      <c r="F900" s="345"/>
    </row>
    <row r="901" spans="3:6">
      <c r="C901" s="345"/>
      <c r="D901" s="345"/>
      <c r="E901" s="345"/>
      <c r="F901" s="345"/>
    </row>
    <row r="902" spans="3:6">
      <c r="C902" s="345"/>
      <c r="D902" s="345"/>
      <c r="E902" s="345"/>
      <c r="F902" s="345"/>
    </row>
    <row r="903" spans="3:6">
      <c r="C903" s="345"/>
      <c r="D903" s="345"/>
      <c r="E903" s="345"/>
      <c r="F903" s="345"/>
    </row>
    <row r="904" spans="3:6">
      <c r="C904" s="345"/>
      <c r="D904" s="345"/>
      <c r="E904" s="345"/>
      <c r="F904" s="345"/>
    </row>
    <row r="905" spans="3:6">
      <c r="C905" s="345"/>
      <c r="D905" s="345"/>
      <c r="E905" s="345"/>
      <c r="F905" s="345"/>
    </row>
    <row r="906" spans="3:6">
      <c r="C906" s="345"/>
      <c r="D906" s="345"/>
      <c r="E906" s="345"/>
      <c r="F906" s="345"/>
    </row>
    <row r="907" spans="3:6">
      <c r="C907" s="345"/>
      <c r="D907" s="345"/>
      <c r="E907" s="345"/>
      <c r="F907" s="345"/>
    </row>
    <row r="908" spans="3:6">
      <c r="C908" s="345"/>
      <c r="D908" s="345"/>
      <c r="E908" s="345"/>
      <c r="F908" s="345"/>
    </row>
    <row r="909" spans="3:6">
      <c r="C909" s="345"/>
      <c r="D909" s="345"/>
      <c r="E909" s="345"/>
      <c r="F909" s="345"/>
    </row>
    <row r="910" spans="3:6">
      <c r="C910" s="345"/>
      <c r="D910" s="345"/>
      <c r="E910" s="345"/>
      <c r="F910" s="345"/>
    </row>
    <row r="911" spans="3:6">
      <c r="C911" s="345"/>
      <c r="D911" s="345"/>
      <c r="E911" s="345"/>
      <c r="F911" s="345"/>
    </row>
    <row r="912" spans="3:6">
      <c r="C912" s="345"/>
      <c r="D912" s="345"/>
      <c r="E912" s="345"/>
      <c r="F912" s="345"/>
    </row>
    <row r="913" spans="3:6">
      <c r="C913" s="345"/>
      <c r="D913" s="345"/>
      <c r="E913" s="345"/>
      <c r="F913" s="345"/>
    </row>
    <row r="914" spans="3:6">
      <c r="C914" s="345"/>
      <c r="D914" s="345"/>
      <c r="E914" s="345"/>
      <c r="F914" s="345"/>
    </row>
    <row r="915" spans="3:6">
      <c r="C915" s="345"/>
      <c r="D915" s="345"/>
      <c r="E915" s="345"/>
      <c r="F915" s="345"/>
    </row>
    <row r="916" spans="3:6">
      <c r="C916" s="345"/>
      <c r="D916" s="345"/>
      <c r="E916" s="345"/>
      <c r="F916" s="345"/>
    </row>
  </sheetData>
  <sortState xmlns:xlrd2="http://schemas.microsoft.com/office/spreadsheetml/2017/richdata2" ref="I5:J47">
    <sortCondition ref="I5"/>
  </sortState>
  <mergeCells count="1">
    <mergeCell ref="B1:F1"/>
  </mergeCells>
  <pageMargins left="0.69930555555555596" right="0.69930555555555596"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267"/>
  <sheetViews>
    <sheetView workbookViewId="0">
      <selection activeCell="F11" sqref="F11"/>
    </sheetView>
  </sheetViews>
  <sheetFormatPr defaultColWidth="9" defaultRowHeight="14.4"/>
  <cols>
    <col min="1" max="1" width="9.5546875" style="299" customWidth="1"/>
    <col min="2" max="2" width="8.109375" style="299" customWidth="1"/>
    <col min="3" max="3" width="10.109375" style="299" customWidth="1"/>
    <col min="4" max="4" width="26.44140625" style="299" hidden="1" customWidth="1"/>
    <col min="5" max="5" width="7.88671875" style="299" customWidth="1"/>
  </cols>
  <sheetData>
    <row r="1" spans="1:11">
      <c r="A1"/>
      <c r="B1"/>
      <c r="C1"/>
      <c r="D1"/>
      <c r="E1"/>
      <c r="K1" t="s">
        <v>3028</v>
      </c>
    </row>
    <row r="2" spans="1:11">
      <c r="A2"/>
      <c r="B2"/>
      <c r="C2"/>
      <c r="D2"/>
      <c r="E2"/>
      <c r="K2" t="s">
        <v>1495</v>
      </c>
    </row>
    <row r="3" spans="1:11">
      <c r="A3" s="300"/>
      <c r="B3" s="300"/>
      <c r="C3" s="300"/>
      <c r="D3" s="300"/>
      <c r="E3" s="300"/>
      <c r="K3" t="s">
        <v>1496</v>
      </c>
    </row>
    <row r="4" spans="1:11">
      <c r="A4"/>
      <c r="B4"/>
      <c r="C4"/>
      <c r="D4"/>
      <c r="E4"/>
    </row>
    <row r="5" spans="1:11">
      <c r="A5"/>
      <c r="B5"/>
      <c r="C5"/>
      <c r="D5"/>
      <c r="E5"/>
    </row>
    <row r="6" spans="1:11">
      <c r="A6"/>
      <c r="B6"/>
      <c r="C6"/>
      <c r="D6"/>
      <c r="E6"/>
      <c r="K6" t="s">
        <v>2717</v>
      </c>
    </row>
    <row r="7" spans="1:11">
      <c r="A7" s="301"/>
      <c r="B7" s="301"/>
      <c r="C7" s="301"/>
      <c r="D7" s="981" t="s">
        <v>2201</v>
      </c>
      <c r="E7" s="301"/>
      <c r="K7" t="s">
        <v>3054</v>
      </c>
    </row>
    <row r="8" spans="1:11" ht="14.4" customHeight="1">
      <c r="A8" s="302" t="s">
        <v>1881</v>
      </c>
      <c r="B8" s="302" t="s">
        <v>1882</v>
      </c>
      <c r="C8" s="302" t="s">
        <v>1883</v>
      </c>
      <c r="D8" s="982"/>
      <c r="E8" s="302" t="s">
        <v>2216</v>
      </c>
      <c r="H8" t="s">
        <v>1881</v>
      </c>
      <c r="I8" t="s">
        <v>1882</v>
      </c>
      <c r="J8" t="s">
        <v>1883</v>
      </c>
      <c r="K8" t="s">
        <v>2718</v>
      </c>
    </row>
    <row r="9" spans="1:11">
      <c r="A9" s="303"/>
      <c r="B9" s="303"/>
      <c r="C9" s="303"/>
      <c r="D9" s="303">
        <v>10</v>
      </c>
      <c r="E9" s="303"/>
    </row>
    <row r="10" spans="1:11">
      <c r="A10" s="304"/>
      <c r="B10" s="304"/>
      <c r="C10" s="304"/>
      <c r="D10" s="304"/>
      <c r="E10" s="304"/>
      <c r="K10" t="s">
        <v>43</v>
      </c>
    </row>
    <row r="11" spans="1:11">
      <c r="A11" s="305" t="s">
        <v>2029</v>
      </c>
      <c r="B11" s="305" t="s">
        <v>2030</v>
      </c>
      <c r="C11" s="305" t="s">
        <v>1987</v>
      </c>
      <c r="D11" s="305" t="s">
        <v>1404</v>
      </c>
      <c r="E11" s="305" t="s">
        <v>408</v>
      </c>
      <c r="F11" t="b">
        <f>A11=H11</f>
        <v>1</v>
      </c>
      <c r="H11" t="s">
        <v>2029</v>
      </c>
      <c r="I11" t="s">
        <v>2030</v>
      </c>
      <c r="J11" t="s">
        <v>1987</v>
      </c>
      <c r="K11" t="s">
        <v>408</v>
      </c>
    </row>
    <row r="12" spans="1:11">
      <c r="A12" s="306" t="s">
        <v>663</v>
      </c>
      <c r="B12" s="306" t="s">
        <v>664</v>
      </c>
      <c r="C12" s="306" t="s">
        <v>1950</v>
      </c>
      <c r="D12" s="306" t="s">
        <v>665</v>
      </c>
      <c r="E12" s="305" t="s">
        <v>408</v>
      </c>
      <c r="F12" t="b">
        <f t="shared" ref="F12:F75" si="0">A12=H12</f>
        <v>1</v>
      </c>
      <c r="H12" t="s">
        <v>663</v>
      </c>
      <c r="I12" t="s">
        <v>664</v>
      </c>
      <c r="J12" t="s">
        <v>1950</v>
      </c>
      <c r="K12" t="s">
        <v>408</v>
      </c>
    </row>
    <row r="13" spans="1:11">
      <c r="A13" s="306" t="s">
        <v>567</v>
      </c>
      <c r="B13" s="306" t="s">
        <v>563</v>
      </c>
      <c r="C13" s="306" t="s">
        <v>1895</v>
      </c>
      <c r="D13" s="305" t="s">
        <v>568</v>
      </c>
      <c r="E13" s="305" t="s">
        <v>181</v>
      </c>
      <c r="F13" t="b">
        <f t="shared" si="0"/>
        <v>1</v>
      </c>
      <c r="H13" t="s">
        <v>567</v>
      </c>
      <c r="I13" t="s">
        <v>563</v>
      </c>
      <c r="J13" t="s">
        <v>1895</v>
      </c>
      <c r="K13" t="s">
        <v>181</v>
      </c>
    </row>
    <row r="14" spans="1:11">
      <c r="A14" s="305" t="s">
        <v>235</v>
      </c>
      <c r="B14" s="305" t="s">
        <v>236</v>
      </c>
      <c r="C14" s="305" t="s">
        <v>1969</v>
      </c>
      <c r="D14" s="305" t="s">
        <v>237</v>
      </c>
      <c r="E14" s="305" t="s">
        <v>181</v>
      </c>
      <c r="F14" t="b">
        <f t="shared" si="0"/>
        <v>1</v>
      </c>
      <c r="H14" t="s">
        <v>235</v>
      </c>
      <c r="I14" t="s">
        <v>236</v>
      </c>
      <c r="J14" t="s">
        <v>1969</v>
      </c>
      <c r="K14" t="s">
        <v>181</v>
      </c>
    </row>
    <row r="15" spans="1:11">
      <c r="A15" s="306" t="s">
        <v>917</v>
      </c>
      <c r="B15" s="306" t="s">
        <v>918</v>
      </c>
      <c r="C15" s="306" t="s">
        <v>1928</v>
      </c>
      <c r="D15" s="306" t="s">
        <v>919</v>
      </c>
      <c r="E15" s="305" t="s">
        <v>211</v>
      </c>
      <c r="F15" t="b">
        <f t="shared" si="0"/>
        <v>1</v>
      </c>
      <c r="H15" t="s">
        <v>917</v>
      </c>
      <c r="I15" t="s">
        <v>918</v>
      </c>
      <c r="J15" t="s">
        <v>1928</v>
      </c>
      <c r="K15" t="s">
        <v>211</v>
      </c>
    </row>
    <row r="16" spans="1:11">
      <c r="A16" s="306" t="s">
        <v>884</v>
      </c>
      <c r="B16" s="306" t="s">
        <v>885</v>
      </c>
      <c r="C16" s="306" t="s">
        <v>1889</v>
      </c>
      <c r="D16" s="306" t="s">
        <v>886</v>
      </c>
      <c r="E16" s="305" t="s">
        <v>174</v>
      </c>
      <c r="F16" t="b">
        <f t="shared" si="0"/>
        <v>1</v>
      </c>
      <c r="H16" t="s">
        <v>884</v>
      </c>
      <c r="I16" t="s">
        <v>885</v>
      </c>
      <c r="J16" t="s">
        <v>1889</v>
      </c>
      <c r="K16" t="s">
        <v>174</v>
      </c>
    </row>
    <row r="17" spans="1:11" ht="20.399999999999999">
      <c r="A17" s="305" t="s">
        <v>230</v>
      </c>
      <c r="B17" s="305" t="s">
        <v>231</v>
      </c>
      <c r="C17" s="305" t="s">
        <v>1934</v>
      </c>
      <c r="D17" s="306" t="s">
        <v>232</v>
      </c>
      <c r="E17" s="307" t="s">
        <v>57</v>
      </c>
      <c r="F17" t="b">
        <f t="shared" si="0"/>
        <v>1</v>
      </c>
      <c r="H17" t="s">
        <v>230</v>
      </c>
      <c r="I17" t="s">
        <v>231</v>
      </c>
      <c r="J17" t="s">
        <v>1934</v>
      </c>
      <c r="K17" t="s">
        <v>57</v>
      </c>
    </row>
    <row r="18" spans="1:11">
      <c r="A18" s="308" t="s">
        <v>952</v>
      </c>
      <c r="B18" s="308" t="s">
        <v>953</v>
      </c>
      <c r="C18" s="308" t="s">
        <v>2411</v>
      </c>
      <c r="D18" s="308" t="s">
        <v>954</v>
      </c>
      <c r="E18" s="308" t="s">
        <v>211</v>
      </c>
      <c r="F18" t="b">
        <f t="shared" si="0"/>
        <v>1</v>
      </c>
      <c r="H18" t="s">
        <v>952</v>
      </c>
      <c r="I18" t="s">
        <v>953</v>
      </c>
      <c r="J18" t="s">
        <v>2411</v>
      </c>
      <c r="K18" t="s">
        <v>211</v>
      </c>
    </row>
    <row r="19" spans="1:11">
      <c r="A19" s="309" t="s">
        <v>1241</v>
      </c>
      <c r="B19" s="309" t="s">
        <v>1242</v>
      </c>
      <c r="C19" s="310" t="s">
        <v>1991</v>
      </c>
      <c r="D19" s="310" t="s">
        <v>1243</v>
      </c>
      <c r="E19" s="309" t="s">
        <v>181</v>
      </c>
      <c r="F19" t="b">
        <f t="shared" si="0"/>
        <v>1</v>
      </c>
      <c r="H19" t="s">
        <v>1241</v>
      </c>
      <c r="I19" t="s">
        <v>1242</v>
      </c>
      <c r="J19" t="s">
        <v>1991</v>
      </c>
      <c r="K19" t="s">
        <v>181</v>
      </c>
    </row>
    <row r="20" spans="1:11">
      <c r="A20" s="305" t="s">
        <v>3055</v>
      </c>
      <c r="B20" s="305" t="s">
        <v>1187</v>
      </c>
      <c r="C20" s="305" t="s">
        <v>1908</v>
      </c>
      <c r="D20" s="306" t="s">
        <v>1188</v>
      </c>
      <c r="E20" s="305" t="s">
        <v>174</v>
      </c>
      <c r="F20" t="b">
        <f t="shared" si="0"/>
        <v>1</v>
      </c>
      <c r="H20" t="s">
        <v>3055</v>
      </c>
      <c r="I20" t="s">
        <v>1187</v>
      </c>
      <c r="J20" t="s">
        <v>1908</v>
      </c>
      <c r="K20" t="s">
        <v>174</v>
      </c>
    </row>
    <row r="21" spans="1:11">
      <c r="A21" s="306" t="s">
        <v>2871</v>
      </c>
      <c r="B21" s="306" t="s">
        <v>746</v>
      </c>
      <c r="C21" s="306" t="s">
        <v>1926</v>
      </c>
      <c r="D21" s="305" t="s">
        <v>2869</v>
      </c>
      <c r="E21" s="305" t="s">
        <v>211</v>
      </c>
      <c r="F21" t="b">
        <f t="shared" si="0"/>
        <v>1</v>
      </c>
      <c r="H21" t="s">
        <v>2871</v>
      </c>
      <c r="I21" t="s">
        <v>746</v>
      </c>
      <c r="J21" t="s">
        <v>1926</v>
      </c>
      <c r="K21" t="s">
        <v>211</v>
      </c>
    </row>
    <row r="22" spans="1:11" ht="20.399999999999999">
      <c r="A22" s="305" t="s">
        <v>2031</v>
      </c>
      <c r="B22" s="305" t="s">
        <v>2032</v>
      </c>
      <c r="C22" s="305" t="s">
        <v>2033</v>
      </c>
      <c r="D22" s="306" t="s">
        <v>1487</v>
      </c>
      <c r="E22" s="305" t="s">
        <v>181</v>
      </c>
      <c r="F22" t="b">
        <f t="shared" si="0"/>
        <v>1</v>
      </c>
      <c r="H22" t="s">
        <v>2031</v>
      </c>
      <c r="I22" t="s">
        <v>2032</v>
      </c>
      <c r="J22" t="s">
        <v>2033</v>
      </c>
      <c r="K22" t="s">
        <v>181</v>
      </c>
    </row>
    <row r="23" spans="1:11">
      <c r="A23" s="305" t="s">
        <v>2130</v>
      </c>
      <c r="B23" s="305" t="s">
        <v>2131</v>
      </c>
      <c r="C23" s="305" t="s">
        <v>2132</v>
      </c>
      <c r="D23" s="306" t="s">
        <v>2609</v>
      </c>
      <c r="E23" s="305" t="s">
        <v>181</v>
      </c>
      <c r="F23" t="b">
        <f t="shared" si="0"/>
        <v>1</v>
      </c>
      <c r="H23" t="s">
        <v>2130</v>
      </c>
      <c r="I23" t="s">
        <v>2131</v>
      </c>
      <c r="J23" t="s">
        <v>2132</v>
      </c>
      <c r="K23" t="s">
        <v>181</v>
      </c>
    </row>
    <row r="24" spans="1:11">
      <c r="A24" s="305" t="s">
        <v>2146</v>
      </c>
      <c r="B24" s="305" t="s">
        <v>2147</v>
      </c>
      <c r="C24" s="305" t="s">
        <v>2148</v>
      </c>
      <c r="D24" s="306" t="s">
        <v>2680</v>
      </c>
      <c r="E24" s="305" t="s">
        <v>408</v>
      </c>
      <c r="F24" t="b">
        <f t="shared" si="0"/>
        <v>1</v>
      </c>
      <c r="H24" t="s">
        <v>2146</v>
      </c>
      <c r="I24" t="s">
        <v>2147</v>
      </c>
      <c r="J24" t="s">
        <v>2148</v>
      </c>
      <c r="K24" t="s">
        <v>408</v>
      </c>
    </row>
    <row r="25" spans="1:11">
      <c r="A25" s="305" t="s">
        <v>2014</v>
      </c>
      <c r="B25" s="305" t="s">
        <v>2015</v>
      </c>
      <c r="C25" s="305" t="s">
        <v>2016</v>
      </c>
      <c r="D25" s="306" t="s">
        <v>2689</v>
      </c>
      <c r="E25" s="305" t="s">
        <v>189</v>
      </c>
      <c r="F25" t="b">
        <f t="shared" si="0"/>
        <v>1</v>
      </c>
      <c r="H25" t="s">
        <v>2014</v>
      </c>
      <c r="I25" t="s">
        <v>2015</v>
      </c>
      <c r="J25" t="s">
        <v>2016</v>
      </c>
      <c r="K25" t="s">
        <v>189</v>
      </c>
    </row>
    <row r="26" spans="1:11">
      <c r="A26" s="305" t="s">
        <v>3056</v>
      </c>
      <c r="B26" s="305" t="s">
        <v>2049</v>
      </c>
      <c r="C26" s="305" t="s">
        <v>1133</v>
      </c>
      <c r="D26" s="306" t="s">
        <v>2561</v>
      </c>
      <c r="E26" s="305" t="s">
        <v>174</v>
      </c>
      <c r="F26" t="b">
        <f t="shared" si="0"/>
        <v>1</v>
      </c>
      <c r="H26" t="s">
        <v>3056</v>
      </c>
      <c r="I26" t="s">
        <v>2049</v>
      </c>
      <c r="J26" t="s">
        <v>1133</v>
      </c>
      <c r="K26" t="s">
        <v>174</v>
      </c>
    </row>
    <row r="27" spans="1:11">
      <c r="A27" s="305" t="s">
        <v>2121</v>
      </c>
      <c r="B27" s="305" t="s">
        <v>2122</v>
      </c>
      <c r="C27" s="305" t="s">
        <v>2123</v>
      </c>
      <c r="D27" s="306" t="s">
        <v>2686</v>
      </c>
      <c r="E27" s="305" t="s">
        <v>181</v>
      </c>
      <c r="F27" t="b">
        <f t="shared" si="0"/>
        <v>1</v>
      </c>
      <c r="H27" t="s">
        <v>2121</v>
      </c>
      <c r="I27" t="s">
        <v>2122</v>
      </c>
      <c r="J27" t="s">
        <v>2123</v>
      </c>
      <c r="K27" t="s">
        <v>181</v>
      </c>
    </row>
    <row r="28" spans="1:11">
      <c r="A28" s="308" t="s">
        <v>2009</v>
      </c>
      <c r="B28" s="308" t="s">
        <v>1089</v>
      </c>
      <c r="C28" s="308" t="s">
        <v>2010</v>
      </c>
      <c r="D28" s="311" t="s">
        <v>1461</v>
      </c>
      <c r="E28" s="308" t="s">
        <v>174</v>
      </c>
      <c r="F28" t="b">
        <f t="shared" si="0"/>
        <v>1</v>
      </c>
      <c r="H28" t="s">
        <v>2009</v>
      </c>
      <c r="I28" t="s">
        <v>1089</v>
      </c>
      <c r="J28" t="s">
        <v>2010</v>
      </c>
      <c r="K28" t="s">
        <v>174</v>
      </c>
    </row>
    <row r="29" spans="1:11">
      <c r="A29" s="309" t="s">
        <v>974</v>
      </c>
      <c r="B29" s="309" t="s">
        <v>975</v>
      </c>
      <c r="C29" s="309" t="s">
        <v>1924</v>
      </c>
      <c r="D29" s="309" t="s">
        <v>2691</v>
      </c>
      <c r="E29" s="309" t="s">
        <v>174</v>
      </c>
      <c r="F29" t="b">
        <f t="shared" si="0"/>
        <v>1</v>
      </c>
      <c r="H29" t="s">
        <v>974</v>
      </c>
      <c r="I29" t="s">
        <v>975</v>
      </c>
      <c r="J29" t="s">
        <v>1924</v>
      </c>
      <c r="K29" t="s">
        <v>174</v>
      </c>
    </row>
    <row r="30" spans="1:11">
      <c r="A30" s="305" t="s">
        <v>733</v>
      </c>
      <c r="B30" s="305" t="s">
        <v>734</v>
      </c>
      <c r="C30" s="305" t="s">
        <v>1962</v>
      </c>
      <c r="D30" s="306" t="s">
        <v>735</v>
      </c>
      <c r="E30" s="305" t="s">
        <v>167</v>
      </c>
      <c r="F30" t="b">
        <f t="shared" si="0"/>
        <v>1</v>
      </c>
      <c r="H30" t="s">
        <v>733</v>
      </c>
      <c r="I30" t="s">
        <v>734</v>
      </c>
      <c r="J30" t="s">
        <v>1962</v>
      </c>
      <c r="K30" t="s">
        <v>167</v>
      </c>
    </row>
    <row r="31" spans="1:11">
      <c r="A31" s="305" t="s">
        <v>733</v>
      </c>
      <c r="B31" s="305" t="s">
        <v>829</v>
      </c>
      <c r="C31" s="305" t="s">
        <v>1943</v>
      </c>
      <c r="D31" s="306" t="s">
        <v>830</v>
      </c>
      <c r="E31" s="305" t="s">
        <v>167</v>
      </c>
      <c r="F31" t="b">
        <f t="shared" si="0"/>
        <v>1</v>
      </c>
      <c r="H31" t="s">
        <v>733</v>
      </c>
      <c r="I31" t="s">
        <v>829</v>
      </c>
      <c r="J31" t="s">
        <v>1943</v>
      </c>
      <c r="K31" t="s">
        <v>167</v>
      </c>
    </row>
    <row r="32" spans="1:11">
      <c r="A32" s="305" t="s">
        <v>733</v>
      </c>
      <c r="B32" s="305" t="s">
        <v>1106</v>
      </c>
      <c r="C32" s="305" t="s">
        <v>1989</v>
      </c>
      <c r="D32" s="306" t="s">
        <v>1107</v>
      </c>
      <c r="E32" s="305" t="s">
        <v>211</v>
      </c>
      <c r="F32" t="b">
        <f t="shared" si="0"/>
        <v>1</v>
      </c>
      <c r="H32" t="s">
        <v>733</v>
      </c>
      <c r="I32" t="s">
        <v>1106</v>
      </c>
      <c r="J32" t="s">
        <v>1989</v>
      </c>
      <c r="K32" t="s">
        <v>211</v>
      </c>
    </row>
    <row r="33" spans="1:11" ht="20.399999999999999">
      <c r="A33" s="305" t="s">
        <v>2124</v>
      </c>
      <c r="B33" s="305" t="s">
        <v>2125</v>
      </c>
      <c r="C33" s="305" t="s">
        <v>2126</v>
      </c>
      <c r="D33" s="306" t="s">
        <v>2692</v>
      </c>
      <c r="E33" s="305" t="s">
        <v>268</v>
      </c>
      <c r="F33" t="b">
        <f t="shared" si="0"/>
        <v>1</v>
      </c>
      <c r="H33" t="s">
        <v>2124</v>
      </c>
      <c r="I33" t="s">
        <v>2125</v>
      </c>
      <c r="J33" t="s">
        <v>2126</v>
      </c>
      <c r="K33" t="s">
        <v>2733</v>
      </c>
    </row>
    <row r="34" spans="1:11" ht="20.399999999999999">
      <c r="A34" s="306" t="s">
        <v>2156</v>
      </c>
      <c r="B34" s="306" t="s">
        <v>2157</v>
      </c>
      <c r="C34" s="306" t="s">
        <v>1014</v>
      </c>
      <c r="D34" s="306" t="s">
        <v>2702</v>
      </c>
      <c r="E34" s="307" t="s">
        <v>57</v>
      </c>
      <c r="F34" t="b">
        <f t="shared" si="0"/>
        <v>1</v>
      </c>
      <c r="H34" t="s">
        <v>2156</v>
      </c>
      <c r="I34" t="s">
        <v>2157</v>
      </c>
      <c r="J34" t="s">
        <v>1014</v>
      </c>
      <c r="K34" t="s">
        <v>57</v>
      </c>
    </row>
    <row r="35" spans="1:11">
      <c r="A35" s="305" t="s">
        <v>1271</v>
      </c>
      <c r="B35" s="305" t="s">
        <v>1272</v>
      </c>
      <c r="C35" s="305" t="s">
        <v>1931</v>
      </c>
      <c r="D35" s="306" t="s">
        <v>2696</v>
      </c>
      <c r="E35" s="305" t="s">
        <v>211</v>
      </c>
      <c r="F35" t="b">
        <f t="shared" si="0"/>
        <v>1</v>
      </c>
      <c r="H35" t="s">
        <v>1271</v>
      </c>
      <c r="I35" t="s">
        <v>1272</v>
      </c>
      <c r="J35" t="s">
        <v>1931</v>
      </c>
      <c r="K35" t="s">
        <v>211</v>
      </c>
    </row>
    <row r="36" spans="1:11" ht="20.399999999999999">
      <c r="A36" s="305" t="s">
        <v>805</v>
      </c>
      <c r="B36" s="305" t="s">
        <v>2545</v>
      </c>
      <c r="C36" s="305" t="s">
        <v>2017</v>
      </c>
      <c r="D36" s="306" t="s">
        <v>2612</v>
      </c>
      <c r="E36" s="305" t="s">
        <v>268</v>
      </c>
      <c r="F36" t="b">
        <f t="shared" si="0"/>
        <v>1</v>
      </c>
      <c r="H36" t="s">
        <v>805</v>
      </c>
      <c r="I36" t="s">
        <v>2545</v>
      </c>
      <c r="J36" t="s">
        <v>2017</v>
      </c>
      <c r="K36" t="s">
        <v>2733</v>
      </c>
    </row>
    <row r="37" spans="1:11" ht="20.399999999999999">
      <c r="A37" s="305" t="s">
        <v>761</v>
      </c>
      <c r="B37" s="305" t="s">
        <v>762</v>
      </c>
      <c r="C37" s="305" t="s">
        <v>2184</v>
      </c>
      <c r="D37" s="305" t="s">
        <v>797</v>
      </c>
      <c r="E37" s="305" t="s">
        <v>268</v>
      </c>
      <c r="F37" t="b">
        <f t="shared" si="0"/>
        <v>1</v>
      </c>
      <c r="H37" t="s">
        <v>761</v>
      </c>
      <c r="I37" t="s">
        <v>762</v>
      </c>
      <c r="J37" t="s">
        <v>2184</v>
      </c>
      <c r="K37" t="s">
        <v>268</v>
      </c>
    </row>
    <row r="38" spans="1:11" ht="20.399999999999999">
      <c r="A38" s="306" t="s">
        <v>2151</v>
      </c>
      <c r="B38" s="306" t="s">
        <v>135</v>
      </c>
      <c r="C38" s="306" t="s">
        <v>2152</v>
      </c>
      <c r="D38" s="306" t="s">
        <v>2681</v>
      </c>
      <c r="E38" s="305" t="s">
        <v>408</v>
      </c>
      <c r="F38" t="b">
        <f t="shared" si="0"/>
        <v>1</v>
      </c>
      <c r="H38" t="s">
        <v>2151</v>
      </c>
      <c r="I38" t="s">
        <v>135</v>
      </c>
      <c r="J38" t="s">
        <v>2152</v>
      </c>
      <c r="K38" t="s">
        <v>408</v>
      </c>
    </row>
    <row r="39" spans="1:11" ht="20.399999999999999">
      <c r="A39" s="305" t="s">
        <v>301</v>
      </c>
      <c r="B39" s="305" t="s">
        <v>302</v>
      </c>
      <c r="C39" s="305" t="s">
        <v>1986</v>
      </c>
      <c r="D39" s="305" t="s">
        <v>303</v>
      </c>
      <c r="E39" s="305" t="s">
        <v>57</v>
      </c>
      <c r="F39" t="b">
        <f t="shared" si="0"/>
        <v>1</v>
      </c>
      <c r="H39" t="s">
        <v>301</v>
      </c>
      <c r="I39" t="s">
        <v>302</v>
      </c>
      <c r="J39" t="s">
        <v>1986</v>
      </c>
      <c r="K39" t="s">
        <v>57</v>
      </c>
    </row>
    <row r="40" spans="1:11">
      <c r="A40" s="308" t="s">
        <v>1279</v>
      </c>
      <c r="B40" s="308" t="s">
        <v>1280</v>
      </c>
      <c r="C40" s="308" t="s">
        <v>1904</v>
      </c>
      <c r="D40" s="311" t="s">
        <v>1281</v>
      </c>
      <c r="E40" s="308" t="s">
        <v>167</v>
      </c>
      <c r="F40" t="b">
        <f t="shared" si="0"/>
        <v>1</v>
      </c>
      <c r="H40" t="s">
        <v>1279</v>
      </c>
      <c r="I40" t="s">
        <v>1280</v>
      </c>
      <c r="J40" t="s">
        <v>1904</v>
      </c>
      <c r="K40" t="s">
        <v>167</v>
      </c>
    </row>
    <row r="41" spans="1:11">
      <c r="A41" s="309" t="s">
        <v>240</v>
      </c>
      <c r="B41" s="309" t="s">
        <v>241</v>
      </c>
      <c r="C41" s="309" t="s">
        <v>1896</v>
      </c>
      <c r="D41" s="309" t="s">
        <v>543</v>
      </c>
      <c r="E41" s="309" t="s">
        <v>408</v>
      </c>
      <c r="F41" t="b">
        <f t="shared" si="0"/>
        <v>1</v>
      </c>
      <c r="H41" t="s">
        <v>240</v>
      </c>
      <c r="I41" t="s">
        <v>241</v>
      </c>
      <c r="J41" t="s">
        <v>1896</v>
      </c>
      <c r="K41" t="s">
        <v>408</v>
      </c>
    </row>
    <row r="42" spans="1:11" ht="20.399999999999999">
      <c r="A42" s="305" t="s">
        <v>168</v>
      </c>
      <c r="B42" s="305" t="s">
        <v>1936</v>
      </c>
      <c r="C42" s="305" t="s">
        <v>1937</v>
      </c>
      <c r="D42" s="305" t="s">
        <v>2698</v>
      </c>
      <c r="E42" s="305" t="s">
        <v>268</v>
      </c>
      <c r="F42" t="b">
        <f t="shared" si="0"/>
        <v>1</v>
      </c>
      <c r="H42" t="s">
        <v>168</v>
      </c>
      <c r="I42" t="s">
        <v>169</v>
      </c>
      <c r="J42" t="s">
        <v>1937</v>
      </c>
      <c r="K42" t="s">
        <v>167</v>
      </c>
    </row>
    <row r="43" spans="1:11" ht="20.399999999999999">
      <c r="A43" s="305" t="s">
        <v>168</v>
      </c>
      <c r="B43" s="305" t="s">
        <v>169</v>
      </c>
      <c r="C43" s="305" t="s">
        <v>1937</v>
      </c>
      <c r="D43" s="305" t="s">
        <v>171</v>
      </c>
      <c r="E43" s="305" t="s">
        <v>167</v>
      </c>
      <c r="F43" t="b">
        <f t="shared" si="0"/>
        <v>1</v>
      </c>
      <c r="H43" t="s">
        <v>168</v>
      </c>
      <c r="I43" t="s">
        <v>1936</v>
      </c>
      <c r="J43" t="s">
        <v>1937</v>
      </c>
      <c r="K43" t="s">
        <v>2733</v>
      </c>
    </row>
    <row r="44" spans="1:11" ht="20.399999999999999">
      <c r="A44" s="305" t="s">
        <v>2092</v>
      </c>
      <c r="B44" s="305" t="s">
        <v>2093</v>
      </c>
      <c r="C44" s="305" t="s">
        <v>2094</v>
      </c>
      <c r="D44" s="306" t="s">
        <v>2630</v>
      </c>
      <c r="E44" s="305" t="s">
        <v>268</v>
      </c>
      <c r="F44" t="b">
        <f t="shared" si="0"/>
        <v>1</v>
      </c>
      <c r="H44" t="s">
        <v>2092</v>
      </c>
      <c r="I44" t="s">
        <v>2093</v>
      </c>
      <c r="J44" t="s">
        <v>2094</v>
      </c>
      <c r="K44" t="s">
        <v>2733</v>
      </c>
    </row>
    <row r="45" spans="1:11">
      <c r="A45" s="305" t="s">
        <v>880</v>
      </c>
      <c r="B45" s="305" t="s">
        <v>563</v>
      </c>
      <c r="C45" s="305" t="s">
        <v>1890</v>
      </c>
      <c r="D45" s="306" t="s">
        <v>881</v>
      </c>
      <c r="E45" s="305" t="s">
        <v>174</v>
      </c>
      <c r="F45" t="b">
        <f t="shared" si="0"/>
        <v>1</v>
      </c>
      <c r="H45" t="s">
        <v>880</v>
      </c>
      <c r="I45" t="s">
        <v>563</v>
      </c>
      <c r="J45" t="s">
        <v>1890</v>
      </c>
      <c r="K45" t="s">
        <v>174</v>
      </c>
    </row>
    <row r="46" spans="1:11" ht="20.399999999999999">
      <c r="A46" s="305" t="s">
        <v>313</v>
      </c>
      <c r="B46" s="305" t="s">
        <v>314</v>
      </c>
      <c r="C46" s="305" t="s">
        <v>2002</v>
      </c>
      <c r="D46" s="305" t="s">
        <v>315</v>
      </c>
      <c r="E46" s="305" t="s">
        <v>57</v>
      </c>
      <c r="F46" t="b">
        <f t="shared" si="0"/>
        <v>1</v>
      </c>
      <c r="H46" t="s">
        <v>313</v>
      </c>
      <c r="I46" t="s">
        <v>314</v>
      </c>
      <c r="J46" t="s">
        <v>2002</v>
      </c>
      <c r="K46" t="s">
        <v>57</v>
      </c>
    </row>
    <row r="47" spans="1:11">
      <c r="A47" s="305" t="s">
        <v>3045</v>
      </c>
      <c r="B47" s="305" t="s">
        <v>676</v>
      </c>
      <c r="C47" s="305" t="s">
        <v>1891</v>
      </c>
      <c r="D47" s="306" t="s">
        <v>677</v>
      </c>
      <c r="E47" s="305" t="s">
        <v>408</v>
      </c>
      <c r="F47" t="b">
        <f t="shared" si="0"/>
        <v>1</v>
      </c>
      <c r="H47" t="s">
        <v>3045</v>
      </c>
      <c r="I47" t="s">
        <v>2019</v>
      </c>
      <c r="J47" t="s">
        <v>2179</v>
      </c>
      <c r="K47" t="s">
        <v>408</v>
      </c>
    </row>
    <row r="48" spans="1:11" ht="20.399999999999999">
      <c r="A48" s="305" t="s">
        <v>3045</v>
      </c>
      <c r="B48" s="305" t="s">
        <v>2019</v>
      </c>
      <c r="C48" s="305" t="s">
        <v>2179</v>
      </c>
      <c r="D48" s="305" t="s">
        <v>1398</v>
      </c>
      <c r="E48" s="305" t="s">
        <v>408</v>
      </c>
      <c r="F48" t="b">
        <f t="shared" si="0"/>
        <v>1</v>
      </c>
      <c r="H48" t="s">
        <v>3045</v>
      </c>
      <c r="I48" t="s">
        <v>676</v>
      </c>
      <c r="J48" t="s">
        <v>1891</v>
      </c>
      <c r="K48" t="s">
        <v>408</v>
      </c>
    </row>
    <row r="49" spans="1:11" ht="20.399999999999999">
      <c r="A49" s="305" t="s">
        <v>269</v>
      </c>
      <c r="B49" s="305" t="s">
        <v>270</v>
      </c>
      <c r="C49" s="305" t="s">
        <v>2008</v>
      </c>
      <c r="D49" s="306" t="s">
        <v>271</v>
      </c>
      <c r="E49" s="305" t="s">
        <v>268</v>
      </c>
      <c r="F49" t="b">
        <f t="shared" si="0"/>
        <v>1</v>
      </c>
      <c r="H49" t="s">
        <v>269</v>
      </c>
      <c r="I49" t="s">
        <v>270</v>
      </c>
      <c r="J49" t="s">
        <v>2008</v>
      </c>
      <c r="K49" t="s">
        <v>2733</v>
      </c>
    </row>
    <row r="50" spans="1:11" ht="20.399999999999999">
      <c r="A50" s="305" t="s">
        <v>1022</v>
      </c>
      <c r="B50" s="305" t="s">
        <v>2525</v>
      </c>
      <c r="C50" s="305" t="s">
        <v>1959</v>
      </c>
      <c r="D50" s="306" t="s">
        <v>1024</v>
      </c>
      <c r="E50" s="305" t="s">
        <v>268</v>
      </c>
      <c r="F50" t="b">
        <f t="shared" si="0"/>
        <v>1</v>
      </c>
      <c r="H50" t="s">
        <v>1022</v>
      </c>
      <c r="I50" t="s">
        <v>2525</v>
      </c>
      <c r="J50" t="s">
        <v>1959</v>
      </c>
      <c r="K50" t="s">
        <v>2733</v>
      </c>
    </row>
    <row r="51" spans="1:11">
      <c r="A51" s="305" t="s">
        <v>520</v>
      </c>
      <c r="B51" s="305" t="s">
        <v>521</v>
      </c>
      <c r="C51" s="305" t="s">
        <v>1892</v>
      </c>
      <c r="D51" s="305" t="s">
        <v>522</v>
      </c>
      <c r="E51" s="305" t="s">
        <v>181</v>
      </c>
      <c r="F51" t="b">
        <f t="shared" si="0"/>
        <v>1</v>
      </c>
      <c r="H51" t="s">
        <v>520</v>
      </c>
      <c r="I51" t="s">
        <v>521</v>
      </c>
      <c r="J51" t="s">
        <v>1892</v>
      </c>
      <c r="K51" t="s">
        <v>181</v>
      </c>
    </row>
    <row r="52" spans="1:11">
      <c r="A52" s="305" t="s">
        <v>947</v>
      </c>
      <c r="B52" s="305" t="s">
        <v>948</v>
      </c>
      <c r="C52" s="305" t="s">
        <v>1952</v>
      </c>
      <c r="D52" s="306" t="s">
        <v>949</v>
      </c>
      <c r="E52" s="305" t="s">
        <v>211</v>
      </c>
      <c r="F52" t="b">
        <f t="shared" si="0"/>
        <v>1</v>
      </c>
      <c r="H52" t="s">
        <v>947</v>
      </c>
      <c r="I52" t="s">
        <v>948</v>
      </c>
      <c r="J52" t="s">
        <v>1952</v>
      </c>
      <c r="K52" t="s">
        <v>211</v>
      </c>
    </row>
    <row r="53" spans="1:11">
      <c r="A53" s="305" t="s">
        <v>652</v>
      </c>
      <c r="B53" s="305" t="s">
        <v>653</v>
      </c>
      <c r="C53" s="305" t="s">
        <v>1133</v>
      </c>
      <c r="D53" s="306" t="s">
        <v>654</v>
      </c>
      <c r="E53" s="305" t="s">
        <v>181</v>
      </c>
      <c r="F53" t="b">
        <f t="shared" si="0"/>
        <v>1</v>
      </c>
      <c r="H53" t="s">
        <v>652</v>
      </c>
      <c r="I53" t="s">
        <v>653</v>
      </c>
      <c r="J53" t="s">
        <v>1133</v>
      </c>
      <c r="K53" t="s">
        <v>181</v>
      </c>
    </row>
    <row r="54" spans="1:11" ht="20.399999999999999">
      <c r="A54" s="305" t="s">
        <v>611</v>
      </c>
      <c r="B54" s="305" t="s">
        <v>2431</v>
      </c>
      <c r="C54" s="305" t="s">
        <v>1888</v>
      </c>
      <c r="D54" s="306" t="s">
        <v>1407</v>
      </c>
      <c r="E54" s="305" t="s">
        <v>408</v>
      </c>
      <c r="F54" t="b">
        <f t="shared" si="0"/>
        <v>1</v>
      </c>
      <c r="H54" t="s">
        <v>611</v>
      </c>
      <c r="I54" t="s">
        <v>2431</v>
      </c>
      <c r="J54" t="s">
        <v>1888</v>
      </c>
      <c r="K54" t="s">
        <v>408</v>
      </c>
    </row>
    <row r="55" spans="1:11">
      <c r="A55" s="305" t="s">
        <v>690</v>
      </c>
      <c r="B55" s="305" t="s">
        <v>691</v>
      </c>
      <c r="C55" s="305" t="s">
        <v>2185</v>
      </c>
      <c r="D55" s="306" t="s">
        <v>692</v>
      </c>
      <c r="E55" s="305" t="s">
        <v>408</v>
      </c>
      <c r="F55" t="b">
        <f t="shared" si="0"/>
        <v>1</v>
      </c>
      <c r="H55" t="s">
        <v>690</v>
      </c>
      <c r="I55" t="s">
        <v>691</v>
      </c>
      <c r="J55" t="s">
        <v>2185</v>
      </c>
      <c r="K55" t="s">
        <v>408</v>
      </c>
    </row>
    <row r="56" spans="1:11" ht="20.399999999999999">
      <c r="A56" s="312" t="s">
        <v>2079</v>
      </c>
      <c r="B56" s="312" t="s">
        <v>2080</v>
      </c>
      <c r="C56" s="312" t="s">
        <v>2081</v>
      </c>
      <c r="D56" s="306" t="s">
        <v>2359</v>
      </c>
      <c r="E56" s="313" t="s">
        <v>57</v>
      </c>
      <c r="F56" t="b">
        <f t="shared" si="0"/>
        <v>1</v>
      </c>
      <c r="H56" t="s">
        <v>2079</v>
      </c>
      <c r="I56" t="s">
        <v>2080</v>
      </c>
      <c r="J56" t="s">
        <v>2081</v>
      </c>
      <c r="K56" t="s">
        <v>57</v>
      </c>
    </row>
    <row r="57" spans="1:11">
      <c r="A57" s="305" t="s">
        <v>1219</v>
      </c>
      <c r="B57" s="305" t="s">
        <v>1220</v>
      </c>
      <c r="C57" s="305" t="s">
        <v>1911</v>
      </c>
      <c r="D57" s="306" t="s">
        <v>1221</v>
      </c>
      <c r="E57" s="305" t="s">
        <v>174</v>
      </c>
      <c r="F57" t="b">
        <f t="shared" si="0"/>
        <v>1</v>
      </c>
      <c r="H57" t="s">
        <v>1219</v>
      </c>
      <c r="I57" t="s">
        <v>1220</v>
      </c>
      <c r="J57" t="s">
        <v>1911</v>
      </c>
      <c r="K57" t="s">
        <v>174</v>
      </c>
    </row>
    <row r="58" spans="1:11" ht="20.399999999999999">
      <c r="A58" s="306" t="s">
        <v>1715</v>
      </c>
      <c r="B58" s="306" t="s">
        <v>1716</v>
      </c>
      <c r="C58" s="306" t="s">
        <v>2165</v>
      </c>
      <c r="D58" s="306" t="s">
        <v>2703</v>
      </c>
      <c r="E58" s="305" t="s">
        <v>57</v>
      </c>
      <c r="F58" t="b">
        <f t="shared" si="0"/>
        <v>1</v>
      </c>
      <c r="H58" t="s">
        <v>1715</v>
      </c>
      <c r="I58" t="s">
        <v>1716</v>
      </c>
      <c r="J58" t="s">
        <v>2165</v>
      </c>
      <c r="K58" t="s">
        <v>57</v>
      </c>
    </row>
    <row r="59" spans="1:11">
      <c r="A59" s="305" t="s">
        <v>2109</v>
      </c>
      <c r="B59" s="305" t="s">
        <v>2110</v>
      </c>
      <c r="C59" s="305" t="s">
        <v>2111</v>
      </c>
      <c r="D59" s="306" t="s">
        <v>2704</v>
      </c>
      <c r="E59" s="305" t="s">
        <v>167</v>
      </c>
      <c r="F59" t="b">
        <f t="shared" si="0"/>
        <v>1</v>
      </c>
      <c r="H59" t="s">
        <v>2109</v>
      </c>
      <c r="I59" t="s">
        <v>2110</v>
      </c>
      <c r="J59" t="s">
        <v>2111</v>
      </c>
      <c r="K59" t="s">
        <v>167</v>
      </c>
    </row>
    <row r="60" spans="1:11">
      <c r="A60" s="305" t="s">
        <v>327</v>
      </c>
      <c r="B60" s="305" t="s">
        <v>711</v>
      </c>
      <c r="C60" s="305" t="s">
        <v>1912</v>
      </c>
      <c r="D60" s="306" t="s">
        <v>1298</v>
      </c>
      <c r="E60" s="305" t="s">
        <v>408</v>
      </c>
      <c r="F60" t="b">
        <f t="shared" si="0"/>
        <v>1</v>
      </c>
      <c r="H60" t="s">
        <v>327</v>
      </c>
      <c r="I60" t="s">
        <v>711</v>
      </c>
      <c r="J60" t="s">
        <v>1912</v>
      </c>
      <c r="K60" t="s">
        <v>408</v>
      </c>
    </row>
    <row r="61" spans="1:11" ht="30.6">
      <c r="A61" s="305" t="s">
        <v>1994</v>
      </c>
      <c r="B61" s="305" t="s">
        <v>1995</v>
      </c>
      <c r="C61" s="305" t="s">
        <v>1996</v>
      </c>
      <c r="D61" s="306" t="s">
        <v>2274</v>
      </c>
      <c r="E61" s="307" t="s">
        <v>57</v>
      </c>
      <c r="F61" t="b">
        <f t="shared" si="0"/>
        <v>1</v>
      </c>
      <c r="H61" t="s">
        <v>1994</v>
      </c>
      <c r="I61" t="s">
        <v>1995</v>
      </c>
      <c r="J61" t="s">
        <v>1996</v>
      </c>
      <c r="K61" t="s">
        <v>57</v>
      </c>
    </row>
    <row r="62" spans="1:11">
      <c r="A62" s="305" t="s">
        <v>857</v>
      </c>
      <c r="B62" s="305" t="s">
        <v>858</v>
      </c>
      <c r="C62" s="305" t="s">
        <v>1897</v>
      </c>
      <c r="D62" s="306" t="s">
        <v>1455</v>
      </c>
      <c r="E62" s="305" t="s">
        <v>174</v>
      </c>
      <c r="F62" t="b">
        <f t="shared" si="0"/>
        <v>1</v>
      </c>
      <c r="H62" t="s">
        <v>857</v>
      </c>
      <c r="I62" t="s">
        <v>858</v>
      </c>
      <c r="J62" t="s">
        <v>1897</v>
      </c>
      <c r="K62" t="s">
        <v>174</v>
      </c>
    </row>
    <row r="63" spans="1:11">
      <c r="A63" s="305" t="s">
        <v>840</v>
      </c>
      <c r="B63" s="305" t="s">
        <v>841</v>
      </c>
      <c r="C63" s="305" t="s">
        <v>1898</v>
      </c>
      <c r="D63" s="306" t="s">
        <v>842</v>
      </c>
      <c r="E63" s="305" t="s">
        <v>174</v>
      </c>
      <c r="F63" t="b">
        <f t="shared" si="0"/>
        <v>1</v>
      </c>
      <c r="H63" t="s">
        <v>840</v>
      </c>
      <c r="I63" t="s">
        <v>841</v>
      </c>
      <c r="J63" t="s">
        <v>1898</v>
      </c>
      <c r="K63" t="s">
        <v>174</v>
      </c>
    </row>
    <row r="64" spans="1:11" ht="20.399999999999999">
      <c r="A64" s="308" t="s">
        <v>467</v>
      </c>
      <c r="B64" s="308" t="s">
        <v>2050</v>
      </c>
      <c r="C64" s="308" t="s">
        <v>2051</v>
      </c>
      <c r="D64" s="311" t="s">
        <v>1412</v>
      </c>
      <c r="E64" s="308" t="s">
        <v>408</v>
      </c>
      <c r="F64" t="b">
        <f t="shared" si="0"/>
        <v>1</v>
      </c>
      <c r="H64" t="s">
        <v>467</v>
      </c>
      <c r="I64" t="s">
        <v>2050</v>
      </c>
      <c r="J64" t="s">
        <v>2051</v>
      </c>
      <c r="K64" t="s">
        <v>408</v>
      </c>
    </row>
    <row r="65" spans="1:11">
      <c r="A65" s="309" t="s">
        <v>1966</v>
      </c>
      <c r="B65" s="309" t="s">
        <v>2448</v>
      </c>
      <c r="C65" s="309" t="s">
        <v>1967</v>
      </c>
      <c r="D65" s="309" t="s">
        <v>2873</v>
      </c>
      <c r="E65" s="309" t="s">
        <v>189</v>
      </c>
      <c r="F65" t="b">
        <f t="shared" si="0"/>
        <v>1</v>
      </c>
      <c r="H65" t="s">
        <v>1966</v>
      </c>
      <c r="I65" t="s">
        <v>2448</v>
      </c>
      <c r="J65" t="s">
        <v>1967</v>
      </c>
      <c r="K65" t="s">
        <v>189</v>
      </c>
    </row>
    <row r="66" spans="1:11">
      <c r="A66" s="306" t="s">
        <v>2160</v>
      </c>
      <c r="B66" s="306" t="s">
        <v>2633</v>
      </c>
      <c r="C66" s="306" t="s">
        <v>2161</v>
      </c>
      <c r="D66" s="306" t="s">
        <v>2687</v>
      </c>
      <c r="E66" s="305" t="s">
        <v>181</v>
      </c>
      <c r="F66" t="b">
        <f t="shared" si="0"/>
        <v>1</v>
      </c>
      <c r="H66" t="s">
        <v>2160</v>
      </c>
      <c r="I66" t="s">
        <v>2633</v>
      </c>
      <c r="J66" t="s">
        <v>2161</v>
      </c>
      <c r="K66" t="s">
        <v>181</v>
      </c>
    </row>
    <row r="67" spans="1:11" ht="30.6">
      <c r="A67" s="305" t="s">
        <v>2119</v>
      </c>
      <c r="B67" s="305" t="s">
        <v>2323</v>
      </c>
      <c r="C67" s="305" t="s">
        <v>2120</v>
      </c>
      <c r="D67" s="306" t="s">
        <v>2560</v>
      </c>
      <c r="E67" s="307" t="s">
        <v>57</v>
      </c>
      <c r="F67" t="b">
        <f t="shared" si="0"/>
        <v>1</v>
      </c>
      <c r="H67" t="s">
        <v>2119</v>
      </c>
      <c r="I67" t="s">
        <v>2323</v>
      </c>
      <c r="J67" t="s">
        <v>2120</v>
      </c>
      <c r="K67" t="s">
        <v>189</v>
      </c>
    </row>
    <row r="68" spans="1:11" ht="20.399999999999999">
      <c r="A68" s="305" t="s">
        <v>255</v>
      </c>
      <c r="B68" s="305" t="s">
        <v>256</v>
      </c>
      <c r="C68" s="305" t="s">
        <v>1927</v>
      </c>
      <c r="D68" s="306" t="s">
        <v>257</v>
      </c>
      <c r="E68" s="305" t="s">
        <v>167</v>
      </c>
      <c r="F68" t="b">
        <f t="shared" si="0"/>
        <v>1</v>
      </c>
      <c r="H68" t="s">
        <v>255</v>
      </c>
      <c r="I68" t="s">
        <v>256</v>
      </c>
      <c r="J68" t="s">
        <v>1927</v>
      </c>
      <c r="K68" t="s">
        <v>167</v>
      </c>
    </row>
    <row r="69" spans="1:11">
      <c r="A69" s="305" t="s">
        <v>595</v>
      </c>
      <c r="B69" s="305" t="s">
        <v>596</v>
      </c>
      <c r="C69" s="305" t="s">
        <v>1933</v>
      </c>
      <c r="D69" s="305" t="s">
        <v>597</v>
      </c>
      <c r="E69" s="305" t="s">
        <v>408</v>
      </c>
      <c r="F69" t="b">
        <f t="shared" si="0"/>
        <v>1</v>
      </c>
      <c r="H69" t="s">
        <v>595</v>
      </c>
      <c r="I69" t="s">
        <v>596</v>
      </c>
      <c r="J69" t="s">
        <v>1933</v>
      </c>
      <c r="K69" t="s">
        <v>408</v>
      </c>
    </row>
    <row r="70" spans="1:11" ht="20.399999999999999">
      <c r="A70" s="305" t="s">
        <v>595</v>
      </c>
      <c r="B70" s="305" t="s">
        <v>2417</v>
      </c>
      <c r="C70" s="305" t="s">
        <v>1935</v>
      </c>
      <c r="D70" s="305" t="s">
        <v>1048</v>
      </c>
      <c r="E70" s="305" t="s">
        <v>268</v>
      </c>
      <c r="F70" t="b">
        <f t="shared" si="0"/>
        <v>1</v>
      </c>
      <c r="H70" t="s">
        <v>595</v>
      </c>
      <c r="I70" t="s">
        <v>646</v>
      </c>
      <c r="J70" t="s">
        <v>1919</v>
      </c>
      <c r="K70" t="s">
        <v>408</v>
      </c>
    </row>
    <row r="71" spans="1:11">
      <c r="A71" s="305" t="s">
        <v>595</v>
      </c>
      <c r="B71" s="305" t="s">
        <v>646</v>
      </c>
      <c r="C71" s="305" t="s">
        <v>1919</v>
      </c>
      <c r="D71" s="306" t="s">
        <v>648</v>
      </c>
      <c r="E71" s="305" t="s">
        <v>408</v>
      </c>
      <c r="F71" t="b">
        <f t="shared" si="0"/>
        <v>1</v>
      </c>
      <c r="H71" t="s">
        <v>595</v>
      </c>
      <c r="I71" t="s">
        <v>2417</v>
      </c>
      <c r="J71" t="s">
        <v>1935</v>
      </c>
      <c r="K71" t="s">
        <v>2733</v>
      </c>
    </row>
    <row r="72" spans="1:11">
      <c r="A72" s="305" t="s">
        <v>635</v>
      </c>
      <c r="B72" s="305" t="s">
        <v>636</v>
      </c>
      <c r="C72" s="305" t="s">
        <v>2436</v>
      </c>
      <c r="D72" s="306" t="s">
        <v>637</v>
      </c>
      <c r="E72" s="305" t="s">
        <v>408</v>
      </c>
      <c r="F72" t="b">
        <f t="shared" si="0"/>
        <v>1</v>
      </c>
      <c r="H72" t="s">
        <v>635</v>
      </c>
      <c r="I72" t="s">
        <v>636</v>
      </c>
      <c r="J72" t="s">
        <v>2436</v>
      </c>
      <c r="K72" t="s">
        <v>408</v>
      </c>
    </row>
    <row r="73" spans="1:11" ht="20.399999999999999">
      <c r="A73" s="305" t="s">
        <v>353</v>
      </c>
      <c r="B73" s="305" t="s">
        <v>354</v>
      </c>
      <c r="C73" s="305" t="s">
        <v>1961</v>
      </c>
      <c r="D73" s="305" t="s">
        <v>355</v>
      </c>
      <c r="E73" s="305" t="s">
        <v>57</v>
      </c>
      <c r="F73" t="b">
        <f t="shared" si="0"/>
        <v>1</v>
      </c>
      <c r="H73" t="s">
        <v>353</v>
      </c>
      <c r="I73" t="s">
        <v>354</v>
      </c>
      <c r="J73" t="s">
        <v>1961</v>
      </c>
      <c r="K73" t="s">
        <v>57</v>
      </c>
    </row>
    <row r="74" spans="1:11">
      <c r="A74" s="305" t="s">
        <v>198</v>
      </c>
      <c r="B74" s="305" t="s">
        <v>199</v>
      </c>
      <c r="C74" s="305" t="s">
        <v>1985</v>
      </c>
      <c r="D74" s="306" t="s">
        <v>200</v>
      </c>
      <c r="E74" s="305" t="s">
        <v>167</v>
      </c>
      <c r="F74" t="b">
        <f t="shared" si="0"/>
        <v>1</v>
      </c>
      <c r="H74" t="s">
        <v>198</v>
      </c>
      <c r="I74" t="s">
        <v>199</v>
      </c>
      <c r="J74" t="s">
        <v>1985</v>
      </c>
      <c r="K74" t="s">
        <v>167</v>
      </c>
    </row>
    <row r="75" spans="1:11">
      <c r="A75" s="305" t="s">
        <v>182</v>
      </c>
      <c r="B75" s="305" t="s">
        <v>183</v>
      </c>
      <c r="C75" s="305" t="s">
        <v>1975</v>
      </c>
      <c r="D75" s="305" t="s">
        <v>1393</v>
      </c>
      <c r="E75" s="305" t="s">
        <v>181</v>
      </c>
      <c r="F75" t="b">
        <f t="shared" si="0"/>
        <v>1</v>
      </c>
      <c r="H75" t="s">
        <v>182</v>
      </c>
      <c r="I75" t="s">
        <v>183</v>
      </c>
      <c r="J75" t="s">
        <v>1975</v>
      </c>
      <c r="K75" t="s">
        <v>181</v>
      </c>
    </row>
    <row r="76" spans="1:11">
      <c r="A76" s="305" t="s">
        <v>722</v>
      </c>
      <c r="B76" s="305" t="s">
        <v>723</v>
      </c>
      <c r="C76" s="305" t="s">
        <v>1106</v>
      </c>
      <c r="D76" s="306" t="s">
        <v>724</v>
      </c>
      <c r="E76" s="305" t="s">
        <v>167</v>
      </c>
      <c r="F76" t="b">
        <f t="shared" ref="F76:F139" si="1">A76=H76</f>
        <v>1</v>
      </c>
      <c r="H76" t="s">
        <v>722</v>
      </c>
      <c r="I76" t="s">
        <v>723</v>
      </c>
      <c r="J76" t="s">
        <v>1106</v>
      </c>
      <c r="K76" t="s">
        <v>167</v>
      </c>
    </row>
    <row r="77" spans="1:11" ht="20.399999999999999">
      <c r="A77" s="305" t="s">
        <v>294</v>
      </c>
      <c r="B77" s="305" t="s">
        <v>295</v>
      </c>
      <c r="C77" s="305" t="s">
        <v>2011</v>
      </c>
      <c r="D77" s="305" t="s">
        <v>2705</v>
      </c>
      <c r="E77" s="305" t="s">
        <v>57</v>
      </c>
      <c r="F77" t="b">
        <f t="shared" si="1"/>
        <v>1</v>
      </c>
      <c r="H77" t="s">
        <v>294</v>
      </c>
      <c r="I77" t="s">
        <v>295</v>
      </c>
      <c r="J77" t="s">
        <v>2011</v>
      </c>
      <c r="K77" t="s">
        <v>57</v>
      </c>
    </row>
    <row r="78" spans="1:11">
      <c r="A78" s="305" t="s">
        <v>2042</v>
      </c>
      <c r="B78" s="305" t="s">
        <v>2043</v>
      </c>
      <c r="C78" s="305" t="s">
        <v>2044</v>
      </c>
      <c r="D78" s="306" t="s">
        <v>1493</v>
      </c>
      <c r="E78" s="305" t="s">
        <v>211</v>
      </c>
      <c r="F78" t="b">
        <f t="shared" si="1"/>
        <v>1</v>
      </c>
      <c r="H78" t="s">
        <v>2042</v>
      </c>
      <c r="I78" t="s">
        <v>2043</v>
      </c>
      <c r="J78" t="s">
        <v>2044</v>
      </c>
      <c r="K78" t="s">
        <v>211</v>
      </c>
    </row>
    <row r="79" spans="1:11" ht="20.399999999999999">
      <c r="A79" s="305" t="s">
        <v>159</v>
      </c>
      <c r="B79" s="305" t="s">
        <v>160</v>
      </c>
      <c r="C79" s="305" t="s">
        <v>1899</v>
      </c>
      <c r="D79" s="306" t="s">
        <v>162</v>
      </c>
      <c r="E79" s="314" t="s">
        <v>57</v>
      </c>
      <c r="F79" t="b">
        <f t="shared" si="1"/>
        <v>1</v>
      </c>
      <c r="H79" t="s">
        <v>159</v>
      </c>
      <c r="I79" t="s">
        <v>160</v>
      </c>
      <c r="J79" t="s">
        <v>1899</v>
      </c>
      <c r="K79" t="s">
        <v>57</v>
      </c>
    </row>
    <row r="80" spans="1:11" ht="20.399999999999999">
      <c r="A80" s="305" t="s">
        <v>2034</v>
      </c>
      <c r="B80" s="305" t="s">
        <v>2035</v>
      </c>
      <c r="C80" s="305" t="s">
        <v>2036</v>
      </c>
      <c r="D80" s="306" t="s">
        <v>2344</v>
      </c>
      <c r="E80" s="314" t="s">
        <v>57</v>
      </c>
      <c r="F80" t="b">
        <f t="shared" si="1"/>
        <v>1</v>
      </c>
      <c r="H80" t="s">
        <v>2034</v>
      </c>
      <c r="I80" t="s">
        <v>2035</v>
      </c>
      <c r="J80" t="s">
        <v>2036</v>
      </c>
      <c r="K80" t="s">
        <v>57</v>
      </c>
    </row>
    <row r="81" spans="1:11">
      <c r="A81" s="305" t="s">
        <v>1359</v>
      </c>
      <c r="B81" s="305" t="s">
        <v>1360</v>
      </c>
      <c r="C81" s="305" t="s">
        <v>1953</v>
      </c>
      <c r="D81" s="306" t="s">
        <v>1361</v>
      </c>
      <c r="E81" s="305" t="s">
        <v>181</v>
      </c>
      <c r="F81" t="b">
        <f t="shared" si="1"/>
        <v>1</v>
      </c>
      <c r="H81" t="s">
        <v>1359</v>
      </c>
      <c r="I81" t="s">
        <v>1360</v>
      </c>
      <c r="J81" t="s">
        <v>1953</v>
      </c>
      <c r="K81" t="s">
        <v>181</v>
      </c>
    </row>
    <row r="82" spans="1:11" ht="20.399999999999999">
      <c r="A82" s="305" t="s">
        <v>113</v>
      </c>
      <c r="B82" s="305" t="s">
        <v>2282</v>
      </c>
      <c r="C82" s="305" t="s">
        <v>1949</v>
      </c>
      <c r="D82" s="306" t="s">
        <v>2706</v>
      </c>
      <c r="E82" s="313" t="s">
        <v>57</v>
      </c>
      <c r="F82" t="b">
        <f t="shared" si="1"/>
        <v>1</v>
      </c>
      <c r="H82" t="s">
        <v>113</v>
      </c>
      <c r="I82" t="s">
        <v>2282</v>
      </c>
      <c r="J82" t="s">
        <v>1949</v>
      </c>
      <c r="K82" t="s">
        <v>57</v>
      </c>
    </row>
    <row r="83" spans="1:11" ht="20.399999999999999">
      <c r="A83" s="305" t="s">
        <v>385</v>
      </c>
      <c r="B83" s="305" t="s">
        <v>2621</v>
      </c>
      <c r="C83" s="305" t="s">
        <v>756</v>
      </c>
      <c r="D83" s="306" t="s">
        <v>387</v>
      </c>
      <c r="E83" s="314" t="s">
        <v>57</v>
      </c>
      <c r="F83" t="b">
        <f t="shared" si="1"/>
        <v>1</v>
      </c>
      <c r="H83" t="s">
        <v>385</v>
      </c>
      <c r="I83" t="s">
        <v>2621</v>
      </c>
      <c r="J83" t="s">
        <v>756</v>
      </c>
      <c r="K83" t="s">
        <v>57</v>
      </c>
    </row>
    <row r="84" spans="1:11" ht="20.399999999999999">
      <c r="A84" s="305" t="s">
        <v>2076</v>
      </c>
      <c r="B84" s="305" t="s">
        <v>2077</v>
      </c>
      <c r="C84" s="305" t="s">
        <v>2078</v>
      </c>
      <c r="D84" s="306" t="s">
        <v>2591</v>
      </c>
      <c r="E84" s="305" t="s">
        <v>211</v>
      </c>
      <c r="F84" t="b">
        <f t="shared" si="1"/>
        <v>1</v>
      </c>
      <c r="H84" t="s">
        <v>2076</v>
      </c>
      <c r="I84" t="s">
        <v>2077</v>
      </c>
      <c r="J84" t="s">
        <v>2078</v>
      </c>
      <c r="K84" t="s">
        <v>211</v>
      </c>
    </row>
    <row r="85" spans="1:11" ht="20.399999999999999">
      <c r="A85" s="305" t="s">
        <v>2112</v>
      </c>
      <c r="B85" s="305" t="s">
        <v>2113</v>
      </c>
      <c r="C85" s="305" t="s">
        <v>2114</v>
      </c>
      <c r="D85" s="306" t="s">
        <v>2699</v>
      </c>
      <c r="E85" s="305" t="s">
        <v>268</v>
      </c>
      <c r="F85" t="b">
        <f t="shared" si="1"/>
        <v>1</v>
      </c>
      <c r="H85" t="s">
        <v>2112</v>
      </c>
      <c r="I85" t="s">
        <v>2113</v>
      </c>
      <c r="J85" t="s">
        <v>2114</v>
      </c>
      <c r="K85" t="s">
        <v>2733</v>
      </c>
    </row>
    <row r="86" spans="1:11" ht="20.399999999999999">
      <c r="A86" s="305" t="s">
        <v>2182</v>
      </c>
      <c r="B86" s="305" t="s">
        <v>410</v>
      </c>
      <c r="C86" s="305" t="s">
        <v>2183</v>
      </c>
      <c r="D86" s="306" t="s">
        <v>411</v>
      </c>
      <c r="E86" s="305" t="s">
        <v>408</v>
      </c>
      <c r="F86" t="b">
        <f t="shared" si="1"/>
        <v>1</v>
      </c>
      <c r="H86" t="s">
        <v>2182</v>
      </c>
      <c r="I86" t="s">
        <v>410</v>
      </c>
      <c r="J86" t="s">
        <v>2183</v>
      </c>
      <c r="K86" t="s">
        <v>408</v>
      </c>
    </row>
    <row r="87" spans="1:11">
      <c r="A87" s="305" t="s">
        <v>996</v>
      </c>
      <c r="B87" s="305" t="s">
        <v>997</v>
      </c>
      <c r="C87" s="305" t="s">
        <v>1736</v>
      </c>
      <c r="D87" s="306" t="s">
        <v>998</v>
      </c>
      <c r="E87" s="305" t="s">
        <v>174</v>
      </c>
      <c r="F87" t="b">
        <f t="shared" si="1"/>
        <v>1</v>
      </c>
      <c r="H87" t="s">
        <v>996</v>
      </c>
      <c r="I87" t="s">
        <v>997</v>
      </c>
      <c r="J87" t="s">
        <v>1736</v>
      </c>
      <c r="K87" t="s">
        <v>174</v>
      </c>
    </row>
    <row r="88" spans="1:11">
      <c r="A88" s="305" t="s">
        <v>1214</v>
      </c>
      <c r="B88" s="305" t="s">
        <v>2088</v>
      </c>
      <c r="C88" s="305" t="s">
        <v>1529</v>
      </c>
      <c r="D88" s="306" t="s">
        <v>2586</v>
      </c>
      <c r="E88" s="305" t="s">
        <v>181</v>
      </c>
      <c r="F88" t="b">
        <f t="shared" si="1"/>
        <v>1</v>
      </c>
      <c r="H88" t="s">
        <v>1214</v>
      </c>
      <c r="I88" t="s">
        <v>2088</v>
      </c>
      <c r="J88" t="s">
        <v>1529</v>
      </c>
      <c r="K88" t="s">
        <v>181</v>
      </c>
    </row>
    <row r="89" spans="1:11">
      <c r="A89" s="305" t="s">
        <v>774</v>
      </c>
      <c r="B89" s="305" t="s">
        <v>775</v>
      </c>
      <c r="C89" s="305" t="s">
        <v>1939</v>
      </c>
      <c r="D89" s="306" t="s">
        <v>776</v>
      </c>
      <c r="E89" s="305" t="s">
        <v>167</v>
      </c>
      <c r="F89" t="b">
        <f t="shared" si="1"/>
        <v>1</v>
      </c>
      <c r="H89" t="s">
        <v>774</v>
      </c>
      <c r="I89" t="s">
        <v>775</v>
      </c>
      <c r="J89" t="s">
        <v>1939</v>
      </c>
      <c r="K89" t="s">
        <v>167</v>
      </c>
    </row>
    <row r="90" spans="1:11" ht="20.399999999999999">
      <c r="A90" s="305" t="s">
        <v>2052</v>
      </c>
      <c r="B90" s="305" t="s">
        <v>2053</v>
      </c>
      <c r="C90" s="305" t="s">
        <v>2054</v>
      </c>
      <c r="D90" s="306" t="s">
        <v>2571</v>
      </c>
      <c r="E90" s="305" t="s">
        <v>211</v>
      </c>
      <c r="F90" t="b">
        <f t="shared" si="1"/>
        <v>1</v>
      </c>
      <c r="H90" t="s">
        <v>2052</v>
      </c>
      <c r="I90" t="s">
        <v>2053</v>
      </c>
      <c r="J90" t="s">
        <v>2054</v>
      </c>
      <c r="K90" t="s">
        <v>211</v>
      </c>
    </row>
    <row r="91" spans="1:11" ht="20.399999999999999">
      <c r="A91" s="306" t="s">
        <v>2089</v>
      </c>
      <c r="B91" s="306" t="s">
        <v>2090</v>
      </c>
      <c r="C91" s="306" t="s">
        <v>2091</v>
      </c>
      <c r="D91" s="306" t="s">
        <v>2690</v>
      </c>
      <c r="E91" s="305" t="s">
        <v>57</v>
      </c>
      <c r="F91" t="b">
        <f t="shared" si="1"/>
        <v>1</v>
      </c>
      <c r="H91" t="s">
        <v>2089</v>
      </c>
      <c r="I91" t="s">
        <v>2090</v>
      </c>
      <c r="J91" t="s">
        <v>2091</v>
      </c>
      <c r="K91" t="s">
        <v>57</v>
      </c>
    </row>
    <row r="92" spans="1:11" ht="20.399999999999999">
      <c r="A92" s="305" t="s">
        <v>2012</v>
      </c>
      <c r="B92" s="305" t="s">
        <v>321</v>
      </c>
      <c r="C92" s="305" t="s">
        <v>2013</v>
      </c>
      <c r="D92" s="305" t="s">
        <v>2707</v>
      </c>
      <c r="E92" s="305" t="s">
        <v>57</v>
      </c>
      <c r="F92" t="b">
        <f t="shared" si="1"/>
        <v>1</v>
      </c>
      <c r="H92" t="s">
        <v>2012</v>
      </c>
      <c r="I92" t="s">
        <v>321</v>
      </c>
      <c r="J92" t="s">
        <v>2013</v>
      </c>
      <c r="K92" t="s">
        <v>57</v>
      </c>
    </row>
    <row r="93" spans="1:11" ht="20.399999999999999">
      <c r="A93" s="305" t="s">
        <v>3057</v>
      </c>
      <c r="B93" s="305" t="s">
        <v>2083</v>
      </c>
      <c r="C93" s="305" t="s">
        <v>2084</v>
      </c>
      <c r="D93" s="305" t="s">
        <v>2708</v>
      </c>
      <c r="E93" s="305" t="s">
        <v>57</v>
      </c>
      <c r="F93" t="b">
        <f t="shared" si="1"/>
        <v>1</v>
      </c>
      <c r="H93" t="s">
        <v>3057</v>
      </c>
      <c r="I93" t="s">
        <v>2083</v>
      </c>
      <c r="J93" t="s">
        <v>2084</v>
      </c>
      <c r="K93" t="s">
        <v>57</v>
      </c>
    </row>
    <row r="94" spans="1:11">
      <c r="A94" s="305" t="s">
        <v>2055</v>
      </c>
      <c r="B94" s="305" t="s">
        <v>2056</v>
      </c>
      <c r="C94" s="305" t="s">
        <v>2057</v>
      </c>
      <c r="D94" s="306" t="s">
        <v>1486</v>
      </c>
      <c r="E94" s="305" t="s">
        <v>181</v>
      </c>
      <c r="F94" t="b">
        <f t="shared" si="1"/>
        <v>1</v>
      </c>
      <c r="H94" t="s">
        <v>2055</v>
      </c>
      <c r="I94" t="s">
        <v>2056</v>
      </c>
      <c r="J94" t="s">
        <v>2057</v>
      </c>
      <c r="K94" t="s">
        <v>181</v>
      </c>
    </row>
    <row r="95" spans="1:11">
      <c r="A95" s="305" t="s">
        <v>941</v>
      </c>
      <c r="B95" s="305" t="s">
        <v>942</v>
      </c>
      <c r="C95" s="305" t="s">
        <v>1893</v>
      </c>
      <c r="D95" s="306" t="s">
        <v>943</v>
      </c>
      <c r="E95" s="305" t="s">
        <v>181</v>
      </c>
      <c r="F95" t="b">
        <f t="shared" si="1"/>
        <v>1</v>
      </c>
      <c r="H95" t="s">
        <v>941</v>
      </c>
      <c r="I95" t="s">
        <v>942</v>
      </c>
      <c r="J95" t="s">
        <v>1893</v>
      </c>
      <c r="K95" t="s">
        <v>181</v>
      </c>
    </row>
    <row r="96" spans="1:11" ht="20.399999999999999">
      <c r="A96" s="305" t="s">
        <v>2103</v>
      </c>
      <c r="B96" s="305" t="s">
        <v>2104</v>
      </c>
      <c r="C96" s="305" t="s">
        <v>2105</v>
      </c>
      <c r="D96" s="306" t="s">
        <v>2700</v>
      </c>
      <c r="E96" s="305" t="s">
        <v>268</v>
      </c>
      <c r="F96" t="b">
        <f t="shared" si="1"/>
        <v>1</v>
      </c>
      <c r="H96" t="s">
        <v>2103</v>
      </c>
      <c r="I96" t="s">
        <v>2104</v>
      </c>
      <c r="J96" t="s">
        <v>2105</v>
      </c>
      <c r="K96" t="s">
        <v>2733</v>
      </c>
    </row>
    <row r="97" spans="1:11" ht="20.399999999999999">
      <c r="A97" s="305" t="s">
        <v>1112</v>
      </c>
      <c r="B97" s="305" t="s">
        <v>2518</v>
      </c>
      <c r="C97" s="305" t="s">
        <v>2001</v>
      </c>
      <c r="D97" s="306" t="s">
        <v>1114</v>
      </c>
      <c r="E97" s="305" t="s">
        <v>268</v>
      </c>
      <c r="F97" t="b">
        <f t="shared" si="1"/>
        <v>1</v>
      </c>
      <c r="H97" t="s">
        <v>1112</v>
      </c>
      <c r="I97" t="s">
        <v>2518</v>
      </c>
      <c r="J97" t="s">
        <v>2001</v>
      </c>
      <c r="K97" t="s">
        <v>2733</v>
      </c>
    </row>
    <row r="98" spans="1:11">
      <c r="A98" s="305" t="s">
        <v>478</v>
      </c>
      <c r="B98" s="305" t="s">
        <v>479</v>
      </c>
      <c r="C98" s="305" t="s">
        <v>1650</v>
      </c>
      <c r="D98" s="305" t="s">
        <v>480</v>
      </c>
      <c r="E98" s="305" t="s">
        <v>167</v>
      </c>
      <c r="F98" t="b">
        <f t="shared" si="1"/>
        <v>1</v>
      </c>
      <c r="H98" t="s">
        <v>478</v>
      </c>
      <c r="I98" t="s">
        <v>479</v>
      </c>
      <c r="J98" t="s">
        <v>1650</v>
      </c>
      <c r="K98" t="s">
        <v>167</v>
      </c>
    </row>
    <row r="99" spans="1:11" ht="20.399999999999999">
      <c r="A99" s="305" t="s">
        <v>478</v>
      </c>
      <c r="B99" s="305" t="s">
        <v>2058</v>
      </c>
      <c r="C99" s="305" t="s">
        <v>1650</v>
      </c>
      <c r="D99" s="306" t="s">
        <v>1476</v>
      </c>
      <c r="E99" s="305" t="s">
        <v>268</v>
      </c>
      <c r="F99" t="b">
        <f t="shared" si="1"/>
        <v>1</v>
      </c>
      <c r="H99" t="s">
        <v>478</v>
      </c>
      <c r="I99" t="s">
        <v>2058</v>
      </c>
      <c r="J99" t="s">
        <v>1650</v>
      </c>
      <c r="K99" t="s">
        <v>2733</v>
      </c>
    </row>
    <row r="100" spans="1:11">
      <c r="A100" s="305" t="s">
        <v>1328</v>
      </c>
      <c r="B100" s="305" t="s">
        <v>521</v>
      </c>
      <c r="C100" s="305" t="s">
        <v>1927</v>
      </c>
      <c r="D100" s="306" t="s">
        <v>1329</v>
      </c>
      <c r="E100" s="305" t="s">
        <v>211</v>
      </c>
      <c r="F100" t="b">
        <f t="shared" si="1"/>
        <v>1</v>
      </c>
      <c r="H100" t="s">
        <v>1328</v>
      </c>
      <c r="I100" t="s">
        <v>521</v>
      </c>
      <c r="J100" t="s">
        <v>1927</v>
      </c>
      <c r="K100" t="s">
        <v>211</v>
      </c>
    </row>
    <row r="101" spans="1:11" ht="20.399999999999999">
      <c r="A101" s="305" t="s">
        <v>823</v>
      </c>
      <c r="B101" s="305" t="s">
        <v>824</v>
      </c>
      <c r="C101" s="305" t="s">
        <v>1960</v>
      </c>
      <c r="D101" s="306" t="s">
        <v>825</v>
      </c>
      <c r="E101" s="305" t="s">
        <v>268</v>
      </c>
      <c r="F101" t="b">
        <f t="shared" si="1"/>
        <v>1</v>
      </c>
      <c r="H101" t="s">
        <v>823</v>
      </c>
      <c r="I101" t="s">
        <v>824</v>
      </c>
      <c r="J101" t="s">
        <v>1960</v>
      </c>
      <c r="K101" t="s">
        <v>2733</v>
      </c>
    </row>
    <row r="102" spans="1:11" ht="20.399999999999999">
      <c r="A102" s="305" t="s">
        <v>340</v>
      </c>
      <c r="B102" s="305" t="s">
        <v>341</v>
      </c>
      <c r="C102" s="305" t="s">
        <v>1907</v>
      </c>
      <c r="D102" s="305" t="s">
        <v>342</v>
      </c>
      <c r="E102" s="305" t="s">
        <v>57</v>
      </c>
      <c r="F102" t="b">
        <f t="shared" si="1"/>
        <v>1</v>
      </c>
      <c r="H102" t="s">
        <v>340</v>
      </c>
      <c r="I102" t="s">
        <v>341</v>
      </c>
      <c r="J102" t="s">
        <v>1907</v>
      </c>
      <c r="K102" t="s">
        <v>57</v>
      </c>
    </row>
    <row r="103" spans="1:11">
      <c r="A103" s="305" t="s">
        <v>3058</v>
      </c>
      <c r="B103" s="305" t="s">
        <v>2618</v>
      </c>
      <c r="C103" s="305" t="s">
        <v>2134</v>
      </c>
      <c r="D103" s="306" t="s">
        <v>3005</v>
      </c>
      <c r="E103" s="305" t="s">
        <v>211</v>
      </c>
      <c r="F103" t="b">
        <f t="shared" si="1"/>
        <v>1</v>
      </c>
      <c r="H103" t="s">
        <v>3058</v>
      </c>
      <c r="I103" t="s">
        <v>2618</v>
      </c>
      <c r="J103" t="s">
        <v>2134</v>
      </c>
      <c r="K103" t="s">
        <v>211</v>
      </c>
    </row>
    <row r="104" spans="1:11">
      <c r="A104" s="305" t="s">
        <v>957</v>
      </c>
      <c r="B104" s="305" t="s">
        <v>958</v>
      </c>
      <c r="C104" s="305" t="s">
        <v>1913</v>
      </c>
      <c r="D104" s="306" t="s">
        <v>959</v>
      </c>
      <c r="E104" s="305" t="s">
        <v>181</v>
      </c>
      <c r="F104" t="b">
        <f t="shared" si="1"/>
        <v>1</v>
      </c>
      <c r="H104" t="s">
        <v>957</v>
      </c>
      <c r="I104" t="s">
        <v>958</v>
      </c>
      <c r="J104" t="s">
        <v>1913</v>
      </c>
      <c r="K104" t="s">
        <v>181</v>
      </c>
    </row>
    <row r="105" spans="1:11">
      <c r="A105" s="305" t="s">
        <v>1093</v>
      </c>
      <c r="B105" s="305" t="s">
        <v>841</v>
      </c>
      <c r="C105" s="305" t="s">
        <v>1983</v>
      </c>
      <c r="D105" s="306" t="s">
        <v>1094</v>
      </c>
      <c r="E105" s="305" t="s">
        <v>189</v>
      </c>
      <c r="F105" t="b">
        <f t="shared" si="1"/>
        <v>1</v>
      </c>
      <c r="H105" t="s">
        <v>1093</v>
      </c>
      <c r="I105" t="s">
        <v>841</v>
      </c>
      <c r="J105" t="s">
        <v>1983</v>
      </c>
      <c r="K105" t="s">
        <v>189</v>
      </c>
    </row>
    <row r="106" spans="1:11" ht="20.399999999999999">
      <c r="A106" s="305" t="s">
        <v>205</v>
      </c>
      <c r="B106" s="305" t="s">
        <v>206</v>
      </c>
      <c r="C106" s="305" t="s">
        <v>1965</v>
      </c>
      <c r="D106" s="306" t="s">
        <v>207</v>
      </c>
      <c r="E106" s="307" t="s">
        <v>57</v>
      </c>
      <c r="F106" t="b">
        <f t="shared" si="1"/>
        <v>1</v>
      </c>
      <c r="H106" t="s">
        <v>205</v>
      </c>
      <c r="I106" t="s">
        <v>206</v>
      </c>
      <c r="J106" t="s">
        <v>1965</v>
      </c>
      <c r="K106" t="s">
        <v>57</v>
      </c>
    </row>
    <row r="107" spans="1:11">
      <c r="A107" s="306" t="s">
        <v>205</v>
      </c>
      <c r="B107" s="306" t="s">
        <v>308</v>
      </c>
      <c r="C107" s="306" t="s">
        <v>1887</v>
      </c>
      <c r="D107" s="306" t="s">
        <v>687</v>
      </c>
      <c r="E107" s="305" t="s">
        <v>408</v>
      </c>
      <c r="F107" t="b">
        <f t="shared" si="1"/>
        <v>1</v>
      </c>
      <c r="H107" t="s">
        <v>205</v>
      </c>
      <c r="I107" t="s">
        <v>308</v>
      </c>
      <c r="J107" t="s">
        <v>1887</v>
      </c>
      <c r="K107" t="s">
        <v>408</v>
      </c>
    </row>
    <row r="108" spans="1:11" ht="20.399999999999999">
      <c r="A108" s="305" t="s">
        <v>768</v>
      </c>
      <c r="B108" s="305" t="s">
        <v>2074</v>
      </c>
      <c r="C108" s="305" t="s">
        <v>2075</v>
      </c>
      <c r="D108" s="306" t="s">
        <v>2337</v>
      </c>
      <c r="E108" s="314" t="s">
        <v>57</v>
      </c>
      <c r="F108" t="b">
        <f t="shared" si="1"/>
        <v>1</v>
      </c>
      <c r="H108" t="s">
        <v>768</v>
      </c>
      <c r="I108" t="s">
        <v>2074</v>
      </c>
      <c r="J108" t="s">
        <v>2075</v>
      </c>
      <c r="K108" t="s">
        <v>57</v>
      </c>
    </row>
    <row r="109" spans="1:11">
      <c r="A109" s="305" t="s">
        <v>571</v>
      </c>
      <c r="B109" s="305" t="s">
        <v>572</v>
      </c>
      <c r="C109" s="305" t="s">
        <v>1901</v>
      </c>
      <c r="D109" s="305" t="s">
        <v>573</v>
      </c>
      <c r="E109" s="305" t="s">
        <v>211</v>
      </c>
      <c r="F109" t="b">
        <f t="shared" si="1"/>
        <v>1</v>
      </c>
      <c r="H109" t="s">
        <v>571</v>
      </c>
      <c r="I109" t="s">
        <v>572</v>
      </c>
      <c r="J109" t="s">
        <v>1901</v>
      </c>
      <c r="K109" t="s">
        <v>211</v>
      </c>
    </row>
    <row r="110" spans="1:11" ht="20.399999999999999">
      <c r="A110" s="305" t="s">
        <v>346</v>
      </c>
      <c r="B110" s="305" t="s">
        <v>347</v>
      </c>
      <c r="C110" s="305" t="s">
        <v>1998</v>
      </c>
      <c r="D110" s="305" t="s">
        <v>348</v>
      </c>
      <c r="E110" s="305" t="s">
        <v>57</v>
      </c>
      <c r="F110" t="b">
        <f t="shared" si="1"/>
        <v>1</v>
      </c>
      <c r="H110" t="s">
        <v>346</v>
      </c>
      <c r="I110" t="s">
        <v>347</v>
      </c>
      <c r="J110" t="s">
        <v>1998</v>
      </c>
      <c r="K110" t="s">
        <v>57</v>
      </c>
    </row>
    <row r="111" spans="1:11" ht="20.399999999999999">
      <c r="A111" s="306" t="s">
        <v>2163</v>
      </c>
      <c r="B111" s="306" t="s">
        <v>1598</v>
      </c>
      <c r="C111" s="306" t="s">
        <v>2164</v>
      </c>
      <c r="D111" s="305" t="s">
        <v>2709</v>
      </c>
      <c r="E111" s="305" t="s">
        <v>57</v>
      </c>
      <c r="F111" t="b">
        <f t="shared" si="1"/>
        <v>1</v>
      </c>
      <c r="H111" t="s">
        <v>2163</v>
      </c>
      <c r="I111" t="s">
        <v>1598</v>
      </c>
      <c r="J111" t="s">
        <v>2164</v>
      </c>
      <c r="K111" t="s">
        <v>57</v>
      </c>
    </row>
    <row r="112" spans="1:11" ht="20.399999999999999">
      <c r="A112" s="305" t="s">
        <v>120</v>
      </c>
      <c r="B112" s="305" t="s">
        <v>711</v>
      </c>
      <c r="C112" s="305" t="s">
        <v>1946</v>
      </c>
      <c r="D112" s="306" t="s">
        <v>712</v>
      </c>
      <c r="E112" s="314" t="s">
        <v>57</v>
      </c>
      <c r="F112" t="b">
        <f t="shared" si="1"/>
        <v>1</v>
      </c>
      <c r="H112" t="s">
        <v>120</v>
      </c>
      <c r="I112" t="s">
        <v>711</v>
      </c>
      <c r="J112" t="s">
        <v>1946</v>
      </c>
      <c r="K112" t="s">
        <v>57</v>
      </c>
    </row>
    <row r="113" spans="1:11" ht="20.399999999999999">
      <c r="A113" s="305" t="s">
        <v>120</v>
      </c>
      <c r="B113" s="305" t="s">
        <v>121</v>
      </c>
      <c r="C113" s="305" t="s">
        <v>1560</v>
      </c>
      <c r="D113" s="306" t="s">
        <v>123</v>
      </c>
      <c r="E113" s="307" t="s">
        <v>57</v>
      </c>
      <c r="F113" t="b">
        <f t="shared" si="1"/>
        <v>1</v>
      </c>
      <c r="H113" t="s">
        <v>120</v>
      </c>
      <c r="I113" t="s">
        <v>121</v>
      </c>
      <c r="J113" t="s">
        <v>1560</v>
      </c>
      <c r="K113" t="s">
        <v>57</v>
      </c>
    </row>
    <row r="114" spans="1:11" ht="20.399999999999999">
      <c r="A114" s="305" t="s">
        <v>249</v>
      </c>
      <c r="B114" s="305" t="s">
        <v>250</v>
      </c>
      <c r="C114" s="305" t="s">
        <v>1964</v>
      </c>
      <c r="D114" s="306" t="s">
        <v>252</v>
      </c>
      <c r="E114" s="314" t="s">
        <v>57</v>
      </c>
      <c r="F114" t="b">
        <f t="shared" si="1"/>
        <v>1</v>
      </c>
      <c r="H114" t="s">
        <v>249</v>
      </c>
      <c r="I114" t="s">
        <v>250</v>
      </c>
      <c r="J114" t="s">
        <v>1964</v>
      </c>
      <c r="K114" t="s">
        <v>57</v>
      </c>
    </row>
    <row r="115" spans="1:11">
      <c r="A115" s="306" t="s">
        <v>911</v>
      </c>
      <c r="B115" s="306" t="s">
        <v>912</v>
      </c>
      <c r="C115" s="306" t="s">
        <v>1907</v>
      </c>
      <c r="D115" s="305" t="s">
        <v>913</v>
      </c>
      <c r="E115" s="305" t="s">
        <v>167</v>
      </c>
      <c r="F115" t="b">
        <f t="shared" si="1"/>
        <v>1</v>
      </c>
      <c r="H115" t="s">
        <v>911</v>
      </c>
      <c r="I115" t="s">
        <v>912</v>
      </c>
      <c r="J115" t="s">
        <v>1907</v>
      </c>
      <c r="K115" t="s">
        <v>167</v>
      </c>
    </row>
    <row r="116" spans="1:11" ht="20.399999999999999">
      <c r="A116" s="306" t="s">
        <v>1224</v>
      </c>
      <c r="B116" s="306" t="s">
        <v>1225</v>
      </c>
      <c r="C116" s="306" t="s">
        <v>1984</v>
      </c>
      <c r="D116" s="306" t="s">
        <v>1226</v>
      </c>
      <c r="E116" s="305" t="s">
        <v>268</v>
      </c>
      <c r="F116" t="b">
        <f t="shared" si="1"/>
        <v>1</v>
      </c>
      <c r="H116" t="s">
        <v>1224</v>
      </c>
      <c r="I116" t="s">
        <v>1225</v>
      </c>
      <c r="J116" t="s">
        <v>1984</v>
      </c>
      <c r="K116" t="s">
        <v>268</v>
      </c>
    </row>
    <row r="117" spans="1:11">
      <c r="A117" s="305" t="s">
        <v>1143</v>
      </c>
      <c r="B117" s="305" t="s">
        <v>1144</v>
      </c>
      <c r="C117" s="305" t="s">
        <v>1993</v>
      </c>
      <c r="D117" s="306" t="s">
        <v>1145</v>
      </c>
      <c r="E117" s="305" t="s">
        <v>167</v>
      </c>
      <c r="F117" t="b">
        <f t="shared" si="1"/>
        <v>1</v>
      </c>
      <c r="H117" t="s">
        <v>1143</v>
      </c>
      <c r="I117" t="s">
        <v>1144</v>
      </c>
      <c r="J117" t="s">
        <v>1993</v>
      </c>
      <c r="K117" t="s">
        <v>167</v>
      </c>
    </row>
    <row r="118" spans="1:11">
      <c r="A118" s="306" t="s">
        <v>963</v>
      </c>
      <c r="B118" s="306" t="s">
        <v>2450</v>
      </c>
      <c r="C118" s="306" t="s">
        <v>1977</v>
      </c>
      <c r="D118" s="306" t="s">
        <v>965</v>
      </c>
      <c r="E118" s="305" t="s">
        <v>408</v>
      </c>
      <c r="F118" t="b">
        <f t="shared" si="1"/>
        <v>1</v>
      </c>
      <c r="H118" t="s">
        <v>963</v>
      </c>
      <c r="I118" t="s">
        <v>2450</v>
      </c>
      <c r="J118" t="s">
        <v>1977</v>
      </c>
      <c r="K118" t="s">
        <v>408</v>
      </c>
    </row>
    <row r="119" spans="1:11">
      <c r="A119" s="306" t="s">
        <v>401</v>
      </c>
      <c r="B119" s="306" t="s">
        <v>402</v>
      </c>
      <c r="C119" s="306" t="s">
        <v>2007</v>
      </c>
      <c r="D119" s="306" t="s">
        <v>403</v>
      </c>
      <c r="E119" s="305" t="s">
        <v>408</v>
      </c>
      <c r="F119" t="b">
        <f t="shared" si="1"/>
        <v>1</v>
      </c>
      <c r="H119" t="s">
        <v>401</v>
      </c>
      <c r="I119" t="s">
        <v>402</v>
      </c>
      <c r="J119" t="s">
        <v>2007</v>
      </c>
      <c r="K119" t="s">
        <v>408</v>
      </c>
    </row>
    <row r="120" spans="1:11" ht="20.399999999999999">
      <c r="A120" s="306" t="s">
        <v>1884</v>
      </c>
      <c r="B120" s="306" t="s">
        <v>1885</v>
      </c>
      <c r="C120" s="306" t="s">
        <v>1886</v>
      </c>
      <c r="D120" s="306" t="s">
        <v>2710</v>
      </c>
      <c r="E120" s="313" t="s">
        <v>57</v>
      </c>
      <c r="F120" t="b">
        <f t="shared" si="1"/>
        <v>1</v>
      </c>
      <c r="H120" t="s">
        <v>1884</v>
      </c>
      <c r="I120" t="s">
        <v>1885</v>
      </c>
      <c r="J120" t="s">
        <v>1886</v>
      </c>
      <c r="K120" t="s">
        <v>57</v>
      </c>
    </row>
    <row r="121" spans="1:11">
      <c r="A121" s="306" t="s">
        <v>1373</v>
      </c>
      <c r="B121" s="306" t="s">
        <v>1374</v>
      </c>
      <c r="C121" s="306" t="s">
        <v>1930</v>
      </c>
      <c r="D121" s="306" t="s">
        <v>1375</v>
      </c>
      <c r="E121" s="305" t="s">
        <v>211</v>
      </c>
      <c r="F121" t="b">
        <f t="shared" si="1"/>
        <v>1</v>
      </c>
      <c r="H121" t="s">
        <v>1373</v>
      </c>
      <c r="I121" t="s">
        <v>1374</v>
      </c>
      <c r="J121" t="s">
        <v>1930</v>
      </c>
      <c r="K121" t="s">
        <v>211</v>
      </c>
    </row>
    <row r="122" spans="1:11">
      <c r="A122" s="306" t="s">
        <v>863</v>
      </c>
      <c r="B122" s="306" t="s">
        <v>864</v>
      </c>
      <c r="C122" s="306" t="s">
        <v>1970</v>
      </c>
      <c r="D122" s="306" t="s">
        <v>866</v>
      </c>
      <c r="E122" s="305" t="s">
        <v>211</v>
      </c>
      <c r="F122" t="b">
        <f t="shared" si="1"/>
        <v>1</v>
      </c>
      <c r="H122" t="s">
        <v>863</v>
      </c>
      <c r="I122" t="s">
        <v>864</v>
      </c>
      <c r="J122" t="s">
        <v>1970</v>
      </c>
      <c r="K122" t="s">
        <v>211</v>
      </c>
    </row>
    <row r="123" spans="1:11">
      <c r="A123" s="306" t="s">
        <v>2135</v>
      </c>
      <c r="B123" s="306" t="s">
        <v>2136</v>
      </c>
      <c r="C123" s="306" t="s">
        <v>2137</v>
      </c>
      <c r="D123" s="306" t="s">
        <v>2697</v>
      </c>
      <c r="E123" s="305" t="s">
        <v>211</v>
      </c>
      <c r="F123" t="b">
        <f t="shared" si="1"/>
        <v>1</v>
      </c>
      <c r="H123" t="s">
        <v>2135</v>
      </c>
      <c r="I123" t="s">
        <v>2136</v>
      </c>
      <c r="J123" t="s">
        <v>2137</v>
      </c>
      <c r="K123" t="s">
        <v>211</v>
      </c>
    </row>
    <row r="124" spans="1:11">
      <c r="A124" s="305" t="s">
        <v>1118</v>
      </c>
      <c r="B124" s="305" t="s">
        <v>1119</v>
      </c>
      <c r="C124" s="305" t="s">
        <v>1974</v>
      </c>
      <c r="D124" s="305" t="s">
        <v>1120</v>
      </c>
      <c r="E124" s="305" t="s">
        <v>408</v>
      </c>
      <c r="F124" t="b">
        <f t="shared" si="1"/>
        <v>1</v>
      </c>
      <c r="H124" t="s">
        <v>1118</v>
      </c>
      <c r="I124" t="s">
        <v>1119</v>
      </c>
      <c r="J124" t="s">
        <v>1974</v>
      </c>
      <c r="K124" t="s">
        <v>408</v>
      </c>
    </row>
    <row r="125" spans="1:11">
      <c r="A125" s="306" t="s">
        <v>2101</v>
      </c>
      <c r="B125" s="306" t="s">
        <v>847</v>
      </c>
      <c r="C125" s="306" t="s">
        <v>2102</v>
      </c>
      <c r="D125" s="306" t="s">
        <v>2682</v>
      </c>
      <c r="E125" s="305" t="s">
        <v>408</v>
      </c>
      <c r="F125" t="b">
        <f t="shared" si="1"/>
        <v>1</v>
      </c>
      <c r="H125" t="s">
        <v>2101</v>
      </c>
      <c r="I125" t="s">
        <v>847</v>
      </c>
      <c r="J125" t="s">
        <v>2102</v>
      </c>
      <c r="K125" t="s">
        <v>408</v>
      </c>
    </row>
    <row r="126" spans="1:11" ht="20.399999999999999">
      <c r="A126" s="306" t="s">
        <v>2021</v>
      </c>
      <c r="B126" s="306" t="s">
        <v>295</v>
      </c>
      <c r="C126" s="306" t="s">
        <v>2022</v>
      </c>
      <c r="D126" s="306" t="s">
        <v>2601</v>
      </c>
      <c r="E126" s="305" t="s">
        <v>268</v>
      </c>
      <c r="F126" t="b">
        <f t="shared" si="1"/>
        <v>1</v>
      </c>
      <c r="H126" t="s">
        <v>2021</v>
      </c>
      <c r="I126" t="s">
        <v>295</v>
      </c>
      <c r="J126" t="s">
        <v>2022</v>
      </c>
      <c r="K126" t="s">
        <v>2733</v>
      </c>
    </row>
    <row r="127" spans="1:11">
      <c r="A127" s="306" t="s">
        <v>2138</v>
      </c>
      <c r="B127" s="306" t="s">
        <v>2139</v>
      </c>
      <c r="C127" s="306" t="s">
        <v>2140</v>
      </c>
      <c r="D127" s="306" t="s">
        <v>2636</v>
      </c>
      <c r="E127" s="305" t="s">
        <v>167</v>
      </c>
      <c r="F127" t="b">
        <f t="shared" si="1"/>
        <v>1</v>
      </c>
      <c r="H127" t="s">
        <v>2138</v>
      </c>
      <c r="I127" t="s">
        <v>2139</v>
      </c>
      <c r="J127" t="s">
        <v>2140</v>
      </c>
      <c r="K127" t="s">
        <v>167</v>
      </c>
    </row>
    <row r="128" spans="1:11">
      <c r="A128" s="306" t="s">
        <v>1035</v>
      </c>
      <c r="B128" s="306" t="s">
        <v>1036</v>
      </c>
      <c r="C128" s="306" t="s">
        <v>1923</v>
      </c>
      <c r="D128" s="306" t="s">
        <v>1038</v>
      </c>
      <c r="E128" s="305" t="s">
        <v>174</v>
      </c>
      <c r="F128" t="b">
        <f t="shared" si="1"/>
        <v>1</v>
      </c>
      <c r="H128" t="s">
        <v>1035</v>
      </c>
      <c r="I128" t="s">
        <v>1036</v>
      </c>
      <c r="J128" t="s">
        <v>1923</v>
      </c>
      <c r="K128" t="s">
        <v>174</v>
      </c>
    </row>
    <row r="129" spans="1:11">
      <c r="A129" s="306" t="s">
        <v>629</v>
      </c>
      <c r="B129" s="306" t="s">
        <v>630</v>
      </c>
      <c r="C129" s="306" t="s">
        <v>1945</v>
      </c>
      <c r="D129" s="306" t="s">
        <v>631</v>
      </c>
      <c r="E129" s="305" t="s">
        <v>408</v>
      </c>
      <c r="F129" t="b">
        <f t="shared" si="1"/>
        <v>1</v>
      </c>
      <c r="H129" t="s">
        <v>629</v>
      </c>
      <c r="I129" t="s">
        <v>630</v>
      </c>
      <c r="J129" t="s">
        <v>1945</v>
      </c>
      <c r="K129" t="s">
        <v>408</v>
      </c>
    </row>
    <row r="130" spans="1:11" ht="20.399999999999999">
      <c r="A130" s="306" t="s">
        <v>1364</v>
      </c>
      <c r="B130" s="306" t="s">
        <v>2627</v>
      </c>
      <c r="C130" s="306" t="s">
        <v>2162</v>
      </c>
      <c r="D130" s="306" t="s">
        <v>2701</v>
      </c>
      <c r="E130" s="305" t="s">
        <v>268</v>
      </c>
      <c r="F130" t="b">
        <f t="shared" si="1"/>
        <v>1</v>
      </c>
      <c r="H130" t="s">
        <v>1364</v>
      </c>
      <c r="I130" t="s">
        <v>1365</v>
      </c>
      <c r="J130" t="s">
        <v>1979</v>
      </c>
      <c r="K130" t="s">
        <v>2733</v>
      </c>
    </row>
    <row r="131" spans="1:11" ht="20.399999999999999">
      <c r="A131" s="306" t="s">
        <v>1364</v>
      </c>
      <c r="B131" s="306" t="s">
        <v>1365</v>
      </c>
      <c r="C131" s="306" t="s">
        <v>1979</v>
      </c>
      <c r="D131" s="306" t="s">
        <v>1366</v>
      </c>
      <c r="E131" s="305" t="s">
        <v>268</v>
      </c>
      <c r="F131" t="b">
        <f t="shared" si="1"/>
        <v>1</v>
      </c>
      <c r="H131" t="s">
        <v>1364</v>
      </c>
      <c r="I131" t="s">
        <v>2627</v>
      </c>
      <c r="J131" t="s">
        <v>2162</v>
      </c>
      <c r="K131" t="s">
        <v>268</v>
      </c>
    </row>
    <row r="132" spans="1:11" ht="20.399999999999999">
      <c r="A132" s="306" t="s">
        <v>373</v>
      </c>
      <c r="B132" s="306" t="s">
        <v>2115</v>
      </c>
      <c r="C132" s="306" t="s">
        <v>2116</v>
      </c>
      <c r="D132" s="306" t="s">
        <v>2711</v>
      </c>
      <c r="E132" s="313" t="s">
        <v>57</v>
      </c>
      <c r="F132" t="b">
        <f t="shared" si="1"/>
        <v>1</v>
      </c>
      <c r="H132" t="s">
        <v>373</v>
      </c>
      <c r="I132" t="s">
        <v>2115</v>
      </c>
      <c r="J132" t="s">
        <v>2116</v>
      </c>
      <c r="K132" t="s">
        <v>57</v>
      </c>
    </row>
    <row r="133" spans="1:11" ht="20.399999999999999">
      <c r="A133" s="306" t="s">
        <v>373</v>
      </c>
      <c r="B133" s="306" t="s">
        <v>374</v>
      </c>
      <c r="C133" s="306" t="s">
        <v>1968</v>
      </c>
      <c r="D133" s="305" t="s">
        <v>375</v>
      </c>
      <c r="E133" s="305" t="s">
        <v>57</v>
      </c>
      <c r="F133" t="b">
        <f t="shared" si="1"/>
        <v>1</v>
      </c>
      <c r="H133" t="s">
        <v>373</v>
      </c>
      <c r="I133" t="s">
        <v>374</v>
      </c>
      <c r="J133" t="s">
        <v>1968</v>
      </c>
      <c r="K133" t="s">
        <v>57</v>
      </c>
    </row>
    <row r="134" spans="1:11" ht="20.399999999999999">
      <c r="A134" s="306" t="s">
        <v>846</v>
      </c>
      <c r="B134" s="306" t="s">
        <v>1902</v>
      </c>
      <c r="C134" s="306" t="s">
        <v>1903</v>
      </c>
      <c r="D134" s="306" t="s">
        <v>1453</v>
      </c>
      <c r="E134" s="305" t="s">
        <v>211</v>
      </c>
      <c r="F134" t="b">
        <f t="shared" si="1"/>
        <v>1</v>
      </c>
      <c r="H134" t="s">
        <v>846</v>
      </c>
      <c r="I134" t="s">
        <v>1902</v>
      </c>
      <c r="J134" t="s">
        <v>1903</v>
      </c>
      <c r="K134" t="s">
        <v>211</v>
      </c>
    </row>
    <row r="135" spans="1:11">
      <c r="A135" s="306" t="s">
        <v>2067</v>
      </c>
      <c r="B135" s="306" t="s">
        <v>2068</v>
      </c>
      <c r="C135" s="306" t="s">
        <v>2504</v>
      </c>
      <c r="D135" s="306" t="s">
        <v>1467</v>
      </c>
      <c r="E135" s="305" t="s">
        <v>211</v>
      </c>
      <c r="F135" t="b">
        <f t="shared" si="1"/>
        <v>1</v>
      </c>
      <c r="H135" t="s">
        <v>2067</v>
      </c>
      <c r="I135" t="s">
        <v>2068</v>
      </c>
      <c r="J135" t="s">
        <v>2504</v>
      </c>
      <c r="K135" t="s">
        <v>211</v>
      </c>
    </row>
    <row r="136" spans="1:11">
      <c r="A136" s="306" t="s">
        <v>1257</v>
      </c>
      <c r="B136" s="306" t="s">
        <v>930</v>
      </c>
      <c r="C136" s="306" t="s">
        <v>1976</v>
      </c>
      <c r="D136" s="306" t="s">
        <v>1258</v>
      </c>
      <c r="E136" s="305" t="s">
        <v>167</v>
      </c>
      <c r="F136" t="b">
        <f t="shared" si="1"/>
        <v>1</v>
      </c>
      <c r="H136" t="s">
        <v>1257</v>
      </c>
      <c r="I136" t="s">
        <v>930</v>
      </c>
      <c r="J136" t="s">
        <v>1976</v>
      </c>
      <c r="K136" t="s">
        <v>167</v>
      </c>
    </row>
    <row r="137" spans="1:11">
      <c r="A137" s="306" t="s">
        <v>1286</v>
      </c>
      <c r="B137" s="306" t="s">
        <v>1287</v>
      </c>
      <c r="C137" s="306" t="s">
        <v>2006</v>
      </c>
      <c r="D137" s="306" t="s">
        <v>1288</v>
      </c>
      <c r="E137" s="305" t="s">
        <v>167</v>
      </c>
      <c r="F137" t="b">
        <f t="shared" si="1"/>
        <v>1</v>
      </c>
      <c r="H137" t="s">
        <v>1286</v>
      </c>
      <c r="I137" t="s">
        <v>1287</v>
      </c>
      <c r="J137" t="s">
        <v>2006</v>
      </c>
      <c r="K137" t="s">
        <v>167</v>
      </c>
    </row>
    <row r="138" spans="1:11" ht="20.399999999999999">
      <c r="A138" s="306" t="s">
        <v>1132</v>
      </c>
      <c r="B138" s="306" t="s">
        <v>1133</v>
      </c>
      <c r="C138" s="306" t="s">
        <v>1990</v>
      </c>
      <c r="D138" s="305" t="s">
        <v>1134</v>
      </c>
      <c r="E138" s="305" t="s">
        <v>268</v>
      </c>
      <c r="F138" t="b">
        <f t="shared" si="1"/>
        <v>1</v>
      </c>
      <c r="H138" t="s">
        <v>1132</v>
      </c>
      <c r="I138" t="s">
        <v>1133</v>
      </c>
      <c r="J138" t="s">
        <v>1990</v>
      </c>
      <c r="K138" t="s">
        <v>2733</v>
      </c>
    </row>
    <row r="139" spans="1:11" ht="20.399999999999999">
      <c r="A139" s="306" t="s">
        <v>2153</v>
      </c>
      <c r="B139" s="306" t="s">
        <v>2154</v>
      </c>
      <c r="C139" s="306" t="s">
        <v>2155</v>
      </c>
      <c r="D139" s="305" t="s">
        <v>2712</v>
      </c>
      <c r="E139" s="305" t="s">
        <v>57</v>
      </c>
      <c r="F139" t="b">
        <f t="shared" si="1"/>
        <v>1</v>
      </c>
      <c r="H139" t="s">
        <v>2153</v>
      </c>
      <c r="I139" t="s">
        <v>2154</v>
      </c>
      <c r="J139" t="s">
        <v>2155</v>
      </c>
      <c r="K139" t="s">
        <v>57</v>
      </c>
    </row>
    <row r="140" spans="1:11">
      <c r="A140" s="306" t="s">
        <v>2127</v>
      </c>
      <c r="B140" s="306" t="s">
        <v>2128</v>
      </c>
      <c r="C140" s="306" t="s">
        <v>2129</v>
      </c>
      <c r="D140" s="305" t="s">
        <v>2693</v>
      </c>
      <c r="E140" s="305" t="s">
        <v>174</v>
      </c>
      <c r="F140" t="b">
        <f t="shared" ref="F140:F203" si="2">A140=H140</f>
        <v>1</v>
      </c>
      <c r="H140" t="s">
        <v>2127</v>
      </c>
      <c r="I140" t="s">
        <v>2128</v>
      </c>
      <c r="J140" t="s">
        <v>2129</v>
      </c>
      <c r="K140" t="s">
        <v>174</v>
      </c>
    </row>
    <row r="141" spans="1:11">
      <c r="A141" s="306" t="s">
        <v>212</v>
      </c>
      <c r="B141" s="306" t="s">
        <v>213</v>
      </c>
      <c r="C141" s="306" t="s">
        <v>2186</v>
      </c>
      <c r="D141" s="305" t="s">
        <v>219</v>
      </c>
      <c r="E141" s="305" t="s">
        <v>211</v>
      </c>
      <c r="F141" t="b">
        <f t="shared" si="2"/>
        <v>1</v>
      </c>
      <c r="H141" t="s">
        <v>212</v>
      </c>
    </row>
    <row r="142" spans="1:11">
      <c r="A142" s="305" t="s">
        <v>190</v>
      </c>
      <c r="B142" s="305" t="s">
        <v>191</v>
      </c>
      <c r="C142" s="305" t="s">
        <v>1942</v>
      </c>
      <c r="D142" s="305" t="s">
        <v>192</v>
      </c>
      <c r="E142" s="305" t="s">
        <v>167</v>
      </c>
      <c r="F142" t="b">
        <f t="shared" si="2"/>
        <v>1</v>
      </c>
      <c r="H142" t="s">
        <v>190</v>
      </c>
      <c r="I142" t="s">
        <v>191</v>
      </c>
      <c r="J142" t="s">
        <v>1942</v>
      </c>
      <c r="K142" t="s">
        <v>167</v>
      </c>
    </row>
    <row r="143" spans="1:11" ht="20.399999999999999">
      <c r="A143" s="306" t="s">
        <v>834</v>
      </c>
      <c r="B143" s="306" t="s">
        <v>835</v>
      </c>
      <c r="C143" s="306" t="s">
        <v>1963</v>
      </c>
      <c r="D143" s="305" t="s">
        <v>2694</v>
      </c>
      <c r="E143" s="305" t="s">
        <v>174</v>
      </c>
      <c r="F143" t="b">
        <f t="shared" si="2"/>
        <v>1</v>
      </c>
      <c r="H143" t="s">
        <v>834</v>
      </c>
      <c r="I143" t="s">
        <v>835</v>
      </c>
      <c r="J143" t="s">
        <v>1963</v>
      </c>
      <c r="K143" t="s">
        <v>174</v>
      </c>
    </row>
    <row r="144" spans="1:11">
      <c r="A144" s="306" t="s">
        <v>1156</v>
      </c>
      <c r="B144" s="306" t="s">
        <v>1157</v>
      </c>
      <c r="C144" s="306" t="s">
        <v>1997</v>
      </c>
      <c r="D144" s="306" t="s">
        <v>1158</v>
      </c>
      <c r="E144" s="305" t="s">
        <v>167</v>
      </c>
      <c r="F144" t="b">
        <f t="shared" si="2"/>
        <v>1</v>
      </c>
      <c r="H144" t="s">
        <v>1156</v>
      </c>
      <c r="I144" t="s">
        <v>1157</v>
      </c>
      <c r="J144" t="s">
        <v>1997</v>
      </c>
      <c r="K144" t="s">
        <v>167</v>
      </c>
    </row>
    <row r="145" spans="1:11" ht="20.399999999999999">
      <c r="A145" s="306" t="s">
        <v>69</v>
      </c>
      <c r="B145" s="306" t="s">
        <v>2515</v>
      </c>
      <c r="C145" s="306" t="s">
        <v>2516</v>
      </c>
      <c r="D145" s="306" t="s">
        <v>1492</v>
      </c>
      <c r="E145" s="305" t="s">
        <v>268</v>
      </c>
      <c r="F145" t="b">
        <f t="shared" si="2"/>
        <v>1</v>
      </c>
      <c r="H145" t="s">
        <v>69</v>
      </c>
      <c r="I145" t="s">
        <v>1161</v>
      </c>
      <c r="J145" t="s">
        <v>1973</v>
      </c>
      <c r="K145" t="s">
        <v>167</v>
      </c>
    </row>
    <row r="146" spans="1:11">
      <c r="A146" s="306" t="s">
        <v>69</v>
      </c>
      <c r="B146" s="306" t="s">
        <v>1161</v>
      </c>
      <c r="C146" s="306" t="s">
        <v>1973</v>
      </c>
      <c r="D146" s="306" t="s">
        <v>1162</v>
      </c>
      <c r="E146" s="305" t="s">
        <v>167</v>
      </c>
      <c r="F146" t="b">
        <f t="shared" si="2"/>
        <v>1</v>
      </c>
      <c r="H146" t="s">
        <v>69</v>
      </c>
      <c r="I146" t="s">
        <v>2515</v>
      </c>
      <c r="J146" t="s">
        <v>2516</v>
      </c>
      <c r="K146" t="s">
        <v>2733</v>
      </c>
    </row>
    <row r="147" spans="1:11">
      <c r="A147" s="306" t="s">
        <v>1041</v>
      </c>
      <c r="B147" s="306" t="s">
        <v>1042</v>
      </c>
      <c r="C147" s="306" t="s">
        <v>1978</v>
      </c>
      <c r="D147" s="306" t="s">
        <v>1043</v>
      </c>
      <c r="E147" s="305" t="s">
        <v>174</v>
      </c>
      <c r="F147" t="b">
        <f t="shared" si="2"/>
        <v>1</v>
      </c>
      <c r="H147" t="s">
        <v>1041</v>
      </c>
      <c r="I147" t="s">
        <v>1042</v>
      </c>
      <c r="J147" t="s">
        <v>1978</v>
      </c>
      <c r="K147" t="s">
        <v>174</v>
      </c>
    </row>
    <row r="148" spans="1:11" ht="20.399999999999999">
      <c r="A148" s="306" t="s">
        <v>2064</v>
      </c>
      <c r="B148" s="306" t="s">
        <v>2065</v>
      </c>
      <c r="C148" s="306" t="s">
        <v>2066</v>
      </c>
      <c r="D148" s="305" t="s">
        <v>2332</v>
      </c>
      <c r="E148" s="305" t="s">
        <v>57</v>
      </c>
      <c r="F148" t="b">
        <f t="shared" si="2"/>
        <v>1</v>
      </c>
      <c r="H148" t="s">
        <v>2064</v>
      </c>
      <c r="I148" t="s">
        <v>2065</v>
      </c>
      <c r="J148" t="s">
        <v>2066</v>
      </c>
      <c r="K148" t="s">
        <v>57</v>
      </c>
    </row>
    <row r="149" spans="1:11" ht="20.399999999999999">
      <c r="A149" s="306" t="s">
        <v>851</v>
      </c>
      <c r="B149" s="306" t="s">
        <v>852</v>
      </c>
      <c r="C149" s="306" t="s">
        <v>1941</v>
      </c>
      <c r="D149" s="306" t="s">
        <v>853</v>
      </c>
      <c r="E149" s="314" t="s">
        <v>57</v>
      </c>
      <c r="F149" t="b">
        <f t="shared" si="2"/>
        <v>1</v>
      </c>
      <c r="H149" t="s">
        <v>851</v>
      </c>
      <c r="I149" t="s">
        <v>852</v>
      </c>
      <c r="J149" t="s">
        <v>1941</v>
      </c>
      <c r="K149" t="s">
        <v>57</v>
      </c>
    </row>
    <row r="150" spans="1:11" ht="20.399999999999999">
      <c r="A150" s="306" t="s">
        <v>2037</v>
      </c>
      <c r="B150" s="306" t="s">
        <v>2522</v>
      </c>
      <c r="C150" s="306" t="s">
        <v>2038</v>
      </c>
      <c r="D150" s="306" t="s">
        <v>1423</v>
      </c>
      <c r="E150" s="305" t="s">
        <v>268</v>
      </c>
      <c r="F150" t="b">
        <f t="shared" si="2"/>
        <v>1</v>
      </c>
      <c r="H150" t="s">
        <v>2037</v>
      </c>
      <c r="I150" t="s">
        <v>2522</v>
      </c>
      <c r="J150" t="s">
        <v>2038</v>
      </c>
      <c r="K150" t="s">
        <v>268</v>
      </c>
    </row>
    <row r="151" spans="1:11">
      <c r="A151" s="305" t="s">
        <v>1125</v>
      </c>
      <c r="B151" s="305" t="s">
        <v>1126</v>
      </c>
      <c r="C151" s="305" t="s">
        <v>2000</v>
      </c>
      <c r="D151" s="305" t="s">
        <v>1127</v>
      </c>
      <c r="E151" s="305" t="s">
        <v>181</v>
      </c>
      <c r="F151" t="b">
        <f t="shared" si="2"/>
        <v>1</v>
      </c>
      <c r="H151" t="s">
        <v>1125</v>
      </c>
      <c r="I151" t="s">
        <v>1292</v>
      </c>
      <c r="J151" t="s">
        <v>2639</v>
      </c>
      <c r="K151" t="s">
        <v>181</v>
      </c>
    </row>
    <row r="152" spans="1:11">
      <c r="A152" s="306" t="s">
        <v>1125</v>
      </c>
      <c r="B152" s="306" t="s">
        <v>1292</v>
      </c>
      <c r="C152" s="306" t="s">
        <v>2639</v>
      </c>
      <c r="D152" s="306" t="s">
        <v>1293</v>
      </c>
      <c r="E152" s="305" t="s">
        <v>181</v>
      </c>
      <c r="F152" t="b">
        <f t="shared" si="2"/>
        <v>1</v>
      </c>
      <c r="H152" t="s">
        <v>1125</v>
      </c>
      <c r="I152" t="s">
        <v>1126</v>
      </c>
      <c r="J152" t="s">
        <v>2000</v>
      </c>
      <c r="K152" t="s">
        <v>181</v>
      </c>
    </row>
    <row r="153" spans="1:11">
      <c r="A153" s="306" t="s">
        <v>1052</v>
      </c>
      <c r="B153" s="306" t="s">
        <v>1053</v>
      </c>
      <c r="C153" s="306" t="s">
        <v>1948</v>
      </c>
      <c r="D153" s="306" t="s">
        <v>1054</v>
      </c>
      <c r="E153" s="305" t="s">
        <v>408</v>
      </c>
      <c r="F153" t="b">
        <f t="shared" si="2"/>
        <v>1</v>
      </c>
      <c r="H153" t="s">
        <v>1052</v>
      </c>
      <c r="I153" t="s">
        <v>1053</v>
      </c>
      <c r="J153" t="s">
        <v>1948</v>
      </c>
      <c r="K153" t="s">
        <v>408</v>
      </c>
    </row>
    <row r="154" spans="1:11" ht="20.399999999999999">
      <c r="A154" s="306" t="s">
        <v>286</v>
      </c>
      <c r="B154" s="306" t="s">
        <v>1909</v>
      </c>
      <c r="C154" s="306" t="s">
        <v>1910</v>
      </c>
      <c r="D154" s="305" t="s">
        <v>2713</v>
      </c>
      <c r="E154" s="305" t="s">
        <v>57</v>
      </c>
      <c r="F154" t="b">
        <f t="shared" si="2"/>
        <v>1</v>
      </c>
      <c r="H154" t="s">
        <v>286</v>
      </c>
      <c r="I154" t="s">
        <v>1909</v>
      </c>
      <c r="J154" t="s">
        <v>1910</v>
      </c>
      <c r="K154" t="s">
        <v>57</v>
      </c>
    </row>
    <row r="155" spans="1:11" ht="20.399999999999999">
      <c r="A155" s="306" t="s">
        <v>716</v>
      </c>
      <c r="B155" s="306" t="s">
        <v>2117</v>
      </c>
      <c r="C155" s="306" t="s">
        <v>2118</v>
      </c>
      <c r="D155" s="305" t="s">
        <v>2714</v>
      </c>
      <c r="E155" s="305" t="s">
        <v>57</v>
      </c>
      <c r="F155" t="b">
        <f t="shared" si="2"/>
        <v>1</v>
      </c>
      <c r="H155" t="s">
        <v>716</v>
      </c>
      <c r="I155" t="s">
        <v>2117</v>
      </c>
      <c r="J155" t="s">
        <v>2118</v>
      </c>
      <c r="K155" t="s">
        <v>57</v>
      </c>
    </row>
    <row r="156" spans="1:11">
      <c r="A156" s="306" t="s">
        <v>488</v>
      </c>
      <c r="B156" s="306" t="s">
        <v>2059</v>
      </c>
      <c r="C156" s="306" t="s">
        <v>2060</v>
      </c>
      <c r="D156" s="306" t="s">
        <v>1446</v>
      </c>
      <c r="E156" s="305" t="s">
        <v>174</v>
      </c>
      <c r="F156" t="b">
        <f t="shared" si="2"/>
        <v>1</v>
      </c>
      <c r="H156" t="s">
        <v>488</v>
      </c>
      <c r="I156" t="s">
        <v>2059</v>
      </c>
      <c r="J156" t="s">
        <v>2060</v>
      </c>
      <c r="K156" t="s">
        <v>174</v>
      </c>
    </row>
    <row r="157" spans="1:11">
      <c r="A157" s="306" t="s">
        <v>990</v>
      </c>
      <c r="B157" s="306" t="s">
        <v>991</v>
      </c>
      <c r="C157" s="306" t="s">
        <v>1894</v>
      </c>
      <c r="D157" s="306" t="s">
        <v>1427</v>
      </c>
      <c r="E157" s="305" t="s">
        <v>408</v>
      </c>
      <c r="F157" t="b">
        <f t="shared" si="2"/>
        <v>1</v>
      </c>
      <c r="H157" t="s">
        <v>990</v>
      </c>
      <c r="I157" t="s">
        <v>991</v>
      </c>
      <c r="J157" t="s">
        <v>1894</v>
      </c>
      <c r="K157" t="s">
        <v>408</v>
      </c>
    </row>
    <row r="158" spans="1:11">
      <c r="A158" s="306" t="s">
        <v>2045</v>
      </c>
      <c r="B158" s="306" t="s">
        <v>2046</v>
      </c>
      <c r="C158" s="306" t="s">
        <v>2047</v>
      </c>
      <c r="D158" s="306" t="s">
        <v>2342</v>
      </c>
      <c r="E158" s="305" t="s">
        <v>174</v>
      </c>
      <c r="F158" t="b">
        <f t="shared" si="2"/>
        <v>1</v>
      </c>
      <c r="H158" t="s">
        <v>2045</v>
      </c>
      <c r="I158" t="s">
        <v>2046</v>
      </c>
      <c r="J158" t="s">
        <v>2047</v>
      </c>
      <c r="K158" t="s">
        <v>174</v>
      </c>
    </row>
    <row r="159" spans="1:11">
      <c r="A159" s="306" t="s">
        <v>577</v>
      </c>
      <c r="B159" s="306" t="s">
        <v>578</v>
      </c>
      <c r="C159" s="306" t="s">
        <v>1904</v>
      </c>
      <c r="D159" s="305" t="s">
        <v>579</v>
      </c>
      <c r="E159" s="305" t="s">
        <v>174</v>
      </c>
      <c r="F159" t="b">
        <f t="shared" si="2"/>
        <v>1</v>
      </c>
      <c r="H159" t="s">
        <v>577</v>
      </c>
      <c r="I159" t="s">
        <v>578</v>
      </c>
      <c r="J159" t="s">
        <v>1904</v>
      </c>
      <c r="K159" t="s">
        <v>174</v>
      </c>
    </row>
    <row r="160" spans="1:11">
      <c r="A160" s="306" t="s">
        <v>968</v>
      </c>
      <c r="B160" s="306" t="s">
        <v>969</v>
      </c>
      <c r="C160" s="306" t="s">
        <v>1944</v>
      </c>
      <c r="D160" s="306" t="s">
        <v>970</v>
      </c>
      <c r="E160" s="305" t="s">
        <v>174</v>
      </c>
      <c r="F160" t="b">
        <f t="shared" si="2"/>
        <v>1</v>
      </c>
      <c r="H160" t="s">
        <v>968</v>
      </c>
      <c r="I160" t="s">
        <v>969</v>
      </c>
      <c r="J160" t="s">
        <v>1944</v>
      </c>
      <c r="K160" t="s">
        <v>174</v>
      </c>
    </row>
    <row r="161" spans="1:11" ht="20.399999999999999">
      <c r="A161" s="306" t="s">
        <v>434</v>
      </c>
      <c r="B161" s="306" t="s">
        <v>435</v>
      </c>
      <c r="C161" s="306" t="s">
        <v>1988</v>
      </c>
      <c r="D161" s="305" t="s">
        <v>436</v>
      </c>
      <c r="E161" s="305" t="s">
        <v>57</v>
      </c>
      <c r="F161" t="b">
        <f t="shared" si="2"/>
        <v>1</v>
      </c>
      <c r="H161" t="s">
        <v>434</v>
      </c>
      <c r="I161" t="s">
        <v>435</v>
      </c>
      <c r="J161" t="s">
        <v>1988</v>
      </c>
      <c r="K161" t="s">
        <v>57</v>
      </c>
    </row>
    <row r="162" spans="1:11">
      <c r="A162" s="306" t="s">
        <v>1057</v>
      </c>
      <c r="B162" s="306" t="s">
        <v>847</v>
      </c>
      <c r="C162" s="306" t="s">
        <v>1929</v>
      </c>
      <c r="D162" s="306" t="s">
        <v>1058</v>
      </c>
      <c r="E162" s="305" t="s">
        <v>167</v>
      </c>
      <c r="F162" t="b">
        <f t="shared" si="2"/>
        <v>1</v>
      </c>
      <c r="H162" t="s">
        <v>1057</v>
      </c>
      <c r="I162" t="s">
        <v>847</v>
      </c>
      <c r="J162" t="s">
        <v>1929</v>
      </c>
      <c r="K162" t="s">
        <v>167</v>
      </c>
    </row>
    <row r="163" spans="1:11">
      <c r="A163" s="306" t="s">
        <v>1202</v>
      </c>
      <c r="B163" s="306" t="s">
        <v>1203</v>
      </c>
      <c r="C163" s="306" t="s">
        <v>1917</v>
      </c>
      <c r="D163" s="306" t="s">
        <v>1205</v>
      </c>
      <c r="E163" s="305" t="s">
        <v>408</v>
      </c>
      <c r="F163" t="b">
        <f t="shared" si="2"/>
        <v>1</v>
      </c>
      <c r="H163" t="s">
        <v>1202</v>
      </c>
      <c r="I163" t="s">
        <v>1203</v>
      </c>
      <c r="J163" t="s">
        <v>1917</v>
      </c>
      <c r="K163" t="s">
        <v>408</v>
      </c>
    </row>
    <row r="164" spans="1:11">
      <c r="A164" s="306" t="s">
        <v>923</v>
      </c>
      <c r="B164" s="306" t="s">
        <v>924</v>
      </c>
      <c r="C164" s="306" t="s">
        <v>1908</v>
      </c>
      <c r="D164" s="306" t="s">
        <v>925</v>
      </c>
      <c r="E164" s="305" t="s">
        <v>174</v>
      </c>
      <c r="F164" t="b">
        <f t="shared" si="2"/>
        <v>1</v>
      </c>
      <c r="H164" t="s">
        <v>923</v>
      </c>
      <c r="I164" t="s">
        <v>924</v>
      </c>
      <c r="J164" t="s">
        <v>1908</v>
      </c>
      <c r="K164" t="s">
        <v>174</v>
      </c>
    </row>
    <row r="165" spans="1:11">
      <c r="A165" s="305" t="s">
        <v>623</v>
      </c>
      <c r="B165" s="305" t="s">
        <v>624</v>
      </c>
      <c r="C165" s="305" t="s">
        <v>1958</v>
      </c>
      <c r="D165" s="305" t="s">
        <v>625</v>
      </c>
      <c r="E165" s="305" t="s">
        <v>408</v>
      </c>
      <c r="F165" t="b">
        <f t="shared" si="2"/>
        <v>1</v>
      </c>
      <c r="H165" t="s">
        <v>623</v>
      </c>
      <c r="I165" t="s">
        <v>624</v>
      </c>
      <c r="J165" t="s">
        <v>1958</v>
      </c>
      <c r="K165" t="s">
        <v>408</v>
      </c>
    </row>
    <row r="166" spans="1:11" ht="20.399999999999999">
      <c r="A166" s="306" t="s">
        <v>379</v>
      </c>
      <c r="B166" s="306" t="s">
        <v>380</v>
      </c>
      <c r="C166" s="306" t="s">
        <v>1999</v>
      </c>
      <c r="D166" s="306" t="s">
        <v>381</v>
      </c>
      <c r="E166" s="313" t="s">
        <v>57</v>
      </c>
      <c r="F166" t="b">
        <f t="shared" si="2"/>
        <v>1</v>
      </c>
      <c r="H166" t="s">
        <v>379</v>
      </c>
      <c r="I166" t="s">
        <v>380</v>
      </c>
      <c r="J166" t="s">
        <v>1999</v>
      </c>
      <c r="K166" t="s">
        <v>57</v>
      </c>
    </row>
    <row r="167" spans="1:11">
      <c r="A167" s="306" t="s">
        <v>2095</v>
      </c>
      <c r="B167" s="306" t="s">
        <v>2096</v>
      </c>
      <c r="C167" s="306" t="s">
        <v>2097</v>
      </c>
      <c r="D167" s="306" t="s">
        <v>2623</v>
      </c>
      <c r="E167" s="305" t="s">
        <v>408</v>
      </c>
      <c r="F167" t="b">
        <f t="shared" si="2"/>
        <v>1</v>
      </c>
      <c r="H167" t="s">
        <v>2095</v>
      </c>
      <c r="I167" t="s">
        <v>2096</v>
      </c>
      <c r="J167" t="s">
        <v>2097</v>
      </c>
      <c r="K167" t="s">
        <v>408</v>
      </c>
    </row>
    <row r="168" spans="1:11" ht="20.399999999999999">
      <c r="A168" s="306" t="s">
        <v>450</v>
      </c>
      <c r="B168" s="306" t="s">
        <v>451</v>
      </c>
      <c r="C168" s="306" t="s">
        <v>1916</v>
      </c>
      <c r="D168" s="305" t="s">
        <v>452</v>
      </c>
      <c r="E168" s="305" t="s">
        <v>57</v>
      </c>
      <c r="F168" t="b">
        <f t="shared" si="2"/>
        <v>1</v>
      </c>
      <c r="H168" t="s">
        <v>450</v>
      </c>
      <c r="I168" t="s">
        <v>451</v>
      </c>
      <c r="J168" t="s">
        <v>1916</v>
      </c>
      <c r="K168" t="s">
        <v>57</v>
      </c>
    </row>
    <row r="169" spans="1:11">
      <c r="A169" s="306" t="s">
        <v>2141</v>
      </c>
      <c r="B169" s="306" t="s">
        <v>1648</v>
      </c>
      <c r="C169" s="306" t="s">
        <v>2142</v>
      </c>
      <c r="D169" s="306" t="s">
        <v>2695</v>
      </c>
      <c r="E169" s="305" t="s">
        <v>174</v>
      </c>
      <c r="F169" t="b">
        <f t="shared" si="2"/>
        <v>1</v>
      </c>
      <c r="H169" t="s">
        <v>2141</v>
      </c>
      <c r="I169" t="s">
        <v>1648</v>
      </c>
      <c r="J169" t="s">
        <v>2142</v>
      </c>
      <c r="K169" t="s">
        <v>174</v>
      </c>
    </row>
    <row r="170" spans="1:11" ht="20.399999999999999">
      <c r="A170" s="306" t="s">
        <v>705</v>
      </c>
      <c r="B170" s="306" t="s">
        <v>706</v>
      </c>
      <c r="C170" s="306" t="s">
        <v>1922</v>
      </c>
      <c r="D170" s="306" t="s">
        <v>707</v>
      </c>
      <c r="E170" s="307" t="s">
        <v>57</v>
      </c>
      <c r="F170" t="b">
        <f t="shared" si="2"/>
        <v>1</v>
      </c>
      <c r="H170" t="s">
        <v>705</v>
      </c>
      <c r="I170" t="s">
        <v>706</v>
      </c>
      <c r="J170" t="s">
        <v>1922</v>
      </c>
      <c r="K170" t="s">
        <v>57</v>
      </c>
    </row>
    <row r="171" spans="1:11">
      <c r="A171" s="306" t="s">
        <v>2149</v>
      </c>
      <c r="B171" s="306" t="s">
        <v>3049</v>
      </c>
      <c r="C171" s="306" t="s">
        <v>1651</v>
      </c>
      <c r="D171" s="305" t="s">
        <v>2852</v>
      </c>
      <c r="E171" s="305" t="s">
        <v>408</v>
      </c>
      <c r="F171" t="b">
        <f t="shared" si="2"/>
        <v>1</v>
      </c>
      <c r="H171" t="s">
        <v>2149</v>
      </c>
      <c r="I171" t="s">
        <v>3049</v>
      </c>
      <c r="J171" t="s">
        <v>1651</v>
      </c>
      <c r="K171" t="s">
        <v>408</v>
      </c>
    </row>
    <row r="172" spans="1:11" ht="20.399999999999999">
      <c r="A172" s="306" t="s">
        <v>780</v>
      </c>
      <c r="B172" s="306" t="s">
        <v>781</v>
      </c>
      <c r="C172" s="306" t="s">
        <v>1992</v>
      </c>
      <c r="D172" s="306" t="s">
        <v>782</v>
      </c>
      <c r="E172" s="305" t="s">
        <v>268</v>
      </c>
      <c r="F172" t="b">
        <f t="shared" si="2"/>
        <v>1</v>
      </c>
      <c r="H172" t="s">
        <v>780</v>
      </c>
      <c r="I172" t="s">
        <v>781</v>
      </c>
      <c r="J172" t="s">
        <v>1992</v>
      </c>
      <c r="K172" t="s">
        <v>2733</v>
      </c>
    </row>
    <row r="173" spans="1:11" ht="20.399999999999999">
      <c r="A173" s="306" t="s">
        <v>429</v>
      </c>
      <c r="B173" s="306" t="s">
        <v>430</v>
      </c>
      <c r="C173" s="306" t="s">
        <v>1916</v>
      </c>
      <c r="D173" s="305" t="s">
        <v>431</v>
      </c>
      <c r="E173" s="305" t="s">
        <v>57</v>
      </c>
      <c r="F173" t="b">
        <f t="shared" si="2"/>
        <v>1</v>
      </c>
      <c r="H173" t="s">
        <v>429</v>
      </c>
      <c r="I173" t="s">
        <v>430</v>
      </c>
      <c r="J173" t="s">
        <v>1916</v>
      </c>
      <c r="K173" t="s">
        <v>57</v>
      </c>
    </row>
    <row r="174" spans="1:11" ht="20.399999999999999">
      <c r="A174" s="306" t="s">
        <v>818</v>
      </c>
      <c r="B174" s="306" t="s">
        <v>819</v>
      </c>
      <c r="C174" s="306" t="s">
        <v>1900</v>
      </c>
      <c r="D174" s="306" t="s">
        <v>820</v>
      </c>
      <c r="E174" s="305" t="s">
        <v>268</v>
      </c>
      <c r="F174" t="b">
        <f t="shared" si="2"/>
        <v>1</v>
      </c>
      <c r="H174" t="s">
        <v>818</v>
      </c>
      <c r="I174" t="s">
        <v>819</v>
      </c>
      <c r="J174" t="s">
        <v>1900</v>
      </c>
      <c r="K174" t="s">
        <v>2733</v>
      </c>
    </row>
    <row r="175" spans="1:11" ht="20.399999999999999">
      <c r="A175" s="306" t="s">
        <v>2158</v>
      </c>
      <c r="B175" s="306" t="s">
        <v>2287</v>
      </c>
      <c r="C175" s="306" t="s">
        <v>2159</v>
      </c>
      <c r="D175" s="305" t="s">
        <v>2819</v>
      </c>
      <c r="E175" s="313" t="s">
        <v>57</v>
      </c>
      <c r="F175" t="b">
        <f t="shared" si="2"/>
        <v>1</v>
      </c>
      <c r="H175" t="s">
        <v>2158</v>
      </c>
      <c r="I175" t="s">
        <v>2287</v>
      </c>
      <c r="J175" t="s">
        <v>2159</v>
      </c>
      <c r="K175" t="s">
        <v>57</v>
      </c>
    </row>
    <row r="176" spans="1:11" ht="20.399999999999999">
      <c r="A176" s="306" t="s">
        <v>2023</v>
      </c>
      <c r="B176" s="306" t="s">
        <v>2024</v>
      </c>
      <c r="C176" s="306" t="s">
        <v>2025</v>
      </c>
      <c r="D176" s="305" t="s">
        <v>2393</v>
      </c>
      <c r="E176" s="305" t="s">
        <v>57</v>
      </c>
      <c r="F176" t="b">
        <f t="shared" si="2"/>
        <v>1</v>
      </c>
      <c r="H176" t="s">
        <v>2023</v>
      </c>
      <c r="I176" t="s">
        <v>2024</v>
      </c>
      <c r="J176" t="s">
        <v>2025</v>
      </c>
      <c r="K176" t="s">
        <v>57</v>
      </c>
    </row>
    <row r="177" spans="1:11" ht="20.399999999999999">
      <c r="A177" s="306" t="s">
        <v>97</v>
      </c>
      <c r="B177" s="306" t="s">
        <v>98</v>
      </c>
      <c r="C177" s="306" t="s">
        <v>1981</v>
      </c>
      <c r="D177" s="306" t="s">
        <v>99</v>
      </c>
      <c r="E177" s="307" t="s">
        <v>57</v>
      </c>
      <c r="F177" t="b">
        <f t="shared" si="2"/>
        <v>1</v>
      </c>
      <c r="H177" t="s">
        <v>97</v>
      </c>
      <c r="I177" t="s">
        <v>98</v>
      </c>
      <c r="J177" t="s">
        <v>1981</v>
      </c>
      <c r="K177" t="s">
        <v>57</v>
      </c>
    </row>
    <row r="178" spans="1:11" ht="20.399999999999999">
      <c r="A178" s="306" t="s">
        <v>423</v>
      </c>
      <c r="B178" s="306" t="s">
        <v>424</v>
      </c>
      <c r="C178" s="306" t="s">
        <v>1915</v>
      </c>
      <c r="D178" s="305" t="s">
        <v>425</v>
      </c>
      <c r="E178" s="305" t="s">
        <v>57</v>
      </c>
      <c r="F178" t="b">
        <f t="shared" si="2"/>
        <v>1</v>
      </c>
      <c r="H178" t="s">
        <v>423</v>
      </c>
      <c r="I178" t="s">
        <v>607</v>
      </c>
      <c r="J178" t="s">
        <v>2000</v>
      </c>
      <c r="K178" t="s">
        <v>408</v>
      </c>
    </row>
    <row r="179" spans="1:11">
      <c r="A179" s="306" t="s">
        <v>423</v>
      </c>
      <c r="B179" s="306" t="s">
        <v>607</v>
      </c>
      <c r="C179" s="306" t="s">
        <v>2000</v>
      </c>
      <c r="D179" s="306" t="s">
        <v>608</v>
      </c>
      <c r="E179" s="305" t="s">
        <v>408</v>
      </c>
      <c r="F179" t="b">
        <f t="shared" si="2"/>
        <v>1</v>
      </c>
      <c r="H179" t="s">
        <v>423</v>
      </c>
      <c r="I179" t="s">
        <v>424</v>
      </c>
      <c r="J179" t="s">
        <v>1915</v>
      </c>
      <c r="K179" t="s">
        <v>57</v>
      </c>
    </row>
    <row r="180" spans="1:11">
      <c r="A180" s="306" t="s">
        <v>1138</v>
      </c>
      <c r="B180" s="306" t="s">
        <v>1139</v>
      </c>
      <c r="C180" s="306" t="s">
        <v>2005</v>
      </c>
      <c r="D180" s="306" t="s">
        <v>1140</v>
      </c>
      <c r="E180" s="305" t="s">
        <v>408</v>
      </c>
      <c r="F180" t="b">
        <f t="shared" si="2"/>
        <v>1</v>
      </c>
      <c r="H180" t="s">
        <v>1138</v>
      </c>
      <c r="I180" t="s">
        <v>1139</v>
      </c>
      <c r="J180" t="s">
        <v>2005</v>
      </c>
      <c r="K180" t="s">
        <v>408</v>
      </c>
    </row>
    <row r="181" spans="1:11">
      <c r="A181" s="306" t="s">
        <v>2098</v>
      </c>
      <c r="B181" s="306" t="s">
        <v>2099</v>
      </c>
      <c r="C181" s="306" t="s">
        <v>2100</v>
      </c>
      <c r="D181" s="306" t="s">
        <v>2683</v>
      </c>
      <c r="E181" s="305" t="s">
        <v>408</v>
      </c>
      <c r="F181" t="b">
        <f t="shared" si="2"/>
        <v>1</v>
      </c>
      <c r="H181" t="s">
        <v>2098</v>
      </c>
      <c r="I181" t="s">
        <v>2099</v>
      </c>
      <c r="J181" t="s">
        <v>2100</v>
      </c>
      <c r="K181" t="s">
        <v>408</v>
      </c>
    </row>
    <row r="182" spans="1:11">
      <c r="A182" s="305" t="s">
        <v>2069</v>
      </c>
      <c r="B182" s="305" t="s">
        <v>2070</v>
      </c>
      <c r="C182" s="305" t="s">
        <v>2071</v>
      </c>
      <c r="D182" s="305" t="s">
        <v>1439</v>
      </c>
      <c r="E182" s="305" t="s">
        <v>167</v>
      </c>
      <c r="F182" t="b">
        <f t="shared" si="2"/>
        <v>1</v>
      </c>
      <c r="H182" t="s">
        <v>2069</v>
      </c>
      <c r="I182" t="s">
        <v>2070</v>
      </c>
      <c r="J182" t="s">
        <v>2071</v>
      </c>
      <c r="K182" t="s">
        <v>167</v>
      </c>
    </row>
    <row r="183" spans="1:11">
      <c r="A183" s="306" t="s">
        <v>307</v>
      </c>
      <c r="B183" s="306" t="s">
        <v>308</v>
      </c>
      <c r="C183" s="306" t="s">
        <v>1914</v>
      </c>
      <c r="D183" s="306" t="s">
        <v>309</v>
      </c>
      <c r="E183" s="305" t="s">
        <v>167</v>
      </c>
      <c r="F183" t="b">
        <f t="shared" si="2"/>
        <v>1</v>
      </c>
      <c r="H183" t="s">
        <v>307</v>
      </c>
      <c r="I183" t="s">
        <v>308</v>
      </c>
      <c r="J183" t="s">
        <v>1914</v>
      </c>
      <c r="K183" t="s">
        <v>167</v>
      </c>
    </row>
    <row r="184" spans="1:11" ht="20.399999999999999">
      <c r="A184" s="306" t="s">
        <v>1955</v>
      </c>
      <c r="B184" s="306" t="s">
        <v>1956</v>
      </c>
      <c r="C184" s="306" t="s">
        <v>3059</v>
      </c>
      <c r="D184" s="306" t="s">
        <v>3060</v>
      </c>
      <c r="E184" s="313" t="s">
        <v>57</v>
      </c>
      <c r="F184" t="b">
        <f t="shared" si="2"/>
        <v>1</v>
      </c>
      <c r="H184" t="s">
        <v>1955</v>
      </c>
    </row>
    <row r="185" spans="1:11">
      <c r="A185" s="305" t="s">
        <v>896</v>
      </c>
      <c r="B185" s="305" t="s">
        <v>897</v>
      </c>
      <c r="C185" s="305" t="s">
        <v>2187</v>
      </c>
      <c r="D185" s="305" t="s">
        <v>898</v>
      </c>
      <c r="E185" s="305" t="s">
        <v>211</v>
      </c>
      <c r="F185" t="b">
        <f t="shared" si="2"/>
        <v>1</v>
      </c>
      <c r="H185" t="s">
        <v>896</v>
      </c>
      <c r="I185" t="s">
        <v>897</v>
      </c>
      <c r="J185" t="s">
        <v>2187</v>
      </c>
      <c r="K185" t="s">
        <v>211</v>
      </c>
    </row>
    <row r="186" spans="1:11" ht="30.6">
      <c r="A186" s="305" t="s">
        <v>2180</v>
      </c>
      <c r="B186" s="305" t="s">
        <v>2596</v>
      </c>
      <c r="C186" s="305" t="s">
        <v>2181</v>
      </c>
      <c r="D186" s="306" t="s">
        <v>2987</v>
      </c>
      <c r="E186" s="305" t="s">
        <v>211</v>
      </c>
      <c r="F186" t="b">
        <f t="shared" si="2"/>
        <v>1</v>
      </c>
      <c r="H186" t="s">
        <v>2180</v>
      </c>
      <c r="I186" t="s">
        <v>2596</v>
      </c>
      <c r="J186" t="s">
        <v>2181</v>
      </c>
      <c r="K186" t="s">
        <v>211</v>
      </c>
    </row>
    <row r="187" spans="1:11" ht="20.399999999999999">
      <c r="A187" s="306" t="s">
        <v>1195</v>
      </c>
      <c r="B187" s="306" t="s">
        <v>1196</v>
      </c>
      <c r="C187" s="306" t="s">
        <v>1951</v>
      </c>
      <c r="D187" s="306" t="s">
        <v>1197</v>
      </c>
      <c r="E187" s="305" t="s">
        <v>268</v>
      </c>
      <c r="F187" t="b">
        <f t="shared" si="2"/>
        <v>1</v>
      </c>
      <c r="H187" t="s">
        <v>1195</v>
      </c>
      <c r="I187" t="s">
        <v>1196</v>
      </c>
      <c r="J187" t="s">
        <v>1951</v>
      </c>
      <c r="K187" t="s">
        <v>2733</v>
      </c>
    </row>
    <row r="188" spans="1:11" ht="20.399999999999999">
      <c r="A188" s="306" t="s">
        <v>141</v>
      </c>
      <c r="B188" s="306" t="s">
        <v>142</v>
      </c>
      <c r="C188" s="306" t="s">
        <v>1940</v>
      </c>
      <c r="D188" s="305" t="s">
        <v>143</v>
      </c>
      <c r="E188" s="305" t="s">
        <v>57</v>
      </c>
      <c r="F188" t="b">
        <f t="shared" si="2"/>
        <v>1</v>
      </c>
      <c r="H188" t="s">
        <v>141</v>
      </c>
      <c r="I188" t="s">
        <v>142</v>
      </c>
      <c r="J188" t="s">
        <v>1940</v>
      </c>
      <c r="K188" t="s">
        <v>57</v>
      </c>
    </row>
    <row r="189" spans="1:11">
      <c r="A189" s="306" t="s">
        <v>1235</v>
      </c>
      <c r="B189" s="306" t="s">
        <v>1236</v>
      </c>
      <c r="C189" s="306" t="s">
        <v>1954</v>
      </c>
      <c r="D189" s="306" t="s">
        <v>1237</v>
      </c>
      <c r="E189" s="305" t="s">
        <v>181</v>
      </c>
      <c r="F189" t="b">
        <f t="shared" si="2"/>
        <v>1</v>
      </c>
      <c r="H189" t="s">
        <v>1235</v>
      </c>
      <c r="I189" t="s">
        <v>1236</v>
      </c>
      <c r="J189" t="s">
        <v>1954</v>
      </c>
      <c r="K189" t="s">
        <v>181</v>
      </c>
    </row>
    <row r="190" spans="1:11" ht="30.6">
      <c r="A190" s="306" t="s">
        <v>2143</v>
      </c>
      <c r="B190" s="306" t="s">
        <v>3050</v>
      </c>
      <c r="C190" s="306" t="s">
        <v>2145</v>
      </c>
      <c r="D190" s="306" t="s">
        <v>3009</v>
      </c>
      <c r="E190" s="305" t="s">
        <v>408</v>
      </c>
      <c r="F190" t="b">
        <f t="shared" si="2"/>
        <v>1</v>
      </c>
      <c r="H190" t="s">
        <v>2143</v>
      </c>
      <c r="I190" t="s">
        <v>3050</v>
      </c>
      <c r="J190" t="s">
        <v>2145</v>
      </c>
      <c r="K190" t="s">
        <v>408</v>
      </c>
    </row>
    <row r="191" spans="1:11">
      <c r="A191" s="306" t="s">
        <v>2106</v>
      </c>
      <c r="B191" s="306" t="s">
        <v>2107</v>
      </c>
      <c r="C191" s="306" t="s">
        <v>2108</v>
      </c>
      <c r="D191" s="306" t="s">
        <v>2684</v>
      </c>
      <c r="E191" s="305" t="s">
        <v>408</v>
      </c>
      <c r="F191" t="b">
        <f t="shared" si="2"/>
        <v>1</v>
      </c>
      <c r="H191" t="s">
        <v>2106</v>
      </c>
      <c r="I191" t="s">
        <v>2107</v>
      </c>
      <c r="J191" t="s">
        <v>2108</v>
      </c>
      <c r="K191" t="s">
        <v>408</v>
      </c>
    </row>
    <row r="192" spans="1:11">
      <c r="A192" s="305" t="s">
        <v>583</v>
      </c>
      <c r="B192" s="305" t="s">
        <v>584</v>
      </c>
      <c r="C192" s="305" t="s">
        <v>1905</v>
      </c>
      <c r="D192" s="305" t="s">
        <v>585</v>
      </c>
      <c r="E192" s="305" t="s">
        <v>408</v>
      </c>
      <c r="F192" t="b">
        <f t="shared" si="2"/>
        <v>1</v>
      </c>
      <c r="H192" t="s">
        <v>583</v>
      </c>
      <c r="I192" t="s">
        <v>584</v>
      </c>
      <c r="J192" t="s">
        <v>1905</v>
      </c>
      <c r="K192" t="s">
        <v>408</v>
      </c>
    </row>
    <row r="193" spans="1:11" ht="20.399999999999999">
      <c r="A193" s="306" t="s">
        <v>2085</v>
      </c>
      <c r="B193" s="306" t="s">
        <v>2086</v>
      </c>
      <c r="C193" s="306" t="s">
        <v>2087</v>
      </c>
      <c r="D193" s="305" t="s">
        <v>2313</v>
      </c>
      <c r="E193" s="307" t="s">
        <v>57</v>
      </c>
      <c r="F193" t="b">
        <f t="shared" si="2"/>
        <v>1</v>
      </c>
      <c r="H193" t="s">
        <v>2085</v>
      </c>
      <c r="I193" t="s">
        <v>2086</v>
      </c>
      <c r="J193" t="s">
        <v>2087</v>
      </c>
      <c r="K193" t="s">
        <v>57</v>
      </c>
    </row>
    <row r="194" spans="1:11">
      <c r="A194" s="306" t="s">
        <v>359</v>
      </c>
      <c r="B194" s="306" t="s">
        <v>1971</v>
      </c>
      <c r="C194" s="306" t="s">
        <v>1972</v>
      </c>
      <c r="D194" s="305" t="s">
        <v>361</v>
      </c>
      <c r="E194" s="305" t="s">
        <v>167</v>
      </c>
      <c r="F194" t="b">
        <f t="shared" si="2"/>
        <v>1</v>
      </c>
      <c r="H194" t="s">
        <v>359</v>
      </c>
      <c r="I194" t="s">
        <v>1971</v>
      </c>
      <c r="J194" t="s">
        <v>1972</v>
      </c>
      <c r="K194" t="s">
        <v>167</v>
      </c>
    </row>
    <row r="195" spans="1:11">
      <c r="A195" s="305" t="s">
        <v>483</v>
      </c>
      <c r="B195" s="305" t="s">
        <v>308</v>
      </c>
      <c r="C195" s="305" t="s">
        <v>1539</v>
      </c>
      <c r="D195" s="305" t="s">
        <v>484</v>
      </c>
      <c r="E195" s="305" t="s">
        <v>189</v>
      </c>
      <c r="F195" t="b">
        <f t="shared" si="2"/>
        <v>1</v>
      </c>
      <c r="H195" t="s">
        <v>483</v>
      </c>
      <c r="I195" t="s">
        <v>2072</v>
      </c>
      <c r="J195" t="s">
        <v>2073</v>
      </c>
      <c r="K195" t="s">
        <v>408</v>
      </c>
    </row>
    <row r="196" spans="1:11">
      <c r="A196" s="306" t="s">
        <v>483</v>
      </c>
      <c r="B196" s="306" t="s">
        <v>658</v>
      </c>
      <c r="C196" s="306" t="s">
        <v>1980</v>
      </c>
      <c r="D196" s="306" t="s">
        <v>659</v>
      </c>
      <c r="E196" s="305" t="s">
        <v>408</v>
      </c>
      <c r="F196" t="b">
        <f t="shared" si="2"/>
        <v>1</v>
      </c>
      <c r="H196" t="s">
        <v>483</v>
      </c>
      <c r="I196" t="s">
        <v>658</v>
      </c>
      <c r="J196" t="s">
        <v>1980</v>
      </c>
      <c r="K196" t="s">
        <v>408</v>
      </c>
    </row>
    <row r="197" spans="1:11">
      <c r="A197" s="306" t="s">
        <v>483</v>
      </c>
      <c r="B197" s="306" t="s">
        <v>2072</v>
      </c>
      <c r="C197" s="306" t="s">
        <v>2073</v>
      </c>
      <c r="D197" s="306" t="s">
        <v>2375</v>
      </c>
      <c r="E197" s="305" t="s">
        <v>408</v>
      </c>
      <c r="F197" t="b">
        <f t="shared" si="2"/>
        <v>1</v>
      </c>
      <c r="H197" t="s">
        <v>483</v>
      </c>
      <c r="I197" t="s">
        <v>308</v>
      </c>
      <c r="J197" t="s">
        <v>1539</v>
      </c>
      <c r="K197" t="s">
        <v>189</v>
      </c>
    </row>
    <row r="198" spans="1:11">
      <c r="A198" s="305" t="s">
        <v>562</v>
      </c>
      <c r="B198" s="305" t="s">
        <v>563</v>
      </c>
      <c r="C198" s="305" t="s">
        <v>1947</v>
      </c>
      <c r="D198" s="305" t="s">
        <v>564</v>
      </c>
      <c r="E198" s="305" t="s">
        <v>408</v>
      </c>
      <c r="F198" t="b">
        <f t="shared" si="2"/>
        <v>1</v>
      </c>
      <c r="H198" t="s">
        <v>562</v>
      </c>
      <c r="I198" t="s">
        <v>618</v>
      </c>
      <c r="J198" t="s">
        <v>1906</v>
      </c>
      <c r="K198" t="s">
        <v>408</v>
      </c>
    </row>
    <row r="199" spans="1:11">
      <c r="A199" s="306" t="s">
        <v>562</v>
      </c>
      <c r="B199" s="306" t="s">
        <v>618</v>
      </c>
      <c r="C199" s="306" t="s">
        <v>1906</v>
      </c>
      <c r="D199" s="306" t="s">
        <v>619</v>
      </c>
      <c r="E199" s="305" t="s">
        <v>408</v>
      </c>
      <c r="F199" t="b">
        <f t="shared" si="2"/>
        <v>1</v>
      </c>
      <c r="H199" t="s">
        <v>562</v>
      </c>
      <c r="I199" t="s">
        <v>563</v>
      </c>
      <c r="J199" t="s">
        <v>1947</v>
      </c>
      <c r="K199" t="s">
        <v>408</v>
      </c>
    </row>
    <row r="200" spans="1:11" ht="20.399999999999999">
      <c r="A200" s="306" t="s">
        <v>2026</v>
      </c>
      <c r="B200" s="306" t="s">
        <v>2027</v>
      </c>
      <c r="C200" s="306" t="s">
        <v>2028</v>
      </c>
      <c r="D200" s="306" t="s">
        <v>2688</v>
      </c>
      <c r="E200" s="305" t="s">
        <v>181</v>
      </c>
      <c r="F200" t="b">
        <f t="shared" si="2"/>
        <v>1</v>
      </c>
      <c r="H200" t="s">
        <v>2026</v>
      </c>
      <c r="I200" t="s">
        <v>2027</v>
      </c>
      <c r="J200" t="s">
        <v>2028</v>
      </c>
      <c r="K200" t="s">
        <v>181</v>
      </c>
    </row>
    <row r="201" spans="1:11">
      <c r="A201" s="306" t="s">
        <v>739</v>
      </c>
      <c r="B201" s="306" t="s">
        <v>2472</v>
      </c>
      <c r="C201" s="306" t="s">
        <v>1932</v>
      </c>
      <c r="D201" s="306" t="s">
        <v>741</v>
      </c>
      <c r="E201" s="305" t="s">
        <v>167</v>
      </c>
      <c r="F201" t="b">
        <f t="shared" si="2"/>
        <v>1</v>
      </c>
      <c r="H201" t="s">
        <v>739</v>
      </c>
      <c r="I201" t="s">
        <v>2472</v>
      </c>
      <c r="J201" t="s">
        <v>1932</v>
      </c>
      <c r="K201" t="s">
        <v>167</v>
      </c>
    </row>
    <row r="202" spans="1:11">
      <c r="A202" s="306" t="s">
        <v>1028</v>
      </c>
      <c r="B202" s="306" t="s">
        <v>1029</v>
      </c>
      <c r="C202" s="306" t="s">
        <v>1938</v>
      </c>
      <c r="D202" s="306" t="s">
        <v>1030</v>
      </c>
      <c r="E202" s="305" t="s">
        <v>174</v>
      </c>
      <c r="F202" t="b">
        <f t="shared" si="2"/>
        <v>1</v>
      </c>
      <c r="H202" t="s">
        <v>1028</v>
      </c>
      <c r="I202" t="s">
        <v>1029</v>
      </c>
      <c r="J202" t="s">
        <v>1938</v>
      </c>
      <c r="K202" t="s">
        <v>174</v>
      </c>
    </row>
    <row r="203" spans="1:11" ht="20.399999999999999">
      <c r="A203" s="306" t="s">
        <v>510</v>
      </c>
      <c r="B203" s="306" t="s">
        <v>2320</v>
      </c>
      <c r="C203" s="306" t="s">
        <v>2178</v>
      </c>
      <c r="D203" s="306" t="s">
        <v>512</v>
      </c>
      <c r="E203" s="314" t="s">
        <v>57</v>
      </c>
      <c r="F203" t="b">
        <f t="shared" si="2"/>
        <v>1</v>
      </c>
      <c r="H203" t="s">
        <v>510</v>
      </c>
      <c r="I203" t="s">
        <v>2320</v>
      </c>
      <c r="J203" t="s">
        <v>2178</v>
      </c>
      <c r="K203" t="s">
        <v>57</v>
      </c>
    </row>
    <row r="204" spans="1:11">
      <c r="A204" s="305" t="s">
        <v>510</v>
      </c>
      <c r="B204" s="305" t="s">
        <v>2539</v>
      </c>
      <c r="C204" s="305" t="s">
        <v>79</v>
      </c>
      <c r="D204" s="305" t="s">
        <v>1490</v>
      </c>
      <c r="E204" s="305" t="s">
        <v>408</v>
      </c>
      <c r="F204" t="b">
        <f t="shared" ref="F204:F214" si="3">A204=H204</f>
        <v>1</v>
      </c>
      <c r="H204" t="s">
        <v>510</v>
      </c>
      <c r="I204" t="s">
        <v>2539</v>
      </c>
      <c r="J204" t="s">
        <v>79</v>
      </c>
      <c r="K204" t="s">
        <v>408</v>
      </c>
    </row>
    <row r="205" spans="1:11">
      <c r="A205" s="306" t="s">
        <v>681</v>
      </c>
      <c r="B205" s="306" t="s">
        <v>682</v>
      </c>
      <c r="C205" s="306" t="s">
        <v>1133</v>
      </c>
      <c r="D205" s="306" t="s">
        <v>683</v>
      </c>
      <c r="E205" s="305" t="s">
        <v>408</v>
      </c>
      <c r="F205" t="b">
        <f t="shared" si="3"/>
        <v>1</v>
      </c>
      <c r="H205" t="s">
        <v>681</v>
      </c>
      <c r="I205" t="s">
        <v>682</v>
      </c>
      <c r="J205" t="s">
        <v>1133</v>
      </c>
      <c r="K205" t="s">
        <v>408</v>
      </c>
    </row>
    <row r="206" spans="1:11">
      <c r="A206" s="306" t="s">
        <v>681</v>
      </c>
      <c r="B206" s="306" t="s">
        <v>696</v>
      </c>
      <c r="C206" s="306" t="s">
        <v>1918</v>
      </c>
      <c r="D206" s="306" t="s">
        <v>697</v>
      </c>
      <c r="E206" s="305" t="s">
        <v>408</v>
      </c>
      <c r="F206" t="b">
        <f t="shared" si="3"/>
        <v>1</v>
      </c>
      <c r="H206" t="s">
        <v>681</v>
      </c>
      <c r="I206" t="s">
        <v>696</v>
      </c>
      <c r="J206" t="s">
        <v>1918</v>
      </c>
      <c r="K206" t="s">
        <v>408</v>
      </c>
    </row>
    <row r="207" spans="1:11">
      <c r="A207" s="306" t="s">
        <v>681</v>
      </c>
      <c r="B207" s="306" t="s">
        <v>314</v>
      </c>
      <c r="C207" s="306" t="s">
        <v>1133</v>
      </c>
      <c r="D207" s="306" t="s">
        <v>902</v>
      </c>
      <c r="E207" s="305" t="s">
        <v>181</v>
      </c>
      <c r="F207" t="b">
        <f t="shared" si="3"/>
        <v>1</v>
      </c>
      <c r="H207" t="s">
        <v>681</v>
      </c>
      <c r="I207" t="s">
        <v>314</v>
      </c>
      <c r="J207" t="s">
        <v>1133</v>
      </c>
      <c r="K207" t="s">
        <v>181</v>
      </c>
    </row>
    <row r="208" spans="1:11">
      <c r="A208" s="306" t="s">
        <v>1209</v>
      </c>
      <c r="B208" s="306" t="s">
        <v>1210</v>
      </c>
      <c r="C208" s="306" t="s">
        <v>1920</v>
      </c>
      <c r="D208" s="306" t="s">
        <v>1211</v>
      </c>
      <c r="E208" s="305" t="s">
        <v>167</v>
      </c>
      <c r="F208" t="b">
        <f t="shared" si="3"/>
        <v>1</v>
      </c>
      <c r="H208" t="s">
        <v>1209</v>
      </c>
      <c r="I208" t="s">
        <v>1210</v>
      </c>
      <c r="J208" t="s">
        <v>1920</v>
      </c>
      <c r="K208" t="s">
        <v>167</v>
      </c>
    </row>
    <row r="209" spans="1:11">
      <c r="A209" s="305" t="s">
        <v>2039</v>
      </c>
      <c r="B209" s="305" t="s">
        <v>2040</v>
      </c>
      <c r="C209" s="305" t="s">
        <v>2041</v>
      </c>
      <c r="D209" s="305" t="s">
        <v>1400</v>
      </c>
      <c r="E209" s="305" t="s">
        <v>408</v>
      </c>
      <c r="F209" t="b">
        <f t="shared" si="3"/>
        <v>1</v>
      </c>
      <c r="H209" t="s">
        <v>2039</v>
      </c>
      <c r="I209" t="s">
        <v>2040</v>
      </c>
      <c r="J209" t="s">
        <v>2041</v>
      </c>
      <c r="K209" t="s">
        <v>408</v>
      </c>
    </row>
    <row r="210" spans="1:11">
      <c r="A210" s="306" t="s">
        <v>2061</v>
      </c>
      <c r="B210" s="306" t="s">
        <v>2062</v>
      </c>
      <c r="C210" s="306" t="s">
        <v>2063</v>
      </c>
      <c r="D210" s="306" t="s">
        <v>1433</v>
      </c>
      <c r="E210" s="305" t="s">
        <v>181</v>
      </c>
      <c r="F210" t="b">
        <f t="shared" si="3"/>
        <v>1</v>
      </c>
      <c r="H210" t="s">
        <v>2061</v>
      </c>
      <c r="I210" t="s">
        <v>2062</v>
      </c>
      <c r="J210" t="s">
        <v>2063</v>
      </c>
      <c r="K210" t="s">
        <v>181</v>
      </c>
    </row>
    <row r="211" spans="1:11">
      <c r="A211" s="306" t="s">
        <v>984</v>
      </c>
      <c r="B211" s="306" t="s">
        <v>985</v>
      </c>
      <c r="C211" s="306" t="s">
        <v>1987</v>
      </c>
      <c r="D211" s="306" t="s">
        <v>986</v>
      </c>
      <c r="E211" s="305" t="s">
        <v>408</v>
      </c>
      <c r="F211" t="b">
        <f t="shared" si="3"/>
        <v>1</v>
      </c>
      <c r="H211" t="s">
        <v>984</v>
      </c>
      <c r="I211" t="s">
        <v>985</v>
      </c>
      <c r="J211" t="s">
        <v>1987</v>
      </c>
      <c r="K211" t="s">
        <v>408</v>
      </c>
    </row>
    <row r="212" spans="1:11">
      <c r="A212" s="305" t="s">
        <v>728</v>
      </c>
      <c r="B212" s="305" t="s">
        <v>729</v>
      </c>
      <c r="C212" s="305" t="s">
        <v>1921</v>
      </c>
      <c r="D212" s="305" t="s">
        <v>730</v>
      </c>
      <c r="E212" s="305" t="s">
        <v>167</v>
      </c>
      <c r="F212" t="b">
        <f t="shared" si="3"/>
        <v>1</v>
      </c>
      <c r="H212" t="s">
        <v>728</v>
      </c>
      <c r="I212" t="s">
        <v>729</v>
      </c>
      <c r="J212" t="s">
        <v>1921</v>
      </c>
      <c r="K212" t="s">
        <v>167</v>
      </c>
    </row>
    <row r="213" spans="1:11">
      <c r="A213" s="306" t="s">
        <v>106</v>
      </c>
      <c r="B213" s="306" t="s">
        <v>107</v>
      </c>
      <c r="C213" s="306" t="s">
        <v>1982</v>
      </c>
      <c r="D213" s="306" t="s">
        <v>108</v>
      </c>
      <c r="E213" s="305" t="s">
        <v>408</v>
      </c>
      <c r="F213" t="b">
        <f t="shared" si="3"/>
        <v>1</v>
      </c>
      <c r="H213" t="s">
        <v>106</v>
      </c>
      <c r="I213" t="s">
        <v>107</v>
      </c>
      <c r="J213" t="s">
        <v>1982</v>
      </c>
      <c r="K213" t="s">
        <v>408</v>
      </c>
    </row>
    <row r="214" spans="1:11" ht="20.399999999999999">
      <c r="A214" s="306" t="s">
        <v>2003</v>
      </c>
      <c r="B214" s="306" t="s">
        <v>368</v>
      </c>
      <c r="C214" s="306" t="s">
        <v>2004</v>
      </c>
      <c r="D214" s="305" t="s">
        <v>2716</v>
      </c>
      <c r="E214" s="305" t="s">
        <v>57</v>
      </c>
      <c r="F214" t="b">
        <f t="shared" si="3"/>
        <v>1</v>
      </c>
      <c r="H214" t="s">
        <v>2003</v>
      </c>
      <c r="I214" t="s">
        <v>368</v>
      </c>
      <c r="J214" t="s">
        <v>2004</v>
      </c>
      <c r="K214" t="s">
        <v>57</v>
      </c>
    </row>
    <row r="215" spans="1:11">
      <c r="A215" s="306"/>
      <c r="B215" s="306"/>
      <c r="C215" s="306"/>
      <c r="D215" s="305" t="s">
        <v>3061</v>
      </c>
      <c r="E215" s="313"/>
      <c r="K215" t="s">
        <v>3062</v>
      </c>
    </row>
    <row r="216" spans="1:11">
      <c r="A216" s="305"/>
      <c r="B216" s="305"/>
      <c r="C216" s="305"/>
      <c r="D216" s="305"/>
      <c r="E216" s="305"/>
      <c r="K216" t="s">
        <v>3063</v>
      </c>
    </row>
    <row r="217" spans="1:11">
      <c r="A217" s="315"/>
      <c r="B217" s="315"/>
      <c r="C217" s="315"/>
      <c r="D217" s="315"/>
      <c r="E217" s="315"/>
      <c r="K217" t="s">
        <v>3064</v>
      </c>
    </row>
    <row r="218" spans="1:11">
      <c r="A218" s="306"/>
      <c r="B218" s="306"/>
      <c r="C218" s="306"/>
      <c r="D218" s="305"/>
      <c r="E218" s="314"/>
      <c r="K218" t="s">
        <v>3065</v>
      </c>
    </row>
    <row r="219" spans="1:11">
      <c r="A219" s="305"/>
      <c r="B219" s="305"/>
      <c r="C219" s="305"/>
      <c r="D219" s="305"/>
      <c r="E219" s="305"/>
      <c r="K219" t="s">
        <v>2761</v>
      </c>
    </row>
    <row r="220" spans="1:11">
      <c r="A220" s="315"/>
      <c r="B220" s="315"/>
      <c r="C220" s="315"/>
      <c r="D220" s="315"/>
      <c r="E220" s="315"/>
      <c r="K220" t="s">
        <v>1429</v>
      </c>
    </row>
    <row r="221" spans="1:11">
      <c r="A221" s="305"/>
      <c r="B221" s="305"/>
      <c r="C221" s="305"/>
      <c r="D221" s="305"/>
      <c r="E221" s="305"/>
      <c r="K221" t="s">
        <v>3066</v>
      </c>
    </row>
    <row r="222" spans="1:11">
      <c r="A222" s="315"/>
      <c r="B222" s="315"/>
      <c r="C222" s="315"/>
      <c r="D222" s="315"/>
      <c r="E222" s="315"/>
      <c r="K222" t="s">
        <v>1394</v>
      </c>
    </row>
    <row r="223" spans="1:11">
      <c r="A223" s="305"/>
      <c r="B223" s="305"/>
      <c r="C223" s="305"/>
      <c r="D223" s="305"/>
      <c r="E223" s="305"/>
      <c r="K223" t="s">
        <v>1451</v>
      </c>
    </row>
    <row r="224" spans="1:11">
      <c r="A224" s="316"/>
      <c r="B224" s="316"/>
      <c r="C224" s="316"/>
      <c r="D224" s="316"/>
      <c r="E224" s="316"/>
      <c r="K224" t="s">
        <v>1466</v>
      </c>
    </row>
    <row r="225" spans="1:11">
      <c r="A225" s="305"/>
      <c r="B225" s="305"/>
      <c r="C225" s="305"/>
      <c r="D225" s="305" t="s">
        <v>3067</v>
      </c>
      <c r="E225" s="305"/>
      <c r="K225" t="s">
        <v>3035</v>
      </c>
    </row>
    <row r="226" spans="1:11">
      <c r="A226" s="306"/>
      <c r="B226" s="306"/>
      <c r="C226" s="306"/>
      <c r="D226" s="305" t="s">
        <v>131</v>
      </c>
      <c r="E226" s="305"/>
    </row>
    <row r="227" spans="1:11">
      <c r="A227" s="306"/>
      <c r="B227" s="306"/>
      <c r="C227" s="306"/>
      <c r="D227" s="305" t="s">
        <v>131</v>
      </c>
      <c r="E227" s="305"/>
    </row>
    <row r="228" spans="1:11">
      <c r="A228" s="306"/>
      <c r="B228" s="306"/>
      <c r="C228" s="306"/>
      <c r="D228" s="306" t="s">
        <v>1492</v>
      </c>
      <c r="E228" s="305"/>
    </row>
    <row r="229" spans="1:11" ht="20.399999999999999">
      <c r="A229" s="306"/>
      <c r="B229" s="306"/>
      <c r="C229" s="306"/>
      <c r="D229" s="306" t="s">
        <v>3068</v>
      </c>
      <c r="E229" s="305"/>
    </row>
    <row r="230" spans="1:11">
      <c r="A230" s="306"/>
      <c r="B230" s="306"/>
      <c r="C230" s="306"/>
      <c r="D230" s="306" t="s">
        <v>3069</v>
      </c>
      <c r="E230" s="305"/>
    </row>
    <row r="231" spans="1:11">
      <c r="A231" s="306"/>
      <c r="B231" s="306"/>
      <c r="C231" s="306"/>
      <c r="D231" s="306" t="s">
        <v>3070</v>
      </c>
      <c r="E231" s="305"/>
    </row>
    <row r="232" spans="1:11">
      <c r="A232" s="306"/>
      <c r="B232" s="306"/>
      <c r="C232" s="306"/>
      <c r="D232" s="306" t="s">
        <v>3071</v>
      </c>
      <c r="E232" s="305"/>
    </row>
    <row r="233" spans="1:11">
      <c r="A233" s="306"/>
      <c r="B233" s="306"/>
      <c r="C233" s="306"/>
      <c r="D233" s="306" t="s">
        <v>3072</v>
      </c>
      <c r="E233" s="305"/>
    </row>
    <row r="234" spans="1:11">
      <c r="A234" s="306"/>
      <c r="B234" s="306"/>
      <c r="C234" s="306"/>
      <c r="D234" s="306" t="s">
        <v>3073</v>
      </c>
      <c r="E234" s="305"/>
    </row>
    <row r="235" spans="1:11" ht="25.2">
      <c r="A235" s="306"/>
      <c r="B235" s="306"/>
      <c r="C235" s="306"/>
      <c r="D235" s="306" t="s">
        <v>2640</v>
      </c>
      <c r="E235" s="305"/>
    </row>
    <row r="236" spans="1:11" ht="25.2">
      <c r="A236" s="306"/>
      <c r="B236" s="306"/>
      <c r="C236" s="306"/>
      <c r="D236" s="306" t="s">
        <v>2641</v>
      </c>
      <c r="E236" s="305"/>
    </row>
    <row r="237" spans="1:11" ht="25.2">
      <c r="A237" s="306"/>
      <c r="B237" s="306"/>
      <c r="C237" s="306"/>
      <c r="D237" s="306" t="s">
        <v>2646</v>
      </c>
      <c r="E237" s="305"/>
    </row>
    <row r="238" spans="1:11" ht="25.2">
      <c r="A238" s="306"/>
      <c r="B238" s="306"/>
      <c r="C238" s="306"/>
      <c r="D238" s="306" t="s">
        <v>2648</v>
      </c>
      <c r="E238" s="305"/>
    </row>
    <row r="239" spans="1:11" ht="24">
      <c r="A239" s="306"/>
      <c r="B239" s="306"/>
      <c r="C239" s="306"/>
      <c r="D239" s="306" t="s">
        <v>2650</v>
      </c>
      <c r="E239" s="305"/>
    </row>
    <row r="240" spans="1:11">
      <c r="A240" s="317"/>
      <c r="B240" s="317"/>
      <c r="C240" s="317"/>
      <c r="D240" s="317" t="e">
        <f>SUM(#REF!)</f>
        <v>#REF!</v>
      </c>
      <c r="E240" s="318"/>
    </row>
    <row r="241" spans="1:5">
      <c r="A241" s="319"/>
      <c r="B241" s="319"/>
      <c r="C241" s="319"/>
      <c r="D241" s="319"/>
      <c r="E241" s="319"/>
    </row>
    <row r="242" spans="1:5">
      <c r="A242" s="320"/>
      <c r="B242" s="320"/>
      <c r="C242" s="320"/>
      <c r="D242" s="320"/>
      <c r="E242" s="320"/>
    </row>
    <row r="243" spans="1:5">
      <c r="A243" s="320"/>
      <c r="B243" s="320"/>
      <c r="C243" s="320"/>
      <c r="E243" s="320"/>
    </row>
    <row r="244" spans="1:5">
      <c r="A244" s="321"/>
      <c r="B244" s="321"/>
      <c r="C244" s="321"/>
      <c r="D244" s="321"/>
      <c r="E244" s="321"/>
    </row>
    <row r="245" spans="1:5">
      <c r="A245" s="322"/>
      <c r="B245" s="322"/>
      <c r="C245" s="322"/>
      <c r="D245" s="322"/>
      <c r="E245" s="323"/>
    </row>
    <row r="246" spans="1:5">
      <c r="A246" s="324"/>
      <c r="B246" s="324"/>
      <c r="C246" s="324"/>
      <c r="D246" s="324" t="s">
        <v>408</v>
      </c>
      <c r="E246" s="325">
        <f t="shared" ref="E246:E253" si="4">COUNTIF(station,D246)</f>
        <v>41</v>
      </c>
    </row>
    <row r="247" spans="1:5">
      <c r="A247" s="324"/>
      <c r="B247" s="324"/>
      <c r="C247" s="324"/>
      <c r="D247" s="324" t="s">
        <v>181</v>
      </c>
      <c r="E247" s="325">
        <f t="shared" si="4"/>
        <v>20</v>
      </c>
    </row>
    <row r="248" spans="1:5">
      <c r="A248" s="324"/>
      <c r="B248" s="324"/>
      <c r="C248" s="324"/>
      <c r="D248" s="324" t="s">
        <v>189</v>
      </c>
      <c r="E248" s="325">
        <f t="shared" si="4"/>
        <v>6</v>
      </c>
    </row>
    <row r="249" spans="1:5">
      <c r="A249" s="324"/>
      <c r="B249" s="324"/>
      <c r="C249" s="324"/>
      <c r="D249" s="324" t="s">
        <v>167</v>
      </c>
      <c r="E249" s="325">
        <f t="shared" si="4"/>
        <v>25</v>
      </c>
    </row>
    <row r="250" spans="1:5">
      <c r="A250" s="324"/>
      <c r="B250" s="324"/>
      <c r="C250" s="324"/>
      <c r="D250" s="324" t="s">
        <v>174</v>
      </c>
      <c r="E250" s="325">
        <f t="shared" si="4"/>
        <v>23</v>
      </c>
    </row>
    <row r="251" spans="1:5">
      <c r="A251" s="324"/>
      <c r="B251" s="324"/>
      <c r="C251" s="324"/>
      <c r="D251" s="324" t="s">
        <v>211</v>
      </c>
      <c r="E251" s="325">
        <f t="shared" si="4"/>
        <v>19</v>
      </c>
    </row>
    <row r="252" spans="1:5">
      <c r="A252" s="324"/>
      <c r="B252" s="324"/>
      <c r="C252" s="324"/>
      <c r="D252" s="324" t="s">
        <v>268</v>
      </c>
      <c r="E252" s="325">
        <f t="shared" si="4"/>
        <v>23</v>
      </c>
    </row>
    <row r="253" spans="1:5">
      <c r="A253" s="324"/>
      <c r="B253" s="324"/>
      <c r="C253" s="324"/>
      <c r="D253" s="324" t="s">
        <v>57</v>
      </c>
      <c r="E253" s="325">
        <f t="shared" si="4"/>
        <v>44</v>
      </c>
    </row>
    <row r="254" spans="1:5">
      <c r="A254" s="326"/>
      <c r="B254" s="326"/>
      <c r="C254" s="326"/>
      <c r="D254" s="326" t="s">
        <v>2188</v>
      </c>
      <c r="E254" s="327">
        <f>SUBTOTAL(9,E246:E253)</f>
        <v>201</v>
      </c>
    </row>
    <row r="255" spans="1:5">
      <c r="E255" s="325"/>
    </row>
    <row r="256" spans="1:5">
      <c r="D256" s="328" t="s">
        <v>2672</v>
      </c>
    </row>
    <row r="257" spans="4:4">
      <c r="D257" s="328" t="s">
        <v>2674</v>
      </c>
    </row>
    <row r="258" spans="4:4">
      <c r="D258" s="328" t="s">
        <v>2675</v>
      </c>
    </row>
    <row r="259" spans="4:4">
      <c r="D259" s="328" t="s">
        <v>2676</v>
      </c>
    </row>
    <row r="260" spans="4:4">
      <c r="D260" s="328" t="s">
        <v>2397</v>
      </c>
    </row>
    <row r="261" spans="4:4">
      <c r="D261" s="328" t="s">
        <v>2677</v>
      </c>
    </row>
    <row r="264" spans="4:4">
      <c r="D264" s="329" t="s">
        <v>2678</v>
      </c>
    </row>
    <row r="265" spans="4:4">
      <c r="D265" s="329" t="s">
        <v>2247</v>
      </c>
    </row>
    <row r="266" spans="4:4">
      <c r="D266" s="329" t="s">
        <v>2307</v>
      </c>
    </row>
    <row r="267" spans="4:4">
      <c r="D267" s="329" t="s">
        <v>2348</v>
      </c>
    </row>
  </sheetData>
  <sortState xmlns:xlrd2="http://schemas.microsoft.com/office/spreadsheetml/2017/richdata2" ref="A11:E237">
    <sortCondition ref="A11"/>
  </sortState>
  <mergeCells count="1">
    <mergeCell ref="D7:D8"/>
  </mergeCells>
  <conditionalFormatting sqref="A11:C35">
    <cfRule type="containsText" dxfId="280" priority="3" operator="containsText" text="*vacant*">
      <formula>NOT(ISERROR(SEARCH("*vacant*",A11)))</formula>
    </cfRule>
  </conditionalFormatting>
  <conditionalFormatting sqref="A93:C95">
    <cfRule type="containsText" dxfId="279" priority="9" operator="containsText" text="*vacant*">
      <formula>NOT(ISERROR(SEARCH("*vacant*",A93)))</formula>
    </cfRule>
  </conditionalFormatting>
  <conditionalFormatting sqref="A153:C164">
    <cfRule type="containsText" dxfId="278" priority="10" operator="containsText" text="*vacant*">
      <formula>NOT(ISERROR(SEARCH("*vacant*",A153)))</formula>
    </cfRule>
  </conditionalFormatting>
  <conditionalFormatting sqref="A174:C214">
    <cfRule type="containsText" dxfId="277" priority="15" operator="containsText" text="*vacant*">
      <formula>NOT(ISERROR(SEARCH("*vacant*",A174)))</formula>
    </cfRule>
  </conditionalFormatting>
  <conditionalFormatting sqref="A36:D85">
    <cfRule type="containsText" dxfId="276" priority="1" operator="containsText" text="*vacant*">
      <formula>NOT(ISERROR(SEARCH("*vacant*",A36)))</formula>
    </cfRule>
  </conditionalFormatting>
  <conditionalFormatting sqref="A165:D173">
    <cfRule type="containsText" dxfId="275" priority="27" operator="containsText" text="*vacant*">
      <formula>NOT(ISERROR(SEARCH("*vacant*",A165)))</formula>
    </cfRule>
  </conditionalFormatting>
  <conditionalFormatting sqref="A96:E101">
    <cfRule type="containsText" dxfId="274" priority="76" operator="containsText" text="*vacant*">
      <formula>NOT(ISERROR(SEARCH("*vacant*",A96)))</formula>
    </cfRule>
  </conditionalFormatting>
  <conditionalFormatting sqref="A118:E136">
    <cfRule type="containsText" dxfId="273" priority="8" operator="containsText" text="*vacant*">
      <formula>NOT(ISERROR(SEARCH("*vacant*",A118)))</formula>
    </cfRule>
  </conditionalFormatting>
  <conditionalFormatting sqref="A143:E151">
    <cfRule type="containsText" dxfId="272" priority="2" operator="containsText" text="*vacant*">
      <formula>NOT(ISERROR(SEARCH("*vacant*",A143)))</formula>
    </cfRule>
  </conditionalFormatting>
  <conditionalFormatting sqref="A216:E239">
    <cfRule type="containsText" dxfId="271" priority="17" operator="containsText" text="*vacant*">
      <formula>NOT(ISERROR(SEARCH("*vacant*",A216)))</formula>
    </cfRule>
  </conditionalFormatting>
  <conditionalFormatting sqref="D11:D22">
    <cfRule type="containsText" dxfId="270" priority="53" operator="containsText" text="*vacant*">
      <formula>NOT(ISERROR(SEARCH("*vacant*",D11)))</formula>
    </cfRule>
  </conditionalFormatting>
  <conditionalFormatting sqref="D25:D35">
    <cfRule type="containsText" dxfId="269" priority="24" operator="containsText" text="*vacant*">
      <formula>NOT(ISERROR(SEARCH("*vacant*",D25)))</formula>
    </cfRule>
  </conditionalFormatting>
  <conditionalFormatting sqref="D95">
    <cfRule type="containsText" dxfId="268" priority="32" operator="containsText" text="*vacant*">
      <formula>NOT(ISERROR(SEARCH("*vacant*",D95)))</formula>
    </cfRule>
  </conditionalFormatting>
  <conditionalFormatting sqref="D107:D113">
    <cfRule type="containsText" dxfId="267" priority="75" operator="containsText" text="*vacant*">
      <formula>NOT(ISERROR(SEARCH("*vacant*",D107)))</formula>
    </cfRule>
  </conditionalFormatting>
  <conditionalFormatting sqref="D142">
    <cfRule type="containsText" dxfId="266" priority="60" operator="containsText" text="*vacant*">
      <formula>NOT(ISERROR(SEARCH("*vacant*",D142)))</formula>
    </cfRule>
  </conditionalFormatting>
  <conditionalFormatting sqref="D155">
    <cfRule type="containsText" dxfId="265" priority="82" operator="containsText" text="*vacant*">
      <formula>NOT(ISERROR(SEARCH("*vacant*",D155)))</formula>
    </cfRule>
  </conditionalFormatting>
  <conditionalFormatting sqref="D159:D164">
    <cfRule type="containsText" dxfId="264" priority="46" operator="containsText" text="*vacant*">
      <formula>NOT(ISERROR(SEARCH("*vacant*",D159)))</formula>
    </cfRule>
  </conditionalFormatting>
  <conditionalFormatting sqref="D174">
    <cfRule type="containsText" dxfId="263" priority="40" operator="containsText" text="*vacant*">
      <formula>NOT(ISERROR(SEARCH("*vacant*",D174)))</formula>
    </cfRule>
  </conditionalFormatting>
  <conditionalFormatting sqref="D23:E24">
    <cfRule type="containsText" dxfId="262" priority="54" operator="containsText" text="*vacant*">
      <formula>NOT(ISERROR(SEARCH("*vacant*",D23)))</formula>
    </cfRule>
  </conditionalFormatting>
  <conditionalFormatting sqref="D93:E94">
    <cfRule type="containsText" dxfId="261" priority="78" operator="containsText" text="*vacant*">
      <formula>NOT(ISERROR(SEARCH("*vacant*",D93)))</formula>
    </cfRule>
  </conditionalFormatting>
  <conditionalFormatting sqref="D114:E117">
    <cfRule type="containsText" dxfId="260" priority="72" operator="containsText" text="*vacant*">
      <formula>NOT(ISERROR(SEARCH("*vacant*",D114)))</formula>
    </cfRule>
  </conditionalFormatting>
  <conditionalFormatting sqref="D137:E141">
    <cfRule type="containsText" dxfId="259" priority="61" operator="containsText" text="*vacant*">
      <formula>NOT(ISERROR(SEARCH("*vacant*",D137)))</formula>
    </cfRule>
  </conditionalFormatting>
  <conditionalFormatting sqref="D175:E214">
    <cfRule type="containsText" dxfId="258" priority="37" operator="containsText" text="*vacant*">
      <formula>NOT(ISERROR(SEARCH("*vacant*",D175)))</formula>
    </cfRule>
  </conditionalFormatting>
  <conditionalFormatting sqref="E20:E22">
    <cfRule type="containsText" dxfId="257" priority="52" operator="containsText" text="*vacant*">
      <formula>NOT(ISERROR(SEARCH("*vacant*",E20)))</formula>
    </cfRule>
  </conditionalFormatting>
  <conditionalFormatting sqref="E25:E26">
    <cfRule type="containsText" dxfId="256" priority="20" operator="containsText" text="*vacant*">
      <formula>NOT(ISERROR(SEARCH("*vacant*",E25)))</formula>
    </cfRule>
  </conditionalFormatting>
  <conditionalFormatting sqref="E30:E38">
    <cfRule type="containsText" dxfId="255" priority="22" operator="containsText" text="*vacant*">
      <formula>NOT(ISERROR(SEARCH("*vacant*",E30)))</formula>
    </cfRule>
  </conditionalFormatting>
  <conditionalFormatting sqref="E84:E85 A86:E87 A88:D89 A90:E91 A92:D92 A102:D102 A103:E106 A107:C117 E109 A137:C142 A152:D152 D153:E154 D156:E156 D157 D158:E158 A215:D215 A240:D240">
    <cfRule type="containsText" dxfId="254" priority="85" operator="containsText" text="*vacant*">
      <formula>NOT(ISERROR(SEARCH("*vacant*",A84)))</formula>
    </cfRule>
  </conditionalFormatting>
  <conditionalFormatting sqref="E111:E113">
    <cfRule type="containsText" dxfId="253" priority="74" operator="containsText" text="*vacant*">
      <formula>NOT(ISERROR(SEARCH("*vacant*",E111)))</formula>
    </cfRule>
  </conditionalFormatting>
  <conditionalFormatting sqref="E166">
    <cfRule type="containsText" dxfId="252" priority="29" operator="containsText" text="*vacant*">
      <formula>NOT(ISERROR(SEARCH("*vacant*",E166)))</formula>
    </cfRule>
  </conditionalFormatting>
  <conditionalFormatting sqref="E168:E171">
    <cfRule type="containsText" dxfId="251" priority="28" operator="containsText" text="*vacant*">
      <formula>NOT(ISERROR(SEARCH("*vacant*",E168)))</formula>
    </cfRule>
  </conditionalFormatting>
  <conditionalFormatting sqref="E173:E174">
    <cfRule type="containsText" dxfId="250" priority="30" operator="containsText" text="*vacant*">
      <formula>NOT(ISERROR(SEARCH("*vacant*",E173)))</formula>
    </cfRule>
  </conditionalFormatting>
  <pageMargins left="0.69930555555555596" right="0.69930555555555596"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255"/>
  <sheetViews>
    <sheetView topLeftCell="A112" zoomScale="130" zoomScaleNormal="130" workbookViewId="0">
      <selection activeCell="Q184" sqref="Q184"/>
    </sheetView>
  </sheetViews>
  <sheetFormatPr defaultColWidth="9" defaultRowHeight="14.4"/>
  <cols>
    <col min="1" max="1" width="24.5546875" customWidth="1"/>
    <col min="2" max="2" width="7.44140625" style="176" customWidth="1"/>
    <col min="3" max="3" width="20" customWidth="1"/>
    <col min="4" max="4" width="9.5546875" style="176" customWidth="1"/>
    <col min="5" max="5" width="13.109375" hidden="1" customWidth="1"/>
    <col min="6" max="6" width="19.5546875" customWidth="1"/>
    <col min="7" max="7" width="13" customWidth="1"/>
    <col min="8" max="8" width="24.5546875" customWidth="1"/>
    <col min="9" max="9" width="26.88671875" hidden="1" customWidth="1"/>
    <col min="10" max="10" width="7.5546875" style="218" hidden="1" customWidth="1"/>
    <col min="11" max="11" width="9" hidden="1" customWidth="1"/>
    <col min="12" max="12" width="38.33203125" hidden="1" customWidth="1"/>
    <col min="13" max="15" width="5.33203125" style="15" hidden="1" customWidth="1"/>
    <col min="16" max="16" width="9" hidden="1" customWidth="1"/>
    <col min="17" max="17" width="15" customWidth="1"/>
    <col min="18" max="18" width="15.109375" customWidth="1"/>
  </cols>
  <sheetData>
    <row r="1" spans="1:15" ht="30.75" customHeight="1">
      <c r="A1" s="1071" t="s">
        <v>2766</v>
      </c>
      <c r="B1" s="1071"/>
      <c r="C1" s="1071"/>
      <c r="D1" s="1071"/>
      <c r="E1" s="1071"/>
      <c r="F1" s="1071"/>
      <c r="G1" s="1071"/>
      <c r="H1" s="1071"/>
      <c r="I1" s="1071"/>
    </row>
    <row r="2" spans="1:15">
      <c r="A2" s="1072" t="str">
        <f ca="1">'staffing plan'!A2:BP2</f>
        <v>As of March 24, 2026</v>
      </c>
      <c r="B2" s="1072"/>
      <c r="C2" s="1072"/>
      <c r="D2" s="1072"/>
      <c r="E2" s="1072"/>
      <c r="F2" s="1072"/>
      <c r="G2" s="1072"/>
      <c r="H2" s="1072"/>
      <c r="I2" s="1072"/>
    </row>
    <row r="3" spans="1:15">
      <c r="D3" s="162"/>
      <c r="E3" s="176"/>
      <c r="F3" s="176"/>
    </row>
    <row r="4" spans="1:15" s="162" customFormat="1">
      <c r="A4" s="1074" t="s">
        <v>2767</v>
      </c>
      <c r="B4" s="1076" t="s">
        <v>2768</v>
      </c>
      <c r="C4" s="1073" t="s">
        <v>2769</v>
      </c>
      <c r="D4" s="1073" t="s">
        <v>2770</v>
      </c>
      <c r="E4" s="1073"/>
      <c r="F4" s="1073"/>
      <c r="G4" s="1079" t="s">
        <v>2771</v>
      </c>
      <c r="H4" s="1073" t="s">
        <v>2772</v>
      </c>
      <c r="I4" s="1081" t="s">
        <v>2679</v>
      </c>
      <c r="J4" s="258"/>
    </row>
    <row r="5" spans="1:15" s="162" customFormat="1" ht="28.5" customHeight="1">
      <c r="A5" s="1075"/>
      <c r="B5" s="1077"/>
      <c r="C5" s="1078"/>
      <c r="D5" s="232" t="s">
        <v>2773</v>
      </c>
      <c r="E5" s="232" t="s">
        <v>2774</v>
      </c>
      <c r="F5" s="233" t="s">
        <v>1511</v>
      </c>
      <c r="G5" s="1080"/>
      <c r="H5" s="1078"/>
      <c r="I5" s="1082"/>
      <c r="J5" s="258"/>
    </row>
    <row r="6" spans="1:15" hidden="1">
      <c r="A6" s="234" t="s">
        <v>2775</v>
      </c>
      <c r="B6" s="235"/>
      <c r="C6" s="236"/>
      <c r="D6" s="235"/>
      <c r="E6" s="236"/>
      <c r="F6" s="236"/>
      <c r="G6" s="236"/>
      <c r="H6" s="236"/>
      <c r="I6" s="259"/>
    </row>
    <row r="7" spans="1:15" s="16" customFormat="1" ht="28.8" hidden="1">
      <c r="A7" s="237" t="str">
        <f>'staffing plan'!B12</f>
        <v>Director IV</v>
      </c>
      <c r="B7" s="238">
        <f>+'staffing plan'!C12</f>
        <v>28</v>
      </c>
      <c r="C7" s="239" t="str">
        <f>+'staffing plan'!A12</f>
        <v>OSEC-DILGB-DIR4-18-1998</v>
      </c>
      <c r="D7" s="240" t="str">
        <f>+'staffing plan'!AK12</f>
        <v>011</v>
      </c>
      <c r="E7" s="239" t="e">
        <f>+'staffing plan'!#REF!</f>
        <v>#REF!</v>
      </c>
      <c r="F7" s="239" t="e">
        <f>CONCATENATE('staffing plan'!#REF!," ",'staffing plan'!#REF!)</f>
        <v>#REF!</v>
      </c>
      <c r="G7" s="239" t="str">
        <f>'staffing plan'!AX12</f>
        <v>Regional Office</v>
      </c>
      <c r="H7" s="239" t="str">
        <f>'staffing plan'!AW12</f>
        <v>IRINGAN, Marlo Lingan</v>
      </c>
      <c r="I7" s="260"/>
      <c r="J7" s="261" t="e">
        <f t="shared" ref="J7:J13" si="0">E7=G7</f>
        <v>#REF!</v>
      </c>
    </row>
    <row r="8" spans="1:15" s="16" customFormat="1" ht="28.8" hidden="1">
      <c r="A8" s="237" t="str">
        <f>'staffing plan'!B13</f>
        <v>Director III</v>
      </c>
      <c r="B8" s="238">
        <f>+'staffing plan'!C13</f>
        <v>27</v>
      </c>
      <c r="C8" s="239" t="str">
        <f>+'staffing plan'!A13</f>
        <v>OSEC-DILGB-DIR3-4-1998</v>
      </c>
      <c r="D8" s="240" t="str">
        <f>+'staffing plan'!AK13</f>
        <v>011</v>
      </c>
      <c r="E8" s="239" t="e">
        <f>+'staffing plan'!#REF!</f>
        <v>#REF!</v>
      </c>
      <c r="F8" s="239" t="e">
        <f>CONCATENATE('staffing plan'!#REF!," ",'staffing plan'!#REF!)</f>
        <v>#REF!</v>
      </c>
      <c r="G8" s="239" t="str">
        <f>'staffing plan'!AX13</f>
        <v>Regional Office</v>
      </c>
      <c r="H8" s="239" t="str">
        <f>'staffing plan'!AW13</f>
        <v>SAN JOSE, Araceli Arruejo</v>
      </c>
      <c r="I8" s="260"/>
      <c r="J8" s="261" t="e">
        <f t="shared" si="0"/>
        <v>#REF!</v>
      </c>
    </row>
    <row r="9" spans="1:15" s="16" customFormat="1" ht="28.8" hidden="1">
      <c r="A9" s="237" t="str">
        <f>'staffing plan'!B14</f>
        <v>Attorney IV</v>
      </c>
      <c r="B9" s="238">
        <f>+'staffing plan'!C14</f>
        <v>23</v>
      </c>
      <c r="C9" s="239" t="str">
        <f>+'staffing plan'!A14</f>
        <v>OSEC-DILGB-ATTY4-9-1998</v>
      </c>
      <c r="D9" s="240" t="str">
        <f>+'staffing plan'!AK14</f>
        <v>011</v>
      </c>
      <c r="E9" s="239" t="e">
        <f>+'staffing plan'!#REF!</f>
        <v>#REF!</v>
      </c>
      <c r="F9" s="239" t="e">
        <f>CONCATENATE('staffing plan'!#REF!," ",'staffing plan'!#REF!)</f>
        <v>#REF!</v>
      </c>
      <c r="G9" s="239" t="str">
        <f>'staffing plan'!AX14</f>
        <v>Regional Office</v>
      </c>
      <c r="H9" s="239" t="str">
        <f>'staffing plan'!AW14</f>
        <v>SHONTOGAN, Genevieve Miguel</v>
      </c>
      <c r="I9" s="260"/>
      <c r="J9" s="261" t="e">
        <f t="shared" si="0"/>
        <v>#REF!</v>
      </c>
    </row>
    <row r="10" spans="1:15" s="16" customFormat="1" ht="28.8" hidden="1">
      <c r="A10" s="237" t="str">
        <f>'staffing plan'!B15</f>
        <v>Information Technology Officer I</v>
      </c>
      <c r="B10" s="238">
        <f>+'staffing plan'!C15</f>
        <v>19</v>
      </c>
      <c r="C10" s="239" t="str">
        <f>+'staffing plan'!A15</f>
        <v>OSEC-DILGB-ITO1-2-2010</v>
      </c>
      <c r="D10" s="240" t="str">
        <f>+'staffing plan'!AK15</f>
        <v>011</v>
      </c>
      <c r="E10" s="239" t="e">
        <f>+'staffing plan'!#REF!</f>
        <v>#REF!</v>
      </c>
      <c r="F10" s="239" t="e">
        <f>CONCATENATE('staffing plan'!#REF!," ",'staffing plan'!#REF!)</f>
        <v>#REF!</v>
      </c>
      <c r="G10" s="239" t="str">
        <f>'staffing plan'!AX15</f>
        <v>Regional Office</v>
      </c>
      <c r="H10" s="239" t="str">
        <f>'staffing plan'!AW15</f>
        <v>PAPAT-IW, Zaldy Bugtong</v>
      </c>
      <c r="I10" s="260"/>
      <c r="J10" s="261" t="e">
        <f t="shared" si="0"/>
        <v>#REF!</v>
      </c>
    </row>
    <row r="11" spans="1:15" s="16" customFormat="1" ht="28.8" hidden="1">
      <c r="A11" s="237" t="str">
        <f>'staffing plan'!B16</f>
        <v>Planning Officer III</v>
      </c>
      <c r="B11" s="238">
        <f>+'staffing plan'!C16</f>
        <v>18</v>
      </c>
      <c r="C11" s="239" t="str">
        <f>+'staffing plan'!A16</f>
        <v>OSEC-DILGB-PLO3-93-2010</v>
      </c>
      <c r="D11" s="240" t="str">
        <f>+'staffing plan'!AK16</f>
        <v>011</v>
      </c>
      <c r="E11" s="239" t="e">
        <f>+'staffing plan'!#REF!</f>
        <v>#REF!</v>
      </c>
      <c r="F11" s="239" t="e">
        <f>CONCATENATE('staffing plan'!#REF!," ",'staffing plan'!#REF!)</f>
        <v>#REF!</v>
      </c>
      <c r="G11" s="239" t="str">
        <f>'staffing plan'!AX16</f>
        <v>Regional Office</v>
      </c>
      <c r="H11" s="239" t="str">
        <f>'staffing plan'!AW16</f>
        <v>BINAY-AN, Fe Suerte</v>
      </c>
      <c r="I11" s="260"/>
      <c r="J11" s="261" t="e">
        <f t="shared" si="0"/>
        <v>#REF!</v>
      </c>
    </row>
    <row r="12" spans="1:15" s="16" customFormat="1" ht="28.8" hidden="1">
      <c r="A12" s="237" t="str">
        <f>'staffing plan'!B17</f>
        <v>Administrative Assistant III</v>
      </c>
      <c r="B12" s="238">
        <f>+'staffing plan'!C17</f>
        <v>9</v>
      </c>
      <c r="C12" s="239" t="str">
        <f>+'staffing plan'!A17</f>
        <v>OSEC-DILGB-ADAS3-64-2005</v>
      </c>
      <c r="D12" s="240" t="str">
        <f>+'staffing plan'!AK17</f>
        <v>011</v>
      </c>
      <c r="E12" s="239" t="e">
        <f>+'staffing plan'!#REF!</f>
        <v>#REF!</v>
      </c>
      <c r="F12" s="239" t="e">
        <f>CONCATENATE('staffing plan'!#REF!," ",'staffing plan'!#REF!)</f>
        <v>#REF!</v>
      </c>
      <c r="G12" s="239" t="str">
        <f>'staffing plan'!AX17</f>
        <v>Regional Office</v>
      </c>
      <c r="H12" s="239" t="str">
        <f>'staffing plan'!AW17</f>
        <v>DAOAS, Marian Pait Bigsang</v>
      </c>
      <c r="I12" s="260"/>
      <c r="J12" s="261" t="e">
        <f t="shared" si="0"/>
        <v>#REF!</v>
      </c>
    </row>
    <row r="13" spans="1:15" s="16" customFormat="1" ht="28.8" hidden="1">
      <c r="A13" s="237" t="str">
        <f>'staffing plan'!B18</f>
        <v>Administrative Aide IV (Driver II)</v>
      </c>
      <c r="B13" s="238">
        <f>+'staffing plan'!C18</f>
        <v>4</v>
      </c>
      <c r="C13" s="239" t="str">
        <f>+'staffing plan'!A18</f>
        <v>OSEC-DILGB-ADA4-83-2005</v>
      </c>
      <c r="D13" s="240" t="str">
        <f>+'staffing plan'!AK18</f>
        <v>011</v>
      </c>
      <c r="E13" s="239" t="e">
        <f>+'staffing plan'!#REF!</f>
        <v>#REF!</v>
      </c>
      <c r="F13" s="239" t="e">
        <f>CONCATENATE('staffing plan'!#REF!," ",'staffing plan'!#REF!)</f>
        <v>#REF!</v>
      </c>
      <c r="G13" s="239" t="str">
        <f>'staffing plan'!AX18</f>
        <v>Regional Office</v>
      </c>
      <c r="H13" s="239" t="str">
        <f>'staffing plan'!AW18</f>
        <v>PULTZ, El-wood Duane  Lingbawan</v>
      </c>
      <c r="I13" s="260"/>
      <c r="J13" s="261" t="e">
        <f t="shared" si="0"/>
        <v>#REF!</v>
      </c>
    </row>
    <row r="14" spans="1:15" hidden="1">
      <c r="A14" s="241"/>
      <c r="B14" s="242"/>
      <c r="C14" s="243"/>
      <c r="D14" s="244"/>
      <c r="E14" s="243"/>
      <c r="F14" s="243"/>
      <c r="G14" s="243"/>
      <c r="H14" s="243"/>
      <c r="I14" s="262"/>
      <c r="M14" s="162"/>
      <c r="N14" s="162"/>
      <c r="O14"/>
    </row>
    <row r="15" spans="1:15">
      <c r="A15" s="234" t="s">
        <v>2776</v>
      </c>
      <c r="B15" s="242"/>
      <c r="C15" s="243"/>
      <c r="D15" s="244"/>
      <c r="E15" s="243"/>
      <c r="F15" s="243"/>
      <c r="G15" s="243"/>
      <c r="H15" s="243"/>
      <c r="I15" s="262"/>
      <c r="M15" s="162"/>
      <c r="N15" s="162"/>
      <c r="O15"/>
    </row>
    <row r="16" spans="1:15" s="16" customFormat="1" ht="28.8" hidden="1">
      <c r="A16" s="237" t="str">
        <f>'staffing plan'!B21</f>
        <v>Local Government Operations Officer VII</v>
      </c>
      <c r="B16" s="238">
        <f>+'staffing plan'!C21</f>
        <v>24</v>
      </c>
      <c r="C16" s="239" t="str">
        <f>+'staffing plan'!A21</f>
        <v>OSEC-DILGB-LGOO7-37-1998</v>
      </c>
      <c r="D16" s="245" t="str">
        <f>+'staffing plan'!AK21</f>
        <v>06</v>
      </c>
      <c r="E16" s="239" t="e">
        <f>+'staffing plan'!#REF!</f>
        <v>#REF!</v>
      </c>
      <c r="F16" s="239" t="e">
        <f>CONCATENATE('staffing plan'!#REF!," ",'staffing plan'!#REF!)</f>
        <v>#REF!</v>
      </c>
      <c r="G16" s="239" t="str">
        <f>'staffing plan'!AX21</f>
        <v>Regional Office</v>
      </c>
      <c r="H16" s="239" t="str">
        <f>'staffing plan'!AW21</f>
        <v>PAYANG, Daisy Amoy</v>
      </c>
      <c r="I16" s="260" t="s">
        <v>2777</v>
      </c>
      <c r="J16" s="261" t="e">
        <f t="shared" ref="J16:J23" si="1">E16=G16</f>
        <v>#REF!</v>
      </c>
    </row>
    <row r="17" spans="1:18" s="16" customFormat="1" ht="28.8" hidden="1">
      <c r="A17" s="237" t="str">
        <f>'staffing plan'!B22</f>
        <v>Local Government Operations Officer VI</v>
      </c>
      <c r="B17" s="238">
        <f>+'staffing plan'!C22</f>
        <v>22</v>
      </c>
      <c r="C17" s="239" t="str">
        <f>+'staffing plan'!A22</f>
        <v>OSEC-DILGB-LGOO6-12-1998</v>
      </c>
      <c r="D17" s="240" t="str">
        <f>+'staffing plan'!AK22</f>
        <v>011</v>
      </c>
      <c r="E17" s="239" t="e">
        <f>+'staffing plan'!#REF!</f>
        <v>#REF!</v>
      </c>
      <c r="F17" s="239" t="e">
        <f>CONCATENATE('staffing plan'!#REF!," ",'staffing plan'!#REF!)</f>
        <v>#REF!</v>
      </c>
      <c r="G17" s="239" t="str">
        <f>'staffing plan'!AX22</f>
        <v>Benguet</v>
      </c>
      <c r="H17" s="239" t="str">
        <f>'staffing plan'!AW22</f>
        <v>CLAUDIO, Ofelia Linggon</v>
      </c>
      <c r="I17" s="260"/>
      <c r="J17" s="261" t="e">
        <f t="shared" si="1"/>
        <v>#REF!</v>
      </c>
    </row>
    <row r="18" spans="1:18" s="16" customFormat="1" ht="28.8">
      <c r="A18" s="237" t="str">
        <f>'staffing plan'!B23</f>
        <v>Local Government Operations Officer V</v>
      </c>
      <c r="B18" s="238">
        <f>+'staffing plan'!C23</f>
        <v>20</v>
      </c>
      <c r="C18" s="239" t="str">
        <f>+'staffing plan'!A23</f>
        <v>OSEC-DILGB-LGOO5-791-1998</v>
      </c>
      <c r="D18" s="245" t="str">
        <f>+'staffing plan'!AK23</f>
        <v>0540</v>
      </c>
      <c r="E18" s="239" t="e">
        <f>+'staffing plan'!#REF!</f>
        <v>#REF!</v>
      </c>
      <c r="F18" s="239" t="e">
        <f>CONCATENATE('staffing plan'!#REF!," ",'staffing plan'!#REF!)</f>
        <v>#REF!</v>
      </c>
      <c r="G18" s="239" t="str">
        <f>'staffing plan'!AX23</f>
        <v>Regional Office</v>
      </c>
      <c r="H18" s="239" t="str">
        <f>'staffing plan'!AW23</f>
        <v>GONZALES, Rolando Ronquillo</v>
      </c>
      <c r="I18" s="260" t="s">
        <v>2778</v>
      </c>
      <c r="J18" s="261" t="e">
        <f t="shared" si="1"/>
        <v>#REF!</v>
      </c>
      <c r="Q18" s="16" t="s">
        <v>3074</v>
      </c>
      <c r="R18" s="16" t="s">
        <v>1207</v>
      </c>
    </row>
    <row r="19" spans="1:18" s="16" customFormat="1" ht="28.8">
      <c r="A19" s="237" t="str">
        <f>'staffing plan'!B24</f>
        <v>Local Government Operations Officer V</v>
      </c>
      <c r="B19" s="238">
        <f>+'staffing plan'!C24</f>
        <v>20</v>
      </c>
      <c r="C19" s="239" t="str">
        <f>+'staffing plan'!A24</f>
        <v>OSEC-DILGB-LGOO5-802-1998</v>
      </c>
      <c r="D19" s="240" t="str">
        <f>+'staffing plan'!AK24</f>
        <v>011</v>
      </c>
      <c r="E19" s="239" t="e">
        <f>+'staffing plan'!#REF!</f>
        <v>#REF!</v>
      </c>
      <c r="F19" s="239" t="e">
        <f>CONCATENATE('staffing plan'!#REF!," ",'staffing plan'!#REF!)</f>
        <v>#REF!</v>
      </c>
      <c r="G19" s="239" t="str">
        <f>'staffing plan'!AX24</f>
        <v>Regional Office</v>
      </c>
      <c r="H19" s="239" t="str">
        <f>'staffing plan'!AW24</f>
        <v>MAUTING, Johnny Laayon</v>
      </c>
      <c r="I19" s="260"/>
      <c r="J19" s="261" t="e">
        <f t="shared" si="1"/>
        <v>#REF!</v>
      </c>
      <c r="Q19" s="16" t="s">
        <v>3075</v>
      </c>
      <c r="R19" s="16" t="s">
        <v>1207</v>
      </c>
    </row>
    <row r="20" spans="1:18" s="16" customFormat="1" ht="28.8">
      <c r="A20" s="237" t="str">
        <f>'staffing plan'!B25</f>
        <v>Local Government Operations Officer V</v>
      </c>
      <c r="B20" s="238">
        <f>+'staffing plan'!C25</f>
        <v>20</v>
      </c>
      <c r="C20" s="239" t="str">
        <f>+'staffing plan'!A25</f>
        <v>OSEC-DILGB-LGOO5-813-1998</v>
      </c>
      <c r="D20" s="240" t="str">
        <f>+'staffing plan'!AK25</f>
        <v>011</v>
      </c>
      <c r="E20" s="239" t="e">
        <f>+'staffing plan'!#REF!</f>
        <v>#REF!</v>
      </c>
      <c r="F20" s="239" t="e">
        <f>CONCATENATE('staffing plan'!#REF!," ",'staffing plan'!#REF!)</f>
        <v>#REF!</v>
      </c>
      <c r="G20" s="239">
        <f>'staffing plan'!AX25</f>
        <v>0</v>
      </c>
      <c r="H20" s="239" t="str">
        <f>'staffing plan'!AW25</f>
        <v xml:space="preserve">Vacant GRIBA,  </v>
      </c>
      <c r="I20" s="260"/>
      <c r="J20" s="261" t="e">
        <f t="shared" si="1"/>
        <v>#REF!</v>
      </c>
      <c r="Q20" s="16" t="s">
        <v>3076</v>
      </c>
      <c r="R20" s="16" t="s">
        <v>1207</v>
      </c>
    </row>
    <row r="21" spans="1:18" s="16" customFormat="1" ht="28.8" hidden="1">
      <c r="A21" s="237" t="str">
        <f>'staffing plan'!B26</f>
        <v>Local Government Operations Officer IV</v>
      </c>
      <c r="B21" s="238">
        <f>+'staffing plan'!C26</f>
        <v>18</v>
      </c>
      <c r="C21" s="239" t="str">
        <f>+'staffing plan'!A26</f>
        <v>OSEC-DILGB-LGOO4-161-1998</v>
      </c>
      <c r="D21" s="240" t="str">
        <f>+'staffing plan'!AK26</f>
        <v>011</v>
      </c>
      <c r="E21" s="239" t="e">
        <f>+'staffing plan'!#REF!</f>
        <v>#REF!</v>
      </c>
      <c r="F21" s="239" t="e">
        <f>CONCATENATE('staffing plan'!#REF!," ",'staffing plan'!#REF!)</f>
        <v>#REF!</v>
      </c>
      <c r="G21" s="239" t="str">
        <f>'staffing plan'!AX26</f>
        <v>Regional Office</v>
      </c>
      <c r="H21" s="239" t="str">
        <f>'staffing plan'!AW26</f>
        <v>DAEP, Sherwin Ray Ochoco</v>
      </c>
      <c r="I21" s="260"/>
      <c r="J21" s="261" t="e">
        <f t="shared" si="1"/>
        <v>#REF!</v>
      </c>
    </row>
    <row r="22" spans="1:18" s="16" customFormat="1" ht="28.8" hidden="1">
      <c r="A22" s="246" t="str">
        <f>'staffing plan'!B27</f>
        <v>Local Government Operations Officer IV</v>
      </c>
      <c r="B22" s="247">
        <f>+'staffing plan'!C27</f>
        <v>18</v>
      </c>
      <c r="C22" s="248" t="str">
        <f>+'staffing plan'!A27</f>
        <v>OSEC-DILGB-LGOO4-164-1998</v>
      </c>
      <c r="D22" s="249" t="str">
        <f>+'staffing plan'!AK27</f>
        <v>011</v>
      </c>
      <c r="E22" s="248" t="e">
        <f>+'staffing plan'!#REF!</f>
        <v>#REF!</v>
      </c>
      <c r="F22" s="248" t="e">
        <f>CONCATENATE('staffing plan'!#REF!," ",'staffing plan'!#REF!)</f>
        <v>#REF!</v>
      </c>
      <c r="G22" s="248" t="str">
        <f>'staffing plan'!AX27</f>
        <v>Regional Office</v>
      </c>
      <c r="H22" s="248" t="str">
        <f>'staffing plan'!AW27</f>
        <v>BRETT, Ralph Kevin Bacagan</v>
      </c>
      <c r="I22" s="263"/>
      <c r="J22" s="261" t="e">
        <f t="shared" si="1"/>
        <v>#REF!</v>
      </c>
    </row>
    <row r="23" spans="1:18" s="16" customFormat="1" ht="28.8" hidden="1">
      <c r="A23" s="237" t="str">
        <f>'staffing plan'!B28</f>
        <v>Administrative Aide VI</v>
      </c>
      <c r="B23" s="238">
        <f>+'staffing plan'!C28</f>
        <v>6</v>
      </c>
      <c r="C23" s="239" t="str">
        <f>+'staffing plan'!A28</f>
        <v>OSEC-DILGB-ADA6-97-2005</v>
      </c>
      <c r="D23" s="240" t="str">
        <f>+'staffing plan'!AK28</f>
        <v>011</v>
      </c>
      <c r="E23" s="239" t="e">
        <f>+'staffing plan'!#REF!</f>
        <v>#REF!</v>
      </c>
      <c r="F23" s="239" t="e">
        <f>CONCATENATE('staffing plan'!#REF!," ",'staffing plan'!#REF!)</f>
        <v>#REF!</v>
      </c>
      <c r="G23" s="239">
        <f>'staffing plan'!AX28</f>
        <v>0</v>
      </c>
      <c r="H23" s="239" t="str">
        <f>'staffing plan'!AW28</f>
        <v xml:space="preserve">Vacant MAGO,  </v>
      </c>
      <c r="I23" s="260"/>
      <c r="J23" s="261" t="e">
        <f t="shared" si="1"/>
        <v>#REF!</v>
      </c>
    </row>
    <row r="24" spans="1:18" hidden="1">
      <c r="A24" s="241"/>
      <c r="B24" s="242"/>
      <c r="C24" s="243"/>
      <c r="D24" s="244"/>
      <c r="E24" s="243"/>
      <c r="F24" s="243"/>
      <c r="G24" s="243"/>
      <c r="H24" s="243"/>
      <c r="I24" s="262"/>
      <c r="M24" s="162"/>
      <c r="N24" s="162"/>
      <c r="O24"/>
    </row>
    <row r="25" spans="1:18">
      <c r="A25" s="234" t="s">
        <v>2779</v>
      </c>
      <c r="B25" s="242"/>
      <c r="C25" s="243"/>
      <c r="D25" s="244"/>
      <c r="E25" s="243"/>
      <c r="F25" s="243"/>
      <c r="G25" s="243"/>
      <c r="H25" s="243"/>
      <c r="I25" s="262"/>
      <c r="M25" s="162"/>
      <c r="N25" s="162"/>
      <c r="O25"/>
    </row>
    <row r="26" spans="1:18" s="16" customFormat="1" ht="28.8" hidden="1">
      <c r="A26" s="237" t="str">
        <f>'staffing plan'!B31</f>
        <v>Local Government Operations Officer VII</v>
      </c>
      <c r="B26" s="238">
        <f>+'staffing plan'!C31</f>
        <v>24</v>
      </c>
      <c r="C26" s="239" t="str">
        <f>+'staffing plan'!A31</f>
        <v>OSEC-DILGB-LGOO7-38-1998</v>
      </c>
      <c r="D26" s="240" t="str">
        <f>+'staffing plan'!AK31</f>
        <v>011</v>
      </c>
      <c r="E26" s="239" t="e">
        <f>+'staffing plan'!#REF!</f>
        <v>#REF!</v>
      </c>
      <c r="F26" s="239" t="e">
        <f>CONCATENATE('staffing plan'!#REF!," ",'staffing plan'!#REF!)</f>
        <v>#REF!</v>
      </c>
      <c r="G26" s="239" t="str">
        <f>'staffing plan'!AX31</f>
        <v>Regional Office</v>
      </c>
      <c r="H26" s="239" t="str">
        <f>'staffing plan'!AW31</f>
        <v>GUERZON, Marleen Montano</v>
      </c>
      <c r="I26" s="260"/>
      <c r="J26" s="261" t="e">
        <f t="shared" ref="J26:J35" si="2">E26=G26</f>
        <v>#REF!</v>
      </c>
    </row>
    <row r="27" spans="1:18" s="16" customFormat="1" ht="28.8" hidden="1">
      <c r="A27" s="237" t="str">
        <f>'staffing plan'!B32</f>
        <v>Local Government Operations Officer VI</v>
      </c>
      <c r="B27" s="238">
        <f>+'staffing plan'!C32</f>
        <v>22</v>
      </c>
      <c r="C27" s="239" t="str">
        <f>+'staffing plan'!A32</f>
        <v>OSEC-DILGB-LGOO6-14-1998</v>
      </c>
      <c r="D27" s="240" t="str">
        <f>+'staffing plan'!AK32</f>
        <v>011</v>
      </c>
      <c r="E27" s="239" t="e">
        <f>+'staffing plan'!#REF!</f>
        <v>#REF!</v>
      </c>
      <c r="F27" s="239" t="e">
        <f>CONCATENATE('staffing plan'!#REF!," ",'staffing plan'!#REF!)</f>
        <v>#REF!</v>
      </c>
      <c r="G27" s="239" t="str">
        <f>'staffing plan'!AX32</f>
        <v>Regional Office</v>
      </c>
      <c r="H27" s="239" t="str">
        <f>'staffing plan'!AW32</f>
        <v>ADNOL, Bable Ged-ang</v>
      </c>
      <c r="I27" s="260"/>
      <c r="J27" s="261" t="e">
        <f t="shared" si="2"/>
        <v>#REF!</v>
      </c>
    </row>
    <row r="28" spans="1:18" s="16" customFormat="1" ht="28.8">
      <c r="A28" s="237" t="str">
        <f>'staffing plan'!B33</f>
        <v>Local Government Operations Officer V</v>
      </c>
      <c r="B28" s="238">
        <f>+'staffing plan'!C33</f>
        <v>20</v>
      </c>
      <c r="C28" s="239" t="str">
        <f>+'staffing plan'!A33</f>
        <v>OSEC-DILGB-LGOO5-99-2010</v>
      </c>
      <c r="D28" s="240" t="str">
        <f>+'staffing plan'!AK33</f>
        <v>011</v>
      </c>
      <c r="E28" s="239" t="e">
        <f>+'staffing plan'!#REF!</f>
        <v>#REF!</v>
      </c>
      <c r="F28" s="239" t="e">
        <f>CONCATENATE('staffing plan'!#REF!," ",'staffing plan'!#REF!)</f>
        <v>#REF!</v>
      </c>
      <c r="G28" s="239" t="str">
        <f>'staffing plan'!AX33</f>
        <v>Regional Office</v>
      </c>
      <c r="H28" s="239" t="str">
        <f>'staffing plan'!AW33</f>
        <v>RIMANDO, Marie Cris Lim</v>
      </c>
      <c r="I28" s="260"/>
      <c r="J28" s="261" t="e">
        <f t="shared" si="2"/>
        <v>#REF!</v>
      </c>
      <c r="Q28" s="16" t="s">
        <v>2297</v>
      </c>
      <c r="R28" s="16" t="s">
        <v>1207</v>
      </c>
    </row>
    <row r="29" spans="1:18" s="16" customFormat="1" ht="28.8">
      <c r="A29" s="237" t="str">
        <f>'staffing plan'!B34</f>
        <v>Local Government Operations Officer V</v>
      </c>
      <c r="B29" s="238">
        <f>+'staffing plan'!C34</f>
        <v>20</v>
      </c>
      <c r="C29" s="239" t="str">
        <f>+'staffing plan'!A34</f>
        <v>OSEC-DILGB-LGOO5-824-1998</v>
      </c>
      <c r="D29" s="240" t="str">
        <f>+'staffing plan'!AK34</f>
        <v>011</v>
      </c>
      <c r="E29" s="239" t="e">
        <f>+'staffing plan'!#REF!</f>
        <v>#REF!</v>
      </c>
      <c r="F29" s="239" t="e">
        <f>CONCATENATE('staffing plan'!#REF!," ",'staffing plan'!#REF!)</f>
        <v>#REF!</v>
      </c>
      <c r="G29" s="239" t="str">
        <f>'staffing plan'!AX34</f>
        <v>Regional Office</v>
      </c>
      <c r="H29" s="239" t="str">
        <f>'staffing plan'!AW34</f>
        <v>GARCIA, Florinda Manuyag</v>
      </c>
      <c r="I29" s="260"/>
      <c r="J29" s="261" t="e">
        <f t="shared" si="2"/>
        <v>#REF!</v>
      </c>
      <c r="Q29" s="16" t="s">
        <v>3076</v>
      </c>
      <c r="R29" s="16" t="s">
        <v>1207</v>
      </c>
    </row>
    <row r="30" spans="1:18" s="16" customFormat="1" ht="28.8">
      <c r="A30" s="237" t="str">
        <f>'staffing plan'!B35</f>
        <v>Local Government Operations Officer V</v>
      </c>
      <c r="B30" s="238">
        <f>+'staffing plan'!C35</f>
        <v>20</v>
      </c>
      <c r="C30" s="239" t="str">
        <f>+'staffing plan'!A35</f>
        <v>OSEC-DILGB-LGOO5-835-1998</v>
      </c>
      <c r="D30" s="240" t="str">
        <f>+'staffing plan'!AK35</f>
        <v>011</v>
      </c>
      <c r="E30" s="239" t="e">
        <f>+'staffing plan'!#REF!</f>
        <v>#REF!</v>
      </c>
      <c r="F30" s="239" t="e">
        <f>CONCATENATE('staffing plan'!#REF!," ",'staffing plan'!#REF!)</f>
        <v>#REF!</v>
      </c>
      <c r="G30" s="239" t="str">
        <f>'staffing plan'!AX35</f>
        <v>Regional Office</v>
      </c>
      <c r="H30" s="239" t="str">
        <f>'staffing plan'!AW35</f>
        <v>TINDUNGAN, Kenneth Cuyapi</v>
      </c>
      <c r="I30" s="260"/>
      <c r="J30" s="261" t="e">
        <f t="shared" si="2"/>
        <v>#REF!</v>
      </c>
      <c r="Q30" s="16" t="s">
        <v>3077</v>
      </c>
      <c r="R30" s="16" t="s">
        <v>1207</v>
      </c>
    </row>
    <row r="31" spans="1:18" s="16" customFormat="1" ht="28.8" hidden="1">
      <c r="A31" s="237" t="str">
        <f>'staffing plan'!B36</f>
        <v>Local Government Operations Officer IV</v>
      </c>
      <c r="B31" s="238">
        <f>+'staffing plan'!C36</f>
        <v>18</v>
      </c>
      <c r="C31" s="239" t="str">
        <f>+'staffing plan'!A36</f>
        <v>OSEC-DILGB-LGOO4-166-1998</v>
      </c>
      <c r="D31" s="240" t="str">
        <f>+'staffing plan'!AK36</f>
        <v>011</v>
      </c>
      <c r="E31" s="239" t="e">
        <f>+'staffing plan'!#REF!</f>
        <v>#REF!</v>
      </c>
      <c r="F31" s="239" t="e">
        <f>CONCATENATE('staffing plan'!#REF!," ",'staffing plan'!#REF!)</f>
        <v>#REF!</v>
      </c>
      <c r="G31" s="239" t="str">
        <f>'staffing plan'!AX36</f>
        <v>Regional Office</v>
      </c>
      <c r="H31" s="239" t="str">
        <f>'staffing plan'!AW36</f>
        <v>CANULLAS, Mary Jheama Rachine  Esperanzate</v>
      </c>
      <c r="I31" s="260"/>
      <c r="J31" s="261" t="e">
        <f t="shared" si="2"/>
        <v>#REF!</v>
      </c>
    </row>
    <row r="32" spans="1:18" s="16" customFormat="1" ht="28.8" hidden="1">
      <c r="A32" s="237" t="str">
        <f>'staffing plan'!B37</f>
        <v>Local Government Operations Officer IV</v>
      </c>
      <c r="B32" s="238">
        <f>+'staffing plan'!C37</f>
        <v>18</v>
      </c>
      <c r="C32" s="239" t="str">
        <f>+'staffing plan'!A37</f>
        <v>OSEC-DILGB-LGOO4-167-1998</v>
      </c>
      <c r="D32" s="240" t="str">
        <f>+'staffing plan'!AK37</f>
        <v>011</v>
      </c>
      <c r="E32" s="239" t="e">
        <f>+'staffing plan'!#REF!</f>
        <v>#REF!</v>
      </c>
      <c r="F32" s="239" t="e">
        <f>CONCATENATE('staffing plan'!#REF!," ",'staffing plan'!#REF!)</f>
        <v>#REF!</v>
      </c>
      <c r="G32" s="239" t="str">
        <f>'staffing plan'!AX37</f>
        <v>Regional Office</v>
      </c>
      <c r="H32" s="239" t="str">
        <f>'staffing plan'!AW37</f>
        <v>BUENA, Maria Consolacion Salibad</v>
      </c>
      <c r="I32" s="260"/>
      <c r="J32" s="261" t="e">
        <f t="shared" si="2"/>
        <v>#REF!</v>
      </c>
    </row>
    <row r="33" spans="1:15" s="16" customFormat="1" ht="28.8" hidden="1">
      <c r="A33" s="237" t="str">
        <f>'staffing plan'!B38</f>
        <v>Statistician II</v>
      </c>
      <c r="B33" s="238">
        <f>+'staffing plan'!C38</f>
        <v>15</v>
      </c>
      <c r="C33" s="239" t="str">
        <f>+'staffing plan'!A38</f>
        <v>OSEC-DILGB-STAT2-101-2010</v>
      </c>
      <c r="D33" s="240" t="str">
        <f>+'staffing plan'!AK38</f>
        <v>011</v>
      </c>
      <c r="E33" s="239" t="e">
        <f>+'staffing plan'!#REF!</f>
        <v>#REF!</v>
      </c>
      <c r="F33" s="239" t="e">
        <f>CONCATENATE('staffing plan'!#REF!," ",'staffing plan'!#REF!)</f>
        <v>#REF!</v>
      </c>
      <c r="G33" s="239" t="str">
        <f>'staffing plan'!AX38</f>
        <v>Regional Office</v>
      </c>
      <c r="H33" s="239" t="str">
        <f>'staffing plan'!AW38</f>
        <v>AZARCON, Danilo Jr Estrella</v>
      </c>
      <c r="I33" s="260"/>
      <c r="J33" s="261" t="e">
        <f t="shared" si="2"/>
        <v>#REF!</v>
      </c>
    </row>
    <row r="34" spans="1:15" s="16" customFormat="1" ht="28.8" hidden="1">
      <c r="A34" s="237" t="str">
        <f>'staffing plan'!B39</f>
        <v>Statistician I</v>
      </c>
      <c r="B34" s="238">
        <f>+'staffing plan'!C39</f>
        <v>11</v>
      </c>
      <c r="C34" s="239" t="str">
        <f>+'staffing plan'!A39</f>
        <v>OSEC-DILGB-STAT1-3-1998</v>
      </c>
      <c r="D34" s="240" t="str">
        <f>+'staffing plan'!AK39</f>
        <v>011</v>
      </c>
      <c r="E34" s="239" t="e">
        <f>+'staffing plan'!#REF!</f>
        <v>#REF!</v>
      </c>
      <c r="F34" s="239" t="e">
        <f>CONCATENATE('staffing plan'!#REF!," ",'staffing plan'!#REF!)</f>
        <v>#REF!</v>
      </c>
      <c r="G34" s="239" t="str">
        <f>'staffing plan'!AX39</f>
        <v>Regional Office</v>
      </c>
      <c r="H34" s="239" t="str">
        <f>'staffing plan'!AW39</f>
        <v>LOPEZ, Sesvir Castañeda</v>
      </c>
      <c r="I34" s="260"/>
      <c r="J34" s="261" t="e">
        <f t="shared" si="2"/>
        <v>#REF!</v>
      </c>
    </row>
    <row r="35" spans="1:15" s="16" customFormat="1" ht="28.8" hidden="1">
      <c r="A35" s="237" t="str">
        <f>'staffing plan'!B40</f>
        <v>Administrative Aide VI</v>
      </c>
      <c r="B35" s="238">
        <f>+'staffing plan'!C40</f>
        <v>6</v>
      </c>
      <c r="C35" s="239" t="str">
        <f>+'staffing plan'!A40</f>
        <v>OSEC-DILGB-ADA6-88-2010</v>
      </c>
      <c r="D35" s="240" t="str">
        <f>+'staffing plan'!AK40</f>
        <v>011</v>
      </c>
      <c r="E35" s="239" t="e">
        <f>+'staffing plan'!#REF!</f>
        <v>#REF!</v>
      </c>
      <c r="F35" s="239" t="e">
        <f>CONCATENATE('staffing plan'!#REF!," ",'staffing plan'!#REF!)</f>
        <v>#REF!</v>
      </c>
      <c r="G35" s="239" t="str">
        <f>'staffing plan'!AX40</f>
        <v>Ifugao</v>
      </c>
      <c r="H35" s="239" t="str">
        <f>'staffing plan'!AW40</f>
        <v>MAGCIANO, Juden Beth Uybaan</v>
      </c>
      <c r="I35" s="260"/>
      <c r="J35" s="261" t="e">
        <f t="shared" si="2"/>
        <v>#REF!</v>
      </c>
    </row>
    <row r="36" spans="1:15" hidden="1">
      <c r="A36" s="241"/>
      <c r="B36" s="242"/>
      <c r="C36" s="243"/>
      <c r="D36" s="244"/>
      <c r="E36" s="243"/>
      <c r="F36" s="243"/>
      <c r="G36" s="243"/>
      <c r="H36" s="243"/>
      <c r="I36" s="262"/>
      <c r="M36" s="162"/>
      <c r="N36" s="162"/>
      <c r="O36"/>
    </row>
    <row r="37" spans="1:15" hidden="1">
      <c r="A37" s="234" t="s">
        <v>2780</v>
      </c>
      <c r="B37" s="242"/>
      <c r="C37" s="243"/>
      <c r="D37" s="244"/>
      <c r="E37" s="243"/>
      <c r="F37" s="243"/>
      <c r="G37" s="243"/>
      <c r="H37" s="243"/>
      <c r="I37" s="262"/>
      <c r="M37" s="162"/>
      <c r="N37" s="162"/>
      <c r="O37"/>
    </row>
    <row r="38" spans="1:15" s="16" customFormat="1" ht="28.8" hidden="1">
      <c r="A38" s="237" t="str">
        <f>'staffing plan'!B43</f>
        <v>Chief Administrative Officer</v>
      </c>
      <c r="B38" s="238">
        <f>+'staffing plan'!C43</f>
        <v>24</v>
      </c>
      <c r="C38" s="239" t="str">
        <f>+'staffing plan'!A43</f>
        <v>OSEC-DILGB-CADOF-19-2005</v>
      </c>
      <c r="D38" s="240" t="str">
        <f>+'staffing plan'!AK43</f>
        <v>011</v>
      </c>
      <c r="E38" s="239" t="e">
        <f>+'staffing plan'!#REF!</f>
        <v>#REF!</v>
      </c>
      <c r="F38" s="239" t="e">
        <f>CONCATENATE('staffing plan'!#REF!," ",'staffing plan'!#REF!)</f>
        <v>#REF!</v>
      </c>
      <c r="G38" s="239" t="str">
        <f>'staffing plan'!AX43</f>
        <v>Regional Office</v>
      </c>
      <c r="H38" s="239" t="str">
        <f>'staffing plan'!AW43</f>
        <v>MON, Shirley Evangeline Vergara</v>
      </c>
      <c r="I38" s="260"/>
      <c r="J38" s="261" t="e">
        <f t="shared" ref="J38:J60" si="3">E38=G38</f>
        <v>#REF!</v>
      </c>
    </row>
    <row r="39" spans="1:15" s="16" customFormat="1" ht="28.8" hidden="1">
      <c r="A39" s="237" t="str">
        <f>'staffing plan'!B44</f>
        <v>Supervising Administrative Officer</v>
      </c>
      <c r="B39" s="238">
        <f>+'staffing plan'!C44</f>
        <v>22</v>
      </c>
      <c r="C39" s="239" t="str">
        <f>+'staffing plan'!A44</f>
        <v>OSEC-DILGB-SAD0F-34-2005</v>
      </c>
      <c r="D39" s="240" t="str">
        <f>+'staffing plan'!AK44</f>
        <v>011</v>
      </c>
      <c r="E39" s="239" t="e">
        <f>+'staffing plan'!#REF!</f>
        <v>#REF!</v>
      </c>
      <c r="F39" s="239" t="e">
        <f>CONCATENATE('staffing plan'!#REF!," ",'staffing plan'!#REF!)</f>
        <v>#REF!</v>
      </c>
      <c r="G39" s="239" t="str">
        <f>'staffing plan'!AX44</f>
        <v>Regional Office</v>
      </c>
      <c r="H39" s="239" t="str">
        <f>'staffing plan'!AW44</f>
        <v>BALANG, Gerry Cobcobo</v>
      </c>
      <c r="I39" s="260"/>
      <c r="J39" s="261" t="e">
        <f t="shared" si="3"/>
        <v>#REF!</v>
      </c>
    </row>
    <row r="40" spans="1:15" s="16" customFormat="1" ht="28.8" hidden="1">
      <c r="A40" s="237" t="str">
        <f>'staffing plan'!B45</f>
        <v>Accountant III</v>
      </c>
      <c r="B40" s="238">
        <f>+'staffing plan'!C45</f>
        <v>19</v>
      </c>
      <c r="C40" s="239" t="str">
        <f>+'staffing plan'!A45</f>
        <v>OSEC-DILGB-A3-16-1998</v>
      </c>
      <c r="D40" s="240" t="str">
        <f>+'staffing plan'!AK45</f>
        <v>011</v>
      </c>
      <c r="E40" s="239" t="e">
        <f>+'staffing plan'!#REF!</f>
        <v>#REF!</v>
      </c>
      <c r="F40" s="239" t="e">
        <f>CONCATENATE('staffing plan'!#REF!," ",'staffing plan'!#REF!)</f>
        <v>#REF!</v>
      </c>
      <c r="G40" s="239" t="str">
        <f>'staffing plan'!AX45</f>
        <v>Regional Office</v>
      </c>
      <c r="H40" s="239" t="str">
        <f>'staffing plan'!AW45</f>
        <v>CHAOKAS, Jennifer Sokoken</v>
      </c>
      <c r="I40" s="260"/>
      <c r="J40" s="261" t="e">
        <f t="shared" si="3"/>
        <v>#REF!</v>
      </c>
    </row>
    <row r="41" spans="1:15" s="16" customFormat="1" ht="28.8" hidden="1">
      <c r="A41" s="237" t="str">
        <f>'staffing plan'!B46</f>
        <v xml:space="preserve">Administrative Officer V </v>
      </c>
      <c r="B41" s="238">
        <f>+'staffing plan'!C46</f>
        <v>18</v>
      </c>
      <c r="C41" s="239" t="str">
        <f>+'staffing plan'!A46</f>
        <v>OSEC-DILGB-ADOF5-52-2005</v>
      </c>
      <c r="D41" s="240" t="str">
        <f>+'staffing plan'!AK46</f>
        <v>011</v>
      </c>
      <c r="E41" s="239" t="e">
        <f>+'staffing plan'!#REF!</f>
        <v>#REF!</v>
      </c>
      <c r="F41" s="239" t="e">
        <f>CONCATENATE('staffing plan'!#REF!," ",'staffing plan'!#REF!)</f>
        <v>#REF!</v>
      </c>
      <c r="G41" s="239" t="str">
        <f>'staffing plan'!AX46</f>
        <v>Regional Office</v>
      </c>
      <c r="H41" s="239" t="str">
        <f>'staffing plan'!AW46</f>
        <v>ESDEN, Iris Balabag</v>
      </c>
      <c r="I41" s="260"/>
      <c r="J41" s="261" t="e">
        <f t="shared" si="3"/>
        <v>#REF!</v>
      </c>
    </row>
    <row r="42" spans="1:15" s="16" customFormat="1" ht="28.8" hidden="1">
      <c r="A42" s="246" t="str">
        <f>'staffing plan'!B47</f>
        <v xml:space="preserve">Administrative Officer V </v>
      </c>
      <c r="B42" s="247">
        <f>+'staffing plan'!C47</f>
        <v>18</v>
      </c>
      <c r="C42" s="248" t="str">
        <f>+'staffing plan'!A47</f>
        <v>OSEC-DILGB-ADOF5-53-2005</v>
      </c>
      <c r="D42" s="249" t="str">
        <f>+'staffing plan'!AK47</f>
        <v>011</v>
      </c>
      <c r="E42" s="248" t="e">
        <f>+'staffing plan'!#REF!</f>
        <v>#REF!</v>
      </c>
      <c r="F42" s="248" t="e">
        <f>CONCATENATE('staffing plan'!#REF!," ",'staffing plan'!#REF!)</f>
        <v>#REF!</v>
      </c>
      <c r="G42" s="248" t="str">
        <f>'staffing plan'!AX47</f>
        <v>Regional Office</v>
      </c>
      <c r="H42" s="248" t="str">
        <f>'staffing plan'!AW47</f>
        <v>MATIB, Louven Longbuan</v>
      </c>
      <c r="I42" s="263"/>
      <c r="J42" s="261" t="e">
        <f t="shared" si="3"/>
        <v>#REF!</v>
      </c>
    </row>
    <row r="43" spans="1:15" s="16" customFormat="1" ht="28.8" hidden="1">
      <c r="A43" s="250" t="str">
        <f>'staffing plan'!B48</f>
        <v xml:space="preserve">Administrative Officer V </v>
      </c>
      <c r="B43" s="251">
        <f>+'staffing plan'!C48</f>
        <v>18</v>
      </c>
      <c r="C43" s="252" t="str">
        <f>+'staffing plan'!A48</f>
        <v>OSEC-DILGB-ADOF5-54-2005</v>
      </c>
      <c r="D43" s="253" t="str">
        <f>+'staffing plan'!AK48</f>
        <v>011</v>
      </c>
      <c r="E43" s="252" t="e">
        <f>+'staffing plan'!#REF!</f>
        <v>#REF!</v>
      </c>
      <c r="F43" s="252" t="e">
        <f>CONCATENATE('staffing plan'!#REF!," ",'staffing plan'!#REF!)</f>
        <v>#REF!</v>
      </c>
      <c r="G43" s="252" t="str">
        <f>'staffing plan'!AX48</f>
        <v>Regional Office</v>
      </c>
      <c r="H43" s="252" t="str">
        <f>'staffing plan'!AW48</f>
        <v>BARNACHEA, Norman Idica</v>
      </c>
      <c r="I43" s="264"/>
      <c r="J43" s="261" t="e">
        <f t="shared" si="3"/>
        <v>#REF!</v>
      </c>
    </row>
    <row r="44" spans="1:15" s="16" customFormat="1" ht="28.8" hidden="1">
      <c r="A44" s="237" t="str">
        <f>'staffing plan'!B49</f>
        <v>Accountant II</v>
      </c>
      <c r="B44" s="238">
        <f>+'staffing plan'!C49</f>
        <v>16</v>
      </c>
      <c r="C44" s="239" t="str">
        <f>+'staffing plan'!A49</f>
        <v>OSEC-DILGB-A2-6-1998</v>
      </c>
      <c r="D44" s="240" t="str">
        <f>+'staffing plan'!AK49</f>
        <v>011</v>
      </c>
      <c r="E44" s="239" t="e">
        <f>+'staffing plan'!#REF!</f>
        <v>#REF!</v>
      </c>
      <c r="F44" s="239" t="e">
        <f>CONCATENATE('staffing plan'!#REF!," ",'staffing plan'!#REF!)</f>
        <v>#REF!</v>
      </c>
      <c r="G44" s="239" t="str">
        <f>'staffing plan'!AX49</f>
        <v>Regional Office</v>
      </c>
      <c r="H44" s="239" t="str">
        <f>'staffing plan'!AW49</f>
        <v>MACASIEB, Marlyn Pilot</v>
      </c>
      <c r="I44" s="260"/>
      <c r="J44" s="261" t="e">
        <f t="shared" si="3"/>
        <v>#REF!</v>
      </c>
    </row>
    <row r="45" spans="1:15" s="16" customFormat="1" ht="28.8" hidden="1">
      <c r="A45" s="237" t="str">
        <f>'staffing plan'!B50</f>
        <v xml:space="preserve">Administrative Officer IV </v>
      </c>
      <c r="B45" s="238">
        <f>+'staffing plan'!C50</f>
        <v>15</v>
      </c>
      <c r="C45" s="239" t="str">
        <f>+'staffing plan'!A50</f>
        <v>OSEC-DILGB-ADOF4-70-2005</v>
      </c>
      <c r="D45" s="240" t="str">
        <f>+'staffing plan'!AK50</f>
        <v>011</v>
      </c>
      <c r="E45" s="239" t="e">
        <f>+'staffing plan'!#REF!</f>
        <v>#REF!</v>
      </c>
      <c r="F45" s="239" t="e">
        <f>CONCATENATE('staffing plan'!#REF!," ",'staffing plan'!#REF!)</f>
        <v>#REF!</v>
      </c>
      <c r="G45" s="239" t="str">
        <f>'staffing plan'!AX50</f>
        <v>Regional Office</v>
      </c>
      <c r="H45" s="239" t="str">
        <f>'staffing plan'!AW50</f>
        <v>WONG, Arlene Eustaquio</v>
      </c>
      <c r="I45" s="260"/>
      <c r="J45" s="261" t="e">
        <f t="shared" si="3"/>
        <v>#REF!</v>
      </c>
    </row>
    <row r="46" spans="1:15" s="16" customFormat="1" ht="28.8" hidden="1">
      <c r="A46" s="237" t="str">
        <f>'staffing plan'!B51</f>
        <v>Administrative Officer IV</v>
      </c>
      <c r="B46" s="238">
        <f>+'staffing plan'!C51</f>
        <v>15</v>
      </c>
      <c r="C46" s="239" t="str">
        <f>+'staffing plan'!A51</f>
        <v>OSEC-DILGB-ADOF4-79-2005</v>
      </c>
      <c r="D46" s="240" t="str">
        <f>+'staffing plan'!AK51</f>
        <v>011</v>
      </c>
      <c r="E46" s="239" t="e">
        <f>+'staffing plan'!#REF!</f>
        <v>#REF!</v>
      </c>
      <c r="F46" s="239" t="e">
        <f>CONCATENATE('staffing plan'!#REF!," ",'staffing plan'!#REF!)</f>
        <v>#REF!</v>
      </c>
      <c r="G46" s="239" t="str">
        <f>'staffing plan'!AX51</f>
        <v>Regional Office</v>
      </c>
      <c r="H46" s="239" t="str">
        <f>'staffing plan'!AW51</f>
        <v>GED-ANG, Chrysantine Chan</v>
      </c>
      <c r="I46" s="260"/>
      <c r="J46" s="261" t="e">
        <f t="shared" si="3"/>
        <v>#REF!</v>
      </c>
    </row>
    <row r="47" spans="1:15" s="16" customFormat="1" ht="28.8" hidden="1">
      <c r="A47" s="237" t="str">
        <f>'staffing plan'!B52</f>
        <v xml:space="preserve">Administrative Officer III </v>
      </c>
      <c r="B47" s="238">
        <f>+'staffing plan'!C52</f>
        <v>14</v>
      </c>
      <c r="C47" s="239" t="str">
        <f>+'staffing plan'!A52</f>
        <v>OSEC-DILGB-ADOF3-43-2005</v>
      </c>
      <c r="D47" s="240" t="str">
        <f>+'staffing plan'!AK52</f>
        <v>011</v>
      </c>
      <c r="E47" s="239" t="e">
        <f>+'staffing plan'!#REF!</f>
        <v>#REF!</v>
      </c>
      <c r="F47" s="239" t="e">
        <f>CONCATENATE('staffing plan'!#REF!," ",'staffing plan'!#REF!)</f>
        <v>#REF!</v>
      </c>
      <c r="G47" s="239" t="str">
        <f>'staffing plan'!AX52</f>
        <v>Regional Office</v>
      </c>
      <c r="H47" s="239" t="str">
        <f>'staffing plan'!AW52</f>
        <v>ESNARA, Myra Golingab</v>
      </c>
      <c r="I47" s="260"/>
      <c r="J47" s="261" t="e">
        <f t="shared" si="3"/>
        <v>#REF!</v>
      </c>
    </row>
    <row r="48" spans="1:15" s="16" customFormat="1" ht="28.8" hidden="1">
      <c r="A48" s="237" t="str">
        <f>'staffing plan'!B53</f>
        <v xml:space="preserve">Administrative Officer III </v>
      </c>
      <c r="B48" s="238">
        <f>+'staffing plan'!C53</f>
        <v>14</v>
      </c>
      <c r="C48" s="239" t="str">
        <f>+'staffing plan'!A53</f>
        <v>OSEC-DILGB-ADOF3-44-2005</v>
      </c>
      <c r="D48" s="240" t="str">
        <f>+'staffing plan'!AK53</f>
        <v>011</v>
      </c>
      <c r="E48" s="239" t="e">
        <f>+'staffing plan'!#REF!</f>
        <v>#REF!</v>
      </c>
      <c r="F48" s="239" t="e">
        <f>CONCATENATE('staffing plan'!#REF!," ",'staffing plan'!#REF!)</f>
        <v>#REF!</v>
      </c>
      <c r="G48" s="239" t="str">
        <f>'staffing plan'!AX53</f>
        <v>Regional Office</v>
      </c>
      <c r="H48" s="239" t="str">
        <f>'staffing plan'!AW53</f>
        <v>RAMIREZ, Ronnel Fronda</v>
      </c>
      <c r="I48" s="260"/>
      <c r="J48" s="261" t="e">
        <f t="shared" si="3"/>
        <v>#REF!</v>
      </c>
    </row>
    <row r="49" spans="1:15" s="16" customFormat="1" ht="28.8" hidden="1">
      <c r="A49" s="237" t="str">
        <f>'staffing plan'!B54</f>
        <v xml:space="preserve">Administrative Assistant III </v>
      </c>
      <c r="B49" s="238">
        <f>+'staffing plan'!C54</f>
        <v>9</v>
      </c>
      <c r="C49" s="239" t="str">
        <f>+'staffing plan'!A54</f>
        <v>OSEC-DILGB-ADAS3-65-2005</v>
      </c>
      <c r="D49" s="240" t="str">
        <f>+'staffing plan'!AK54</f>
        <v>011</v>
      </c>
      <c r="E49" s="239" t="e">
        <f>+'staffing plan'!#REF!</f>
        <v>#REF!</v>
      </c>
      <c r="F49" s="239" t="e">
        <f>CONCATENATE('staffing plan'!#REF!," ",'staffing plan'!#REF!)</f>
        <v>#REF!</v>
      </c>
      <c r="G49" s="239" t="str">
        <f>'staffing plan'!AX54</f>
        <v>Regional Office</v>
      </c>
      <c r="H49" s="239" t="str">
        <f>'staffing plan'!AW54</f>
        <v>CASTRO, Angelito Gaddi</v>
      </c>
      <c r="I49" s="260"/>
      <c r="J49" s="261" t="e">
        <f t="shared" si="3"/>
        <v>#REF!</v>
      </c>
    </row>
    <row r="50" spans="1:15" s="16" customFormat="1" ht="28.8" hidden="1">
      <c r="A50" s="237" t="str">
        <f>'staffing plan'!B55</f>
        <v>Administrative Assistant III</v>
      </c>
      <c r="B50" s="238">
        <f>+'staffing plan'!C55</f>
        <v>9</v>
      </c>
      <c r="C50" s="239" t="str">
        <f>+'staffing plan'!A55</f>
        <v>OSEC-DILGB-ADAS3-109-2010</v>
      </c>
      <c r="D50" s="240" t="str">
        <f>+'staffing plan'!AK55</f>
        <v>011</v>
      </c>
      <c r="E50" s="239" t="e">
        <f>+'staffing plan'!#REF!</f>
        <v>#REF!</v>
      </c>
      <c r="F50" s="239" t="e">
        <f>CONCATENATE('staffing plan'!#REF!," ",'staffing plan'!#REF!)</f>
        <v>#REF!</v>
      </c>
      <c r="G50" s="239" t="str">
        <f>'staffing plan'!AX55</f>
        <v>Regional Office</v>
      </c>
      <c r="H50" s="239" t="str">
        <f>'staffing plan'!AW55</f>
        <v>LOPEZ, Jessica Kim Angeles</v>
      </c>
      <c r="I50" s="260"/>
      <c r="J50" s="261" t="e">
        <f t="shared" si="3"/>
        <v>#REF!</v>
      </c>
    </row>
    <row r="51" spans="1:15" s="16" customFormat="1" ht="28.8" hidden="1">
      <c r="A51" s="237" t="str">
        <f>'staffing plan'!B56</f>
        <v>Administrative Assistant II</v>
      </c>
      <c r="B51" s="238">
        <f>+'staffing plan'!C56</f>
        <v>8</v>
      </c>
      <c r="C51" s="239" t="str">
        <f>+'staffing plan'!A56</f>
        <v>OSEC-DILGB-ADAS2-61-2005</v>
      </c>
      <c r="D51" s="240" t="str">
        <f>+'staffing plan'!AK56</f>
        <v>011</v>
      </c>
      <c r="E51" s="239" t="e">
        <f>+'staffing plan'!#REF!</f>
        <v>#REF!</v>
      </c>
      <c r="F51" s="239" t="e">
        <f>CONCATENATE('staffing plan'!#REF!," ",'staffing plan'!#REF!)</f>
        <v>#REF!</v>
      </c>
      <c r="G51" s="239" t="str">
        <f>'staffing plan'!AX56</f>
        <v>Regional Office</v>
      </c>
      <c r="H51" s="239" t="str">
        <f>'staffing plan'!AW56</f>
        <v>BOGNADON, Kylee Russel Rebollido</v>
      </c>
      <c r="I51" s="260"/>
      <c r="J51" s="261" t="e">
        <f t="shared" si="3"/>
        <v>#REF!</v>
      </c>
    </row>
    <row r="52" spans="1:15" s="16" customFormat="1" ht="28.8" hidden="1">
      <c r="A52" s="237" t="str">
        <f>'staffing plan'!B57</f>
        <v>Administrative Assistant II</v>
      </c>
      <c r="B52" s="238">
        <f>+'staffing plan'!C57</f>
        <v>8</v>
      </c>
      <c r="C52" s="239" t="str">
        <f>+'staffing plan'!A57</f>
        <v>OSEC-DILGB-ADAS2-64-2005</v>
      </c>
      <c r="D52" s="240" t="str">
        <f>+'staffing plan'!AK57</f>
        <v>011</v>
      </c>
      <c r="E52" s="239" t="e">
        <f>+'staffing plan'!#REF!</f>
        <v>#REF!</v>
      </c>
      <c r="F52" s="239" t="e">
        <f>CONCATENATE('staffing plan'!#REF!," ",'staffing plan'!#REF!)</f>
        <v>#REF!</v>
      </c>
      <c r="G52" s="239">
        <f>'staffing plan'!AX57</f>
        <v>0</v>
      </c>
      <c r="H52" s="239" t="str">
        <f>'staffing plan'!AW57</f>
        <v xml:space="preserve">ESNARA, VacantMyra </v>
      </c>
      <c r="I52" s="260"/>
      <c r="J52" s="261" t="e">
        <f t="shared" si="3"/>
        <v>#REF!</v>
      </c>
    </row>
    <row r="53" spans="1:15" s="16" customFormat="1" ht="28.8" hidden="1">
      <c r="A53" s="237" t="str">
        <f>'staffing plan'!B58</f>
        <v>Administrative Aide IV</v>
      </c>
      <c r="B53" s="238">
        <f>+'staffing plan'!C58</f>
        <v>4</v>
      </c>
      <c r="C53" s="239" t="str">
        <f>+'staffing plan'!A58</f>
        <v>OSEC-DILGB-ADA4-85-2005</v>
      </c>
      <c r="D53" s="240" t="str">
        <f>+'staffing plan'!AK58</f>
        <v>011</v>
      </c>
      <c r="E53" s="239" t="e">
        <f>+'staffing plan'!#REF!</f>
        <v>#REF!</v>
      </c>
      <c r="F53" s="239" t="e">
        <f>CONCATENATE('staffing plan'!#REF!," ",'staffing plan'!#REF!)</f>
        <v>#REF!</v>
      </c>
      <c r="G53" s="239" t="str">
        <f>'staffing plan'!AX58</f>
        <v>Regional Office</v>
      </c>
      <c r="H53" s="239" t="str">
        <f>'staffing plan'!AW58</f>
        <v>GERNALE, Joe Pablo Maculada</v>
      </c>
      <c r="I53" s="260"/>
      <c r="J53" s="261" t="e">
        <f t="shared" si="3"/>
        <v>#REF!</v>
      </c>
    </row>
    <row r="54" spans="1:15" s="16" customFormat="1" ht="28.8" hidden="1">
      <c r="A54" s="237" t="str">
        <f>'staffing plan'!B59</f>
        <v>Administrative Aide IV</v>
      </c>
      <c r="B54" s="238">
        <f>+'staffing plan'!C59</f>
        <v>4</v>
      </c>
      <c r="C54" s="239" t="str">
        <f>+'staffing plan'!A59</f>
        <v>OSEC-DILGB-ADA4-86-2005</v>
      </c>
      <c r="D54" s="240" t="str">
        <f>+'staffing plan'!AK59</f>
        <v>011</v>
      </c>
      <c r="E54" s="239" t="e">
        <f>+'staffing plan'!#REF!</f>
        <v>#REF!</v>
      </c>
      <c r="F54" s="239" t="e">
        <f>CONCATENATE('staffing plan'!#REF!," ",'staffing plan'!#REF!)</f>
        <v>#REF!</v>
      </c>
      <c r="G54" s="239">
        <f>'staffing plan'!AX59</f>
        <v>0</v>
      </c>
      <c r="H54" s="239" t="str">
        <f>'staffing plan'!AW59</f>
        <v xml:space="preserve">Vacant ESCAD,  </v>
      </c>
      <c r="I54" s="260"/>
      <c r="J54" s="261" t="e">
        <f t="shared" si="3"/>
        <v>#REF!</v>
      </c>
    </row>
    <row r="55" spans="1:15" s="16" customFormat="1" ht="28.8" hidden="1">
      <c r="A55" s="237" t="str">
        <f>'staffing plan'!B60</f>
        <v>Administrative Aide IV</v>
      </c>
      <c r="B55" s="238">
        <f>+'staffing plan'!C60</f>
        <v>4</v>
      </c>
      <c r="C55" s="239" t="str">
        <f>+'staffing plan'!A60</f>
        <v>OSEC-DILGB-ADA4-87-2005</v>
      </c>
      <c r="D55" s="240" t="str">
        <f>+'staffing plan'!AK60</f>
        <v>011</v>
      </c>
      <c r="E55" s="239" t="e">
        <f>+'staffing plan'!#REF!</f>
        <v>#REF!</v>
      </c>
      <c r="F55" s="239" t="e">
        <f>CONCATENATE('staffing plan'!#REF!," ",'staffing plan'!#REF!)</f>
        <v>#REF!</v>
      </c>
      <c r="G55" s="239" t="str">
        <f>'staffing plan'!AX60</f>
        <v>Regional Office</v>
      </c>
      <c r="H55" s="239" t="str">
        <f>'staffing plan'!AW60</f>
        <v>MONANG, Veronica Gadgad</v>
      </c>
      <c r="I55" s="260"/>
      <c r="J55" s="261" t="e">
        <f t="shared" si="3"/>
        <v>#REF!</v>
      </c>
    </row>
    <row r="56" spans="1:15" s="16" customFormat="1" ht="28.8" hidden="1">
      <c r="A56" s="237" t="str">
        <f>'staffing plan'!B61</f>
        <v>Administrative Aide IV</v>
      </c>
      <c r="B56" s="238">
        <f>+'staffing plan'!C61</f>
        <v>4</v>
      </c>
      <c r="C56" s="239" t="str">
        <f>+'staffing plan'!A61</f>
        <v>OSEC-DILGB-ADA4-91-2010</v>
      </c>
      <c r="D56" s="240" t="str">
        <f>+'staffing plan'!AK61</f>
        <v>011</v>
      </c>
      <c r="E56" s="239" t="e">
        <f>+'staffing plan'!#REF!</f>
        <v>#REF!</v>
      </c>
      <c r="F56" s="239" t="e">
        <f>CONCATENATE('staffing plan'!#REF!," ",'staffing plan'!#REF!)</f>
        <v>#REF!</v>
      </c>
      <c r="G56" s="239" t="str">
        <f>'staffing plan'!AX61</f>
        <v>Regional Office</v>
      </c>
      <c r="H56" s="239" t="str">
        <f>'staffing plan'!AW61</f>
        <v>PASCUA, Diosdado Aquino</v>
      </c>
      <c r="I56" s="260"/>
      <c r="J56" s="261" t="e">
        <f t="shared" si="3"/>
        <v>#REF!</v>
      </c>
    </row>
    <row r="57" spans="1:15" s="16" customFormat="1" ht="28.8" hidden="1">
      <c r="A57" s="237" t="str">
        <f>'staffing plan'!B62</f>
        <v>Administrative Aide III</v>
      </c>
      <c r="B57" s="238">
        <f>+'staffing plan'!C62</f>
        <v>3</v>
      </c>
      <c r="C57" s="239" t="str">
        <f>+'staffing plan'!A62</f>
        <v>OSEC-DILGB-ADA3-61-2005</v>
      </c>
      <c r="D57" s="240" t="str">
        <f>+'staffing plan'!AK62</f>
        <v>011</v>
      </c>
      <c r="E57" s="239" t="e">
        <f>+'staffing plan'!#REF!</f>
        <v>#REF!</v>
      </c>
      <c r="F57" s="239" t="e">
        <f>CONCATENATE('staffing plan'!#REF!," ",'staffing plan'!#REF!)</f>
        <v>#REF!</v>
      </c>
      <c r="G57" s="239" t="str">
        <f>'staffing plan'!AX62</f>
        <v>Regional Office</v>
      </c>
      <c r="H57" s="239" t="str">
        <f>'staffing plan'!AW62</f>
        <v>TAMONDONG, Jonathan Ambat</v>
      </c>
      <c r="I57" s="260"/>
      <c r="J57" s="261" t="e">
        <f t="shared" si="3"/>
        <v>#REF!</v>
      </c>
    </row>
    <row r="58" spans="1:15" s="16" customFormat="1" ht="28.8" hidden="1">
      <c r="A58" s="237" t="str">
        <f>'staffing plan'!B63</f>
        <v>Security Guard I</v>
      </c>
      <c r="B58" s="238">
        <f>+'staffing plan'!C63</f>
        <v>3</v>
      </c>
      <c r="C58" s="239" t="str">
        <f>+'staffing plan'!A63</f>
        <v>OSEC-DILGB-SECG1-8-1998</v>
      </c>
      <c r="D58" s="240" t="str">
        <f>+'staffing plan'!AK63</f>
        <v>011</v>
      </c>
      <c r="E58" s="239" t="e">
        <f>+'staffing plan'!#REF!</f>
        <v>#REF!</v>
      </c>
      <c r="F58" s="239" t="e">
        <f>CONCATENATE('staffing plan'!#REF!," ",'staffing plan'!#REF!)</f>
        <v>#REF!</v>
      </c>
      <c r="G58" s="239" t="str">
        <f>'staffing plan'!AX63</f>
        <v>Regional Office</v>
      </c>
      <c r="H58" s="239" t="str">
        <f>'staffing plan'!AW63</f>
        <v>ROJO, Gerardo Rontos</v>
      </c>
      <c r="I58" s="260"/>
      <c r="J58" s="261" t="e">
        <f t="shared" si="3"/>
        <v>#REF!</v>
      </c>
    </row>
    <row r="59" spans="1:15" s="16" customFormat="1" ht="28.8" hidden="1">
      <c r="A59" s="237" t="str">
        <f>'staffing plan'!B64</f>
        <v>Security Guard I</v>
      </c>
      <c r="B59" s="238">
        <f>+'staffing plan'!C64</f>
        <v>3</v>
      </c>
      <c r="C59" s="239" t="str">
        <f>+'staffing plan'!A64</f>
        <v>OSEC-DILGB-SECG1-9-1998</v>
      </c>
      <c r="D59" s="240" t="str">
        <f>+'staffing plan'!AK64</f>
        <v>011</v>
      </c>
      <c r="E59" s="239" t="e">
        <f>+'staffing plan'!#REF!</f>
        <v>#REF!</v>
      </c>
      <c r="F59" s="239" t="e">
        <f>CONCATENATE('staffing plan'!#REF!," ",'staffing plan'!#REF!)</f>
        <v>#REF!</v>
      </c>
      <c r="G59" s="239" t="str">
        <f>'staffing plan'!AX64</f>
        <v>Regional Office</v>
      </c>
      <c r="H59" s="239" t="str">
        <f>'staffing plan'!AW64</f>
        <v>PEREZ, Roberto Aquino</v>
      </c>
      <c r="I59" s="260"/>
      <c r="J59" s="261" t="e">
        <f t="shared" si="3"/>
        <v>#REF!</v>
      </c>
    </row>
    <row r="60" spans="1:15" s="16" customFormat="1" ht="28.8" hidden="1">
      <c r="A60" s="246" t="str">
        <f>'staffing plan'!B65</f>
        <v>Security Guard I</v>
      </c>
      <c r="B60" s="247">
        <f>+'staffing plan'!C65</f>
        <v>3</v>
      </c>
      <c r="C60" s="248" t="str">
        <f>+'staffing plan'!A65</f>
        <v>OSEC-DILGB-SEC1-10-1998</v>
      </c>
      <c r="D60" s="249" t="str">
        <f>+'staffing plan'!AK65</f>
        <v>011</v>
      </c>
      <c r="E60" s="248" t="e">
        <f>+'staffing plan'!#REF!</f>
        <v>#REF!</v>
      </c>
      <c r="F60" s="248" t="e">
        <f>CONCATENATE('staffing plan'!#REF!," ",'staffing plan'!#REF!)</f>
        <v>#REF!</v>
      </c>
      <c r="G60" s="248" t="str">
        <f>'staffing plan'!AX65</f>
        <v>Regional Office</v>
      </c>
      <c r="H60" s="248" t="str">
        <f>'staffing plan'!AW65</f>
        <v>NONOG, Edward Bolda</v>
      </c>
      <c r="I60" s="263"/>
      <c r="J60" s="261" t="e">
        <f t="shared" si="3"/>
        <v>#REF!</v>
      </c>
    </row>
    <row r="61" spans="1:15" hidden="1">
      <c r="A61" s="241"/>
      <c r="B61" s="242"/>
      <c r="C61" s="243"/>
      <c r="D61" s="254"/>
      <c r="E61" s="243"/>
      <c r="F61" s="243"/>
      <c r="G61" s="243"/>
      <c r="H61" s="243"/>
      <c r="I61" s="262"/>
    </row>
    <row r="62" spans="1:15" s="231" customFormat="1">
      <c r="A62" s="234" t="s">
        <v>2781</v>
      </c>
      <c r="B62" s="255"/>
      <c r="C62" s="256"/>
      <c r="D62" s="257"/>
      <c r="E62" s="256"/>
      <c r="F62" s="256"/>
      <c r="G62" s="256"/>
      <c r="H62" s="256"/>
      <c r="I62" s="265"/>
      <c r="J62" s="266"/>
      <c r="L62" s="231" t="s">
        <v>2782</v>
      </c>
      <c r="M62" s="267"/>
      <c r="N62" s="267"/>
      <c r="O62" s="267"/>
    </row>
    <row r="63" spans="1:15" s="16" customFormat="1" ht="28.8" hidden="1">
      <c r="A63" s="237" t="str">
        <f>'staffing plan'!B69</f>
        <v>Local Government Operations Officer VIII</v>
      </c>
      <c r="B63" s="238">
        <f>+'staffing plan'!C69</f>
        <v>26</v>
      </c>
      <c r="C63" s="239" t="str">
        <f>+'staffing plan'!A69</f>
        <v>OSEC-DILGB-LGOO8-45-1998</v>
      </c>
      <c r="D63" s="240" t="str">
        <f>+'staffing plan'!AK69</f>
        <v>05</v>
      </c>
      <c r="E63" s="239" t="e">
        <f>+'staffing plan'!#REF!</f>
        <v>#REF!</v>
      </c>
      <c r="F63" s="239" t="e">
        <f>CONCATENATE('staffing plan'!#REF!," ",'staffing plan'!#REF!)</f>
        <v>#REF!</v>
      </c>
      <c r="G63" s="239" t="str">
        <f>'staffing plan'!AX69</f>
        <v>Mt. Province</v>
      </c>
      <c r="H63" s="239" t="str">
        <f>'staffing plan'!AW69</f>
        <v>BALLUG, Anthony Manolo Ilacad</v>
      </c>
      <c r="I63" s="260"/>
      <c r="J63" s="261" t="e">
        <f t="shared" ref="J63:J85" si="4">E63=G63</f>
        <v>#REF!</v>
      </c>
      <c r="L63" s="16" t="s">
        <v>463</v>
      </c>
      <c r="M63" s="16">
        <v>1</v>
      </c>
      <c r="N63" s="16">
        <f>COUNTIF(AbraSG,"26")</f>
        <v>1</v>
      </c>
      <c r="O63" s="16">
        <f>+M63-N63</f>
        <v>0</v>
      </c>
    </row>
    <row r="64" spans="1:15" s="16" customFormat="1" hidden="1">
      <c r="A64" s="237" t="e">
        <f>'staffing plan'!#REF!</f>
        <v>#REF!</v>
      </c>
      <c r="B64" s="238" t="e">
        <f>+'staffing plan'!#REF!</f>
        <v>#REF!</v>
      </c>
      <c r="C64" s="239" t="e">
        <f>+'staffing plan'!#REF!</f>
        <v>#REF!</v>
      </c>
      <c r="D64" s="240" t="e">
        <f>+'staffing plan'!#REF!</f>
        <v>#REF!</v>
      </c>
      <c r="E64" s="239" t="e">
        <f>+'staffing plan'!#REF!</f>
        <v>#REF!</v>
      </c>
      <c r="F64" s="239" t="e">
        <f>CONCATENATE('staffing plan'!#REF!," ",'staffing plan'!#REF!)</f>
        <v>#REF!</v>
      </c>
      <c r="G64" s="239" t="e">
        <f>'staffing plan'!#REF!</f>
        <v>#REF!</v>
      </c>
      <c r="H64" s="239" t="e">
        <f>'staffing plan'!#REF!</f>
        <v>#REF!</v>
      </c>
      <c r="I64" s="260"/>
      <c r="J64" s="261" t="e">
        <f t="shared" si="4"/>
        <v>#REF!</v>
      </c>
      <c r="L64" s="16" t="s">
        <v>157</v>
      </c>
      <c r="M64" s="16">
        <v>2</v>
      </c>
      <c r="N64" s="16">
        <f>COUNTIF(AbraSG,"22")+COUNTIF(AbraSG,"24")</f>
        <v>28</v>
      </c>
      <c r="O64" s="16">
        <f t="shared" ref="O64:O71" si="5">+M64-N64</f>
        <v>-26</v>
      </c>
    </row>
    <row r="65" spans="1:18" s="16" customFormat="1" ht="28.8" hidden="1">
      <c r="A65" s="237" t="str">
        <f>'staffing plan'!B162</f>
        <v>Local Government Operations Officer VI</v>
      </c>
      <c r="B65" s="238">
        <f>+'staffing plan'!C162</f>
        <v>22</v>
      </c>
      <c r="C65" s="239" t="str">
        <f>+'staffing plan'!A162</f>
        <v>OSEC-DILGB-LGOO6-240-2010</v>
      </c>
      <c r="D65" s="240" t="str">
        <f>+'staffing plan'!AK162</f>
        <v>79</v>
      </c>
      <c r="E65" s="239" t="e">
        <f>+'staffing plan'!#REF!</f>
        <v>#REF!</v>
      </c>
      <c r="F65" s="239" t="e">
        <f>CONCATENATE('staffing plan'!#REF!," ",'staffing plan'!#REF!)</f>
        <v>#REF!</v>
      </c>
      <c r="G65" s="239" t="str">
        <f>'staffing plan'!AX162</f>
        <v>Kalinga</v>
      </c>
      <c r="H65" s="239" t="str">
        <f>'staffing plan'!AW162</f>
        <v>CHUNANON, Kliene Pasaraba</v>
      </c>
      <c r="I65" s="260"/>
      <c r="J65" s="261" t="e">
        <f t="shared" si="4"/>
        <v>#REF!</v>
      </c>
      <c r="L65" s="16" t="s">
        <v>165</v>
      </c>
      <c r="M65" s="16">
        <v>30</v>
      </c>
      <c r="N65" s="16">
        <f>COUNTIF(AbraSG,"20")</f>
        <v>3</v>
      </c>
      <c r="O65" s="16">
        <f t="shared" si="5"/>
        <v>27</v>
      </c>
    </row>
    <row r="66" spans="1:18" s="16" customFormat="1" ht="28.8">
      <c r="A66" s="237" t="str">
        <f>'staffing plan'!B86</f>
        <v>Local Government Operations Officer VI</v>
      </c>
      <c r="B66" s="238">
        <f>+'staffing plan'!C86</f>
        <v>22</v>
      </c>
      <c r="C66" s="239" t="str">
        <f>+'staffing plan'!A86</f>
        <v>OSEC-DILGB-LGOO6-6-2017</v>
      </c>
      <c r="D66" s="240" t="str">
        <f>+'staffing plan'!AK86</f>
        <v>05</v>
      </c>
      <c r="E66" s="239" t="e">
        <f>+'staffing plan'!#REF!</f>
        <v>#REF!</v>
      </c>
      <c r="F66" s="239" t="e">
        <f>CONCATENATE('staffing plan'!#REF!," ",'staffing plan'!#REF!)</f>
        <v>#REF!</v>
      </c>
      <c r="G66" s="239" t="str">
        <f>'staffing plan'!AX86</f>
        <v>Abra</v>
      </c>
      <c r="H66" s="239" t="str">
        <f>'staffing plan'!AW86</f>
        <v>BERNARDEZ, Viva Ascension Zapata</v>
      </c>
      <c r="I66" s="260"/>
      <c r="J66" s="261" t="e">
        <f t="shared" si="4"/>
        <v>#REF!</v>
      </c>
      <c r="L66" s="16" t="s">
        <v>1074</v>
      </c>
      <c r="M66" s="16">
        <v>6</v>
      </c>
      <c r="N66" s="16">
        <f>COUNTIF(AbraSG,"13")</f>
        <v>6</v>
      </c>
      <c r="O66" s="16">
        <f t="shared" si="5"/>
        <v>0</v>
      </c>
      <c r="Q66" s="16" t="s">
        <v>2754</v>
      </c>
      <c r="R66" s="16" t="s">
        <v>3078</v>
      </c>
    </row>
    <row r="67" spans="1:18" s="16" customFormat="1" ht="28.8">
      <c r="A67" s="237" t="str">
        <f>'staffing plan'!B93</f>
        <v>Local Government Operations Officer VI</v>
      </c>
      <c r="B67" s="238">
        <f>+'staffing plan'!C93</f>
        <v>22</v>
      </c>
      <c r="C67" s="239" t="str">
        <f>+'staffing plan'!A93</f>
        <v>OSEC-DILGB-LGOO6-11-2017</v>
      </c>
      <c r="D67" s="240" t="str">
        <f>+'staffing plan'!AK93</f>
        <v>05</v>
      </c>
      <c r="E67" s="239" t="e">
        <f>+'staffing plan'!#REF!</f>
        <v>#REF!</v>
      </c>
      <c r="F67" s="239" t="e">
        <f>CONCATENATE('staffing plan'!#REF!," ",'staffing plan'!#REF!)</f>
        <v>#REF!</v>
      </c>
      <c r="G67" s="239" t="str">
        <f>'staffing plan'!AX93</f>
        <v>Abra</v>
      </c>
      <c r="H67" s="239" t="str">
        <f>'staffing plan'!AW93</f>
        <v>CARIÑO, Erma Hernandez</v>
      </c>
      <c r="I67" s="260"/>
      <c r="J67" s="261" t="e">
        <f t="shared" si="4"/>
        <v>#REF!</v>
      </c>
      <c r="L67" s="16" t="s">
        <v>1170</v>
      </c>
      <c r="M67" s="16">
        <v>2</v>
      </c>
      <c r="N67" s="16">
        <f>COUNTIF(AbraSG,"8")</f>
        <v>2</v>
      </c>
      <c r="O67" s="16">
        <f t="shared" si="5"/>
        <v>0</v>
      </c>
      <c r="Q67" s="16" t="s">
        <v>2584</v>
      </c>
      <c r="R67" s="16" t="s">
        <v>3078</v>
      </c>
    </row>
    <row r="68" spans="1:18" s="16" customFormat="1" ht="28.8">
      <c r="A68" s="237" t="str">
        <f>'staffing plan'!B168</f>
        <v>Local Government Operations Officer V</v>
      </c>
      <c r="B68" s="238">
        <f>+'staffing plan'!C168</f>
        <v>20</v>
      </c>
      <c r="C68" s="239" t="str">
        <f>+'staffing plan'!A168</f>
        <v>OSEC-DILGB-LGOO5-921-1998</v>
      </c>
      <c r="D68" s="240" t="str">
        <f>+'staffing plan'!AK168</f>
        <v>05</v>
      </c>
      <c r="E68" s="239" t="e">
        <f>+'staffing plan'!#REF!</f>
        <v>#REF!</v>
      </c>
      <c r="F68" s="239" t="e">
        <f>CONCATENATE('staffing plan'!#REF!," ",'staffing plan'!#REF!)</f>
        <v>#REF!</v>
      </c>
      <c r="G68" s="239" t="str">
        <f>'staffing plan'!AX168</f>
        <v>Abra</v>
      </c>
      <c r="H68" s="239" t="str">
        <f>'staffing plan'!AW168</f>
        <v>TRINIDAD, Santos Beñas</v>
      </c>
      <c r="I68" s="260"/>
      <c r="J68" s="261" t="e">
        <f t="shared" si="4"/>
        <v>#REF!</v>
      </c>
      <c r="L68" s="16" t="s">
        <v>273</v>
      </c>
      <c r="M68" s="16">
        <v>1</v>
      </c>
      <c r="N68" s="16">
        <f>COUNTIF(AbraSG,"6")</f>
        <v>1</v>
      </c>
      <c r="O68" s="16">
        <f t="shared" si="5"/>
        <v>0</v>
      </c>
    </row>
    <row r="69" spans="1:18" s="16" customFormat="1" ht="28.8">
      <c r="A69" s="237" t="str">
        <f>'staffing plan'!B167</f>
        <v>Local Government Operations Officer V</v>
      </c>
      <c r="B69" s="238">
        <f>+'staffing plan'!C167</f>
        <v>20</v>
      </c>
      <c r="C69" s="239" t="str">
        <f>+'staffing plan'!A167</f>
        <v>OSEC-DILGB-LGOO5-903-1998</v>
      </c>
      <c r="D69" s="240" t="str">
        <f>+'staffing plan'!AK167</f>
        <v>05</v>
      </c>
      <c r="E69" s="239" t="e">
        <f>+'staffing plan'!#REF!</f>
        <v>#REF!</v>
      </c>
      <c r="F69" s="239" t="e">
        <f>CONCATENATE('staffing plan'!#REF!," ",'staffing plan'!#REF!)</f>
        <v>#REF!</v>
      </c>
      <c r="G69" s="239" t="str">
        <f>'staffing plan'!AX167</f>
        <v>Abra</v>
      </c>
      <c r="H69" s="239" t="str">
        <f>'staffing plan'!AW167</f>
        <v>SAGUIYOD, Rose-Ann Ballangan</v>
      </c>
      <c r="I69" s="260"/>
      <c r="J69" s="261" t="e">
        <f t="shared" si="4"/>
        <v>#REF!</v>
      </c>
      <c r="L69" s="16" t="s">
        <v>455</v>
      </c>
      <c r="M69" s="16">
        <v>1</v>
      </c>
      <c r="N69" s="16">
        <f>COUNTIF(AbraSG,"4")</f>
        <v>1</v>
      </c>
      <c r="O69" s="16">
        <f t="shared" si="5"/>
        <v>0</v>
      </c>
    </row>
    <row r="70" spans="1:18" s="16" customFormat="1" ht="28.8">
      <c r="A70" s="237" t="str">
        <f>'staffing plan'!B166</f>
        <v>Local Government Operations Officer V</v>
      </c>
      <c r="B70" s="238">
        <f>+'staffing plan'!C166</f>
        <v>20</v>
      </c>
      <c r="C70" s="239" t="str">
        <f>+'staffing plan'!A166</f>
        <v>OSEC-DILGB-LGOO5-897-1998</v>
      </c>
      <c r="D70" s="245" t="str">
        <f>+'staffing plan'!AK166</f>
        <v>0597</v>
      </c>
      <c r="E70" s="268" t="e">
        <f>+'staffing plan'!#REF!</f>
        <v>#REF!</v>
      </c>
      <c r="F70" s="268" t="e">
        <f>CONCATENATE('staffing plan'!#REF!," ",'staffing plan'!#REF!)</f>
        <v>#REF!</v>
      </c>
      <c r="G70" s="239" t="str">
        <f>'staffing plan'!AX166</f>
        <v>Abra</v>
      </c>
      <c r="H70" s="268" t="str">
        <f>'staffing plan'!AW166</f>
        <v>VALERA, Sharima  Tomas</v>
      </c>
      <c r="I70" s="280" t="s">
        <v>2783</v>
      </c>
      <c r="J70" s="261" t="e">
        <f t="shared" si="4"/>
        <v>#REF!</v>
      </c>
      <c r="K70" s="281" t="s">
        <v>2784</v>
      </c>
      <c r="L70" s="16" t="s">
        <v>2194</v>
      </c>
      <c r="M70" s="16">
        <v>1</v>
      </c>
      <c r="N70" s="16">
        <f>COUNTIF(AbraSG,"3")</f>
        <v>1</v>
      </c>
      <c r="O70" s="16">
        <f t="shared" si="5"/>
        <v>0</v>
      </c>
      <c r="Q70" s="16" t="s">
        <v>3075</v>
      </c>
      <c r="R70" s="16" t="s">
        <v>3078</v>
      </c>
    </row>
    <row r="71" spans="1:18" s="16" customFormat="1" ht="28.8" hidden="1">
      <c r="A71" s="237" t="str">
        <f>'staffing plan'!B187</f>
        <v>Local Government Operations Officer II</v>
      </c>
      <c r="B71" s="238">
        <f>+'staffing plan'!C187</f>
        <v>13</v>
      </c>
      <c r="C71" s="239" t="str">
        <f>+'staffing plan'!A187</f>
        <v>OSEC-DILGB-LGOO2-10-1998</v>
      </c>
      <c r="D71" s="240" t="str">
        <f>+'staffing plan'!AK187</f>
        <v>05</v>
      </c>
      <c r="E71" s="239" t="e">
        <f>+'staffing plan'!#REF!</f>
        <v>#REF!</v>
      </c>
      <c r="F71" s="239" t="e">
        <f>CONCATENATE('staffing plan'!#REF!," ",'staffing plan'!#REF!)</f>
        <v>#REF!</v>
      </c>
      <c r="G71" s="239" t="str">
        <f>'staffing plan'!AX187</f>
        <v>Abra</v>
      </c>
      <c r="H71" s="239" t="str">
        <f>'staffing plan'!AW187</f>
        <v>TENEBRO, JR Adame</v>
      </c>
      <c r="I71" s="260"/>
      <c r="J71" s="261" t="e">
        <f t="shared" si="4"/>
        <v>#REF!</v>
      </c>
      <c r="L71" s="16" t="s">
        <v>2196</v>
      </c>
      <c r="M71" s="16">
        <v>1</v>
      </c>
      <c r="N71" s="16">
        <f>COUNTIF(AbraSG,"1")</f>
        <v>1</v>
      </c>
      <c r="O71" s="16">
        <f t="shared" si="5"/>
        <v>0</v>
      </c>
    </row>
    <row r="72" spans="1:18" s="16" customFormat="1" ht="28.8" hidden="1">
      <c r="A72" s="237" t="str">
        <f>'staffing plan'!B201</f>
        <v>Local Government Operations Officer II</v>
      </c>
      <c r="B72" s="238">
        <f>+'staffing plan'!C201</f>
        <v>13</v>
      </c>
      <c r="C72" s="239" t="str">
        <f>+'staffing plan'!A201</f>
        <v>OSEC-DILGB-LGOO2-33-1998</v>
      </c>
      <c r="D72" s="240" t="str">
        <f>+'staffing plan'!AK201</f>
        <v>05</v>
      </c>
      <c r="E72" s="239" t="e">
        <f>+'staffing plan'!#REF!</f>
        <v>#REF!</v>
      </c>
      <c r="F72" s="239" t="e">
        <f>CONCATENATE('staffing plan'!#REF!," ",'staffing plan'!#REF!)</f>
        <v>#REF!</v>
      </c>
      <c r="G72" s="239" t="str">
        <f>'staffing plan'!AX201</f>
        <v>Ifugao</v>
      </c>
      <c r="H72" s="239" t="str">
        <f>'staffing plan'!AW201</f>
        <v>ANAPEN, Humphrey Dumayas</v>
      </c>
      <c r="I72" s="260"/>
      <c r="J72" s="261" t="e">
        <f t="shared" si="4"/>
        <v>#REF!</v>
      </c>
      <c r="M72" s="16">
        <f>SUM(M63:M71)</f>
        <v>45</v>
      </c>
      <c r="N72" s="16">
        <f>SUM(N63:N71)</f>
        <v>44</v>
      </c>
      <c r="O72" s="16">
        <f>SUM(O63:O71)</f>
        <v>1</v>
      </c>
    </row>
    <row r="73" spans="1:18" s="16" customFormat="1" ht="28.8" hidden="1">
      <c r="A73" s="237" t="str">
        <f>'staffing plan'!B206</f>
        <v>Administrative Assistant II</v>
      </c>
      <c r="B73" s="238">
        <f>+'staffing plan'!C206</f>
        <v>8</v>
      </c>
      <c r="C73" s="239" t="str">
        <f>+'staffing plan'!A206</f>
        <v>OSEC-DILGB-ADAS2-66-2005</v>
      </c>
      <c r="D73" s="240" t="str">
        <f>+'staffing plan'!AK206</f>
        <v>05</v>
      </c>
      <c r="E73" s="239" t="e">
        <f>+'staffing plan'!#REF!</f>
        <v>#REF!</v>
      </c>
      <c r="F73" s="239" t="e">
        <f>CONCATENATE('staffing plan'!#REF!," ",'staffing plan'!#REF!)</f>
        <v>#REF!</v>
      </c>
      <c r="G73" s="239">
        <f>'staffing plan'!AX206</f>
        <v>0</v>
      </c>
      <c r="H73" s="239" t="str">
        <f>'staffing plan'!AW206</f>
        <v xml:space="preserve">Vacant DOMASING,  </v>
      </c>
      <c r="I73" s="260"/>
      <c r="J73" s="261" t="e">
        <f t="shared" si="4"/>
        <v>#REF!</v>
      </c>
    </row>
    <row r="74" spans="1:18" s="16" customFormat="1" ht="28.8" hidden="1">
      <c r="A74" s="237" t="str">
        <f>'staffing plan'!B211</f>
        <v>Administrative Assistant II</v>
      </c>
      <c r="B74" s="238">
        <f>+'staffing plan'!C211</f>
        <v>8</v>
      </c>
      <c r="C74" s="239" t="str">
        <f>+'staffing plan'!A211</f>
        <v>OSEC-DILGB-ADAS2-73-2005</v>
      </c>
      <c r="D74" s="240" t="str">
        <f>+'staffing plan'!AK211</f>
        <v>05</v>
      </c>
      <c r="E74" s="239" t="e">
        <f>+'staffing plan'!#REF!</f>
        <v>#REF!</v>
      </c>
      <c r="F74" s="239" t="e">
        <f>CONCATENATE('staffing plan'!#REF!," ",'staffing plan'!#REF!)</f>
        <v>#REF!</v>
      </c>
      <c r="G74" s="239" t="str">
        <f>'staffing plan'!AX211</f>
        <v>Abra</v>
      </c>
      <c r="H74" s="239" t="str">
        <f>'staffing plan'!AW211</f>
        <v>PACAMO, Ruby Quemerista</v>
      </c>
      <c r="I74" s="260"/>
      <c r="J74" s="261" t="e">
        <f t="shared" si="4"/>
        <v>#REF!</v>
      </c>
    </row>
    <row r="75" spans="1:18" s="16" customFormat="1" ht="28.8" hidden="1">
      <c r="A75" s="237" t="str">
        <f>'staffing plan'!B218</f>
        <v>Administrative Aide VI</v>
      </c>
      <c r="B75" s="238">
        <f>+'staffing plan'!C218</f>
        <v>6</v>
      </c>
      <c r="C75" s="239" t="str">
        <f>+'staffing plan'!A218</f>
        <v>OSEC-DILGB-ADA6-99-2005</v>
      </c>
      <c r="D75" s="240" t="str">
        <f>+'staffing plan'!AK218</f>
        <v>05</v>
      </c>
      <c r="E75" s="239" t="e">
        <f>+'staffing plan'!#REF!</f>
        <v>#REF!</v>
      </c>
      <c r="F75" s="239" t="e">
        <f>CONCATENATE('staffing plan'!#REF!," ",'staffing plan'!#REF!)</f>
        <v>#REF!</v>
      </c>
      <c r="G75" s="239" t="str">
        <f>'staffing plan'!AX218</f>
        <v>Abra</v>
      </c>
      <c r="H75" s="239" t="str">
        <f>'staffing plan'!AW218</f>
        <v>TAN, Corinne Marie Pauline Elveña</v>
      </c>
      <c r="I75" s="260"/>
      <c r="J75" s="261" t="e">
        <f t="shared" si="4"/>
        <v>#REF!</v>
      </c>
    </row>
    <row r="76" spans="1:18" s="16" customFormat="1" ht="28.8" hidden="1">
      <c r="A76" s="237" t="str">
        <f>'staffing plan'!B224</f>
        <v>Administrative Aide IV</v>
      </c>
      <c r="B76" s="238">
        <f>+'staffing plan'!C224</f>
        <v>4</v>
      </c>
      <c r="C76" s="239" t="str">
        <f>+'staffing plan'!A224</f>
        <v>OSEC-DILGB-ADA4-89-2005</v>
      </c>
      <c r="D76" s="240" t="str">
        <f>+'staffing plan'!AK224</f>
        <v>05</v>
      </c>
      <c r="E76" s="239" t="e">
        <f>+'staffing plan'!#REF!</f>
        <v>#REF!</v>
      </c>
      <c r="F76" s="239" t="e">
        <f>CONCATENATE('staffing plan'!#REF!," ",'staffing plan'!#REF!)</f>
        <v>#REF!</v>
      </c>
      <c r="G76" s="239" t="str">
        <f>'staffing plan'!AX224</f>
        <v>Abra</v>
      </c>
      <c r="H76" s="239" t="str">
        <f>'staffing plan'!AW224</f>
        <v>PAZ, Daryll Jane Trinidad</v>
      </c>
      <c r="I76" s="260"/>
      <c r="J76" s="261" t="e">
        <f t="shared" si="4"/>
        <v>#REF!</v>
      </c>
    </row>
    <row r="77" spans="1:18" s="16" customFormat="1" ht="28.8" hidden="1">
      <c r="A77" s="237" t="str">
        <f>'staffing plan'!B231</f>
        <v>Administrative Aide III</v>
      </c>
      <c r="B77" s="238">
        <f>+'staffing plan'!C231</f>
        <v>3</v>
      </c>
      <c r="C77" s="239" t="str">
        <f>+'staffing plan'!A231</f>
        <v>OSEC-DILGB-ADA3-63-2005</v>
      </c>
      <c r="D77" s="240" t="str">
        <f>+'staffing plan'!AK231</f>
        <v>05</v>
      </c>
      <c r="E77" s="239" t="e">
        <f>+'staffing plan'!#REF!</f>
        <v>#REF!</v>
      </c>
      <c r="F77" s="239" t="e">
        <f>CONCATENATE('staffing plan'!#REF!," ",'staffing plan'!#REF!)</f>
        <v>#REF!</v>
      </c>
      <c r="G77" s="239" t="str">
        <f>'staffing plan'!AX231</f>
        <v>Abra</v>
      </c>
      <c r="H77" s="239" t="str">
        <f>'staffing plan'!AW231</f>
        <v>BRIONES, Rolando Atmosfera</v>
      </c>
      <c r="I77" s="260"/>
      <c r="J77" s="261" t="e">
        <f t="shared" si="4"/>
        <v>#REF!</v>
      </c>
    </row>
    <row r="78" spans="1:18" s="16" customFormat="1" ht="28.8" hidden="1">
      <c r="A78" s="237" t="str">
        <f>'staffing plan'!B239</f>
        <v>Administrative Aide I</v>
      </c>
      <c r="B78" s="238">
        <f>+'staffing plan'!C239</f>
        <v>1</v>
      </c>
      <c r="C78" s="239" t="str">
        <f>+'staffing plan'!A239</f>
        <v>OSEC-DILGB-ADA1-33-2005</v>
      </c>
      <c r="D78" s="240" t="str">
        <f>+'staffing plan'!AK239</f>
        <v>05</v>
      </c>
      <c r="E78" s="239" t="e">
        <f>+'staffing plan'!#REF!</f>
        <v>#REF!</v>
      </c>
      <c r="F78" s="239" t="e">
        <f>CONCATENATE('staffing plan'!#REF!," ",'staffing plan'!#REF!)</f>
        <v>#REF!</v>
      </c>
      <c r="G78" s="239">
        <f>'staffing plan'!AX239</f>
        <v>0</v>
      </c>
      <c r="H78" s="239" t="e">
        <f>'staffing plan'!#REF!</f>
        <v>#REF!</v>
      </c>
      <c r="I78" s="260"/>
      <c r="J78" s="261" t="e">
        <f t="shared" si="4"/>
        <v>#REF!</v>
      </c>
    </row>
    <row r="79" spans="1:18" s="16" customFormat="1" ht="28.8">
      <c r="A79" s="269" t="str">
        <f>'staffing plan'!B155</f>
        <v>Local Government Operations Officer VI</v>
      </c>
      <c r="B79" s="270">
        <f>+'staffing plan'!C155</f>
        <v>22</v>
      </c>
      <c r="C79" s="271" t="str">
        <f>+'staffing plan'!A155</f>
        <v>OSEC-DILGB-LGOO6-71-2017</v>
      </c>
      <c r="D79" s="272" t="str">
        <f>+'staffing plan'!AK155</f>
        <v>0456</v>
      </c>
      <c r="E79" s="271" t="e">
        <f>+'staffing plan'!#REF!</f>
        <v>#REF!</v>
      </c>
      <c r="F79" s="271" t="e">
        <f>CONCATENATE('staffing plan'!#REF!," ",'staffing plan'!#REF!)</f>
        <v>#REF!</v>
      </c>
      <c r="G79" s="271" t="str">
        <f>'staffing plan'!AX155</f>
        <v>Abra</v>
      </c>
      <c r="H79" s="271" t="str">
        <f>'staffing plan'!AW155</f>
        <v>GANO, Carol Guidangen</v>
      </c>
      <c r="I79" s="282"/>
      <c r="J79" s="261" t="e">
        <f t="shared" si="4"/>
        <v>#REF!</v>
      </c>
    </row>
    <row r="80" spans="1:18" s="16" customFormat="1" ht="28.8" hidden="1">
      <c r="A80" s="237" t="str">
        <f>'staffing plan'!B188</f>
        <v>Local Government Operations Officer II</v>
      </c>
      <c r="B80" s="238">
        <f>+'staffing plan'!C188</f>
        <v>13</v>
      </c>
      <c r="C80" s="239" t="str">
        <f>+'staffing plan'!A188</f>
        <v>OSEC-DILGB-LGOO2-12-1998</v>
      </c>
      <c r="D80" s="240" t="str">
        <f>+'staffing plan'!AK188</f>
        <v>0456</v>
      </c>
      <c r="E80" s="239" t="e">
        <f>+'staffing plan'!#REF!</f>
        <v>#REF!</v>
      </c>
      <c r="F80" s="239" t="e">
        <f>CONCATENATE('staffing plan'!#REF!," ",'staffing plan'!#REF!)</f>
        <v>#REF!</v>
      </c>
      <c r="G80" s="239" t="str">
        <f>'staffing plan'!AX188</f>
        <v>Abra</v>
      </c>
      <c r="H80" s="239" t="str">
        <f>'staffing plan'!AW188</f>
        <v>PARTIDO, Alfrainer Ferras</v>
      </c>
      <c r="I80" s="260" t="s">
        <v>2762</v>
      </c>
      <c r="J80" s="261" t="e">
        <f t="shared" si="4"/>
        <v>#REF!</v>
      </c>
    </row>
    <row r="81" spans="1:18" s="16" customFormat="1" ht="28.8">
      <c r="A81" s="237" t="str">
        <f>'staffing plan'!B103</f>
        <v>Local Government Operations Officer VI</v>
      </c>
      <c r="B81" s="238">
        <f>+'staffing plan'!C103</f>
        <v>22</v>
      </c>
      <c r="C81" s="239" t="str">
        <f>+'staffing plan'!A103</f>
        <v>OSEC-DILGB-LGOO6-19-2017</v>
      </c>
      <c r="D81" s="240" t="str">
        <f>+'staffing plan'!AK103</f>
        <v>0459</v>
      </c>
      <c r="E81" s="239" t="e">
        <f>+'staffing plan'!#REF!</f>
        <v>#REF!</v>
      </c>
      <c r="F81" s="239" t="e">
        <f>CONCATENATE('staffing plan'!#REF!," ",'staffing plan'!#REF!)</f>
        <v>#REF!</v>
      </c>
      <c r="G81" s="239" t="str">
        <f>'staffing plan'!AX103</f>
        <v>Abra</v>
      </c>
      <c r="H81" s="239" t="str">
        <f>'staffing plan'!AW103</f>
        <v>IDOS, Dexter Las-o</v>
      </c>
      <c r="I81" s="260"/>
      <c r="J81" s="261" t="e">
        <f t="shared" si="4"/>
        <v>#REF!</v>
      </c>
      <c r="Q81" s="16" t="s">
        <v>3079</v>
      </c>
      <c r="R81" s="16" t="s">
        <v>1207</v>
      </c>
    </row>
    <row r="82" spans="1:18" s="16" customFormat="1" ht="28.8">
      <c r="A82" s="237" t="str">
        <f>'staffing plan'!B85</f>
        <v>Local Government Operations Officer VI</v>
      </c>
      <c r="B82" s="238">
        <f>+'staffing plan'!C85</f>
        <v>22</v>
      </c>
      <c r="C82" s="239" t="str">
        <f>+'staffing plan'!A85</f>
        <v>OSEC-DILGB-LGOO6-5-2017</v>
      </c>
      <c r="D82" s="240" t="str">
        <f>+'staffing plan'!AK85</f>
        <v>0462</v>
      </c>
      <c r="E82" s="239" t="e">
        <f>+'staffing plan'!#REF!</f>
        <v>#REF!</v>
      </c>
      <c r="F82" s="239" t="e">
        <f>CONCATENATE('staffing plan'!#REF!," ",'staffing plan'!#REF!)</f>
        <v>#REF!</v>
      </c>
      <c r="G82" s="239" t="str">
        <f>'staffing plan'!AX85</f>
        <v>Abra</v>
      </c>
      <c r="H82" s="239" t="str">
        <f>'staffing plan'!AW85</f>
        <v>LAPASTORA, Ameurfina Castillo</v>
      </c>
      <c r="I82" s="260"/>
      <c r="J82" s="261" t="e">
        <f t="shared" si="4"/>
        <v>#REF!</v>
      </c>
    </row>
    <row r="83" spans="1:18" s="16" customFormat="1" ht="28.8" hidden="1">
      <c r="A83" s="237" t="str">
        <f>'staffing plan'!B189</f>
        <v>Local Government Operations Officer II</v>
      </c>
      <c r="B83" s="238">
        <f>+'staffing plan'!C189</f>
        <v>13</v>
      </c>
      <c r="C83" s="239" t="str">
        <f>+'staffing plan'!A189</f>
        <v>OSEC-DILGB-LGOO2-14-1998</v>
      </c>
      <c r="D83" s="240" t="str">
        <f>+'staffing plan'!AK189</f>
        <v>0462</v>
      </c>
      <c r="E83" s="239" t="e">
        <f>+'staffing plan'!#REF!</f>
        <v>#REF!</v>
      </c>
      <c r="F83" s="239" t="e">
        <f>CONCATENATE('staffing plan'!#REF!," ",'staffing plan'!#REF!)</f>
        <v>#REF!</v>
      </c>
      <c r="G83" s="239">
        <f>'staffing plan'!AX189</f>
        <v>0</v>
      </c>
      <c r="H83" s="239" t="str">
        <f>'staffing plan'!AW189</f>
        <v xml:space="preserve">Vacant SAGUIYOD,  </v>
      </c>
      <c r="I83" s="260" t="s">
        <v>2762</v>
      </c>
      <c r="J83" s="261" t="e">
        <f t="shared" si="4"/>
        <v>#REF!</v>
      </c>
    </row>
    <row r="84" spans="1:18" s="16" customFormat="1" ht="28.8">
      <c r="A84" s="237" t="str">
        <f>'staffing plan'!B105</f>
        <v>Local Government Operations Officer VI</v>
      </c>
      <c r="B84" s="238">
        <f>+'staffing plan'!C105</f>
        <v>22</v>
      </c>
      <c r="C84" s="239" t="str">
        <f>+'staffing plan'!A105</f>
        <v>OSEC-DILGB-LGOO6-21-2017</v>
      </c>
      <c r="D84" s="240" t="str">
        <f>+'staffing plan'!AK105</f>
        <v>0465</v>
      </c>
      <c r="E84" s="239" t="e">
        <f>+'staffing plan'!#REF!</f>
        <v>#REF!</v>
      </c>
      <c r="F84" s="239" t="e">
        <f>CONCATENATE('staffing plan'!#REF!," ",'staffing plan'!#REF!)</f>
        <v>#REF!</v>
      </c>
      <c r="G84" s="239" t="str">
        <f>'staffing plan'!AX105</f>
        <v>Abra</v>
      </c>
      <c r="H84" s="239" t="str">
        <f>'staffing plan'!AW105</f>
        <v>GARCIA, Evelyn Arizabal</v>
      </c>
      <c r="I84" s="260"/>
      <c r="J84" s="261" t="e">
        <f t="shared" si="4"/>
        <v>#REF!</v>
      </c>
    </row>
    <row r="85" spans="1:18" s="16" customFormat="1" ht="28.8">
      <c r="A85" s="237" t="str">
        <f>'staffing plan'!B102</f>
        <v>Local Government Operations Officer VI</v>
      </c>
      <c r="B85" s="238">
        <f>+'staffing plan'!C102</f>
        <v>22</v>
      </c>
      <c r="C85" s="239" t="str">
        <f>+'staffing plan'!A102</f>
        <v>OSEC-DILGB-LGOO6-18-2017</v>
      </c>
      <c r="D85" s="240" t="str">
        <f>+'staffing plan'!AK102</f>
        <v>0465</v>
      </c>
      <c r="E85" s="239" t="e">
        <f>+'staffing plan'!#REF!</f>
        <v>#REF!</v>
      </c>
      <c r="F85" s="239" t="e">
        <f>CONCATENATE('staffing plan'!#REF!," ",'staffing plan'!#REF!)</f>
        <v>#REF!</v>
      </c>
      <c r="G85" s="239" t="str">
        <f>'staffing plan'!AX102</f>
        <v>Abra</v>
      </c>
      <c r="H85" s="239" t="str">
        <f>'staffing plan'!AW102</f>
        <v>VENUS, Normita Cruz</v>
      </c>
      <c r="I85" s="260"/>
      <c r="J85" s="261" t="e">
        <f t="shared" si="4"/>
        <v>#REF!</v>
      </c>
      <c r="Q85" s="16" t="s">
        <v>2739</v>
      </c>
      <c r="R85" s="16" t="s">
        <v>3078</v>
      </c>
    </row>
    <row r="86" spans="1:18" s="16" customFormat="1" ht="28.8">
      <c r="A86" s="273"/>
      <c r="B86" s="274"/>
      <c r="C86" s="275"/>
      <c r="D86" s="245"/>
      <c r="E86" s="275"/>
      <c r="F86" s="275" t="s">
        <v>2785</v>
      </c>
      <c r="G86" s="275"/>
      <c r="H86" s="275"/>
      <c r="I86" s="283" t="s">
        <v>2786</v>
      </c>
      <c r="J86" s="284"/>
    </row>
    <row r="87" spans="1:18" s="16" customFormat="1">
      <c r="A87" s="273"/>
      <c r="B87" s="274"/>
      <c r="C87" s="275"/>
      <c r="D87" s="245"/>
      <c r="E87" s="275"/>
      <c r="F87" s="275" t="s">
        <v>3080</v>
      </c>
      <c r="G87" s="275"/>
      <c r="H87" s="275"/>
      <c r="I87" s="283" t="s">
        <v>2786</v>
      </c>
      <c r="J87" s="284"/>
    </row>
    <row r="88" spans="1:18" s="16" customFormat="1" ht="28.8" hidden="1">
      <c r="A88" s="276" t="str">
        <f>'staffing plan'!B190</f>
        <v>Local Government Operations Officer II</v>
      </c>
      <c r="B88" s="277">
        <f>+'staffing plan'!C190</f>
        <v>13</v>
      </c>
      <c r="C88" s="278" t="str">
        <f>+'staffing plan'!A190</f>
        <v>OSEC-DILGB-LGOO2-15-1998</v>
      </c>
      <c r="D88" s="279" t="str">
        <f>+'staffing plan'!AK190</f>
        <v>0471</v>
      </c>
      <c r="E88" s="278" t="e">
        <f>+'staffing plan'!#REF!</f>
        <v>#REF!</v>
      </c>
      <c r="F88" s="278" t="e">
        <f>CONCATENATE('staffing plan'!#REF!," ",'staffing plan'!#REF!)</f>
        <v>#REF!</v>
      </c>
      <c r="G88" s="278" t="str">
        <f>'staffing plan'!AX190</f>
        <v>Apayao</v>
      </c>
      <c r="H88" s="278" t="str">
        <f>'staffing plan'!AW190</f>
        <v>ANUA, Rochelle Foronda</v>
      </c>
      <c r="I88" s="285" t="s">
        <v>2787</v>
      </c>
      <c r="J88" s="286" t="e">
        <f t="shared" ref="J88:J106" si="6">E88=G88</f>
        <v>#REF!</v>
      </c>
    </row>
    <row r="89" spans="1:18" s="16" customFormat="1" ht="28.8">
      <c r="A89" s="237" t="str">
        <f>'staffing plan'!B82</f>
        <v>Local Government Operations Officer VI</v>
      </c>
      <c r="B89" s="238">
        <f>+'staffing plan'!C82</f>
        <v>22</v>
      </c>
      <c r="C89" s="239" t="str">
        <f>+'staffing plan'!A82</f>
        <v>OSEC-DILGB-LGOO6-2-2017</v>
      </c>
      <c r="D89" s="240" t="str">
        <f>+'staffing plan'!AK82</f>
        <v>0474</v>
      </c>
      <c r="E89" s="239" t="e">
        <f>+'staffing plan'!#REF!</f>
        <v>#REF!</v>
      </c>
      <c r="F89" s="239" t="e">
        <f>CONCATENATE('staffing plan'!#REF!," ",'staffing plan'!#REF!)</f>
        <v>#REF!</v>
      </c>
      <c r="G89" s="239" t="str">
        <f>'staffing plan'!AX82</f>
        <v>Abra</v>
      </c>
      <c r="H89" s="239" t="str">
        <f>'staffing plan'!AW82</f>
        <v>TURQUEZA, Emmanuel Astudillo</v>
      </c>
      <c r="I89" s="260"/>
      <c r="J89" s="261" t="e">
        <f t="shared" si="6"/>
        <v>#REF!</v>
      </c>
    </row>
    <row r="90" spans="1:18" s="16" customFormat="1" ht="28.8">
      <c r="A90" s="237" t="str">
        <f>'staffing plan'!B92</f>
        <v>Local Government Operations Officer VI</v>
      </c>
      <c r="B90" s="238">
        <f>+'staffing plan'!C92</f>
        <v>22</v>
      </c>
      <c r="C90" s="239" t="str">
        <f>+'staffing plan'!A92</f>
        <v>OSEC-DILGB-LGOO6-10-2017</v>
      </c>
      <c r="D90" s="240" t="str">
        <f>+'staffing plan'!AK92</f>
        <v>0477</v>
      </c>
      <c r="E90" s="239" t="e">
        <f>+'staffing plan'!#REF!</f>
        <v>#REF!</v>
      </c>
      <c r="F90" s="239" t="e">
        <f>CONCATENATE('staffing plan'!#REF!," ",'staffing plan'!#REF!)</f>
        <v>#REF!</v>
      </c>
      <c r="G90" s="239" t="str">
        <f>'staffing plan'!AX92</f>
        <v>Abra</v>
      </c>
      <c r="H90" s="239" t="str">
        <f>'staffing plan'!AW92</f>
        <v>CALINA, Crescencio II Benauro</v>
      </c>
      <c r="I90" s="260"/>
      <c r="J90" s="261" t="e">
        <f t="shared" si="6"/>
        <v>#REF!</v>
      </c>
    </row>
    <row r="91" spans="1:18" s="16" customFormat="1" ht="28.8">
      <c r="A91" s="237" t="str">
        <f>'staffing plan'!B81</f>
        <v>Local Government Operations Officer VI</v>
      </c>
      <c r="B91" s="238">
        <f>+'staffing plan'!C81</f>
        <v>22</v>
      </c>
      <c r="C91" s="239" t="str">
        <f>+'staffing plan'!A81</f>
        <v>OSEC-DILGB-LGOO6-1-2017</v>
      </c>
      <c r="D91" s="240" t="str">
        <f>+'staffing plan'!AK81</f>
        <v>0480</v>
      </c>
      <c r="E91" s="239" t="e">
        <f>+'staffing plan'!#REF!</f>
        <v>#REF!</v>
      </c>
      <c r="F91" s="239" t="e">
        <f>CONCATENATE('staffing plan'!#REF!," ",'staffing plan'!#REF!)</f>
        <v>#REF!</v>
      </c>
      <c r="G91" s="239" t="str">
        <f>'staffing plan'!AX81</f>
        <v>Abra</v>
      </c>
      <c r="H91" s="239" t="str">
        <f>'staffing plan'!AW81</f>
        <v>VILLAMOR, Juvenal Hufano</v>
      </c>
      <c r="I91" s="260"/>
      <c r="J91" s="261" t="e">
        <f t="shared" si="6"/>
        <v>#REF!</v>
      </c>
    </row>
    <row r="92" spans="1:18" s="16" customFormat="1" ht="30" hidden="1" customHeight="1">
      <c r="A92" s="237" t="str">
        <f>'staffing plan'!B186</f>
        <v>Local Government Operations Officer II</v>
      </c>
      <c r="B92" s="238">
        <f>+'staffing plan'!C186</f>
        <v>13</v>
      </c>
      <c r="C92" s="239" t="str">
        <f>+'staffing plan'!A186</f>
        <v>OSEC-DILGB-LGOO2-7-1998</v>
      </c>
      <c r="D92" s="240" t="str">
        <f>+'staffing plan'!AK186</f>
        <v>0480</v>
      </c>
      <c r="E92" s="239" t="e">
        <f>+'staffing plan'!#REF!</f>
        <v>#REF!</v>
      </c>
      <c r="F92" s="239" t="e">
        <f>CONCATENATE('staffing plan'!#REF!," ",'staffing plan'!#REF!)</f>
        <v>#REF!</v>
      </c>
      <c r="G92" s="239" t="str">
        <f>'staffing plan'!AX186</f>
        <v>Ifugao</v>
      </c>
      <c r="H92" s="239" t="str">
        <f>'staffing plan'!AW186</f>
        <v>ATUAN, Valentine Lugawe</v>
      </c>
      <c r="I92" s="260" t="s">
        <v>2762</v>
      </c>
      <c r="J92" s="261" t="e">
        <f t="shared" si="6"/>
        <v>#REF!</v>
      </c>
    </row>
    <row r="93" spans="1:18" s="16" customFormat="1" ht="28.8">
      <c r="A93" s="237" t="str">
        <f>'staffing plan'!B87</f>
        <v>Local Government Operations Officer VI</v>
      </c>
      <c r="B93" s="238">
        <f>+'staffing plan'!C87</f>
        <v>22</v>
      </c>
      <c r="C93" s="239" t="str">
        <f>+'staffing plan'!A87</f>
        <v>OSEC-DILGB-LGOO6-7-2017</v>
      </c>
      <c r="D93" s="240" t="str">
        <f>+'staffing plan'!AK87</f>
        <v>0483</v>
      </c>
      <c r="E93" s="239" t="e">
        <f>+'staffing plan'!#REF!</f>
        <v>#REF!</v>
      </c>
      <c r="F93" s="239" t="e">
        <f>CONCATENATE('staffing plan'!#REF!," ",'staffing plan'!#REF!)</f>
        <v>#REF!</v>
      </c>
      <c r="G93" s="239" t="str">
        <f>'staffing plan'!AX87</f>
        <v>Abra</v>
      </c>
      <c r="H93" s="239" t="str">
        <f>'staffing plan'!AW87</f>
        <v>TURQUEZA, Ephraim Pascua</v>
      </c>
      <c r="I93" s="260"/>
      <c r="J93" s="261" t="e">
        <f t="shared" si="6"/>
        <v>#REF!</v>
      </c>
    </row>
    <row r="94" spans="1:18" s="16" customFormat="1" ht="28.8">
      <c r="A94" s="237" t="str">
        <f>'staffing plan'!B98</f>
        <v>Local Government Operations Officer VI</v>
      </c>
      <c r="B94" s="238">
        <f>+'staffing plan'!C98</f>
        <v>22</v>
      </c>
      <c r="C94" s="239" t="str">
        <f>+'staffing plan'!A98</f>
        <v>OSEC-DILGB-LGOO6-14-2017</v>
      </c>
      <c r="D94" s="240" t="str">
        <f>+'staffing plan'!AK98</f>
        <v>0486</v>
      </c>
      <c r="E94" s="239" t="e">
        <f>+'staffing plan'!#REF!</f>
        <v>#REF!</v>
      </c>
      <c r="F94" s="239" t="e">
        <f>CONCATENATE('staffing plan'!#REF!," ",'staffing plan'!#REF!)</f>
        <v>#REF!</v>
      </c>
      <c r="G94" s="239" t="str">
        <f>'staffing plan'!AX98</f>
        <v>Abra</v>
      </c>
      <c r="H94" s="239" t="str">
        <f>'staffing plan'!AW98</f>
        <v>ABANCE, Mary Jane Samonte</v>
      </c>
      <c r="I94" s="260"/>
      <c r="J94" s="261" t="e">
        <f t="shared" si="6"/>
        <v>#REF!</v>
      </c>
    </row>
    <row r="95" spans="1:18" s="16" customFormat="1" ht="28.8">
      <c r="A95" s="237" t="str">
        <f>'staffing plan'!B89</f>
        <v>Local Government Operations Officer VI</v>
      </c>
      <c r="B95" s="238">
        <f>+'staffing plan'!C89</f>
        <v>22</v>
      </c>
      <c r="C95" s="239" t="str">
        <f>+'staffing plan'!A89</f>
        <v>OSEC-DILGB-LGOO6-9-2017</v>
      </c>
      <c r="D95" s="240" t="str">
        <f>+'staffing plan'!AK89</f>
        <v>0489</v>
      </c>
      <c r="E95" s="239" t="e">
        <f>+'staffing plan'!#REF!</f>
        <v>#REF!</v>
      </c>
      <c r="F95" s="239" t="e">
        <f>CONCATENATE('staffing plan'!#REF!," ",'staffing plan'!#REF!)</f>
        <v>#REF!</v>
      </c>
      <c r="G95" s="239" t="str">
        <f>'staffing plan'!AX89</f>
        <v>Abra</v>
      </c>
      <c r="H95" s="239" t="str">
        <f>'staffing plan'!AW89</f>
        <v>CASTILLO, Mila Benedito</v>
      </c>
      <c r="I95" s="260"/>
      <c r="J95" s="261" t="e">
        <f t="shared" si="6"/>
        <v>#REF!</v>
      </c>
    </row>
    <row r="96" spans="1:18" s="16" customFormat="1" ht="28.8">
      <c r="A96" s="237" t="str">
        <f>'staffing plan'!B88</f>
        <v>Local Government Operations Officer VI</v>
      </c>
      <c r="B96" s="238">
        <f>+'staffing plan'!C88</f>
        <v>22</v>
      </c>
      <c r="C96" s="239" t="str">
        <f>+'staffing plan'!A88</f>
        <v>OSEC-DILGB-LGOO6-8-2017</v>
      </c>
      <c r="D96" s="240" t="str">
        <f>+'staffing plan'!AK88</f>
        <v>0492</v>
      </c>
      <c r="E96" s="239" t="e">
        <f>+'staffing plan'!#REF!</f>
        <v>#REF!</v>
      </c>
      <c r="F96" s="239" t="e">
        <f>CONCATENATE('staffing plan'!#REF!," ",'staffing plan'!#REF!)</f>
        <v>#REF!</v>
      </c>
      <c r="G96" s="239" t="str">
        <f>'staffing plan'!AX88</f>
        <v>Abra</v>
      </c>
      <c r="H96" s="239" t="str">
        <f>'staffing plan'!AW88</f>
        <v>LINGBAOAN, Joel Barbasa</v>
      </c>
      <c r="I96" s="260"/>
      <c r="J96" s="261" t="e">
        <f t="shared" si="6"/>
        <v>#REF!</v>
      </c>
    </row>
    <row r="97" spans="1:18" s="16" customFormat="1" ht="28.8">
      <c r="A97" s="237" t="str">
        <f>'staffing plan'!B95</f>
        <v>Local Government Operations Officer VI</v>
      </c>
      <c r="B97" s="238">
        <f>+'staffing plan'!C95</f>
        <v>22</v>
      </c>
      <c r="C97" s="239" t="str">
        <f>+'staffing plan'!A95</f>
        <v>OSEC-DILGB-LGOO6-12-2017</v>
      </c>
      <c r="D97" s="240" t="str">
        <f>+'staffing plan'!AK95</f>
        <v>0495</v>
      </c>
      <c r="E97" s="239" t="e">
        <f>+'staffing plan'!#REF!</f>
        <v>#REF!</v>
      </c>
      <c r="F97" s="239" t="e">
        <f>CONCATENATE('staffing plan'!#REF!," ",'staffing plan'!#REF!)</f>
        <v>#REF!</v>
      </c>
      <c r="G97" s="239" t="str">
        <f>'staffing plan'!AX95</f>
        <v>Abra</v>
      </c>
      <c r="H97" s="239" t="str">
        <f>'staffing plan'!AW95</f>
        <v>HERNANDEZ, Jean  Smith</v>
      </c>
      <c r="I97" s="260"/>
      <c r="J97" s="261" t="e">
        <f t="shared" si="6"/>
        <v>#REF!</v>
      </c>
      <c r="Q97" s="16" t="s">
        <v>3081</v>
      </c>
      <c r="R97" s="16" t="s">
        <v>1207</v>
      </c>
    </row>
    <row r="98" spans="1:18" s="16" customFormat="1" ht="28.8">
      <c r="A98" s="269" t="str">
        <f>'staffing plan'!B154</f>
        <v>Local Government Operations Officer VI</v>
      </c>
      <c r="B98" s="270">
        <f>+'staffing plan'!C154</f>
        <v>22</v>
      </c>
      <c r="C98" s="271" t="str">
        <f>+'staffing plan'!A154</f>
        <v>OSEC-DILGB-LGOO6-70-2017</v>
      </c>
      <c r="D98" s="272" t="str">
        <f>+'staffing plan'!AK154</f>
        <v>0498</v>
      </c>
      <c r="E98" s="271" t="e">
        <f>+'staffing plan'!#REF!</f>
        <v>#REF!</v>
      </c>
      <c r="F98" s="271" t="e">
        <f>CONCATENATE('staffing plan'!#REF!," ",'staffing plan'!#REF!)</f>
        <v>#REF!</v>
      </c>
      <c r="G98" s="271" t="str">
        <f>'staffing plan'!AX154</f>
        <v>Abra</v>
      </c>
      <c r="H98" s="271" t="str">
        <f>'staffing plan'!AW154</f>
        <v>BALDERAMA, Antonio Badere</v>
      </c>
      <c r="I98" s="282"/>
      <c r="J98" s="261" t="e">
        <f t="shared" si="6"/>
        <v>#REF!</v>
      </c>
    </row>
    <row r="99" spans="1:18" s="16" customFormat="1" ht="28.8">
      <c r="A99" s="237" t="str">
        <f>'staffing plan'!B108</f>
        <v>Local Government Operations Officer VI</v>
      </c>
      <c r="B99" s="238">
        <f>+'staffing plan'!C108</f>
        <v>22</v>
      </c>
      <c r="C99" s="239" t="str">
        <f>+'staffing plan'!A108</f>
        <v>OSEC-DILGB-LGOO6-24-2017</v>
      </c>
      <c r="D99" s="240" t="str">
        <f>+'staffing plan'!AK108</f>
        <v>0501</v>
      </c>
      <c r="E99" s="239" t="e">
        <f>+'staffing plan'!#REF!</f>
        <v>#REF!</v>
      </c>
      <c r="F99" s="239" t="e">
        <f>CONCATENATE('staffing plan'!#REF!," ",'staffing plan'!#REF!)</f>
        <v>#REF!</v>
      </c>
      <c r="G99" s="239" t="str">
        <f>'staffing plan'!AX108</f>
        <v>Abra</v>
      </c>
      <c r="H99" s="239" t="str">
        <f>'staffing plan'!AW108</f>
        <v>MONREAL, Prescila Alzate</v>
      </c>
      <c r="I99" s="260"/>
      <c r="J99" s="261" t="e">
        <f t="shared" si="6"/>
        <v>#REF!</v>
      </c>
    </row>
    <row r="100" spans="1:18" s="16" customFormat="1" ht="28.8">
      <c r="A100" s="237" t="str">
        <f>'staffing plan'!B84</f>
        <v>Local Government Operations Officer VI</v>
      </c>
      <c r="B100" s="238">
        <f>+'staffing plan'!C84</f>
        <v>22</v>
      </c>
      <c r="C100" s="239" t="str">
        <f>+'staffing plan'!A84</f>
        <v>OSEC-DILGB-LGOO6-4-2017</v>
      </c>
      <c r="D100" s="240" t="str">
        <f>+'staffing plan'!AK84</f>
        <v>0504</v>
      </c>
      <c r="E100" s="239" t="e">
        <f>+'staffing plan'!#REF!</f>
        <v>#REF!</v>
      </c>
      <c r="F100" s="239" t="e">
        <f>CONCATENATE('staffing plan'!#REF!," ",'staffing plan'!#REF!)</f>
        <v>#REF!</v>
      </c>
      <c r="G100" s="239" t="str">
        <f>'staffing plan'!AX84</f>
        <v>Abra</v>
      </c>
      <c r="H100" s="239" t="str">
        <f>'staffing plan'!AW84</f>
        <v>ABADEZA, Charisma Salimbay</v>
      </c>
      <c r="I100" s="260"/>
      <c r="J100" s="261" t="e">
        <f t="shared" si="6"/>
        <v>#REF!</v>
      </c>
    </row>
    <row r="101" spans="1:18" s="16" customFormat="1" ht="28.8">
      <c r="A101" s="237" t="str">
        <f>'staffing plan'!B96</f>
        <v>Local Government Operations Officer VI</v>
      </c>
      <c r="B101" s="238">
        <f>+'staffing plan'!C96</f>
        <v>22</v>
      </c>
      <c r="C101" s="239" t="str">
        <f>+'staffing plan'!A96</f>
        <v>OSEC-DILGB-LGOO6-13-2017</v>
      </c>
      <c r="D101" s="240" t="str">
        <f>+'staffing plan'!AK96</f>
        <v>0507</v>
      </c>
      <c r="E101" s="239" t="e">
        <f>+'staffing plan'!#REF!</f>
        <v>#REF!</v>
      </c>
      <c r="F101" s="239" t="e">
        <f>CONCATENATE('staffing plan'!#REF!," ",'staffing plan'!#REF!)</f>
        <v>#REF!</v>
      </c>
      <c r="G101" s="239" t="str">
        <f>'staffing plan'!AX96</f>
        <v>Abra</v>
      </c>
      <c r="H101" s="239" t="str">
        <f>'staffing plan'!AW96</f>
        <v>TRINIDAD, Bernabe Bejarin</v>
      </c>
      <c r="I101" s="260"/>
      <c r="J101" s="261" t="e">
        <f t="shared" si="6"/>
        <v>#REF!</v>
      </c>
    </row>
    <row r="102" spans="1:18" s="16" customFormat="1" ht="28.8">
      <c r="A102" s="237" t="str">
        <f>'staffing plan'!B100</f>
        <v>Local Government Operations Officer VI</v>
      </c>
      <c r="B102" s="238">
        <f>+'staffing plan'!C100</f>
        <v>22</v>
      </c>
      <c r="C102" s="239" t="str">
        <f>+'staffing plan'!A100</f>
        <v>OSEC-DILGB-LGOO6-16-2017</v>
      </c>
      <c r="D102" s="240" t="str">
        <f>+'staffing plan'!AK100</f>
        <v>0510</v>
      </c>
      <c r="E102" s="239" t="e">
        <f>+'staffing plan'!#REF!</f>
        <v>#REF!</v>
      </c>
      <c r="F102" s="239" t="e">
        <f>CONCATENATE('staffing plan'!#REF!," ",'staffing plan'!#REF!)</f>
        <v>#REF!</v>
      </c>
      <c r="G102" s="239" t="str">
        <f>'staffing plan'!AX100</f>
        <v>Abra</v>
      </c>
      <c r="H102" s="239" t="str">
        <f>'staffing plan'!AW100</f>
        <v>BARRERAS, Carlito Tejero</v>
      </c>
      <c r="I102" s="260"/>
      <c r="J102" s="261" t="e">
        <f t="shared" si="6"/>
        <v>#REF!</v>
      </c>
    </row>
    <row r="103" spans="1:18" s="16" customFormat="1" ht="28.8">
      <c r="A103" s="237" t="str">
        <f>'staffing plan'!B106</f>
        <v>Local Government Operations Officer VI</v>
      </c>
      <c r="B103" s="238">
        <f>+'staffing plan'!C106</f>
        <v>22</v>
      </c>
      <c r="C103" s="239" t="str">
        <f>+'staffing plan'!A106</f>
        <v>OSEC-DILGB-LGOO6-22-2017</v>
      </c>
      <c r="D103" s="240" t="str">
        <f>+'staffing plan'!AK106</f>
        <v>0513</v>
      </c>
      <c r="E103" s="239" t="e">
        <f>+'staffing plan'!#REF!</f>
        <v>#REF!</v>
      </c>
      <c r="F103" s="239" t="e">
        <f>CONCATENATE('staffing plan'!#REF!," ",'staffing plan'!#REF!)</f>
        <v>#REF!</v>
      </c>
      <c r="G103" s="239" t="str">
        <f>'staffing plan'!AX106</f>
        <v>Abra</v>
      </c>
      <c r="H103" s="239" t="str">
        <f>'staffing plan'!AW106</f>
        <v>RULLAN, Dan Joel Suaya</v>
      </c>
      <c r="I103" s="260"/>
      <c r="J103" s="261" t="e">
        <f t="shared" si="6"/>
        <v>#REF!</v>
      </c>
    </row>
    <row r="104" spans="1:18" s="16" customFormat="1" ht="28.8">
      <c r="A104" s="237" t="str">
        <f>'staffing plan'!B104</f>
        <v>Local Government Operations Officer VI</v>
      </c>
      <c r="B104" s="238">
        <f>+'staffing plan'!C104</f>
        <v>22</v>
      </c>
      <c r="C104" s="239" t="str">
        <f>+'staffing plan'!A104</f>
        <v>OSEC-DILGB-LGOO6-20-2017</v>
      </c>
      <c r="D104" s="240" t="str">
        <f>+'staffing plan'!AK104</f>
        <v>0516</v>
      </c>
      <c r="E104" s="239" t="e">
        <f>+'staffing plan'!#REF!</f>
        <v>#REF!</v>
      </c>
      <c r="F104" s="239" t="e">
        <f>CONCATENATE('staffing plan'!#REF!," ",'staffing plan'!#REF!)</f>
        <v>#REF!</v>
      </c>
      <c r="G104" s="239" t="str">
        <f>'staffing plan'!AX104</f>
        <v>Abra</v>
      </c>
      <c r="H104" s="239" t="str">
        <f>'staffing plan'!AW104</f>
        <v>TON, Janice Cristine Barreras</v>
      </c>
      <c r="I104" s="260"/>
      <c r="J104" s="261" t="e">
        <f t="shared" si="6"/>
        <v>#REF!</v>
      </c>
    </row>
    <row r="105" spans="1:18" s="16" customFormat="1" ht="28.8">
      <c r="A105" s="237" t="str">
        <f>'staffing plan'!B107</f>
        <v>Local Government Operations Officer VI</v>
      </c>
      <c r="B105" s="238">
        <f>+'staffing plan'!C107</f>
        <v>22</v>
      </c>
      <c r="C105" s="239" t="str">
        <f>+'staffing plan'!A107</f>
        <v>OSEC-DILGB-LGOO6-23-2017</v>
      </c>
      <c r="D105" s="240" t="str">
        <f>+'staffing plan'!AK107</f>
        <v>0519</v>
      </c>
      <c r="E105" s="239" t="e">
        <f>+'staffing plan'!#REF!</f>
        <v>#REF!</v>
      </c>
      <c r="F105" s="239" t="e">
        <f>CONCATENATE('staffing plan'!#REF!," ",'staffing plan'!#REF!)</f>
        <v>#REF!</v>
      </c>
      <c r="G105" s="239" t="str">
        <f>'staffing plan'!AX107</f>
        <v>Abra</v>
      </c>
      <c r="H105" s="239" t="str">
        <f>'staffing plan'!AW107</f>
        <v>WACNANG, Dayan Salimbay</v>
      </c>
      <c r="I105" s="260"/>
      <c r="J105" s="261" t="e">
        <f t="shared" si="6"/>
        <v>#REF!</v>
      </c>
    </row>
    <row r="106" spans="1:18" s="16" customFormat="1" ht="28.8">
      <c r="A106" s="237" t="str">
        <f>'staffing plan'!B156</f>
        <v>Local Government Operations Officer VI</v>
      </c>
      <c r="B106" s="238">
        <f>+'staffing plan'!C156</f>
        <v>22</v>
      </c>
      <c r="C106" s="239" t="str">
        <f>+'staffing plan'!A156</f>
        <v>OSEC-DILGB-LGOO6-72-2017</v>
      </c>
      <c r="D106" s="240" t="str">
        <f>+'staffing plan'!AK156</f>
        <v>0522</v>
      </c>
      <c r="E106" s="239" t="e">
        <f>+'staffing plan'!#REF!</f>
        <v>#REF!</v>
      </c>
      <c r="F106" s="239" t="e">
        <f>CONCATENATE('staffing plan'!#REF!," ",'staffing plan'!#REF!)</f>
        <v>#REF!</v>
      </c>
      <c r="G106" s="239" t="str">
        <f>'staffing plan'!AX156</f>
        <v>Abra</v>
      </c>
      <c r="H106" s="239" t="str">
        <f>'staffing plan'!AW156</f>
        <v>MINA, Bramie Madarcos</v>
      </c>
      <c r="I106" s="260"/>
      <c r="J106" s="261" t="e">
        <f t="shared" si="6"/>
        <v>#REF!</v>
      </c>
    </row>
    <row r="107" spans="1:18" s="16" customFormat="1" ht="29.25" customHeight="1">
      <c r="A107" s="273"/>
      <c r="B107" s="274"/>
      <c r="C107" s="275"/>
      <c r="D107" s="245"/>
      <c r="E107" s="275"/>
      <c r="F107" s="275" t="s">
        <v>2788</v>
      </c>
      <c r="G107" s="275"/>
      <c r="H107" s="275"/>
      <c r="I107" s="283" t="s">
        <v>2786</v>
      </c>
      <c r="J107" s="284"/>
    </row>
    <row r="108" spans="1:18" s="16" customFormat="1" ht="28.8">
      <c r="A108" s="237" t="str">
        <f>'staffing plan'!B83</f>
        <v>Local Government Operations Officer VI</v>
      </c>
      <c r="B108" s="238">
        <f>+'staffing plan'!C83</f>
        <v>22</v>
      </c>
      <c r="C108" s="239" t="str">
        <f>+'staffing plan'!A83</f>
        <v>OSEC-DILGB-LGOO6-3-2017</v>
      </c>
      <c r="D108" s="240" t="str">
        <f>+'staffing plan'!AK83</f>
        <v>0528</v>
      </c>
      <c r="E108" s="239" t="e">
        <f>+'staffing plan'!#REF!</f>
        <v>#REF!</v>
      </c>
      <c r="F108" s="239" t="e">
        <f>CONCATENATE('staffing plan'!#REF!," ",'staffing plan'!#REF!)</f>
        <v>#REF!</v>
      </c>
      <c r="G108" s="239" t="str">
        <f>'staffing plan'!AX83</f>
        <v>Abra</v>
      </c>
      <c r="H108" s="239" t="str">
        <f>'staffing plan'!AW83</f>
        <v>TENEZA, Valentino Barbieto</v>
      </c>
      <c r="I108" s="260"/>
      <c r="J108" s="261" t="e">
        <f>E108=G108</f>
        <v>#REF!</v>
      </c>
    </row>
    <row r="109" spans="1:18" s="16" customFormat="1" ht="28.8">
      <c r="A109" s="237" t="str">
        <f>'staffing plan'!B101</f>
        <v>Local Government Operations Officer VI</v>
      </c>
      <c r="B109" s="238">
        <f>+'staffing plan'!C101</f>
        <v>22</v>
      </c>
      <c r="C109" s="239" t="str">
        <f>+'staffing plan'!A101</f>
        <v>OSEC-DILGB-LGOO6-17-2017</v>
      </c>
      <c r="D109" s="240" t="str">
        <f>+'staffing plan'!AK101</f>
        <v>0531</v>
      </c>
      <c r="E109" s="239" t="e">
        <f>+'staffing plan'!#REF!</f>
        <v>#REF!</v>
      </c>
      <c r="F109" s="239" t="e">
        <f>CONCATENATE('staffing plan'!#REF!," ",'staffing plan'!#REF!)</f>
        <v>#REF!</v>
      </c>
      <c r="G109" s="239" t="str">
        <f>'staffing plan'!AX101</f>
        <v>Abra</v>
      </c>
      <c r="H109" s="239" t="str">
        <f>'staffing plan'!AW101</f>
        <v>VENUS, Nolito Domingo</v>
      </c>
      <c r="I109" s="260"/>
      <c r="J109" s="261" t="e">
        <f>E109=G109</f>
        <v>#REF!</v>
      </c>
    </row>
    <row r="110" spans="1:18" s="16" customFormat="1" ht="28.8">
      <c r="A110" s="237" t="str">
        <f>'staffing plan'!B99</f>
        <v>Local Government Operations Officer VI</v>
      </c>
      <c r="B110" s="238">
        <f>+'staffing plan'!C99</f>
        <v>22</v>
      </c>
      <c r="C110" s="239" t="str">
        <f>+'staffing plan'!A99</f>
        <v>OSEC-DILGB-LGOO6-15-2017</v>
      </c>
      <c r="D110" s="240" t="str">
        <f>+'staffing plan'!AK99</f>
        <v>0534</v>
      </c>
      <c r="E110" s="239" t="e">
        <f>+'staffing plan'!#REF!</f>
        <v>#REF!</v>
      </c>
      <c r="F110" s="239" t="e">
        <f>CONCATENATE('staffing plan'!#REF!," ",'staffing plan'!#REF!)</f>
        <v>#REF!</v>
      </c>
      <c r="G110" s="239" t="str">
        <f>'staffing plan'!AX99</f>
        <v>Abra</v>
      </c>
      <c r="H110" s="239" t="str">
        <f>'staffing plan'!AW99</f>
        <v>WALANG, Marlon Silvada</v>
      </c>
      <c r="I110" s="260"/>
      <c r="J110" s="261" t="e">
        <f>E110=G110</f>
        <v>#REF!</v>
      </c>
    </row>
    <row r="111" spans="1:18" s="231" customFormat="1" hidden="1">
      <c r="A111" s="241"/>
      <c r="B111" s="242"/>
      <c r="C111" s="243"/>
      <c r="D111" s="254"/>
      <c r="E111" s="243"/>
      <c r="F111" s="243"/>
      <c r="G111" s="243"/>
      <c r="H111" s="243"/>
      <c r="I111" s="262"/>
      <c r="J111" s="218"/>
      <c r="K111"/>
      <c r="L111" s="231" t="s">
        <v>2782</v>
      </c>
      <c r="M111" s="267"/>
      <c r="N111" s="267"/>
      <c r="O111" s="267"/>
    </row>
    <row r="112" spans="1:18">
      <c r="A112" s="234" t="s">
        <v>2789</v>
      </c>
      <c r="B112" s="255"/>
      <c r="C112" s="256"/>
      <c r="D112" s="257"/>
      <c r="E112" s="256"/>
      <c r="F112" s="256"/>
      <c r="G112" s="256"/>
      <c r="H112" s="256"/>
      <c r="I112" s="265"/>
      <c r="J112" s="266"/>
      <c r="K112" s="231"/>
      <c r="L112" t="s">
        <v>463</v>
      </c>
      <c r="M112" s="15">
        <v>1</v>
      </c>
      <c r="N112" s="15">
        <f>COUNTIF(ApayaoSG,"26")</f>
        <v>1</v>
      </c>
      <c r="O112" s="15">
        <f>+M112-N112</f>
        <v>0</v>
      </c>
    </row>
    <row r="113" spans="1:18" s="16" customFormat="1" ht="28.8" hidden="1">
      <c r="A113" s="237" t="str">
        <f>'staffing plan'!B74</f>
        <v>Local Government Operations Officer VIII</v>
      </c>
      <c r="B113" s="238">
        <f>+'staffing plan'!C74</f>
        <v>26</v>
      </c>
      <c r="C113" s="239" t="str">
        <f>+'staffing plan'!A74</f>
        <v>OSEC-DILGB-LGOO8-98-1998</v>
      </c>
      <c r="D113" s="240" t="str">
        <f>+'staffing plan'!AK74</f>
        <v>08</v>
      </c>
      <c r="E113" s="239" t="e">
        <f>+'staffing plan'!#REF!</f>
        <v>#REF!</v>
      </c>
      <c r="F113" s="239" t="e">
        <f>CONCATENATE('staffing plan'!#REF!," ",'staffing plan'!#REF!)</f>
        <v>#REF!</v>
      </c>
      <c r="G113" s="239" t="str">
        <f>'staffing plan'!AX74</f>
        <v>Kalinga</v>
      </c>
      <c r="H113" s="239" t="str">
        <f>'staffing plan'!AW74</f>
        <v>ADONG, Mayer Max de Guzman</v>
      </c>
      <c r="I113" s="260"/>
      <c r="J113" s="261" t="e">
        <f t="shared" ref="J113:J135" si="7">E113=G113</f>
        <v>#REF!</v>
      </c>
      <c r="L113" s="16" t="s">
        <v>157</v>
      </c>
      <c r="M113" s="16">
        <v>2</v>
      </c>
      <c r="N113" s="16">
        <f>COUNTIF(ApayaoSG,"22")+COUNTIF(ApayaoSG,"24")</f>
        <v>9</v>
      </c>
      <c r="O113" s="16">
        <f t="shared" ref="O113:O120" si="8">+M113-N113</f>
        <v>-7</v>
      </c>
    </row>
    <row r="114" spans="1:18" s="16" customFormat="1" ht="28.8" hidden="1">
      <c r="A114" s="237" t="str">
        <f>'staffing plan'!B94</f>
        <v>Local Government Operations Officer VI</v>
      </c>
      <c r="B114" s="238">
        <f>+'staffing plan'!C94</f>
        <v>22</v>
      </c>
      <c r="C114" s="239" t="str">
        <f>+'staffing plan'!A94</f>
        <v>OSEC-DILGB-LGOO6-11-2010</v>
      </c>
      <c r="D114" s="240" t="str">
        <f>+'staffing plan'!AK94</f>
        <v>011</v>
      </c>
      <c r="E114" s="239" t="e">
        <f>+'staffing plan'!#REF!</f>
        <v>#REF!</v>
      </c>
      <c r="F114" s="239" t="e">
        <f>CONCATENATE('staffing plan'!#REF!," ",'staffing plan'!#REF!)</f>
        <v>#REF!</v>
      </c>
      <c r="G114" s="239" t="str">
        <f>'staffing plan'!AX94</f>
        <v>Baguio City</v>
      </c>
      <c r="H114" s="239" t="str">
        <f>'staffing plan'!AW94</f>
        <v>CAMACHO, Anabelle  Laron</v>
      </c>
      <c r="I114" s="260"/>
      <c r="J114" s="261" t="e">
        <f t="shared" si="7"/>
        <v>#REF!</v>
      </c>
      <c r="L114" s="16" t="s">
        <v>165</v>
      </c>
      <c r="M114" s="16">
        <v>9</v>
      </c>
      <c r="N114" s="16">
        <f>COUNTIF(ApayaoSG,"20")</f>
        <v>2</v>
      </c>
      <c r="O114" s="16">
        <f t="shared" si="8"/>
        <v>7</v>
      </c>
    </row>
    <row r="115" spans="1:18" s="16" customFormat="1" ht="28.8" hidden="1">
      <c r="A115" s="237" t="str">
        <f>'staffing plan'!B77</f>
        <v>Local Government Operations Officer VII</v>
      </c>
      <c r="B115" s="238">
        <f>+'staffing plan'!C77</f>
        <v>24</v>
      </c>
      <c r="C115" s="239" t="str">
        <f>+'staffing plan'!A77</f>
        <v>OSEC-DILGB-LGOO7-1445-2017</v>
      </c>
      <c r="D115" s="245" t="str">
        <f>+'staffing plan'!AK77</f>
        <v>09</v>
      </c>
      <c r="E115" s="239" t="e">
        <f>+'staffing plan'!#REF!</f>
        <v>#REF!</v>
      </c>
      <c r="F115" s="239" t="e">
        <f>CONCATENATE('staffing plan'!#REF!," ",'staffing plan'!#REF!)</f>
        <v>#REF!</v>
      </c>
      <c r="G115" s="239" t="str">
        <f>'staffing plan'!AX77</f>
        <v>Mt. Province</v>
      </c>
      <c r="H115" s="239" t="str">
        <f>'staffing plan'!AW77</f>
        <v>CARIÑO, Maritess  Malinay</v>
      </c>
      <c r="I115" s="260" t="s">
        <v>2790</v>
      </c>
      <c r="J115" s="261" t="e">
        <f t="shared" si="7"/>
        <v>#REF!</v>
      </c>
      <c r="L115" s="16" t="s">
        <v>1074</v>
      </c>
      <c r="M115" s="16">
        <v>3</v>
      </c>
      <c r="N115" s="16">
        <f>COUNTIF(ApayaoSG,"13")</f>
        <v>3</v>
      </c>
      <c r="O115" s="16">
        <f t="shared" si="8"/>
        <v>0</v>
      </c>
    </row>
    <row r="116" spans="1:18" s="16" customFormat="1" ht="28.8">
      <c r="A116" s="237" t="str">
        <f>'staffing plan'!B109</f>
        <v>Local Government Operations Officer VI</v>
      </c>
      <c r="B116" s="238">
        <f>+'staffing plan'!C109</f>
        <v>22</v>
      </c>
      <c r="C116" s="239" t="str">
        <f>+'staffing plan'!A109</f>
        <v>OSEC-DILGB-LGOO6-25-2017</v>
      </c>
      <c r="D116" s="240" t="str">
        <f>+'staffing plan'!AK109</f>
        <v>08</v>
      </c>
      <c r="E116" s="239" t="e">
        <f>+'staffing plan'!#REF!</f>
        <v>#REF!</v>
      </c>
      <c r="F116" s="239" t="e">
        <f>CONCATENATE('staffing plan'!#REF!," ",'staffing plan'!#REF!)</f>
        <v>#REF!</v>
      </c>
      <c r="G116" s="239" t="str">
        <f>'staffing plan'!AX109</f>
        <v>Apayao</v>
      </c>
      <c r="H116" s="239" t="str">
        <f>'staffing plan'!AW109</f>
        <v>MICU, Mary Beth Agustin</v>
      </c>
      <c r="I116" s="260"/>
      <c r="J116" s="261" t="e">
        <f t="shared" si="7"/>
        <v>#REF!</v>
      </c>
      <c r="L116" s="16" t="s">
        <v>1170</v>
      </c>
      <c r="M116" s="16">
        <v>2</v>
      </c>
      <c r="N116" s="16">
        <f>COUNTIF(ApayaoSG,"8")</f>
        <v>2</v>
      </c>
      <c r="O116" s="16">
        <f t="shared" si="8"/>
        <v>0</v>
      </c>
      <c r="Q116" s="16" t="s">
        <v>3032</v>
      </c>
      <c r="R116" s="16" t="s">
        <v>3078</v>
      </c>
    </row>
    <row r="117" spans="1:18" s="16" customFormat="1" ht="28.8">
      <c r="A117" s="269" t="str">
        <f>'staffing plan'!B180</f>
        <v>Local Government Operations Officer V</v>
      </c>
      <c r="B117" s="270">
        <f>+'staffing plan'!C180</f>
        <v>20</v>
      </c>
      <c r="C117" s="271" t="str">
        <f>+'staffing plan'!A180</f>
        <v>OSEC-DILGB-LGOO5-993-1998</v>
      </c>
      <c r="D117" s="272" t="str">
        <f>+'staffing plan'!AK180</f>
        <v>08</v>
      </c>
      <c r="E117" s="271" t="e">
        <f>+'staffing plan'!#REF!</f>
        <v>#REF!</v>
      </c>
      <c r="F117" s="271" t="e">
        <f>CONCATENATE('staffing plan'!#REF!," ",'staffing plan'!#REF!)</f>
        <v>#REF!</v>
      </c>
      <c r="G117" s="271" t="str">
        <f>'staffing plan'!AX180</f>
        <v>Apayao</v>
      </c>
      <c r="H117" s="271" t="str">
        <f>'staffing plan'!AW180</f>
        <v>ALVAREZ, Kristoffer Dave Rigonan</v>
      </c>
      <c r="I117" s="282"/>
      <c r="J117" s="261" t="e">
        <f t="shared" si="7"/>
        <v>#REF!</v>
      </c>
      <c r="L117" s="16" t="s">
        <v>273</v>
      </c>
      <c r="M117" s="16">
        <v>1</v>
      </c>
      <c r="N117" s="16">
        <f>COUNTIF(ApayaoSG,"6")</f>
        <v>1</v>
      </c>
      <c r="O117" s="16">
        <f t="shared" si="8"/>
        <v>0</v>
      </c>
      <c r="Q117" s="16" t="s">
        <v>3074</v>
      </c>
      <c r="R117" s="16" t="s">
        <v>1207</v>
      </c>
    </row>
    <row r="118" spans="1:18" s="16" customFormat="1" ht="28.8">
      <c r="A118" s="237" t="str">
        <f>'staffing plan'!B110</f>
        <v>Local Government Operations Officer VI</v>
      </c>
      <c r="B118" s="238">
        <f>+'staffing plan'!C110</f>
        <v>22</v>
      </c>
      <c r="C118" s="239" t="str">
        <f>+'staffing plan'!A110</f>
        <v>OSEC-DILGB-LGOO6-26-2017</v>
      </c>
      <c r="D118" s="240" t="str">
        <f>+'staffing plan'!AK110</f>
        <v>08</v>
      </c>
      <c r="E118" s="239" t="e">
        <f>+'staffing plan'!#REF!</f>
        <v>#REF!</v>
      </c>
      <c r="F118" s="239" t="e">
        <f>CONCATENATE('staffing plan'!#REF!," ",'staffing plan'!#REF!)</f>
        <v>#REF!</v>
      </c>
      <c r="G118" s="239" t="str">
        <f>'staffing plan'!AX110</f>
        <v>Apayao</v>
      </c>
      <c r="H118" s="239" t="str">
        <f>'staffing plan'!AW110</f>
        <v>GALVEZ, Filipinita Marigza</v>
      </c>
      <c r="I118" s="260"/>
      <c r="J118" s="261" t="e">
        <f t="shared" si="7"/>
        <v>#REF!</v>
      </c>
      <c r="L118" s="16" t="s">
        <v>455</v>
      </c>
      <c r="M118" s="16">
        <v>1</v>
      </c>
      <c r="N118" s="16">
        <f>COUNTIF(ApayaoSG,"4")</f>
        <v>1</v>
      </c>
      <c r="O118" s="16">
        <f t="shared" si="8"/>
        <v>0</v>
      </c>
      <c r="Q118" s="16" t="s">
        <v>3033</v>
      </c>
      <c r="R118" s="16" t="s">
        <v>3078</v>
      </c>
    </row>
    <row r="119" spans="1:18" s="16" customFormat="1" ht="28.8">
      <c r="A119" s="237" t="str">
        <f>'staffing plan'!B176</f>
        <v>Local Government Operations Officer V</v>
      </c>
      <c r="B119" s="238">
        <f>+'staffing plan'!C176</f>
        <v>20</v>
      </c>
      <c r="C119" s="239" t="str">
        <f>+'staffing plan'!A176</f>
        <v>OSEC-DILGB-LGOO5-972-1998</v>
      </c>
      <c r="D119" s="240" t="str">
        <f>+'staffing plan'!AK176</f>
        <v>08</v>
      </c>
      <c r="E119" s="239" t="e">
        <f>+'staffing plan'!#REF!</f>
        <v>#REF!</v>
      </c>
      <c r="F119" s="239" t="e">
        <f>CONCATENATE('staffing plan'!#REF!," ",'staffing plan'!#REF!)</f>
        <v>#REF!</v>
      </c>
      <c r="G119" s="239" t="str">
        <f>'staffing plan'!AX176</f>
        <v>Apayao</v>
      </c>
      <c r="H119" s="239" t="str">
        <f>'staffing plan'!AW176</f>
        <v>ESTELON, Juvy Jane Dumapay</v>
      </c>
      <c r="I119" s="260"/>
      <c r="J119" s="261" t="e">
        <f t="shared" si="7"/>
        <v>#REF!</v>
      </c>
      <c r="L119" s="16" t="s">
        <v>2194</v>
      </c>
      <c r="M119" s="16">
        <v>1</v>
      </c>
      <c r="N119" s="16">
        <f>COUNTIF(ApayaoSG,"3")</f>
        <v>1</v>
      </c>
      <c r="O119" s="16">
        <f t="shared" si="8"/>
        <v>0</v>
      </c>
      <c r="Q119" s="16" t="s">
        <v>3082</v>
      </c>
    </row>
    <row r="120" spans="1:18" s="16" customFormat="1" ht="28.8" hidden="1">
      <c r="A120" s="237" t="str">
        <f>'staffing plan'!B192</f>
        <v>Local Government Operations Officer II</v>
      </c>
      <c r="B120" s="238">
        <f>+'staffing plan'!C192</f>
        <v>13</v>
      </c>
      <c r="C120" s="239" t="str">
        <f>+'staffing plan'!A192</f>
        <v>OSEC-DILGB-LGOO2-18-1998</v>
      </c>
      <c r="D120" s="245" t="str">
        <f>+'staffing plan'!AK192</f>
        <v>011</v>
      </c>
      <c r="E120" s="239" t="e">
        <f>+'staffing plan'!#REF!</f>
        <v>#REF!</v>
      </c>
      <c r="F120" s="239" t="e">
        <f>CONCATENATE('staffing plan'!#REF!," ",'staffing plan'!#REF!)</f>
        <v>#REF!</v>
      </c>
      <c r="G120" s="239" t="str">
        <f>'staffing plan'!AX192</f>
        <v>Benguet</v>
      </c>
      <c r="H120" s="239" t="str">
        <f>'staffing plan'!AW192</f>
        <v>ESCAD, Laura Valencia</v>
      </c>
      <c r="I120" s="260" t="s">
        <v>2790</v>
      </c>
      <c r="J120" s="261" t="e">
        <f t="shared" si="7"/>
        <v>#REF!</v>
      </c>
      <c r="L120" s="16" t="s">
        <v>2196</v>
      </c>
      <c r="M120" s="16">
        <v>1</v>
      </c>
      <c r="N120" s="16">
        <f>COUNTIF(ApayaoSG,"1")</f>
        <v>1</v>
      </c>
      <c r="O120" s="16">
        <f t="shared" si="8"/>
        <v>0</v>
      </c>
    </row>
    <row r="121" spans="1:18" s="16" customFormat="1" ht="28.8" hidden="1">
      <c r="A121" s="237" t="str">
        <f>'staffing plan'!B185</f>
        <v>Local Government Operations Officer II</v>
      </c>
      <c r="B121" s="238">
        <f>+'staffing plan'!C185</f>
        <v>13</v>
      </c>
      <c r="C121" s="239" t="str">
        <f>+'staffing plan'!A185</f>
        <v>OSEC-DILGB-LGOO2-6-1998</v>
      </c>
      <c r="D121" s="245" t="str">
        <f>+'staffing plan'!AK185</f>
        <v>011</v>
      </c>
      <c r="E121" s="239" t="e">
        <f>+'staffing plan'!#REF!</f>
        <v>#REF!</v>
      </c>
      <c r="F121" s="239" t="e">
        <f>CONCATENATE('staffing plan'!#REF!," ",'staffing plan'!#REF!)</f>
        <v>#REF!</v>
      </c>
      <c r="G121" s="239" t="str">
        <f>'staffing plan'!AX185</f>
        <v>Abra</v>
      </c>
      <c r="H121" s="239" t="str">
        <f>'staffing plan'!AW185</f>
        <v>LAYUGAN, Elizabeth Barros</v>
      </c>
      <c r="I121" s="260" t="s">
        <v>2790</v>
      </c>
      <c r="J121" s="261" t="e">
        <f t="shared" si="7"/>
        <v>#REF!</v>
      </c>
      <c r="M121" s="16">
        <f>SUM(M112:M120)</f>
        <v>21</v>
      </c>
      <c r="N121" s="16">
        <f>SUM(N112:N120)</f>
        <v>21</v>
      </c>
      <c r="O121" s="16">
        <f>SUM(O112:O120)</f>
        <v>0</v>
      </c>
    </row>
    <row r="122" spans="1:18" s="16" customFormat="1" ht="28.8" hidden="1">
      <c r="A122" s="237" t="str">
        <f>'staffing plan'!B216</f>
        <v>Administrative Assistant II</v>
      </c>
      <c r="B122" s="238">
        <f>+'staffing plan'!C216</f>
        <v>8</v>
      </c>
      <c r="C122" s="239" t="str">
        <f>+'staffing plan'!A216</f>
        <v>OSEC-DILGB-ADAS2-78-2005</v>
      </c>
      <c r="D122" s="245" t="str">
        <f>+'staffing plan'!AK216</f>
        <v>06</v>
      </c>
      <c r="E122" s="239" t="e">
        <f>+'staffing plan'!#REF!</f>
        <v>#REF!</v>
      </c>
      <c r="F122" s="239" t="e">
        <f>CONCATENATE('staffing plan'!#REF!," ",'staffing plan'!#REF!)</f>
        <v>#REF!</v>
      </c>
      <c r="G122" s="239" t="str">
        <f>'staffing plan'!AX216</f>
        <v>Apayao</v>
      </c>
      <c r="H122" s="239" t="str">
        <f>'staffing plan'!AW216</f>
        <v>TAMOT, Judith Bermejo</v>
      </c>
      <c r="I122" s="260" t="s">
        <v>2777</v>
      </c>
      <c r="J122" s="261"/>
    </row>
    <row r="123" spans="1:18" s="16" customFormat="1" ht="28.8" hidden="1">
      <c r="A123" s="237" t="str">
        <f>'staffing plan'!B205</f>
        <v>Administrative Assistant II</v>
      </c>
      <c r="B123" s="238">
        <f>+'staffing plan'!C205</f>
        <v>8</v>
      </c>
      <c r="C123" s="239" t="str">
        <f>+'staffing plan'!A205</f>
        <v>OSEC-DILGB-ADAS2-65-2005</v>
      </c>
      <c r="D123" s="245" t="str">
        <f>+'staffing plan'!AK205</f>
        <v>011</v>
      </c>
      <c r="E123" s="239" t="e">
        <f>+'staffing plan'!#REF!</f>
        <v>#REF!</v>
      </c>
      <c r="F123" s="239" t="e">
        <f>CONCATENATE('staffing plan'!#REF!," ",'staffing plan'!#REF!)</f>
        <v>#REF!</v>
      </c>
      <c r="G123" s="239" t="str">
        <f>'staffing plan'!AX205</f>
        <v>Apayao</v>
      </c>
      <c r="H123" s="239" t="str">
        <f>'staffing plan'!AW205</f>
        <v>MACLI-ING, Giezzel Danglipen</v>
      </c>
      <c r="I123" s="260" t="s">
        <v>2790</v>
      </c>
      <c r="J123" s="261" t="e">
        <f t="shared" si="7"/>
        <v>#REF!</v>
      </c>
    </row>
    <row r="124" spans="1:18" s="16" customFormat="1" ht="28.8" hidden="1">
      <c r="A124" s="237" t="str">
        <f>'staffing plan'!B221</f>
        <v>Administrative Aide VI</v>
      </c>
      <c r="B124" s="238">
        <f>+'staffing plan'!C221</f>
        <v>6</v>
      </c>
      <c r="C124" s="239" t="str">
        <f>+'staffing plan'!A221</f>
        <v>OSEC-DILGB-ADA6-102-2005</v>
      </c>
      <c r="D124" s="240" t="str">
        <f>+'staffing plan'!AK221</f>
        <v>07</v>
      </c>
      <c r="E124" s="239" t="e">
        <f>+'staffing plan'!#REF!</f>
        <v>#REF!</v>
      </c>
      <c r="F124" s="239" t="e">
        <f>CONCATENATE('staffing plan'!#REF!," ",'staffing plan'!#REF!)</f>
        <v>#REF!</v>
      </c>
      <c r="G124" s="239" t="str">
        <f>'staffing plan'!AX221</f>
        <v>Regional Office</v>
      </c>
      <c r="H124" s="239" t="str">
        <f>'staffing plan'!AW221</f>
        <v>GONZALES, Marlene Castro</v>
      </c>
      <c r="I124" s="260"/>
      <c r="J124" s="261" t="e">
        <f t="shared" si="7"/>
        <v>#REF!</v>
      </c>
    </row>
    <row r="125" spans="1:18" s="16" customFormat="1" ht="28.8" hidden="1">
      <c r="A125" s="237" t="str">
        <f>'staffing plan'!B223</f>
        <v>Administrative Aide IV</v>
      </c>
      <c r="B125" s="238">
        <f>+'staffing plan'!C223</f>
        <v>4</v>
      </c>
      <c r="C125" s="239" t="str">
        <f>+'staffing plan'!A223</f>
        <v>OSEC-DILGB-ADA4-88-2005</v>
      </c>
      <c r="D125" s="240" t="str">
        <f>+'staffing plan'!AK223</f>
        <v>08</v>
      </c>
      <c r="E125" s="239" t="e">
        <f>+'staffing plan'!#REF!</f>
        <v>#REF!</v>
      </c>
      <c r="F125" s="239" t="e">
        <f>CONCATENATE('staffing plan'!#REF!," ",'staffing plan'!#REF!)</f>
        <v>#REF!</v>
      </c>
      <c r="G125" s="239">
        <f>'staffing plan'!AX223</f>
        <v>0</v>
      </c>
      <c r="H125" s="239" t="str">
        <f>'staffing plan'!AW223</f>
        <v xml:space="preserve">Vacant ANUA,  </v>
      </c>
      <c r="I125" s="260"/>
      <c r="J125" s="261" t="e">
        <f t="shared" si="7"/>
        <v>#REF!</v>
      </c>
    </row>
    <row r="126" spans="1:18" s="16" customFormat="1" ht="28.8" hidden="1">
      <c r="A126" s="237" t="str">
        <f>'staffing plan'!B230</f>
        <v>Administrative Aide III</v>
      </c>
      <c r="B126" s="238">
        <f>+'staffing plan'!C230</f>
        <v>3</v>
      </c>
      <c r="C126" s="239" t="str">
        <f>+'staffing plan'!A230</f>
        <v>OSEC-DILGB-ADA3-62-2005</v>
      </c>
      <c r="D126" s="240" t="str">
        <f>+'staffing plan'!AK230</f>
        <v>08</v>
      </c>
      <c r="E126" s="239" t="e">
        <f>+'staffing plan'!#REF!</f>
        <v>#REF!</v>
      </c>
      <c r="F126" s="239" t="e">
        <f>CONCATENATE('staffing plan'!#REF!," ",'staffing plan'!#REF!)</f>
        <v>#REF!</v>
      </c>
      <c r="G126" s="239" t="str">
        <f>'staffing plan'!AX230</f>
        <v>Apayao</v>
      </c>
      <c r="H126" s="239" t="str">
        <f>'staffing plan'!AW230</f>
        <v>MICU, Benelito de Jesus</v>
      </c>
      <c r="I126" s="260"/>
      <c r="J126" s="261" t="e">
        <f t="shared" si="7"/>
        <v>#REF!</v>
      </c>
    </row>
    <row r="127" spans="1:18" s="16" customFormat="1" ht="28.8" hidden="1">
      <c r="A127" s="237" t="str">
        <f>'staffing plan'!B236</f>
        <v>Administrative Aide I</v>
      </c>
      <c r="B127" s="238">
        <f>+'staffing plan'!C236</f>
        <v>1</v>
      </c>
      <c r="C127" s="239" t="str">
        <f>+'staffing plan'!A236</f>
        <v>OSEC-DILGB-ADA1-29-2005</v>
      </c>
      <c r="D127" s="240" t="str">
        <f>+'staffing plan'!AK236</f>
        <v>08</v>
      </c>
      <c r="E127" s="239" t="e">
        <f>+'staffing plan'!#REF!</f>
        <v>#REF!</v>
      </c>
      <c r="F127" s="239" t="e">
        <f>CONCATENATE('staffing plan'!#REF!," ",'staffing plan'!#REF!)</f>
        <v>#REF!</v>
      </c>
      <c r="G127" s="239" t="str">
        <f>'staffing plan'!AX236</f>
        <v>Apayao</v>
      </c>
      <c r="H127" s="239" t="str">
        <f>'staffing plan'!AW236</f>
        <v>DANGEL, Merlyn Majuray</v>
      </c>
      <c r="I127" s="260"/>
      <c r="J127" s="261" t="e">
        <f t="shared" si="7"/>
        <v>#REF!</v>
      </c>
    </row>
    <row r="128" spans="1:18" s="16" customFormat="1" ht="28.8">
      <c r="A128" s="237" t="str">
        <f>'staffing plan'!B123</f>
        <v>Local Government Operations Officer VI</v>
      </c>
      <c r="B128" s="238">
        <f>+'staffing plan'!C123</f>
        <v>22</v>
      </c>
      <c r="C128" s="239" t="str">
        <f>+'staffing plan'!A123</f>
        <v>OSEC-DILGB-LGOO6-39-2017</v>
      </c>
      <c r="D128" s="240" t="str">
        <f>+'staffing plan'!AK123</f>
        <v>0642</v>
      </c>
      <c r="E128" s="239" t="e">
        <f>+'staffing plan'!#REF!</f>
        <v>#REF!</v>
      </c>
      <c r="F128" s="239" t="e">
        <f>CONCATENATE('staffing plan'!#REF!," ",'staffing plan'!#REF!)</f>
        <v>#REF!</v>
      </c>
      <c r="G128" s="239" t="str">
        <f>'staffing plan'!AX123</f>
        <v>Apayao</v>
      </c>
      <c r="H128" s="239" t="str">
        <f>'staffing plan'!AW123</f>
        <v>BEGTANG, Roderick Domingo</v>
      </c>
      <c r="I128" s="260"/>
      <c r="J128" s="261" t="e">
        <f t="shared" si="7"/>
        <v>#REF!</v>
      </c>
      <c r="Q128" s="16" t="s">
        <v>3083</v>
      </c>
      <c r="R128" s="16" t="s">
        <v>3084</v>
      </c>
    </row>
    <row r="129" spans="1:18" s="16" customFormat="1" ht="28.8">
      <c r="A129" s="237" t="str">
        <f>'staffing plan'!B120</f>
        <v>Local Government Operations Officer VI</v>
      </c>
      <c r="B129" s="238">
        <f>+'staffing plan'!C120</f>
        <v>22</v>
      </c>
      <c r="C129" s="239" t="str">
        <f>+'staffing plan'!A120</f>
        <v>OSEC-DILGB-LGOO6-36-2017</v>
      </c>
      <c r="D129" s="240" t="str">
        <f>+'staffing plan'!AK120</f>
        <v>0645</v>
      </c>
      <c r="E129" s="239" t="e">
        <f>+'staffing plan'!#REF!</f>
        <v>#REF!</v>
      </c>
      <c r="F129" s="239" t="e">
        <f>CONCATENATE('staffing plan'!#REF!," ",'staffing plan'!#REF!)</f>
        <v>#REF!</v>
      </c>
      <c r="G129" s="239" t="str">
        <f>'staffing plan'!AX120</f>
        <v>Apayao</v>
      </c>
      <c r="H129" s="239" t="str">
        <f>'staffing plan'!AW120</f>
        <v>VENUS, Norman Domingo</v>
      </c>
      <c r="I129" s="260"/>
      <c r="J129" s="261" t="e">
        <f t="shared" si="7"/>
        <v>#REF!</v>
      </c>
    </row>
    <row r="130" spans="1:18" s="16" customFormat="1" ht="28.8">
      <c r="A130" s="237" t="str">
        <f>'staffing plan'!B121</f>
        <v>Local Government Operations Officer VI</v>
      </c>
      <c r="B130" s="238">
        <f>+'staffing plan'!C121</f>
        <v>22</v>
      </c>
      <c r="C130" s="239" t="str">
        <f>+'staffing plan'!A121</f>
        <v>OSEC-DILGB-LGOO6-37-2017</v>
      </c>
      <c r="D130" s="240" t="str">
        <f>+'staffing plan'!AK121</f>
        <v>0648</v>
      </c>
      <c r="E130" s="239" t="e">
        <f>+'staffing plan'!#REF!</f>
        <v>#REF!</v>
      </c>
      <c r="F130" s="239" t="e">
        <f>CONCATENATE('staffing plan'!#REF!," ",'staffing plan'!#REF!)</f>
        <v>#REF!</v>
      </c>
      <c r="G130" s="239" t="str">
        <f>'staffing plan'!AX121</f>
        <v>Apayao</v>
      </c>
      <c r="H130" s="239" t="str">
        <f>'staffing plan'!AW121</f>
        <v>VISITACION, Rhiener Cardenas</v>
      </c>
      <c r="I130" s="260"/>
      <c r="J130" s="261" t="e">
        <f t="shared" si="7"/>
        <v>#REF!</v>
      </c>
    </row>
    <row r="131" spans="1:18" s="16" customFormat="1" ht="28.8">
      <c r="A131" s="237" t="str">
        <f>'staffing plan'!B122</f>
        <v>Local Government Operations Officer VI</v>
      </c>
      <c r="B131" s="238">
        <f>+'staffing plan'!C122</f>
        <v>22</v>
      </c>
      <c r="C131" s="239" t="str">
        <f>+'staffing plan'!A122</f>
        <v>OSEC-DILGB-LGOO6-38-2017</v>
      </c>
      <c r="D131" s="240" t="str">
        <f>+'staffing plan'!AK122</f>
        <v>0651</v>
      </c>
      <c r="E131" s="239" t="e">
        <f>+'staffing plan'!#REF!</f>
        <v>#REF!</v>
      </c>
      <c r="F131" s="239" t="e">
        <f>CONCATENATE('staffing plan'!#REF!," ",'staffing plan'!#REF!)</f>
        <v>#REF!</v>
      </c>
      <c r="G131" s="239" t="str">
        <f>'staffing plan'!AX122</f>
        <v>Apayao</v>
      </c>
      <c r="H131" s="239" t="str">
        <f>'staffing plan'!AW122</f>
        <v>EUGENIO, Cecile Cagurangan</v>
      </c>
      <c r="I131" s="260"/>
      <c r="J131" s="261" t="e">
        <f t="shared" si="7"/>
        <v>#REF!</v>
      </c>
    </row>
    <row r="132" spans="1:18" s="16" customFormat="1" ht="28.8">
      <c r="A132" s="237" t="str">
        <f>'staffing plan'!B126</f>
        <v>Local Government Operations Officer VI</v>
      </c>
      <c r="B132" s="238">
        <f>+'staffing plan'!C126</f>
        <v>22</v>
      </c>
      <c r="C132" s="239" t="str">
        <f>+'staffing plan'!A126</f>
        <v>OSEC-DILGB-LGOO6-42-2017</v>
      </c>
      <c r="D132" s="240" t="str">
        <f>+'staffing plan'!AK126</f>
        <v>0657</v>
      </c>
      <c r="E132" s="239" t="e">
        <f>+'staffing plan'!#REF!</f>
        <v>#REF!</v>
      </c>
      <c r="F132" s="239" t="e">
        <f>CONCATENATE('staffing plan'!#REF!," ",'staffing plan'!#REF!)</f>
        <v>#REF!</v>
      </c>
      <c r="G132" s="239" t="str">
        <f>'staffing plan'!AX126</f>
        <v>Apayao</v>
      </c>
      <c r="H132" s="239" t="str">
        <f>'staffing plan'!AW126</f>
        <v>CENU, Merina Bagasol</v>
      </c>
      <c r="I132" s="260"/>
      <c r="J132" s="261" t="e">
        <f t="shared" si="7"/>
        <v>#REF!</v>
      </c>
    </row>
    <row r="133" spans="1:18" s="16" customFormat="1" ht="30" customHeight="1">
      <c r="A133" s="273"/>
      <c r="B133" s="274"/>
      <c r="C133" s="275"/>
      <c r="D133" s="245"/>
      <c r="E133" s="275"/>
      <c r="F133" s="275" t="s">
        <v>2791</v>
      </c>
      <c r="G133" s="275"/>
      <c r="H133" s="275"/>
      <c r="I133" s="283" t="s">
        <v>2786</v>
      </c>
      <c r="J133" s="284"/>
    </row>
    <row r="134" spans="1:18" s="16" customFormat="1" ht="30" customHeight="1">
      <c r="A134" s="273"/>
      <c r="B134" s="274"/>
      <c r="C134" s="275"/>
      <c r="D134" s="245"/>
      <c r="E134" s="275"/>
      <c r="F134" s="275" t="s">
        <v>3085</v>
      </c>
      <c r="G134" s="275"/>
      <c r="H134" s="275"/>
      <c r="I134" s="283" t="s">
        <v>2786</v>
      </c>
      <c r="J134" s="284"/>
    </row>
    <row r="135" spans="1:18" s="16" customFormat="1" ht="28.8" hidden="1">
      <c r="A135" s="276" t="str">
        <f>'staffing plan'!B202</f>
        <v>Local Government Operations Officer II</v>
      </c>
      <c r="B135" s="277">
        <f>+'staffing plan'!C202</f>
        <v>13</v>
      </c>
      <c r="C135" s="278" t="str">
        <f>+'staffing plan'!A202</f>
        <v>OSEC-DILGB-LGOO2-37-1998</v>
      </c>
      <c r="D135" s="279" t="str">
        <f>+'staffing plan'!AK202</f>
        <v>0672</v>
      </c>
      <c r="E135" s="278" t="e">
        <f>+'staffing plan'!#REF!</f>
        <v>#REF!</v>
      </c>
      <c r="F135" s="278" t="e">
        <f>CONCATENATE('staffing plan'!#REF!," ",'staffing plan'!#REF!)</f>
        <v>#REF!</v>
      </c>
      <c r="G135" s="278" t="str">
        <f>'staffing plan'!AX202</f>
        <v>Apayao</v>
      </c>
      <c r="H135" s="278" t="str">
        <f>'staffing plan'!AW202</f>
        <v>UCOL, Edward Errol Bumanglag</v>
      </c>
      <c r="I135" s="285" t="s">
        <v>2787</v>
      </c>
      <c r="J135" s="286" t="e">
        <f t="shared" si="7"/>
        <v>#REF!</v>
      </c>
    </row>
    <row r="136" spans="1:18" s="231" customFormat="1" ht="28.5" hidden="1" customHeight="1">
      <c r="A136" s="287"/>
      <c r="B136" s="288"/>
      <c r="C136" s="289"/>
      <c r="D136" s="290"/>
      <c r="E136" s="289"/>
      <c r="F136" s="289"/>
      <c r="G136" s="289"/>
      <c r="H136" s="289"/>
      <c r="I136" s="295"/>
      <c r="J136" s="218"/>
      <c r="K136"/>
    </row>
    <row r="137" spans="1:18">
      <c r="A137" s="234" t="s">
        <v>2792</v>
      </c>
      <c r="B137" s="255"/>
      <c r="C137" s="256"/>
      <c r="D137" s="257"/>
      <c r="E137" s="256"/>
      <c r="F137" s="256"/>
      <c r="G137" s="256"/>
      <c r="H137" s="256"/>
      <c r="I137" s="265"/>
      <c r="J137" s="266"/>
      <c r="K137" s="231"/>
      <c r="L137" s="231" t="s">
        <v>2782</v>
      </c>
      <c r="N137" s="267"/>
      <c r="O137" s="267"/>
    </row>
    <row r="138" spans="1:18" s="16" customFormat="1" ht="28.8" hidden="1">
      <c r="A138" s="237" t="str">
        <f>'staffing plan'!B68</f>
        <v>Local Government Operations Officer VIII</v>
      </c>
      <c r="B138" s="238">
        <f>+'staffing plan'!C68</f>
        <v>26</v>
      </c>
      <c r="C138" s="239" t="str">
        <f>+'staffing plan'!A68</f>
        <v>OSEC-DILGB-LGOO8-2-1998</v>
      </c>
      <c r="D138" s="245" t="str">
        <f>+'staffing plan'!AK68</f>
        <v>05</v>
      </c>
      <c r="E138" s="239" t="e">
        <f>+'staffing plan'!#REF!</f>
        <v>#REF!</v>
      </c>
      <c r="F138" s="239" t="e">
        <f>CONCATENATE('staffing plan'!#REF!," ",'staffing plan'!#REF!)</f>
        <v>#REF!</v>
      </c>
      <c r="G138" s="239" t="str">
        <f>'staffing plan'!AX68</f>
        <v>Abra</v>
      </c>
      <c r="H138" s="239" t="str">
        <f>'staffing plan'!AW68</f>
        <v>CARIÑO, Millicent Bamba</v>
      </c>
      <c r="I138" s="260" t="s">
        <v>2793</v>
      </c>
      <c r="J138" s="261"/>
      <c r="L138" s="16" t="s">
        <v>463</v>
      </c>
      <c r="M138" s="16">
        <v>1</v>
      </c>
      <c r="N138" s="16">
        <f>COUNTIF(BaguioSG,"26")</f>
        <v>1</v>
      </c>
      <c r="O138" s="16">
        <f>+M138-N138</f>
        <v>0</v>
      </c>
    </row>
    <row r="139" spans="1:18" s="16" customFormat="1" ht="28.8" hidden="1">
      <c r="A139" s="237" t="str">
        <f>'staffing plan'!B80</f>
        <v>Local Government Operations Officer VII</v>
      </c>
      <c r="B139" s="238">
        <f>+'staffing plan'!C80</f>
        <v>24</v>
      </c>
      <c r="C139" s="239" t="str">
        <f>+'staffing plan'!A80</f>
        <v>OSEC-DILGB-LGOO7-1448-2017</v>
      </c>
      <c r="D139" s="291" t="str">
        <f>+'staffing plan'!AK80</f>
        <v>05</v>
      </c>
      <c r="E139" s="239" t="e">
        <f>+'staffing plan'!#REF!</f>
        <v>#REF!</v>
      </c>
      <c r="F139" s="239" t="e">
        <f>CONCATENATE('staffing plan'!#REF!," ",'staffing plan'!#REF!)</f>
        <v>#REF!</v>
      </c>
      <c r="G139" s="239" t="str">
        <f>'staffing plan'!AX80</f>
        <v>Apayao</v>
      </c>
      <c r="H139" s="239" t="str">
        <f>'staffing plan'!AW80</f>
        <v>ABULENCIA, Emmanuel Pinlac</v>
      </c>
      <c r="I139" s="260" t="s">
        <v>2777</v>
      </c>
      <c r="J139" s="261" t="e">
        <f t="shared" ref="J139:J144" si="9">E139=G139</f>
        <v>#REF!</v>
      </c>
      <c r="L139" s="16" t="s">
        <v>157</v>
      </c>
      <c r="M139" s="16">
        <v>1</v>
      </c>
      <c r="N139" s="16">
        <f>COUNTIF(BaguioSG,"22")+COUNTIF(BaguioSG,"24")</f>
        <v>1</v>
      </c>
      <c r="O139" s="16">
        <f>+M139-N139</f>
        <v>0</v>
      </c>
    </row>
    <row r="140" spans="1:18" s="16" customFormat="1" ht="28.8">
      <c r="A140" s="237" t="str">
        <f>'staffing plan'!B165</f>
        <v>Local Government Operations Officer V</v>
      </c>
      <c r="B140" s="238">
        <f>+'staffing plan'!C165</f>
        <v>20</v>
      </c>
      <c r="C140" s="239" t="str">
        <f>+'staffing plan'!A165</f>
        <v>OSEC-DILGB-LGOO5-877-1998</v>
      </c>
      <c r="D140" s="240" t="str">
        <f>+'staffing plan'!AK165</f>
        <v>100</v>
      </c>
      <c r="E140" s="239" t="e">
        <f>+'staffing plan'!#REF!</f>
        <v>#REF!</v>
      </c>
      <c r="F140" s="239" t="e">
        <f>CONCATENATE('staffing plan'!#REF!," ",'staffing plan'!#REF!)</f>
        <v>#REF!</v>
      </c>
      <c r="G140" s="239">
        <f>'staffing plan'!AX165</f>
        <v>0</v>
      </c>
      <c r="H140" s="239" t="str">
        <f>'staffing plan'!AW165</f>
        <v xml:space="preserve">Vacant gano,  </v>
      </c>
      <c r="I140" s="260"/>
      <c r="J140" s="261" t="e">
        <f t="shared" si="9"/>
        <v>#REF!</v>
      </c>
      <c r="L140" s="16" t="s">
        <v>165</v>
      </c>
      <c r="M140" s="16">
        <v>1</v>
      </c>
      <c r="N140" s="16">
        <f>COUNTIF(BaguioSG,"20")</f>
        <v>1</v>
      </c>
      <c r="O140" s="16">
        <f>+M140-N140</f>
        <v>0</v>
      </c>
      <c r="Q140" s="16" t="s">
        <v>3086</v>
      </c>
      <c r="R140" s="16" t="s">
        <v>3084</v>
      </c>
    </row>
    <row r="141" spans="1:18" s="16" customFormat="1" ht="28.8" hidden="1">
      <c r="A141" s="237" t="str">
        <f>'staffing plan'!B181</f>
        <v>Local Government Operations Officer III</v>
      </c>
      <c r="B141" s="238">
        <f>+'staffing plan'!C181</f>
        <v>15</v>
      </c>
      <c r="C141" s="239" t="str">
        <f>+'staffing plan'!A181</f>
        <v>OSEC-DILGB-LGOO3-129-1998</v>
      </c>
      <c r="D141" s="245" t="str">
        <f>+'staffing plan'!AK181</f>
        <v>011</v>
      </c>
      <c r="E141" s="239" t="e">
        <f>+'staffing plan'!#REF!</f>
        <v>#REF!</v>
      </c>
      <c r="F141" s="239" t="e">
        <f>CONCATENATE('staffing plan'!#REF!," ",'staffing plan'!#REF!)</f>
        <v>#REF!</v>
      </c>
      <c r="G141" s="239" t="str">
        <f>'staffing plan'!AX181</f>
        <v>Baguio City</v>
      </c>
      <c r="H141" s="239" t="str">
        <f>'staffing plan'!AW181</f>
        <v>DUMALSIN, Joan-Ana Jacinto</v>
      </c>
      <c r="I141" s="260" t="s">
        <v>2790</v>
      </c>
      <c r="J141" s="261" t="b">
        <v>1</v>
      </c>
      <c r="L141" s="16" t="s">
        <v>1066</v>
      </c>
      <c r="M141" s="16">
        <v>3</v>
      </c>
      <c r="N141" s="16">
        <f>COUNTIF(BaguioSG,"15")</f>
        <v>3</v>
      </c>
      <c r="O141" s="16">
        <f>+M141-N141</f>
        <v>0</v>
      </c>
    </row>
    <row r="142" spans="1:18" s="16" customFormat="1" ht="28.8" hidden="1">
      <c r="A142" s="237" t="str">
        <f>'staffing plan'!B182</f>
        <v>Local Government Operations Officer III</v>
      </c>
      <c r="B142" s="238">
        <f>+'staffing plan'!C182</f>
        <v>15</v>
      </c>
      <c r="C142" s="239" t="str">
        <f>+'staffing plan'!A182</f>
        <v>OSEC-DILGB-LGOO3-130-1998</v>
      </c>
      <c r="D142" s="245" t="str">
        <f>+'staffing plan'!AK182</f>
        <v>011</v>
      </c>
      <c r="E142" s="239" t="e">
        <f>+'staffing plan'!#REF!</f>
        <v>#REF!</v>
      </c>
      <c r="F142" s="239" t="e">
        <f>CONCATENATE('staffing plan'!#REF!," ",'staffing plan'!#REF!)</f>
        <v>#REF!</v>
      </c>
      <c r="G142" s="239" t="str">
        <f>'staffing plan'!AX182</f>
        <v>Baguio City</v>
      </c>
      <c r="H142" s="239" t="str">
        <f>'staffing plan'!AW182</f>
        <v>GAYASO, Jereille Decoran</v>
      </c>
      <c r="I142" s="260" t="s">
        <v>2790</v>
      </c>
      <c r="J142" s="261" t="e">
        <f t="shared" si="9"/>
        <v>#REF!</v>
      </c>
      <c r="L142" s="16" t="s">
        <v>455</v>
      </c>
      <c r="M142" s="16">
        <v>1</v>
      </c>
      <c r="N142" s="16">
        <f>COUNTIF(BaguioSG,"4")</f>
        <v>1</v>
      </c>
      <c r="O142" s="16">
        <f>+M142-N142</f>
        <v>0</v>
      </c>
    </row>
    <row r="143" spans="1:18" s="16" customFormat="1" ht="28.8" hidden="1">
      <c r="A143" s="237" t="str">
        <f>'staffing plan'!B183</f>
        <v>Local Government Operations Officer III</v>
      </c>
      <c r="B143" s="238">
        <f>+'staffing plan'!C183</f>
        <v>15</v>
      </c>
      <c r="C143" s="239" t="str">
        <f>+'staffing plan'!A183</f>
        <v>OSEC-DILGB-LGOO3-131-1998</v>
      </c>
      <c r="D143" s="245" t="str">
        <f>+'staffing plan'!AK183</f>
        <v>0660</v>
      </c>
      <c r="E143" s="239" t="e">
        <f>+'staffing plan'!#REF!</f>
        <v>#REF!</v>
      </c>
      <c r="F143" s="239" t="e">
        <f>CONCATENATE('staffing plan'!#REF!," ",'staffing plan'!#REF!)</f>
        <v>#REF!</v>
      </c>
      <c r="G143" s="239" t="str">
        <f>'staffing plan'!AX183</f>
        <v>Baguio City</v>
      </c>
      <c r="H143" s="239" t="str">
        <f>'staffing plan'!AW183</f>
        <v>BURAGA, Shaquile Laniog</v>
      </c>
      <c r="I143" s="260" t="s">
        <v>2794</v>
      </c>
      <c r="J143" s="261" t="b">
        <v>1</v>
      </c>
      <c r="M143" s="16">
        <f>SUM(M138:M142)</f>
        <v>7</v>
      </c>
      <c r="N143" s="16">
        <f>SUM(N138:N142)</f>
        <v>7</v>
      </c>
      <c r="O143" s="16">
        <f>SUM(O138:O142)</f>
        <v>0</v>
      </c>
    </row>
    <row r="144" spans="1:18" s="16" customFormat="1" ht="28.8" hidden="1">
      <c r="A144" s="237" t="str">
        <f>'staffing plan'!B229</f>
        <v>Administrative Aide IV</v>
      </c>
      <c r="B144" s="238">
        <v>4</v>
      </c>
      <c r="C144" s="239" t="str">
        <f>+'staffing plan'!A229</f>
        <v>OSEC-DILGB-ADA4-94-2005</v>
      </c>
      <c r="D144" s="245" t="str">
        <f>+'staffing plan'!AK229</f>
        <v>06</v>
      </c>
      <c r="E144" s="239" t="e">
        <f>+'staffing plan'!#REF!</f>
        <v>#REF!</v>
      </c>
      <c r="F144" s="239" t="e">
        <f>CONCATENATE('staffing plan'!#REF!," ",'staffing plan'!#REF!)</f>
        <v>#REF!</v>
      </c>
      <c r="G144" s="239" t="str">
        <f>'staffing plan'!AX229</f>
        <v>Baguio City</v>
      </c>
      <c r="H144" s="239" t="str">
        <f>'staffing plan'!AW229</f>
        <v>ANGAWA, Lilet Ahuday</v>
      </c>
      <c r="I144" s="260"/>
      <c r="J144" s="261" t="e">
        <f t="shared" si="9"/>
        <v>#REF!</v>
      </c>
    </row>
    <row r="145" spans="1:18" s="231" customFormat="1" hidden="1">
      <c r="A145" s="241"/>
      <c r="B145" s="242"/>
      <c r="C145" s="243"/>
      <c r="D145" s="254"/>
      <c r="E145" s="243"/>
      <c r="F145" s="243"/>
      <c r="G145" s="243"/>
      <c r="H145" s="243"/>
      <c r="I145" s="262"/>
      <c r="J145" s="218"/>
      <c r="K145"/>
    </row>
    <row r="146" spans="1:18">
      <c r="A146" s="234" t="s">
        <v>2795</v>
      </c>
      <c r="B146" s="255"/>
      <c r="C146" s="256"/>
      <c r="D146" s="257"/>
      <c r="E146" s="256"/>
      <c r="F146" s="256"/>
      <c r="G146" s="256"/>
      <c r="H146" s="256"/>
      <c r="I146" s="265"/>
      <c r="J146" s="266"/>
      <c r="K146" s="231"/>
      <c r="L146" s="231" t="s">
        <v>2782</v>
      </c>
      <c r="N146" s="231"/>
      <c r="O146" s="231"/>
    </row>
    <row r="147" spans="1:18" s="16" customFormat="1" ht="28.8" hidden="1">
      <c r="A147" s="237" t="str">
        <f>'staffing plan'!B70</f>
        <v>Local Government Operations Officer VIII</v>
      </c>
      <c r="B147" s="238">
        <f>+'staffing plan'!C70</f>
        <v>26</v>
      </c>
      <c r="C147" s="239" t="str">
        <f>+'staffing plan'!A70</f>
        <v>OSEC-DILGB-LGOO8-56-1998</v>
      </c>
      <c r="D147" s="240" t="str">
        <f>+'staffing plan'!AK70</f>
        <v>06</v>
      </c>
      <c r="E147" s="239" t="e">
        <f>+'staffing plan'!#REF!</f>
        <v>#REF!</v>
      </c>
      <c r="F147" s="239" t="e">
        <f>CONCATENATE('staffing plan'!#REF!," ",'staffing plan'!#REF!)</f>
        <v>#REF!</v>
      </c>
      <c r="G147" s="239" t="str">
        <f>'staffing plan'!AX70</f>
        <v>Benguet</v>
      </c>
      <c r="H147" s="239" t="str">
        <f>'staffing plan'!AW70</f>
        <v>FEGCAN, Rufina Talusig</v>
      </c>
      <c r="I147" s="260"/>
      <c r="J147" s="261" t="e">
        <f t="shared" ref="J147:J161" si="10">E147=G147</f>
        <v>#REF!</v>
      </c>
      <c r="L147" s="16" t="s">
        <v>463</v>
      </c>
      <c r="M147" s="16">
        <v>1</v>
      </c>
      <c r="N147" s="16">
        <f>COUNTIF(BenguetSG,"26")</f>
        <v>1</v>
      </c>
      <c r="O147" s="16">
        <f>+M147-N147</f>
        <v>0</v>
      </c>
    </row>
    <row r="148" spans="1:18" s="16" customFormat="1" ht="28.8" hidden="1">
      <c r="A148" s="237" t="str">
        <f>'staffing plan'!B79</f>
        <v>Local Government Operations Officer VII</v>
      </c>
      <c r="B148" s="238">
        <f>+'staffing plan'!C79</f>
        <v>24</v>
      </c>
      <c r="C148" s="239" t="str">
        <f>+'staffing plan'!A79</f>
        <v>OSEC-DILGB-LGOO7-1447-2017</v>
      </c>
      <c r="D148" s="240" t="str">
        <f>+'staffing plan'!AK79</f>
        <v>06</v>
      </c>
      <c r="E148" s="239" t="e">
        <f>+'staffing plan'!#REF!</f>
        <v>#REF!</v>
      </c>
      <c r="F148" s="239" t="e">
        <f>CONCATENATE('staffing plan'!#REF!," ",'staffing plan'!#REF!)</f>
        <v>#REF!</v>
      </c>
      <c r="G148" s="239">
        <f>'staffing plan'!AX79</f>
        <v>0</v>
      </c>
      <c r="H148" s="239" t="str">
        <f>'staffing plan'!AW79</f>
        <v xml:space="preserve">Vacant Guerzon,  </v>
      </c>
      <c r="I148" s="260"/>
      <c r="J148" s="261" t="e">
        <f t="shared" si="10"/>
        <v>#REF!</v>
      </c>
      <c r="L148" s="16" t="s">
        <v>157</v>
      </c>
      <c r="M148" s="16">
        <v>2</v>
      </c>
      <c r="N148" s="16">
        <f>COUNTIF(BenguetSG,"22")+COUNTIF(BenguetSG,"24")</f>
        <v>15</v>
      </c>
      <c r="O148" s="16">
        <f t="shared" ref="O148:O154" si="11">+M148-N148</f>
        <v>-13</v>
      </c>
    </row>
    <row r="149" spans="1:18" s="16" customFormat="1" ht="28.8" hidden="1">
      <c r="A149" s="237" t="str">
        <f>'staffing plan'!B97</f>
        <v>Local Government Operations Officer VI</v>
      </c>
      <c r="B149" s="238">
        <f>+'staffing plan'!C97</f>
        <v>22</v>
      </c>
      <c r="C149" s="239" t="str">
        <f>+'staffing plan'!A97</f>
        <v>OSEC-DILGB-LGOO6-13-2010</v>
      </c>
      <c r="D149" s="240" t="str">
        <f>+'staffing plan'!AK97</f>
        <v>06</v>
      </c>
      <c r="E149" s="239" t="e">
        <f>+'staffing plan'!#REF!</f>
        <v>#REF!</v>
      </c>
      <c r="F149" s="239" t="e">
        <f>CONCATENATE('staffing plan'!#REF!," ",'staffing plan'!#REF!)</f>
        <v>#REF!</v>
      </c>
      <c r="G149" s="239">
        <f>'staffing plan'!AX97</f>
        <v>0</v>
      </c>
      <c r="H149" s="239" t="str">
        <f>'staffing plan'!AW97</f>
        <v xml:space="preserve">Vacant APPOY,  </v>
      </c>
      <c r="I149" s="260"/>
      <c r="J149" s="261" t="e">
        <f t="shared" si="10"/>
        <v>#REF!</v>
      </c>
      <c r="L149" s="16" t="s">
        <v>165</v>
      </c>
      <c r="M149" s="16">
        <v>16</v>
      </c>
      <c r="N149" s="16">
        <f>COUNTIF(BenguetSG,"20")</f>
        <v>3</v>
      </c>
      <c r="O149" s="16">
        <f t="shared" si="11"/>
        <v>13</v>
      </c>
    </row>
    <row r="150" spans="1:18" s="16" customFormat="1" ht="28.8">
      <c r="A150" s="237" t="str">
        <f>'staffing plan'!B163</f>
        <v>Local Government Operations Officer VI</v>
      </c>
      <c r="B150" s="238">
        <f>+'staffing plan'!C163</f>
        <v>22</v>
      </c>
      <c r="C150" s="239" t="str">
        <f>+'staffing plan'!A163</f>
        <v>OSEC-DILGB-LGOO6-1268-2017</v>
      </c>
      <c r="D150" s="240" t="str">
        <f>+'staffing plan'!AK163</f>
        <v>06</v>
      </c>
      <c r="E150" s="239" t="e">
        <f>+'staffing plan'!#REF!</f>
        <v>#REF!</v>
      </c>
      <c r="F150" s="239" t="e">
        <f>CONCATENATE('staffing plan'!#REF!," ",'staffing plan'!#REF!)</f>
        <v>#REF!</v>
      </c>
      <c r="G150" s="239" t="str">
        <f>'staffing plan'!AX163</f>
        <v>Benguet</v>
      </c>
      <c r="H150" s="239" t="str">
        <f>'staffing plan'!AW163</f>
        <v>MALIG, Julie Capiato</v>
      </c>
      <c r="I150" s="260"/>
      <c r="J150" s="261" t="e">
        <f t="shared" si="10"/>
        <v>#REF!</v>
      </c>
      <c r="L150" s="16" t="s">
        <v>1074</v>
      </c>
      <c r="M150" s="16">
        <v>3</v>
      </c>
      <c r="N150" s="16">
        <f>COUNTIF(BenguetSG,"13")</f>
        <v>3</v>
      </c>
      <c r="O150" s="16">
        <f t="shared" si="11"/>
        <v>0</v>
      </c>
      <c r="Q150" s="16" t="s">
        <v>2759</v>
      </c>
      <c r="R150" s="16" t="s">
        <v>3078</v>
      </c>
    </row>
    <row r="151" spans="1:18" s="16" customFormat="1" ht="28.8">
      <c r="A151" s="237" t="str">
        <f>'staffing plan'!B113</f>
        <v>Local Government Operations Officer VI</v>
      </c>
      <c r="B151" s="238">
        <f>+'staffing plan'!C113</f>
        <v>22</v>
      </c>
      <c r="C151" s="239" t="str">
        <f>+'staffing plan'!A113</f>
        <v>OSEC-DILGB-LGOO6-29-2017</v>
      </c>
      <c r="D151" s="240" t="str">
        <f>+'staffing plan'!AK113</f>
        <v>06</v>
      </c>
      <c r="E151" s="239" t="e">
        <f>+'staffing plan'!#REF!</f>
        <v>#REF!</v>
      </c>
      <c r="F151" s="239" t="e">
        <f>CONCATENATE('staffing plan'!#REF!," ",'staffing plan'!#REF!)</f>
        <v>#REF!</v>
      </c>
      <c r="G151" s="239" t="str">
        <f>'staffing plan'!AX113</f>
        <v>Benguet</v>
      </c>
      <c r="H151" s="239" t="str">
        <f>'staffing plan'!AW113</f>
        <v>ATING, Janet Belingon</v>
      </c>
      <c r="I151" s="260"/>
      <c r="J151" s="261" t="e">
        <f t="shared" si="10"/>
        <v>#REF!</v>
      </c>
      <c r="L151" s="16" t="s">
        <v>1170</v>
      </c>
      <c r="M151" s="16">
        <v>2</v>
      </c>
      <c r="N151" s="16">
        <f>COUNTIF(BenguetSG,"8")</f>
        <v>2</v>
      </c>
      <c r="O151" s="16">
        <f t="shared" si="11"/>
        <v>0</v>
      </c>
      <c r="Q151" s="16" t="s">
        <v>2589</v>
      </c>
      <c r="R151" s="16" t="s">
        <v>3078</v>
      </c>
    </row>
    <row r="152" spans="1:18" s="16" customFormat="1" ht="28.8">
      <c r="A152" s="237" t="str">
        <f>'staffing plan'!B178</f>
        <v>Local Government Operations Officer V</v>
      </c>
      <c r="B152" s="238">
        <f>+'staffing plan'!C178</f>
        <v>20</v>
      </c>
      <c r="C152" s="239" t="str">
        <f>+'staffing plan'!A178</f>
        <v>OSEC-DILGB-LGOO5-983-1998</v>
      </c>
      <c r="D152" s="240" t="str">
        <f>+'staffing plan'!AK178</f>
        <v>06</v>
      </c>
      <c r="E152" s="239" t="e">
        <f>+'staffing plan'!#REF!</f>
        <v>#REF!</v>
      </c>
      <c r="F152" s="239" t="e">
        <f>CONCATENATE('staffing plan'!#REF!," ",'staffing plan'!#REF!)</f>
        <v>#REF!</v>
      </c>
      <c r="G152" s="239" t="str">
        <f>'staffing plan'!AX178</f>
        <v>Benguet</v>
      </c>
      <c r="H152" s="239" t="str">
        <f>'staffing plan'!AW178</f>
        <v>GUMANGAN, Juliet Bugagon</v>
      </c>
      <c r="I152" s="260"/>
      <c r="J152" s="261" t="e">
        <f t="shared" si="10"/>
        <v>#REF!</v>
      </c>
      <c r="L152" s="16" t="s">
        <v>273</v>
      </c>
      <c r="M152" s="16">
        <v>1</v>
      </c>
      <c r="N152" s="16">
        <f>COUNTIF(BenguetSG,"6")</f>
        <v>1</v>
      </c>
      <c r="O152" s="16">
        <f t="shared" si="11"/>
        <v>0</v>
      </c>
    </row>
    <row r="153" spans="1:18" s="16" customFormat="1" ht="28.8">
      <c r="A153" s="237" t="str">
        <f>'staffing plan'!B169</f>
        <v>Local Government Operations Officer V</v>
      </c>
      <c r="B153" s="238">
        <f>+'staffing plan'!C169</f>
        <v>20</v>
      </c>
      <c r="C153" s="239" t="str">
        <f>+'staffing plan'!A169</f>
        <v>OSEC-DILGB-LGOO5-925-1998</v>
      </c>
      <c r="D153" s="245" t="str">
        <f>+'staffing plan'!AK169</f>
        <v>011</v>
      </c>
      <c r="E153" s="239" t="e">
        <f>+'staffing plan'!#REF!</f>
        <v>#REF!</v>
      </c>
      <c r="F153" s="239" t="e">
        <f>CONCATENATE('staffing plan'!#REF!," ",'staffing plan'!#REF!)</f>
        <v>#REF!</v>
      </c>
      <c r="G153" s="239" t="str">
        <f>'staffing plan'!AX169</f>
        <v>Benguet</v>
      </c>
      <c r="H153" s="239" t="str">
        <f>'staffing plan'!AW169</f>
        <v>MANGANGEY, Ma. Teresa Ancheta</v>
      </c>
      <c r="I153" s="260" t="s">
        <v>2790</v>
      </c>
      <c r="J153" s="261" t="e">
        <f t="shared" si="10"/>
        <v>#REF!</v>
      </c>
      <c r="L153" s="16" t="s">
        <v>455</v>
      </c>
      <c r="M153" s="16">
        <v>1</v>
      </c>
      <c r="N153" s="16">
        <f>COUNTIF(BenguetSG,"4")</f>
        <v>1</v>
      </c>
      <c r="O153" s="16">
        <f t="shared" si="11"/>
        <v>0</v>
      </c>
      <c r="Q153" s="16" t="s">
        <v>2297</v>
      </c>
      <c r="R153" s="16" t="s">
        <v>3084</v>
      </c>
    </row>
    <row r="154" spans="1:18" s="16" customFormat="1" ht="30.75" customHeight="1">
      <c r="A154" s="237" t="str">
        <f>'staffing plan'!B170</f>
        <v>Local Government Operations Officer V</v>
      </c>
      <c r="B154" s="238">
        <f>+'staffing plan'!C170</f>
        <v>20</v>
      </c>
      <c r="C154" s="239" t="str">
        <f>+'staffing plan'!A170</f>
        <v>OSEC-DILGB-LGOO5-934-1998</v>
      </c>
      <c r="D154" s="245" t="str">
        <f>+'staffing plan'!AK170</f>
        <v>011</v>
      </c>
      <c r="E154" s="239" t="e">
        <f>+'staffing plan'!#REF!</f>
        <v>#REF!</v>
      </c>
      <c r="F154" s="239" t="e">
        <f>CONCATENATE('staffing plan'!#REF!," ",'staffing plan'!#REF!)</f>
        <v>#REF!</v>
      </c>
      <c r="G154" s="239" t="str">
        <f>'staffing plan'!AX170</f>
        <v>Benguet</v>
      </c>
      <c r="H154" s="239" t="str">
        <f>'staffing plan'!AW170</f>
        <v>OLANGCAY, Elizabeth Saguid</v>
      </c>
      <c r="I154" s="260" t="s">
        <v>2790</v>
      </c>
      <c r="J154" s="261" t="e">
        <f t="shared" si="10"/>
        <v>#REF!</v>
      </c>
      <c r="L154" s="16" t="s">
        <v>2196</v>
      </c>
      <c r="M154" s="16">
        <v>1</v>
      </c>
      <c r="N154" s="16">
        <f>COUNTIF(BenguetSG,"1")</f>
        <v>1</v>
      </c>
      <c r="O154" s="16">
        <f t="shared" si="11"/>
        <v>0</v>
      </c>
      <c r="Q154" s="16" t="s">
        <v>2307</v>
      </c>
      <c r="R154" s="16" t="s">
        <v>3084</v>
      </c>
    </row>
    <row r="155" spans="1:18" s="16" customFormat="1" ht="28.8" hidden="1">
      <c r="A155" s="269" t="str">
        <f>'staffing plan'!B203</f>
        <v>Local Government Operations Officer II</v>
      </c>
      <c r="B155" s="270">
        <f>+'staffing plan'!C203</f>
        <v>13</v>
      </c>
      <c r="C155" s="271" t="str">
        <f>+'staffing plan'!A203</f>
        <v>OSEC-DILGB-LGOO2-38-1998</v>
      </c>
      <c r="D155" s="272" t="str">
        <f>+'staffing plan'!AK203</f>
        <v>06</v>
      </c>
      <c r="E155" s="271" t="e">
        <f>+'staffing plan'!#REF!</f>
        <v>#REF!</v>
      </c>
      <c r="F155" s="271" t="e">
        <f>CONCATENATE('staffing plan'!#REF!," ",'staffing plan'!#REF!)</f>
        <v>#REF!</v>
      </c>
      <c r="G155" s="271" t="str">
        <f>'staffing plan'!AX203</f>
        <v>Mt. Province</v>
      </c>
      <c r="H155" s="271" t="str">
        <f>'staffing plan'!AW203</f>
        <v>FABAG, Sheren Sagsago</v>
      </c>
      <c r="I155" s="282"/>
      <c r="J155" s="261" t="e">
        <f t="shared" si="10"/>
        <v>#REF!</v>
      </c>
      <c r="M155" s="16">
        <f>SUM(M147:M154)</f>
        <v>27</v>
      </c>
      <c r="N155" s="16">
        <f>SUM(N147:N154)</f>
        <v>27</v>
      </c>
      <c r="O155" s="16">
        <f>SUM(O147:O154)</f>
        <v>0</v>
      </c>
    </row>
    <row r="156" spans="1:18" s="16" customFormat="1" ht="28.8" hidden="1">
      <c r="A156" s="237" t="str">
        <f>'staffing plan'!B198</f>
        <v>Local Government Operations Officer II</v>
      </c>
      <c r="B156" s="238">
        <f>+'staffing plan'!C198</f>
        <v>13</v>
      </c>
      <c r="C156" s="239" t="str">
        <f>+'staffing plan'!A198</f>
        <v>OSEC-DILGB-LGOO2-28-1998</v>
      </c>
      <c r="D156" s="291" t="str">
        <f>+'staffing plan'!AK198</f>
        <v>07</v>
      </c>
      <c r="E156" s="239" t="e">
        <f>+'staffing plan'!#REF!</f>
        <v>#REF!</v>
      </c>
      <c r="F156" s="239" t="e">
        <f>CONCATENATE('staffing plan'!#REF!," ",'staffing plan'!#REF!)</f>
        <v>#REF!</v>
      </c>
      <c r="G156" s="239" t="str">
        <f>'staffing plan'!AX198</f>
        <v>Mt. Province</v>
      </c>
      <c r="H156" s="239" t="str">
        <f>'staffing plan'!AW198</f>
        <v>BANGANAN, Imelda Farnigan</v>
      </c>
      <c r="I156" s="260" t="s">
        <v>2790</v>
      </c>
      <c r="J156" s="261" t="e">
        <f t="shared" si="10"/>
        <v>#REF!</v>
      </c>
    </row>
    <row r="157" spans="1:18" s="16" customFormat="1" ht="28.8" hidden="1">
      <c r="A157" s="237" t="str">
        <f>'staffing plan'!B212</f>
        <v>Administrative Assistant II</v>
      </c>
      <c r="B157" s="238">
        <f>+'staffing plan'!C212</f>
        <v>8</v>
      </c>
      <c r="C157" s="239" t="str">
        <f>+'staffing plan'!A212</f>
        <v>OSEC-DILGB-ADAS2-74-2005</v>
      </c>
      <c r="D157" s="240" t="str">
        <f>+'staffing plan'!AK212</f>
        <v>06</v>
      </c>
      <c r="E157" s="239" t="e">
        <f>+'staffing plan'!#REF!</f>
        <v>#REF!</v>
      </c>
      <c r="F157" s="239" t="e">
        <f>CONCATENATE('staffing plan'!#REF!," ",'staffing plan'!#REF!)</f>
        <v>#REF!</v>
      </c>
      <c r="G157" s="239" t="str">
        <f>'staffing plan'!AX212</f>
        <v>Benguet</v>
      </c>
      <c r="H157" s="239" t="str">
        <f>'staffing plan'!AW212</f>
        <v>VICENTE, Dominga Aglano</v>
      </c>
      <c r="I157" s="260"/>
      <c r="J157" s="261" t="e">
        <f t="shared" si="10"/>
        <v>#REF!</v>
      </c>
    </row>
    <row r="158" spans="1:18" s="16" customFormat="1" ht="28.8" hidden="1">
      <c r="A158" s="237" t="str">
        <f>'staffing plan'!B207</f>
        <v>Administrative Assistant II</v>
      </c>
      <c r="B158" s="238">
        <f>+'staffing plan'!C207</f>
        <v>8</v>
      </c>
      <c r="C158" s="239" t="str">
        <f>+'staffing plan'!A207</f>
        <v>OSEC-DILGB-ADAS2-67-2005</v>
      </c>
      <c r="D158" s="240" t="str">
        <f>+'staffing plan'!AK207</f>
        <v>06</v>
      </c>
      <c r="E158" s="239" t="e">
        <f>+'staffing plan'!#REF!</f>
        <v>#REF!</v>
      </c>
      <c r="F158" s="239" t="e">
        <f>CONCATENATE('staffing plan'!#REF!," ",'staffing plan'!#REF!)</f>
        <v>#REF!</v>
      </c>
      <c r="G158" s="239" t="str">
        <f>'staffing plan'!AX207</f>
        <v>Benguet</v>
      </c>
      <c r="H158" s="239" t="str">
        <f>'staffing plan'!AW207</f>
        <v>TOMAS, Prescilla Kitan</v>
      </c>
      <c r="I158" s="260"/>
      <c r="J158" s="261" t="e">
        <f t="shared" si="10"/>
        <v>#REF!</v>
      </c>
    </row>
    <row r="159" spans="1:18" s="16" customFormat="1" ht="28.8" hidden="1">
      <c r="A159" s="237" t="str">
        <f>'staffing plan'!B219</f>
        <v>Administrative Aide VI</v>
      </c>
      <c r="B159" s="238">
        <f>+'staffing plan'!C219</f>
        <v>6</v>
      </c>
      <c r="C159" s="239" t="str">
        <f>+'staffing plan'!A219</f>
        <v>OSEC-DILGB-ADA6-100-2005</v>
      </c>
      <c r="D159" s="245" t="str">
        <f>+'staffing plan'!AK219</f>
        <v>011</v>
      </c>
      <c r="E159" s="239" t="e">
        <f>+'staffing plan'!#REF!</f>
        <v>#REF!</v>
      </c>
      <c r="F159" s="239" t="e">
        <f>CONCATENATE('staffing plan'!#REF!," ",'staffing plan'!#REF!)</f>
        <v>#REF!</v>
      </c>
      <c r="G159" s="239" t="str">
        <f>'staffing plan'!AX219</f>
        <v>Benguet</v>
      </c>
      <c r="H159" s="239" t="str">
        <f>'staffing plan'!AW219</f>
        <v>LUCIO, Arthur Ambros</v>
      </c>
      <c r="I159" s="260" t="s">
        <v>2790</v>
      </c>
      <c r="J159" s="261" t="e">
        <f t="shared" si="10"/>
        <v>#REF!</v>
      </c>
    </row>
    <row r="160" spans="1:18" s="16" customFormat="1" ht="28.8" hidden="1">
      <c r="A160" s="237" t="str">
        <f>'staffing plan'!B225</f>
        <v>Administrative Aide IV</v>
      </c>
      <c r="B160" s="238">
        <f>+'staffing plan'!C225</f>
        <v>4</v>
      </c>
      <c r="C160" s="239" t="str">
        <f>+'staffing plan'!A225</f>
        <v>OSEC-DILGB-ADA4-90-2005</v>
      </c>
      <c r="D160" s="240" t="str">
        <f>+'staffing plan'!AK225</f>
        <v>06</v>
      </c>
      <c r="E160" s="239" t="e">
        <f>+'staffing plan'!#REF!</f>
        <v>#REF!</v>
      </c>
      <c r="F160" s="239" t="e">
        <f>CONCATENATE('staffing plan'!#REF!," ",'staffing plan'!#REF!)</f>
        <v>#REF!</v>
      </c>
      <c r="G160" s="239" t="str">
        <f>'staffing plan'!AX225</f>
        <v>Benguet</v>
      </c>
      <c r="H160" s="239" t="str">
        <f>'staffing plan'!AW225</f>
        <v>BALASO, Gina Garcia</v>
      </c>
      <c r="I160" s="260"/>
      <c r="J160" s="261" t="e">
        <f t="shared" si="10"/>
        <v>#REF!</v>
      </c>
    </row>
    <row r="161" spans="1:18" s="16" customFormat="1" ht="28.8" hidden="1">
      <c r="A161" s="237" t="str">
        <f>'staffing plan'!B235</f>
        <v>Administrative Aide I</v>
      </c>
      <c r="B161" s="238">
        <f>+'staffing plan'!C235</f>
        <v>1</v>
      </c>
      <c r="C161" s="239" t="str">
        <f>+'staffing plan'!A235</f>
        <v>OSEC-DILGB-ADA1-28-2005</v>
      </c>
      <c r="D161" s="240" t="str">
        <f>+'staffing plan'!AK235</f>
        <v>06</v>
      </c>
      <c r="E161" s="239" t="e">
        <f>+'staffing plan'!#REF!</f>
        <v>#REF!</v>
      </c>
      <c r="F161" s="239" t="e">
        <f>CONCATENATE('staffing plan'!#REF!," ",'staffing plan'!#REF!)</f>
        <v>#REF!</v>
      </c>
      <c r="G161" s="239">
        <f>'staffing plan'!AX235</f>
        <v>0</v>
      </c>
      <c r="H161" s="239" t="e">
        <f>'staffing plan'!#REF!</f>
        <v>#REF!</v>
      </c>
      <c r="I161" s="260"/>
      <c r="J161" s="261" t="e">
        <f t="shared" si="10"/>
        <v>#REF!</v>
      </c>
    </row>
    <row r="162" spans="1:18" s="16" customFormat="1" hidden="1">
      <c r="A162" s="273"/>
      <c r="B162" s="274"/>
      <c r="C162" s="275"/>
      <c r="D162" s="245"/>
      <c r="E162" s="275"/>
      <c r="F162" s="275" t="s">
        <v>2759</v>
      </c>
      <c r="G162" s="275"/>
      <c r="H162" s="275"/>
      <c r="I162" s="283" t="s">
        <v>2796</v>
      </c>
      <c r="J162" s="284"/>
    </row>
    <row r="163" spans="1:18" s="16" customFormat="1" hidden="1">
      <c r="A163" s="273"/>
      <c r="B163" s="274"/>
      <c r="C163" s="275"/>
      <c r="D163" s="245"/>
      <c r="E163" s="275"/>
      <c r="F163" s="275" t="s">
        <v>3087</v>
      </c>
      <c r="G163" s="275"/>
      <c r="H163" s="275"/>
      <c r="I163" s="283" t="s">
        <v>2786</v>
      </c>
      <c r="J163" s="284"/>
    </row>
    <row r="164" spans="1:18" s="16" customFormat="1" ht="28.8" hidden="1">
      <c r="A164" s="237" t="str">
        <f>'staffing plan'!B193</f>
        <v>Local Government Operations Officer II</v>
      </c>
      <c r="B164" s="238">
        <f>+'staffing plan'!C193</f>
        <v>13</v>
      </c>
      <c r="C164" s="239" t="str">
        <f>+'staffing plan'!A193</f>
        <v>OSEC-DILGB-LGOO2-20-1998</v>
      </c>
      <c r="D164" s="240" t="str">
        <f>+'staffing plan'!AK193</f>
        <v>0543</v>
      </c>
      <c r="E164" s="239" t="e">
        <f>+'staffing plan'!#REF!</f>
        <v>#REF!</v>
      </c>
      <c r="F164" s="239" t="e">
        <f>CONCATENATE('staffing plan'!#REF!," ",'staffing plan'!#REF!)</f>
        <v>#REF!</v>
      </c>
      <c r="G164" s="239" t="str">
        <f>'staffing plan'!AX193</f>
        <v>Kalinga</v>
      </c>
      <c r="H164" s="239" t="str">
        <f>'staffing plan'!AW193</f>
        <v>LADYONG, Faith Urbino</v>
      </c>
      <c r="I164" s="285" t="s">
        <v>2787</v>
      </c>
      <c r="J164" s="286" t="e">
        <f>E164=G164</f>
        <v>#REF!</v>
      </c>
    </row>
    <row r="165" spans="1:18" s="16" customFormat="1" ht="28.8">
      <c r="A165" s="237" t="str">
        <f>'staffing plan'!B116</f>
        <v>Local Government Operations Officer VI</v>
      </c>
      <c r="B165" s="238">
        <f>+'staffing plan'!C116</f>
        <v>22</v>
      </c>
      <c r="C165" s="239" t="str">
        <f>+'staffing plan'!A116</f>
        <v>OSEC-DILGB-LGOO6-32-2017</v>
      </c>
      <c r="D165" s="240" t="str">
        <f>+'staffing plan'!AK116</f>
        <v>0546</v>
      </c>
      <c r="E165" s="239" t="e">
        <f>+'staffing plan'!#REF!</f>
        <v>#REF!</v>
      </c>
      <c r="F165" s="239" t="e">
        <f>CONCATENATE('staffing plan'!#REF!," ",'staffing plan'!#REF!)</f>
        <v>#REF!</v>
      </c>
      <c r="G165" s="239" t="str">
        <f>'staffing plan'!AX116</f>
        <v>Benguet</v>
      </c>
      <c r="H165" s="239" t="str">
        <f>'staffing plan'!AW116</f>
        <v>LUMA-ANG, Randy Thomas</v>
      </c>
      <c r="I165" s="260"/>
      <c r="J165" s="261" t="e">
        <f t="shared" ref="J165:J176" si="12">E165=G165</f>
        <v>#REF!</v>
      </c>
    </row>
    <row r="166" spans="1:18" s="16" customFormat="1" ht="28.8">
      <c r="A166" s="237" t="str">
        <f>'staffing plan'!B115</f>
        <v>Local Government Operations Officer VI</v>
      </c>
      <c r="B166" s="238">
        <f>+'staffing plan'!C115</f>
        <v>22</v>
      </c>
      <c r="C166" s="239" t="str">
        <f>+'staffing plan'!A115</f>
        <v>OSEC-DILGB-LGOO6-31-2017</v>
      </c>
      <c r="D166" s="240" t="str">
        <f>+'staffing plan'!AK115</f>
        <v>0549</v>
      </c>
      <c r="E166" s="239" t="e">
        <f>+'staffing plan'!#REF!</f>
        <v>#REF!</v>
      </c>
      <c r="F166" s="239" t="e">
        <f>CONCATENATE('staffing plan'!#REF!," ",'staffing plan'!#REF!)</f>
        <v>#REF!</v>
      </c>
      <c r="G166" s="239" t="str">
        <f>'staffing plan'!AX115</f>
        <v>Benguet</v>
      </c>
      <c r="H166" s="239" t="str">
        <f>'staffing plan'!AW115</f>
        <v>ATING, Cesar Uemura</v>
      </c>
      <c r="I166" s="260"/>
      <c r="J166" s="261" t="e">
        <f t="shared" si="12"/>
        <v>#REF!</v>
      </c>
      <c r="Q166" s="16" t="s">
        <v>2733</v>
      </c>
      <c r="R166" s="16" t="s">
        <v>3084</v>
      </c>
    </row>
    <row r="167" spans="1:18" s="16" customFormat="1" ht="28.5" hidden="1" customHeight="1">
      <c r="A167" s="273"/>
      <c r="B167" s="274"/>
      <c r="C167" s="275"/>
      <c r="D167" s="245"/>
      <c r="E167" s="275"/>
      <c r="F167" s="275" t="s">
        <v>2731</v>
      </c>
      <c r="G167" s="275"/>
      <c r="H167" s="275"/>
      <c r="I167" s="283" t="s">
        <v>2786</v>
      </c>
      <c r="J167" s="284"/>
    </row>
    <row r="168" spans="1:18" s="16" customFormat="1" ht="28.8">
      <c r="A168" s="237" t="str">
        <f>'staffing plan'!B118</f>
        <v>Local Government Operations Officer VI</v>
      </c>
      <c r="B168" s="238">
        <f>+'staffing plan'!C118</f>
        <v>22</v>
      </c>
      <c r="C168" s="239" t="str">
        <f>+'staffing plan'!A118</f>
        <v>OSEC-DILGB-LGOO6-34-2017</v>
      </c>
      <c r="D168" s="240" t="str">
        <f>+'staffing plan'!AK118</f>
        <v>0555</v>
      </c>
      <c r="E168" s="239" t="e">
        <f>+'staffing plan'!#REF!</f>
        <v>#REF!</v>
      </c>
      <c r="F168" s="239" t="e">
        <f>CONCATENATE('staffing plan'!#REF!," ",'staffing plan'!#REF!)</f>
        <v>#REF!</v>
      </c>
      <c r="G168" s="239" t="str">
        <f>'staffing plan'!AX118</f>
        <v>Benguet</v>
      </c>
      <c r="H168" s="239" t="str">
        <f>'staffing plan'!AW118</f>
        <v>CARDENAS, Cheryl Rose Flores</v>
      </c>
      <c r="I168" s="260"/>
      <c r="J168" s="261" t="e">
        <f t="shared" si="12"/>
        <v>#REF!</v>
      </c>
      <c r="Q168" s="16" t="s">
        <v>174</v>
      </c>
      <c r="R168" s="16" t="s">
        <v>3084</v>
      </c>
    </row>
    <row r="169" spans="1:18" s="16" customFormat="1" ht="28.8">
      <c r="A169" s="237" t="str">
        <f>'staffing plan'!B111</f>
        <v>Local Government Operations Officer VI</v>
      </c>
      <c r="B169" s="238">
        <f>+'staffing plan'!C111</f>
        <v>22</v>
      </c>
      <c r="C169" s="239" t="str">
        <f>+'staffing plan'!A111</f>
        <v>OSEC-DILGB-LGOO6-27-2017</v>
      </c>
      <c r="D169" s="240" t="str">
        <f>+'staffing plan'!AK111</f>
        <v>0558</v>
      </c>
      <c r="E169" s="239" t="e">
        <f>+'staffing plan'!#REF!</f>
        <v>#REF!</v>
      </c>
      <c r="F169" s="239" t="e">
        <f>CONCATENATE('staffing plan'!#REF!," ",'staffing plan'!#REF!)</f>
        <v>#REF!</v>
      </c>
      <c r="G169" s="239" t="str">
        <f>'staffing plan'!AX111</f>
        <v>Benguet</v>
      </c>
      <c r="H169" s="239" t="str">
        <f>'staffing plan'!AW111</f>
        <v>CHAN, Virginia Lucas</v>
      </c>
      <c r="I169" s="260"/>
      <c r="J169" s="261" t="e">
        <f t="shared" si="12"/>
        <v>#REF!</v>
      </c>
    </row>
    <row r="170" spans="1:18" s="16" customFormat="1" ht="28.8">
      <c r="A170" s="237" t="str">
        <f>'staffing plan'!B124</f>
        <v>Local Government Operations Officer VI</v>
      </c>
      <c r="B170" s="238">
        <f>+'staffing plan'!C124</f>
        <v>22</v>
      </c>
      <c r="C170" s="239" t="str">
        <f>+'staffing plan'!A124</f>
        <v>OSEC-DILGB-LGOO6-40-2017</v>
      </c>
      <c r="D170" s="240" t="str">
        <f>+'staffing plan'!AK124</f>
        <v>0561</v>
      </c>
      <c r="E170" s="239" t="e">
        <f>+'staffing plan'!#REF!</f>
        <v>#REF!</v>
      </c>
      <c r="F170" s="239" t="e">
        <f>CONCATENATE('staffing plan'!#REF!," ",'staffing plan'!#REF!)</f>
        <v>#REF!</v>
      </c>
      <c r="G170" s="239" t="str">
        <f>'staffing plan'!AX124</f>
        <v>Benguet</v>
      </c>
      <c r="H170" s="239" t="str">
        <f>'staffing plan'!AW124</f>
        <v>MANACNIS, Euchols Plazo</v>
      </c>
      <c r="I170" s="260"/>
      <c r="J170" s="261" t="e">
        <f t="shared" si="12"/>
        <v>#REF!</v>
      </c>
      <c r="Q170" s="16" t="s">
        <v>174</v>
      </c>
      <c r="R170" s="16" t="s">
        <v>3084</v>
      </c>
    </row>
    <row r="171" spans="1:18" s="16" customFormat="1" ht="28.8">
      <c r="A171" s="292" t="str">
        <f>'staffing plan'!B157</f>
        <v>Local Government Operations Officer VI</v>
      </c>
      <c r="B171" s="293">
        <f>+'staffing plan'!C157</f>
        <v>22</v>
      </c>
      <c r="C171" s="239" t="str">
        <f>+'staffing plan'!A157</f>
        <v>OSEC-DILGB-LGOO6-73-2017</v>
      </c>
      <c r="D171" s="240" t="str">
        <f>+'staffing plan'!AK157</f>
        <v>0564</v>
      </c>
      <c r="E171" s="239" t="e">
        <f>+'staffing plan'!#REF!</f>
        <v>#REF!</v>
      </c>
      <c r="F171" s="268" t="e">
        <f>CONCATENATE('staffing plan'!#REF!," ",'staffing plan'!#REF!)</f>
        <v>#REF!</v>
      </c>
      <c r="G171" s="239" t="str">
        <f>'staffing plan'!AX157</f>
        <v>Benguet</v>
      </c>
      <c r="H171" s="239" t="str">
        <f>'staffing plan'!AW157</f>
        <v>WAGIAN, Cecilia Daupan</v>
      </c>
      <c r="I171" s="280" t="s">
        <v>2797</v>
      </c>
      <c r="J171" s="261" t="e">
        <f t="shared" si="12"/>
        <v>#REF!</v>
      </c>
    </row>
    <row r="172" spans="1:18" s="16" customFormat="1" ht="28.8">
      <c r="A172" s="292" t="str">
        <f>'staffing plan'!B117</f>
        <v>Local Government Operations Officer VI</v>
      </c>
      <c r="B172" s="293">
        <f>+'staffing plan'!C117</f>
        <v>22</v>
      </c>
      <c r="C172" s="239" t="str">
        <f>+'staffing plan'!A117</f>
        <v>OSEC-DILGB-LGOO6-33-2017</v>
      </c>
      <c r="D172" s="240" t="str">
        <f>+'staffing plan'!AK117</f>
        <v>0564</v>
      </c>
      <c r="E172" s="239" t="e">
        <f>+'staffing plan'!#REF!</f>
        <v>#REF!</v>
      </c>
      <c r="F172" s="268" t="e">
        <f>CONCATENATE('staffing plan'!#REF!," ",'staffing plan'!#REF!)</f>
        <v>#REF!</v>
      </c>
      <c r="G172" s="239" t="str">
        <f>'staffing plan'!AX117</f>
        <v>Benguet</v>
      </c>
      <c r="H172" s="239" t="str">
        <f>'staffing plan'!AW117</f>
        <v>CAWIS, Odemar Mendoza</v>
      </c>
      <c r="I172" s="280" t="s">
        <v>2797</v>
      </c>
      <c r="J172" s="261" t="e">
        <f t="shared" si="12"/>
        <v>#REF!</v>
      </c>
    </row>
    <row r="173" spans="1:18" s="16" customFormat="1" ht="28.8">
      <c r="A173" s="237" t="str">
        <f>'staffing plan'!B112</f>
        <v>Local Government Operations Officer VI</v>
      </c>
      <c r="B173" s="238">
        <f>+'staffing plan'!C112</f>
        <v>22</v>
      </c>
      <c r="C173" s="239" t="str">
        <f>+'staffing plan'!A112</f>
        <v>OSEC-DILGB-LGOO6-28-2017</v>
      </c>
      <c r="D173" s="240" t="str">
        <f>+'staffing plan'!AK112</f>
        <v>0567</v>
      </c>
      <c r="E173" s="239" t="e">
        <f>+'staffing plan'!#REF!</f>
        <v>#REF!</v>
      </c>
      <c r="F173" s="239" t="e">
        <f>CONCATENATE('staffing plan'!#REF!," ",'staffing plan'!#REF!)</f>
        <v>#REF!</v>
      </c>
      <c r="G173" s="239" t="str">
        <f>'staffing plan'!AX112</f>
        <v>Benguet</v>
      </c>
      <c r="H173" s="239" t="str">
        <f>'staffing plan'!AW112</f>
        <v>SAHOY, Jonilou Fukai</v>
      </c>
      <c r="I173" s="260"/>
      <c r="J173" s="261" t="e">
        <f t="shared" si="12"/>
        <v>#REF!</v>
      </c>
    </row>
    <row r="174" spans="1:18" s="16" customFormat="1" ht="28.8">
      <c r="A174" s="269" t="str">
        <f>'staffing plan'!B114</f>
        <v>Local Government Operations Officer VI</v>
      </c>
      <c r="B174" s="270">
        <f>+'staffing plan'!C114</f>
        <v>22</v>
      </c>
      <c r="C174" s="271" t="str">
        <f>+'staffing plan'!A114</f>
        <v>OSEC-DILGB-LGOO6-30-2017</v>
      </c>
      <c r="D174" s="272" t="str">
        <f>+'staffing plan'!AK114</f>
        <v>0570</v>
      </c>
      <c r="E174" s="271" t="e">
        <f>+'staffing plan'!#REF!</f>
        <v>#REF!</v>
      </c>
      <c r="F174" s="271" t="e">
        <f>CONCATENATE('staffing plan'!#REF!," ",'staffing plan'!#REF!)</f>
        <v>#REF!</v>
      </c>
      <c r="G174" s="271" t="str">
        <f>'staffing plan'!AX114</f>
        <v>Benguet</v>
      </c>
      <c r="H174" s="271" t="str">
        <f>'staffing plan'!AW114</f>
        <v>ULEP, Brigitte  Adeban</v>
      </c>
      <c r="I174" s="282"/>
      <c r="J174" s="261" t="e">
        <f t="shared" si="12"/>
        <v>#REF!</v>
      </c>
    </row>
    <row r="175" spans="1:18" s="16" customFormat="1" ht="28.8">
      <c r="A175" s="237" t="str">
        <f>'staffing plan'!B119</f>
        <v>Local Government Operations Officer VI</v>
      </c>
      <c r="B175" s="238">
        <f>+'staffing plan'!C119</f>
        <v>22</v>
      </c>
      <c r="C175" s="239" t="str">
        <f>+'staffing plan'!A119</f>
        <v>OSEC-DILGB-LGOO6-35-2017</v>
      </c>
      <c r="D175" s="240" t="str">
        <f>+'staffing plan'!AK119</f>
        <v>0573</v>
      </c>
      <c r="E175" s="239" t="e">
        <f>+'staffing plan'!#REF!</f>
        <v>#REF!</v>
      </c>
      <c r="F175" s="239" t="e">
        <f>CONCATENATE('staffing plan'!#REF!," ",'staffing plan'!#REF!)</f>
        <v>#REF!</v>
      </c>
      <c r="G175" s="239" t="str">
        <f>'staffing plan'!AX119</f>
        <v>Benguet</v>
      </c>
      <c r="H175" s="239" t="str">
        <f>'staffing plan'!AW119</f>
        <v>EBES, Linston Bolislis</v>
      </c>
      <c r="I175" s="260"/>
      <c r="J175" s="261" t="e">
        <f t="shared" si="12"/>
        <v>#REF!</v>
      </c>
    </row>
    <row r="176" spans="1:18" s="16" customFormat="1" ht="28.8">
      <c r="A176" s="237" t="str">
        <f>'staffing plan'!B125</f>
        <v>Local Government Operations Officer VI</v>
      </c>
      <c r="B176" s="238">
        <f>+'staffing plan'!C125</f>
        <v>22</v>
      </c>
      <c r="C176" s="239" t="str">
        <f>+'staffing plan'!A125</f>
        <v>OSEC-DILGB-LGOO6-41-2017</v>
      </c>
      <c r="D176" s="240" t="str">
        <f>+'staffing plan'!AK125</f>
        <v>0576</v>
      </c>
      <c r="E176" s="239" t="e">
        <f>+'staffing plan'!#REF!</f>
        <v>#REF!</v>
      </c>
      <c r="F176" s="239" t="e">
        <f>CONCATENATE('staffing plan'!#REF!," ",'staffing plan'!#REF!)</f>
        <v>#REF!</v>
      </c>
      <c r="G176" s="239" t="str">
        <f>'staffing plan'!AX125</f>
        <v>Benguet</v>
      </c>
      <c r="H176" s="239" t="str">
        <f>'staffing plan'!AW125</f>
        <v>SAINGAN, Evelyn Mensi</v>
      </c>
      <c r="I176" s="260"/>
      <c r="J176" s="261" t="e">
        <f t="shared" si="12"/>
        <v>#REF!</v>
      </c>
    </row>
    <row r="177" spans="1:18" hidden="1">
      <c r="A177" s="241"/>
      <c r="B177" s="242"/>
      <c r="C177" s="243"/>
      <c r="D177" s="254"/>
      <c r="E177" s="243"/>
      <c r="F177" s="243"/>
      <c r="G177" s="243"/>
      <c r="H177" s="243"/>
      <c r="I177" s="262"/>
      <c r="M177"/>
      <c r="N177"/>
      <c r="O177"/>
    </row>
    <row r="178" spans="1:18" s="231" customFormat="1">
      <c r="A178" s="234" t="s">
        <v>2798</v>
      </c>
      <c r="B178" s="255"/>
      <c r="C178" s="256"/>
      <c r="D178" s="257"/>
      <c r="E178" s="256"/>
      <c r="F178" s="256"/>
      <c r="G178" s="256"/>
      <c r="H178" s="256"/>
      <c r="I178" s="265"/>
      <c r="J178" s="266"/>
    </row>
    <row r="179" spans="1:18" s="16" customFormat="1" ht="28.8" hidden="1">
      <c r="A179" s="237" t="str">
        <f>'staffing plan'!B72</f>
        <v>Local Government Operations Officer VIII</v>
      </c>
      <c r="B179" s="238">
        <f>+'staffing plan'!C72</f>
        <v>26</v>
      </c>
      <c r="C179" s="239" t="str">
        <f>+'staffing plan'!A72</f>
        <v>OSEC-DILGB-LGOO8-79-1998</v>
      </c>
      <c r="D179" s="294" t="str">
        <f>+'staffing plan'!AK72</f>
        <v>07</v>
      </c>
      <c r="E179" s="239" t="e">
        <f>+'staffing plan'!#REF!</f>
        <v>#REF!</v>
      </c>
      <c r="F179" s="239" t="e">
        <f>CONCATENATE('staffing plan'!#REF!," ",'staffing plan'!#REF!)</f>
        <v>#REF!</v>
      </c>
      <c r="G179" s="239" t="str">
        <f>'staffing plan'!AX72</f>
        <v>Ifugao</v>
      </c>
      <c r="H179" s="239" t="str">
        <f>'staffing plan'!AW72</f>
        <v>MAMMAG, Regina Elizabeth Lingayo</v>
      </c>
      <c r="I179" s="260"/>
      <c r="J179" s="261" t="e">
        <f t="shared" ref="J179:J185" si="13">E179=G179</f>
        <v>#REF!</v>
      </c>
      <c r="L179" s="296" t="s">
        <v>2782</v>
      </c>
    </row>
    <row r="180" spans="1:18" s="16" customFormat="1" ht="28.8" hidden="1">
      <c r="A180" s="237" t="str">
        <f>'staffing plan'!B160</f>
        <v>Local Government Operations Officer VI</v>
      </c>
      <c r="B180" s="238">
        <f>+'staffing plan'!C160</f>
        <v>22</v>
      </c>
      <c r="C180" s="239" t="str">
        <f>+'staffing plan'!A160</f>
        <v>OSEC-DILGB-LGOO6-237-2010</v>
      </c>
      <c r="D180" s="294" t="str">
        <f>+'staffing plan'!AK160</f>
        <v>06</v>
      </c>
      <c r="E180" s="239" t="e">
        <f>+'staffing plan'!#REF!</f>
        <v>#REF!</v>
      </c>
      <c r="F180" s="239" t="e">
        <f>CONCATENATE('staffing plan'!#REF!," ",'staffing plan'!#REF!)</f>
        <v>#REF!</v>
      </c>
      <c r="G180" s="239" t="str">
        <f>'staffing plan'!AX160</f>
        <v>Benguet</v>
      </c>
      <c r="H180" s="239" t="str">
        <f>'staffing plan'!AW160</f>
        <v>BALLUG, Rene Vincent Ilacad</v>
      </c>
      <c r="I180" s="260"/>
      <c r="J180" s="261" t="e">
        <f t="shared" si="13"/>
        <v>#REF!</v>
      </c>
      <c r="L180" s="16" t="s">
        <v>463</v>
      </c>
      <c r="M180" s="16">
        <v>1</v>
      </c>
      <c r="N180" s="16">
        <f>COUNTIF(IfugaoSG,"26")</f>
        <v>1</v>
      </c>
      <c r="O180" s="16">
        <f>+M180-N180</f>
        <v>0</v>
      </c>
    </row>
    <row r="181" spans="1:18" s="16" customFormat="1" ht="28.8" hidden="1">
      <c r="A181" s="237" t="str">
        <f>'staffing plan'!B78</f>
        <v>Local Government Operations Officer VII</v>
      </c>
      <c r="B181" s="238">
        <f>+'staffing plan'!C78</f>
        <v>24</v>
      </c>
      <c r="C181" s="239" t="str">
        <f>+'staffing plan'!A78</f>
        <v>OSEC-DILGB-LGOO7-1446-2017</v>
      </c>
      <c r="D181" s="245" t="str">
        <f>+'staffing plan'!AK78</f>
        <v>79</v>
      </c>
      <c r="E181" s="239" t="s">
        <v>174</v>
      </c>
      <c r="F181" s="239" t="e">
        <f>CONCATENATE('staffing plan'!#REF!," ",'staffing plan'!#REF!)</f>
        <v>#REF!</v>
      </c>
      <c r="G181" s="239" t="str">
        <f>'staffing plan'!AX78</f>
        <v>Kalinga</v>
      </c>
      <c r="H181" s="239" t="str">
        <f>'staffing plan'!AW78</f>
        <v>ALIÑO, Mediatrix Rubio</v>
      </c>
      <c r="I181" s="260" t="s">
        <v>2790</v>
      </c>
      <c r="J181" s="261" t="b">
        <f t="shared" si="13"/>
        <v>0</v>
      </c>
      <c r="L181" s="16" t="s">
        <v>157</v>
      </c>
      <c r="M181" s="16">
        <v>2</v>
      </c>
      <c r="N181" s="16">
        <f>COUNTIF(IfugaoSG,"22")+COUNTIF(IfugaoSG,"24")</f>
        <v>13</v>
      </c>
      <c r="O181" s="16">
        <f t="shared" ref="O181:O186" si="14">+M181-N181</f>
        <v>-11</v>
      </c>
    </row>
    <row r="182" spans="1:18" s="16" customFormat="1" ht="28.8">
      <c r="A182" s="237" t="str">
        <f>'staffing plan'!B137</f>
        <v>Local Government Operations OFFICER VI</v>
      </c>
      <c r="B182" s="238">
        <f>+'staffing plan'!C137</f>
        <v>22</v>
      </c>
      <c r="C182" s="239" t="str">
        <f>+'staffing plan'!A137</f>
        <v>OSEC-DILGB-LGOO6-53-2017</v>
      </c>
      <c r="D182" s="294" t="str">
        <f>+'staffing plan'!AK137</f>
        <v>07</v>
      </c>
      <c r="E182" s="239" t="e">
        <f>+'staffing plan'!#REF!</f>
        <v>#REF!</v>
      </c>
      <c r="F182" s="239" t="e">
        <f>CONCATENATE('staffing plan'!#REF!," ",'staffing plan'!#REF!)</f>
        <v>#REF!</v>
      </c>
      <c r="G182" s="239" t="str">
        <f>'staffing plan'!AX137</f>
        <v>Ifugao</v>
      </c>
      <c r="H182" s="239" t="str">
        <f>'staffing plan'!AW137</f>
        <v>MARCAIDA, Linda Himoldang</v>
      </c>
      <c r="I182" s="260"/>
      <c r="J182" s="261" t="e">
        <f t="shared" si="13"/>
        <v>#REF!</v>
      </c>
      <c r="L182" s="16" t="s">
        <v>165</v>
      </c>
      <c r="M182" s="16">
        <v>14</v>
      </c>
      <c r="N182" s="16">
        <f>COUNTIF(IfugaoSG,"20")</f>
        <v>3</v>
      </c>
      <c r="O182" s="16">
        <f t="shared" si="14"/>
        <v>11</v>
      </c>
      <c r="Q182" s="16" t="s">
        <v>2755</v>
      </c>
      <c r="R182" s="16" t="s">
        <v>3078</v>
      </c>
    </row>
    <row r="183" spans="1:18" s="16" customFormat="1" ht="28.8">
      <c r="A183" s="237" t="str">
        <f>'staffing plan'!B173</f>
        <v>Local Government Operations Officer V</v>
      </c>
      <c r="B183" s="238">
        <f>+'staffing plan'!C173</f>
        <v>20</v>
      </c>
      <c r="C183" s="239" t="str">
        <f>+'staffing plan'!A173</f>
        <v>OSEC-DILGB-LGOO5-952-1998</v>
      </c>
      <c r="D183" s="294" t="str">
        <f>+'staffing plan'!AK173</f>
        <v>07</v>
      </c>
      <c r="E183" s="239" t="e">
        <f>+'staffing plan'!#REF!</f>
        <v>#REF!</v>
      </c>
      <c r="F183" s="239" t="e">
        <f>CONCATENATE('staffing plan'!#REF!," ",'staffing plan'!#REF!)</f>
        <v>#REF!</v>
      </c>
      <c r="G183" s="239" t="str">
        <f>'staffing plan'!AX173</f>
        <v>Ifugao</v>
      </c>
      <c r="H183" s="239" t="str">
        <f>'staffing plan'!AW173</f>
        <v>ANGGADNA, Mario Jr. Domingo</v>
      </c>
      <c r="I183" s="260"/>
      <c r="J183" s="261" t="e">
        <f t="shared" si="13"/>
        <v>#REF!</v>
      </c>
      <c r="L183" s="16" t="s">
        <v>1074</v>
      </c>
      <c r="M183" s="16">
        <v>3</v>
      </c>
      <c r="N183" s="16">
        <f>COUNTIF(IfugaoSG,"13")</f>
        <v>3</v>
      </c>
      <c r="O183" s="16">
        <f t="shared" si="14"/>
        <v>0</v>
      </c>
      <c r="Q183" s="16" t="s">
        <v>2297</v>
      </c>
      <c r="R183" s="16" t="s">
        <v>3084</v>
      </c>
    </row>
    <row r="184" spans="1:18" s="16" customFormat="1" ht="28.8">
      <c r="A184" s="237" t="str">
        <f>'staffing plan'!B174</f>
        <v>Local Government Operations Officer V</v>
      </c>
      <c r="B184" s="238">
        <f>+'staffing plan'!C174</f>
        <v>20</v>
      </c>
      <c r="C184" s="239" t="str">
        <f>+'staffing plan'!A174</f>
        <v>OSEC-DILGB-LGOO5-957-1998</v>
      </c>
      <c r="D184" s="294" t="str">
        <f>+'staffing plan'!AK174</f>
        <v>07</v>
      </c>
      <c r="E184" s="239" t="e">
        <f>+'staffing plan'!#REF!</f>
        <v>#REF!</v>
      </c>
      <c r="F184" s="239" t="e">
        <f>CONCATENATE('staffing plan'!#REF!," ",'staffing plan'!#REF!)</f>
        <v>#REF!</v>
      </c>
      <c r="G184" s="239" t="str">
        <f>'staffing plan'!AX174</f>
        <v>Ifugao</v>
      </c>
      <c r="H184" s="239" t="str">
        <f>'staffing plan'!AW174</f>
        <v>NARCIZA, Florita Garcia</v>
      </c>
      <c r="I184" s="260"/>
      <c r="J184" s="261" t="e">
        <f t="shared" si="13"/>
        <v>#REF!</v>
      </c>
      <c r="L184" s="16" t="s">
        <v>1170</v>
      </c>
      <c r="M184" s="16">
        <v>2</v>
      </c>
      <c r="N184" s="16">
        <f>COUNTIF(IfugaoSG,"8")</f>
        <v>2</v>
      </c>
      <c r="O184" s="16">
        <f t="shared" si="14"/>
        <v>0</v>
      </c>
      <c r="Q184" s="16" t="s">
        <v>189</v>
      </c>
      <c r="R184" s="16" t="s">
        <v>3084</v>
      </c>
    </row>
    <row r="185" spans="1:18" s="16" customFormat="1" ht="28.8">
      <c r="A185" s="237" t="str">
        <f>'staffing plan'!B177</f>
        <v>Local Government Operations Officer V</v>
      </c>
      <c r="B185" s="238">
        <f>+'staffing plan'!C177</f>
        <v>20</v>
      </c>
      <c r="C185" s="239" t="str">
        <f>+'staffing plan'!A177</f>
        <v>OSEC-DILGB-LGOO5-976-1998</v>
      </c>
      <c r="D185" s="245" t="str">
        <f>+'staffing plan'!AK177</f>
        <v>08</v>
      </c>
      <c r="E185" s="239" t="e">
        <f>+'staffing plan'!#REF!</f>
        <v>#REF!</v>
      </c>
      <c r="F185" s="239" t="e">
        <f>CONCATENATE('staffing plan'!#REF!," ",'staffing plan'!#REF!)</f>
        <v>#REF!</v>
      </c>
      <c r="G185" s="239" t="str">
        <f>'staffing plan'!AX177</f>
        <v>Ifugao</v>
      </c>
      <c r="H185" s="239" t="str">
        <f>'staffing plan'!AW177</f>
        <v>NEHYEBAN, Arellano Lestino</v>
      </c>
      <c r="I185" s="260" t="s">
        <v>2799</v>
      </c>
      <c r="J185" s="261" t="e">
        <f t="shared" si="13"/>
        <v>#REF!</v>
      </c>
      <c r="L185" s="16" t="s">
        <v>273</v>
      </c>
      <c r="M185" s="16">
        <v>1</v>
      </c>
      <c r="N185" s="16">
        <f>COUNTIF(IfugaoSG,"6")</f>
        <v>1</v>
      </c>
      <c r="O185" s="16">
        <f t="shared" si="14"/>
        <v>0</v>
      </c>
    </row>
    <row r="186" spans="1:18" s="16" customFormat="1" ht="28.8" hidden="1">
      <c r="A186" s="237" t="str">
        <f>'staffing plan'!B199</f>
        <v>Local Government Operations Officer II</v>
      </c>
      <c r="B186" s="238">
        <f>+'staffing plan'!C199</f>
        <v>13</v>
      </c>
      <c r="C186" s="239" t="str">
        <f>+'staffing plan'!A199</f>
        <v>OSEC-DILGB-LGOO2-30-1998</v>
      </c>
      <c r="D186" s="294" t="str">
        <f>+'staffing plan'!AK199</f>
        <v>07</v>
      </c>
      <c r="E186" s="239" t="e">
        <f>+'staffing plan'!#REF!</f>
        <v>#REF!</v>
      </c>
      <c r="F186" s="239" t="e">
        <f>CONCATENATE('staffing plan'!#REF!," ",'staffing plan'!#REF!)</f>
        <v>#REF!</v>
      </c>
      <c r="G186" s="239" t="str">
        <f>'staffing plan'!AX199</f>
        <v>Ifugao</v>
      </c>
      <c r="H186" s="239" t="str">
        <f>'staffing plan'!AW199</f>
        <v>NAMINGIT, Gyda Hoggang</v>
      </c>
      <c r="I186" s="260"/>
      <c r="J186" s="261" t="e">
        <f t="shared" ref="J186:J191" si="15">E186=G186</f>
        <v>#REF!</v>
      </c>
      <c r="L186" s="16" t="s">
        <v>455</v>
      </c>
      <c r="M186" s="16">
        <v>1</v>
      </c>
      <c r="N186" s="16">
        <f>COUNTIF(IfugaoSG,"4")</f>
        <v>1</v>
      </c>
      <c r="O186" s="16">
        <f t="shared" si="14"/>
        <v>0</v>
      </c>
    </row>
    <row r="187" spans="1:18" s="16" customFormat="1" ht="28.8" hidden="1">
      <c r="A187" s="237" t="str">
        <f>'staffing plan'!B204</f>
        <v>Local Government Operations Officer II</v>
      </c>
      <c r="B187" s="238">
        <f>+'staffing plan'!C204</f>
        <v>13</v>
      </c>
      <c r="C187" s="239" t="str">
        <f>+'staffing plan'!A204</f>
        <v>OSEC-DILGB-LGOO2-40-1998</v>
      </c>
      <c r="D187" s="291" t="str">
        <f>+'staffing plan'!AK204</f>
        <v>07</v>
      </c>
      <c r="E187" s="239" t="e">
        <f>+'staffing plan'!#REF!</f>
        <v>#REF!</v>
      </c>
      <c r="F187" s="239" t="e">
        <f>CONCATENATE('staffing plan'!#REF!," ",'staffing plan'!#REF!)</f>
        <v>#REF!</v>
      </c>
      <c r="G187" s="239" t="str">
        <f>'staffing plan'!AX204</f>
        <v>Benguet</v>
      </c>
      <c r="H187" s="239" t="str">
        <f>'staffing plan'!AW204</f>
        <v>LIGLIGON, Randolph Lacamang</v>
      </c>
      <c r="I187" s="260"/>
      <c r="J187" s="261" t="e">
        <f t="shared" si="15"/>
        <v>#REF!</v>
      </c>
      <c r="M187" s="16">
        <f>SUM(M179:M186)</f>
        <v>24</v>
      </c>
      <c r="N187" s="16">
        <f>SUM(N179:N186)</f>
        <v>24</v>
      </c>
      <c r="O187" s="16">
        <f>SUM(O179:O186)</f>
        <v>0</v>
      </c>
    </row>
    <row r="188" spans="1:18" s="16" customFormat="1" ht="28.8" hidden="1">
      <c r="A188" s="237" t="str">
        <f>'staffing plan'!B214</f>
        <v>Administrative Assistant II</v>
      </c>
      <c r="B188" s="238">
        <f>+'staffing plan'!C214</f>
        <v>8</v>
      </c>
      <c r="C188" s="239" t="str">
        <f>+'staffing plan'!A214</f>
        <v>OSEC-DILGB-ADAS2-76-2005</v>
      </c>
      <c r="D188" s="294" t="str">
        <f>+'staffing plan'!AK214</f>
        <v>07</v>
      </c>
      <c r="E188" s="239" t="e">
        <f>+'staffing plan'!#REF!</f>
        <v>#REF!</v>
      </c>
      <c r="F188" s="239" t="e">
        <f>CONCATENATE('staffing plan'!#REF!," ",'staffing plan'!#REF!)</f>
        <v>#REF!</v>
      </c>
      <c r="G188" s="239" t="str">
        <f>'staffing plan'!AX214</f>
        <v>Ifugao</v>
      </c>
      <c r="H188" s="239" t="str">
        <f>'staffing plan'!AW214</f>
        <v>BINTUDAN, Rosemarie Bumidang</v>
      </c>
      <c r="I188" s="260"/>
      <c r="J188" s="261" t="e">
        <f t="shared" si="15"/>
        <v>#REF!</v>
      </c>
    </row>
    <row r="189" spans="1:18" s="16" customFormat="1" ht="28.8" hidden="1">
      <c r="A189" s="237" t="str">
        <f>'staffing plan'!B209</f>
        <v>Administrative Assistant II</v>
      </c>
      <c r="B189" s="238">
        <f>+'staffing plan'!C209</f>
        <v>8</v>
      </c>
      <c r="C189" s="239" t="str">
        <f>+'staffing plan'!A209</f>
        <v>OSEC-DILGB-ADAS2-70-2005</v>
      </c>
      <c r="D189" s="291" t="str">
        <f>+'staffing plan'!AK209</f>
        <v>011</v>
      </c>
      <c r="E189" s="239" t="e">
        <f>+'staffing plan'!#REF!</f>
        <v>#REF!</v>
      </c>
      <c r="F189" s="239" t="e">
        <f>CONCATENATE('staffing plan'!#REF!," ",'staffing plan'!#REF!)</f>
        <v>#REF!</v>
      </c>
      <c r="G189" s="239" t="str">
        <f>'staffing plan'!AX209</f>
        <v>Ifugao</v>
      </c>
      <c r="H189" s="239" t="str">
        <f>'staffing plan'!AW209</f>
        <v>ALCAYNA, Dennis Bantiyan</v>
      </c>
      <c r="I189" s="260" t="s">
        <v>2790</v>
      </c>
      <c r="J189" s="261" t="e">
        <f t="shared" si="15"/>
        <v>#REF!</v>
      </c>
    </row>
    <row r="190" spans="1:18" s="16" customFormat="1" ht="28.8" hidden="1">
      <c r="A190" s="237" t="str">
        <f>'staffing plan'!B217</f>
        <v>Administrative Aide VI</v>
      </c>
      <c r="B190" s="238">
        <f>+'staffing plan'!C217</f>
        <v>6</v>
      </c>
      <c r="C190" s="239" t="str">
        <f>+'staffing plan'!A217</f>
        <v>OSEC-DILGB-ADA6-95-2005</v>
      </c>
      <c r="D190" s="291" t="str">
        <f>+'staffing plan'!AK217</f>
        <v>011</v>
      </c>
      <c r="E190" s="239" t="e">
        <f>+'staffing plan'!#REF!</f>
        <v>#REF!</v>
      </c>
      <c r="F190" s="239" t="e">
        <f>CONCATENATE('staffing plan'!#REF!," ",'staffing plan'!#REF!)</f>
        <v>#REF!</v>
      </c>
      <c r="G190" s="239" t="str">
        <f>'staffing plan'!AX217</f>
        <v>Regional Office</v>
      </c>
      <c r="H190" s="239" t="str">
        <f>'staffing plan'!AW217</f>
        <v>DEDUQUE, Katherine  Pablo</v>
      </c>
      <c r="I190" s="260" t="s">
        <v>2790</v>
      </c>
      <c r="J190" s="261" t="e">
        <f t="shared" si="15"/>
        <v>#REF!</v>
      </c>
    </row>
    <row r="191" spans="1:18" s="16" customFormat="1" ht="28.8" hidden="1">
      <c r="A191" s="237" t="str">
        <f>'staffing plan'!B227</f>
        <v>Administrative Aide IV</v>
      </c>
      <c r="B191" s="238">
        <f>+'staffing plan'!C227</f>
        <v>4</v>
      </c>
      <c r="C191" s="239" t="str">
        <f>+'staffing plan'!A227</f>
        <v>OSEC-DILGB-ADA4-92-2005</v>
      </c>
      <c r="D191" s="294" t="str">
        <f>+'staffing plan'!AK227</f>
        <v>07</v>
      </c>
      <c r="E191" s="239" t="e">
        <f>+'staffing plan'!#REF!</f>
        <v>#REF!</v>
      </c>
      <c r="F191" s="239" t="e">
        <f>CONCATENATE('staffing plan'!#REF!," ",'staffing plan'!#REF!)</f>
        <v>#REF!</v>
      </c>
      <c r="G191" s="239" t="str">
        <f>'staffing plan'!AX227</f>
        <v>Ifugao</v>
      </c>
      <c r="H191" s="239" t="str">
        <f>'staffing plan'!AW227</f>
        <v>PATAUEG, Clifford Pungod</v>
      </c>
      <c r="I191" s="260"/>
      <c r="J191" s="261" t="e">
        <f t="shared" si="15"/>
        <v>#REF!</v>
      </c>
    </row>
    <row r="192" spans="1:18" s="16" customFormat="1" ht="30" customHeight="1">
      <c r="A192" s="273" t="s">
        <v>1388</v>
      </c>
      <c r="B192" s="274"/>
      <c r="C192" s="275"/>
      <c r="D192" s="245"/>
      <c r="E192" s="275"/>
      <c r="F192" s="275" t="s">
        <v>2755</v>
      </c>
      <c r="G192" s="275"/>
      <c r="H192" s="275"/>
      <c r="I192" s="283" t="s">
        <v>2786</v>
      </c>
      <c r="J192" s="284"/>
    </row>
    <row r="193" spans="1:18" s="16" customFormat="1" ht="28.8">
      <c r="A193" s="269" t="str">
        <f>'staffing plan'!B129</f>
        <v>Local Government Operations OFFICER VI</v>
      </c>
      <c r="B193" s="270">
        <f>+'staffing plan'!C129</f>
        <v>22</v>
      </c>
      <c r="C193" s="271" t="str">
        <f>+'staffing plan'!A129</f>
        <v>OSEC-DILGB-LGOO6-45-2017</v>
      </c>
      <c r="D193" s="297" t="str">
        <f>+'staffing plan'!AK129</f>
        <v>0611</v>
      </c>
      <c r="E193" s="271" t="e">
        <f>+'staffing plan'!#REF!</f>
        <v>#REF!</v>
      </c>
      <c r="F193" s="271" t="e">
        <f>CONCATENATE('staffing plan'!#REF!," ",'staffing plan'!#REF!)</f>
        <v>#REF!</v>
      </c>
      <c r="G193" s="271" t="str">
        <f>'staffing plan'!AX129</f>
        <v>Ifugao</v>
      </c>
      <c r="H193" s="271" t="str">
        <f>'staffing plan'!AW129</f>
        <v>BULAYUNGAN, Isabel Allaga</v>
      </c>
      <c r="I193" s="282"/>
      <c r="J193" s="261" t="e">
        <f t="shared" ref="J193:J203" si="16">E193=G193</f>
        <v>#REF!</v>
      </c>
    </row>
    <row r="194" spans="1:18" s="16" customFormat="1" ht="28.8">
      <c r="A194" s="237" t="str">
        <f>'staffing plan'!B134</f>
        <v>Local Government Operations OFFICER VI</v>
      </c>
      <c r="B194" s="238">
        <f>+'staffing plan'!C134</f>
        <v>22</v>
      </c>
      <c r="C194" s="239" t="str">
        <f>+'staffing plan'!A134</f>
        <v>OSEC-DILGB-LGOO6-50-2017</v>
      </c>
      <c r="D194" s="294" t="str">
        <f>+'staffing plan'!AK134</f>
        <v>0612</v>
      </c>
      <c r="E194" s="239" t="e">
        <f>+'staffing plan'!#REF!</f>
        <v>#REF!</v>
      </c>
      <c r="F194" s="239" t="e">
        <f>CONCATENATE('staffing plan'!#REF!," ",'staffing plan'!#REF!)</f>
        <v>#REF!</v>
      </c>
      <c r="G194" s="239" t="str">
        <f>'staffing plan'!AX134</f>
        <v>Ifugao</v>
      </c>
      <c r="H194" s="239" t="str">
        <f>'staffing plan'!AW134</f>
        <v>APLOSEN, Roselle Nanglegan</v>
      </c>
      <c r="I194" s="260"/>
      <c r="J194" s="261" t="e">
        <f t="shared" si="16"/>
        <v>#REF!</v>
      </c>
    </row>
    <row r="195" spans="1:18" s="16" customFormat="1" ht="28.8">
      <c r="A195" s="237" t="str">
        <f>'staffing plan'!B136</f>
        <v>Local Government Operations OFFICER VI</v>
      </c>
      <c r="B195" s="238">
        <f>+'staffing plan'!C136</f>
        <v>22</v>
      </c>
      <c r="C195" s="239" t="str">
        <f>+'staffing plan'!A136</f>
        <v>OSEC-DILGB-LGOO6-52-2017</v>
      </c>
      <c r="D195" s="294" t="str">
        <f>+'staffing plan'!AK136</f>
        <v>0615</v>
      </c>
      <c r="E195" s="239" t="e">
        <f>+'staffing plan'!#REF!</f>
        <v>#REF!</v>
      </c>
      <c r="F195" s="239" t="e">
        <f>CONCATENATE('staffing plan'!#REF!," ",'staffing plan'!#REF!)</f>
        <v>#REF!</v>
      </c>
      <c r="G195" s="239" t="str">
        <f>'staffing plan'!AX136</f>
        <v>Ifugao</v>
      </c>
      <c r="H195" s="239" t="str">
        <f>'staffing plan'!AW136</f>
        <v>LINDAWAN, Gilbert Nayahangan</v>
      </c>
      <c r="I195" s="260"/>
      <c r="J195" s="261" t="e">
        <f t="shared" si="16"/>
        <v>#REF!</v>
      </c>
    </row>
    <row r="196" spans="1:18" s="16" customFormat="1" ht="28.8">
      <c r="A196" s="237" t="str">
        <f>'staffing plan'!B131</f>
        <v>Local Government Operations OFFICER VI</v>
      </c>
      <c r="B196" s="238">
        <f>+'staffing plan'!C131</f>
        <v>22</v>
      </c>
      <c r="C196" s="239" t="str">
        <f>+'staffing plan'!A131</f>
        <v>OSEC-DILGB-LGOO6-47-2017</v>
      </c>
      <c r="D196" s="294" t="str">
        <f>+'staffing plan'!AK131</f>
        <v>0618</v>
      </c>
      <c r="E196" s="239" t="e">
        <f>+'staffing plan'!#REF!</f>
        <v>#REF!</v>
      </c>
      <c r="F196" s="239" t="e">
        <f>CONCATENATE('staffing plan'!#REF!," ",'staffing plan'!#REF!)</f>
        <v>#REF!</v>
      </c>
      <c r="G196" s="239" t="str">
        <f>'staffing plan'!AX131</f>
        <v>Ifugao</v>
      </c>
      <c r="H196" s="239" t="str">
        <f>'staffing plan'!AW131</f>
        <v>DONG-E, Regina Tayaban</v>
      </c>
      <c r="I196" s="260"/>
      <c r="J196" s="261" t="e">
        <f t="shared" si="16"/>
        <v>#REF!</v>
      </c>
      <c r="Q196" s="16" t="s">
        <v>167</v>
      </c>
      <c r="R196" s="16" t="s">
        <v>3084</v>
      </c>
    </row>
    <row r="197" spans="1:18" s="16" customFormat="1" ht="28.8">
      <c r="A197" s="237" t="str">
        <f>'staffing plan'!B128</f>
        <v>Local Government Operations OFFICER VI</v>
      </c>
      <c r="B197" s="238">
        <f>+'staffing plan'!C128</f>
        <v>22</v>
      </c>
      <c r="C197" s="239" t="str">
        <f>+'staffing plan'!A128</f>
        <v>OSEC-DILGB-LGOO6-44-2017</v>
      </c>
      <c r="D197" s="294" t="str">
        <f>+'staffing plan'!AK128</f>
        <v>0621</v>
      </c>
      <c r="E197" s="239" t="e">
        <f>+'staffing plan'!#REF!</f>
        <v>#REF!</v>
      </c>
      <c r="F197" s="239" t="e">
        <f>CONCATENATE('staffing plan'!#REF!," ",'staffing plan'!#REF!)</f>
        <v>#REF!</v>
      </c>
      <c r="G197" s="239" t="str">
        <f>'staffing plan'!AX128</f>
        <v>Ifugao</v>
      </c>
      <c r="H197" s="239" t="str">
        <f>'staffing plan'!AW128</f>
        <v>PAGADDUT, Jimmy Bantiyan</v>
      </c>
      <c r="I197" s="260"/>
      <c r="J197" s="261" t="e">
        <f t="shared" si="16"/>
        <v>#REF!</v>
      </c>
      <c r="Q197" s="16" t="s">
        <v>211</v>
      </c>
      <c r="R197" s="16" t="s">
        <v>3084</v>
      </c>
    </row>
    <row r="198" spans="1:18" s="16" customFormat="1" ht="28.8">
      <c r="A198" s="237" t="str">
        <f>'staffing plan'!B132</f>
        <v>Local Government Operations OFFICER VI</v>
      </c>
      <c r="B198" s="238">
        <f>+'staffing plan'!C132</f>
        <v>22</v>
      </c>
      <c r="C198" s="239" t="str">
        <f>+'staffing plan'!A132</f>
        <v>OSEC-DILGB-LGOO6-48-2017</v>
      </c>
      <c r="D198" s="294" t="str">
        <f>+'staffing plan'!AK132</f>
        <v>0624</v>
      </c>
      <c r="E198" s="239" t="e">
        <f>+'staffing plan'!#REF!</f>
        <v>#REF!</v>
      </c>
      <c r="F198" s="239" t="e">
        <f>CONCATENATE('staffing plan'!#REF!," ",'staffing plan'!#REF!)</f>
        <v>#REF!</v>
      </c>
      <c r="G198" s="239" t="str">
        <f>'staffing plan'!AX132</f>
        <v>Ifugao</v>
      </c>
      <c r="H198" s="239" t="str">
        <f>'staffing plan'!AW132</f>
        <v>BANGO, Emmanuel Hiadan</v>
      </c>
      <c r="I198" s="260"/>
      <c r="J198" s="261" t="e">
        <f t="shared" si="16"/>
        <v>#REF!</v>
      </c>
    </row>
    <row r="199" spans="1:18" s="16" customFormat="1" ht="28.8">
      <c r="A199" s="237" t="str">
        <f>'staffing plan'!B127</f>
        <v>Local Government Operations OFFICER VI</v>
      </c>
      <c r="B199" s="238">
        <f>+'staffing plan'!C127</f>
        <v>22</v>
      </c>
      <c r="C199" s="239" t="str">
        <f>+'staffing plan'!A127</f>
        <v>OSEC-DILGB-LGOO6-43-2017</v>
      </c>
      <c r="D199" s="294" t="str">
        <f>+'staffing plan'!AK127</f>
        <v>0627</v>
      </c>
      <c r="E199" s="239" t="e">
        <f>+'staffing plan'!#REF!</f>
        <v>#REF!</v>
      </c>
      <c r="F199" s="239" t="e">
        <f>CONCATENATE('staffing plan'!#REF!," ",'staffing plan'!#REF!)</f>
        <v>#REF!</v>
      </c>
      <c r="G199" s="239" t="str">
        <f>'staffing plan'!AX127</f>
        <v>Ifugao</v>
      </c>
      <c r="H199" s="239" t="str">
        <f>'staffing plan'!AW127</f>
        <v>CABANAYAN, Carol Chulipa</v>
      </c>
      <c r="I199" s="260"/>
      <c r="J199" s="261" t="e">
        <f t="shared" si="16"/>
        <v>#REF!</v>
      </c>
    </row>
    <row r="200" spans="1:18" s="16" customFormat="1" ht="28.8">
      <c r="A200" s="237" t="str">
        <f>'staffing plan'!B133</f>
        <v>Local Government Operations OFFICER VI</v>
      </c>
      <c r="B200" s="238">
        <f>+'staffing plan'!C133</f>
        <v>22</v>
      </c>
      <c r="C200" s="239" t="str">
        <f>+'staffing plan'!A133</f>
        <v>OSEC-DILGB-LGOO6-49-2017</v>
      </c>
      <c r="D200" s="294" t="str">
        <f>+'staffing plan'!AK133</f>
        <v>0630</v>
      </c>
      <c r="E200" s="239" t="e">
        <f>+'staffing plan'!#REF!</f>
        <v>#REF!</v>
      </c>
      <c r="F200" s="239" t="e">
        <f>CONCATENATE('staffing plan'!#REF!," ",'staffing plan'!#REF!)</f>
        <v>#REF!</v>
      </c>
      <c r="G200" s="239" t="str">
        <f>'staffing plan'!AX133</f>
        <v>Ifugao</v>
      </c>
      <c r="H200" s="239" t="str">
        <f>'staffing plan'!AW133</f>
        <v>ADAWE, Guillaume Lebbet</v>
      </c>
      <c r="I200" s="260"/>
      <c r="J200" s="261" t="e">
        <f t="shared" si="16"/>
        <v>#REF!</v>
      </c>
    </row>
    <row r="201" spans="1:18" s="16" customFormat="1" ht="28.8">
      <c r="A201" s="237" t="str">
        <f>'staffing plan'!B130</f>
        <v>Local Government Operations OFFICER VI</v>
      </c>
      <c r="B201" s="238">
        <f>+'staffing plan'!C130</f>
        <v>22</v>
      </c>
      <c r="C201" s="239" t="str">
        <f>+'staffing plan'!A130</f>
        <v>OSEC-DILGB-LGOO6-46-2017</v>
      </c>
      <c r="D201" s="294" t="str">
        <f>+'staffing plan'!AK130</f>
        <v>0633</v>
      </c>
      <c r="E201" s="239" t="e">
        <f>+'staffing plan'!#REF!</f>
        <v>#REF!</v>
      </c>
      <c r="F201" s="239" t="e">
        <f>CONCATENATE('staffing plan'!#REF!," ",'staffing plan'!#REF!)</f>
        <v>#REF!</v>
      </c>
      <c r="G201" s="239" t="str">
        <f>'staffing plan'!AX130</f>
        <v>Ifugao</v>
      </c>
      <c r="H201" s="239" t="str">
        <f>'staffing plan'!AW130</f>
        <v>MONAYAO, Jeda Paulha</v>
      </c>
      <c r="I201" s="260"/>
      <c r="J201" s="261" t="e">
        <f t="shared" si="16"/>
        <v>#REF!</v>
      </c>
      <c r="Q201" s="16" t="s">
        <v>211</v>
      </c>
      <c r="R201" s="16" t="s">
        <v>3084</v>
      </c>
    </row>
    <row r="202" spans="1:18" s="16" customFormat="1" ht="28.8">
      <c r="A202" s="237" t="str">
        <f>'staffing plan'!B135</f>
        <v>Local Government Operations OFFICER VI</v>
      </c>
      <c r="B202" s="238">
        <f>+'staffing plan'!C135</f>
        <v>22</v>
      </c>
      <c r="C202" s="239" t="str">
        <f>+'staffing plan'!A135</f>
        <v>OSEC-DILGB-LGOO6-51-2017</v>
      </c>
      <c r="D202" s="294" t="str">
        <f>+'staffing plan'!AK135</f>
        <v>0636</v>
      </c>
      <c r="E202" s="239" t="e">
        <f>+'staffing plan'!#REF!</f>
        <v>#REF!</v>
      </c>
      <c r="F202" s="239" t="e">
        <f>CONCATENATE('staffing plan'!#REF!," ",'staffing plan'!#REF!)</f>
        <v>#REF!</v>
      </c>
      <c r="G202" s="239" t="str">
        <f>'staffing plan'!AX135</f>
        <v>Ifugao</v>
      </c>
      <c r="H202" s="239" t="str">
        <f>'staffing plan'!AW135</f>
        <v>UMALCO, Wilbert Mayam-o</v>
      </c>
      <c r="I202" s="260"/>
      <c r="J202" s="261" t="e">
        <f t="shared" si="16"/>
        <v>#REF!</v>
      </c>
    </row>
    <row r="203" spans="1:18" s="16" customFormat="1" ht="28.8" hidden="1">
      <c r="A203" s="237" t="str">
        <f>'staffing plan'!B197</f>
        <v>Local Government Operations Officer II</v>
      </c>
      <c r="B203" s="238">
        <f>+'staffing plan'!C197</f>
        <v>13</v>
      </c>
      <c r="C203" s="239" t="str">
        <f>+'staffing plan'!A197</f>
        <v>OSEC-DILGB-LGOO2-27-1998</v>
      </c>
      <c r="D203" s="294" t="str">
        <f>+'staffing plan'!AK197</f>
        <v>0636</v>
      </c>
      <c r="E203" s="239" t="e">
        <f>+'staffing plan'!#REF!</f>
        <v>#REF!</v>
      </c>
      <c r="F203" s="239" t="e">
        <f>CONCATENATE('staffing plan'!#REF!," ",'staffing plan'!#REF!)</f>
        <v>#REF!</v>
      </c>
      <c r="G203" s="239" t="str">
        <f>'staffing plan'!AX197</f>
        <v>Kalinga</v>
      </c>
      <c r="H203" s="239" t="str">
        <f>'staffing plan'!AW197</f>
        <v>GARNACE, Baldo Jr Nolasco</v>
      </c>
      <c r="I203" s="260" t="s">
        <v>2762</v>
      </c>
      <c r="J203" s="261" t="e">
        <f t="shared" si="16"/>
        <v>#REF!</v>
      </c>
    </row>
    <row r="204" spans="1:18" hidden="1">
      <c r="A204" s="241"/>
      <c r="B204" s="242"/>
      <c r="C204" s="243"/>
      <c r="D204" s="254"/>
      <c r="E204" s="243"/>
      <c r="F204" s="243"/>
      <c r="G204" s="243"/>
      <c r="H204" s="243"/>
      <c r="I204" s="262"/>
      <c r="N204" s="267"/>
      <c r="O204" s="267"/>
    </row>
    <row r="205" spans="1:18" s="231" customFormat="1">
      <c r="A205" s="234" t="s">
        <v>2800</v>
      </c>
      <c r="B205" s="255"/>
      <c r="C205" s="256"/>
      <c r="D205" s="257"/>
      <c r="E205" s="256"/>
      <c r="F205" s="256"/>
      <c r="G205" s="256"/>
      <c r="H205" s="256"/>
      <c r="I205" s="265"/>
      <c r="J205" s="266"/>
      <c r="L205"/>
      <c r="M205" s="15"/>
      <c r="N205" s="15"/>
      <c r="O205" s="15"/>
    </row>
    <row r="206" spans="1:18" s="16" customFormat="1" ht="28.8" hidden="1">
      <c r="A206" s="237" t="str">
        <f>'staffing plan'!B73</f>
        <v>Local Government Operations Officer VIII</v>
      </c>
      <c r="B206" s="238">
        <f>+'staffing plan'!C73</f>
        <v>26</v>
      </c>
      <c r="C206" s="239" t="str">
        <f>+'staffing plan'!A73</f>
        <v>OSEC-DILGB-LGOO8-91-1998</v>
      </c>
      <c r="D206" s="240" t="str">
        <f>+'staffing plan'!AK73</f>
        <v>79</v>
      </c>
      <c r="E206" s="239" t="e">
        <f>+'staffing plan'!#REF!</f>
        <v>#REF!</v>
      </c>
      <c r="F206" s="239" t="e">
        <f>CONCATENATE('staffing plan'!#REF!," ",'staffing plan'!#REF!)</f>
        <v>#REF!</v>
      </c>
      <c r="G206" s="239" t="str">
        <f>'staffing plan'!AX73</f>
        <v>Apayao</v>
      </c>
      <c r="H206" s="239" t="str">
        <f>'staffing plan'!AW73</f>
        <v>BASQUEZ, Marvin Amanonce</v>
      </c>
      <c r="I206" s="260"/>
      <c r="J206" s="261" t="e">
        <f t="shared" ref="J206:J222" si="17">E206=G206</f>
        <v>#REF!</v>
      </c>
      <c r="L206" s="296" t="s">
        <v>2782</v>
      </c>
    </row>
    <row r="207" spans="1:18" s="16" customFormat="1" ht="28.8" hidden="1">
      <c r="A207" s="237" t="str">
        <f>'staffing plan'!B76</f>
        <v>Local Government Operations Officer VII</v>
      </c>
      <c r="B207" s="238">
        <f>+'staffing plan'!C76</f>
        <v>24</v>
      </c>
      <c r="C207" s="239" t="str">
        <f>+'staffing plan'!A76</f>
        <v>OSEC-DILGB-LGOO7-1444-2017</v>
      </c>
      <c r="D207" s="240" t="str">
        <f>+'staffing plan'!AK76</f>
        <v>07</v>
      </c>
      <c r="E207" s="239" t="e">
        <f>+'staffing plan'!#REF!</f>
        <v>#REF!</v>
      </c>
      <c r="F207" s="239" t="e">
        <f>CONCATENATE('staffing plan'!#REF!," ",'staffing plan'!#REF!)</f>
        <v>#REF!</v>
      </c>
      <c r="G207" s="239" t="str">
        <f>'staffing plan'!AX76</f>
        <v>Ifugao</v>
      </c>
      <c r="H207" s="239" t="str">
        <f>'staffing plan'!AW76</f>
        <v>APPOY, Samson Benlangan</v>
      </c>
      <c r="I207" s="260"/>
      <c r="J207" s="261" t="e">
        <f t="shared" si="17"/>
        <v>#REF!</v>
      </c>
      <c r="L207" s="16" t="s">
        <v>463</v>
      </c>
      <c r="M207" s="16">
        <v>1</v>
      </c>
      <c r="N207" s="16">
        <f>COUNTIF(KalingaSG,"26")</f>
        <v>1</v>
      </c>
      <c r="O207" s="16">
        <f>+M207-N207</f>
        <v>0</v>
      </c>
    </row>
    <row r="208" spans="1:18" s="16" customFormat="1" ht="28.8" hidden="1">
      <c r="A208" s="237" t="str">
        <f>'staffing plan'!B90</f>
        <v>Local Government Operations Officer VI</v>
      </c>
      <c r="B208" s="238">
        <f>+'staffing plan'!C90</f>
        <v>22</v>
      </c>
      <c r="C208" s="239" t="str">
        <f>+'staffing plan'!A90</f>
        <v>OSEC-DILGB-LGOO6-9-2013</v>
      </c>
      <c r="D208" s="240" t="str">
        <f>+'staffing plan'!AK90</f>
        <v>000</v>
      </c>
      <c r="E208" s="239" t="e">
        <f>+'staffing plan'!#REF!</f>
        <v>#REF!</v>
      </c>
      <c r="F208" s="239" t="e">
        <f>CONCATENATE('staffing plan'!#REF!," ",'staffing plan'!#REF!)</f>
        <v>#REF!</v>
      </c>
      <c r="G208" s="239">
        <f>'staffing plan'!AX90</f>
        <v>0</v>
      </c>
      <c r="H208" s="239" t="str">
        <f>'staffing plan'!AW90</f>
        <v xml:space="preserve">Vacant ALIÑO,  </v>
      </c>
      <c r="I208" s="260"/>
      <c r="J208" s="261" t="e">
        <f t="shared" si="17"/>
        <v>#REF!</v>
      </c>
      <c r="L208" s="16" t="s">
        <v>157</v>
      </c>
      <c r="M208" s="16">
        <v>3</v>
      </c>
      <c r="N208" s="16">
        <f>COUNTIF(KalingaSG,"22")+COUNTIF(KalingaSG,"24")</f>
        <v>10</v>
      </c>
      <c r="O208" s="16">
        <f t="shared" ref="O208:O213" si="18">+M208-N208</f>
        <v>-7</v>
      </c>
    </row>
    <row r="209" spans="1:18" s="16" customFormat="1" ht="28.8" hidden="1">
      <c r="A209" s="237" t="str">
        <f>'staffing plan'!B161</f>
        <v>Local Government Operations Officer VI</v>
      </c>
      <c r="B209" s="238">
        <f>+'staffing plan'!C161</f>
        <v>22</v>
      </c>
      <c r="C209" s="239" t="str">
        <f>+'staffing plan'!A161</f>
        <v>OSEC-DILGB-LGOO6-238-2010</v>
      </c>
      <c r="D209" s="240" t="str">
        <f>+'staffing plan'!AK161</f>
        <v>09</v>
      </c>
      <c r="E209" s="239" t="e">
        <f>+'staffing plan'!#REF!</f>
        <v>#REF!</v>
      </c>
      <c r="F209" s="239" t="e">
        <f>CONCATENATE('staffing plan'!#REF!," ",'staffing plan'!#REF!)</f>
        <v>#REF!</v>
      </c>
      <c r="G209" s="239" t="str">
        <f>'staffing plan'!AX161</f>
        <v>Mt. Province</v>
      </c>
      <c r="H209" s="239" t="str">
        <f>'staffing plan'!AW161</f>
        <v>GRIBA, Mary Ann Javier</v>
      </c>
      <c r="I209" s="260"/>
      <c r="J209" s="261" t="e">
        <f t="shared" si="17"/>
        <v>#REF!</v>
      </c>
      <c r="L209" s="16" t="s">
        <v>165</v>
      </c>
      <c r="M209" s="16">
        <v>9</v>
      </c>
      <c r="N209" s="16">
        <f>COUNTIF(KalingaSG,"20")</f>
        <v>2</v>
      </c>
      <c r="O209" s="16">
        <f t="shared" si="18"/>
        <v>7</v>
      </c>
    </row>
    <row r="210" spans="1:18" s="16" customFormat="1" ht="28.8">
      <c r="A210" s="237" t="str">
        <f>'staffing plan'!B175</f>
        <v>Local Government Operations Officer V</v>
      </c>
      <c r="B210" s="238">
        <f>+'staffing plan'!C175</f>
        <v>20</v>
      </c>
      <c r="C210" s="239" t="str">
        <f>+'staffing plan'!A175</f>
        <v>OSEC-DILGB-LGOO5-965-1998</v>
      </c>
      <c r="D210" s="240" t="str">
        <f>+'staffing plan'!AK175</f>
        <v>79</v>
      </c>
      <c r="E210" s="239" t="e">
        <f>+'staffing plan'!#REF!</f>
        <v>#REF!</v>
      </c>
      <c r="F210" s="239" t="e">
        <f>CONCATENATE('staffing plan'!#REF!," ",'staffing plan'!#REF!)</f>
        <v>#REF!</v>
      </c>
      <c r="G210" s="239" t="str">
        <f>'staffing plan'!AX175</f>
        <v>Kalinga</v>
      </c>
      <c r="H210" s="239" t="str">
        <f>'staffing plan'!AW175</f>
        <v>ELVEÑA, Hanna Lynel Gullayan</v>
      </c>
      <c r="I210" s="260"/>
      <c r="J210" s="261" t="e">
        <f t="shared" si="17"/>
        <v>#REF!</v>
      </c>
      <c r="L210" s="16" t="s">
        <v>1066</v>
      </c>
      <c r="M210" s="16">
        <v>1</v>
      </c>
      <c r="N210" s="16">
        <f>COUNTIF(KalingaSG,"15")</f>
        <v>1</v>
      </c>
      <c r="O210" s="16">
        <f t="shared" si="18"/>
        <v>0</v>
      </c>
      <c r="Q210" s="16" t="s">
        <v>2307</v>
      </c>
      <c r="R210" s="16" t="s">
        <v>3084</v>
      </c>
    </row>
    <row r="211" spans="1:18" s="16" customFormat="1" ht="28.8">
      <c r="A211" s="237" t="str">
        <f>'staffing plan'!B179</f>
        <v>Local Government Operations Officer V</v>
      </c>
      <c r="B211" s="238">
        <f>+'staffing plan'!C179</f>
        <v>20</v>
      </c>
      <c r="C211" s="239" t="str">
        <f>+'staffing plan'!A179</f>
        <v>OSEC-DILGB-LGOO5-991-1998</v>
      </c>
      <c r="D211" s="240" t="str">
        <f>+'staffing plan'!AK179</f>
        <v>79</v>
      </c>
      <c r="E211" s="239" t="e">
        <f>+'staffing plan'!#REF!</f>
        <v>#REF!</v>
      </c>
      <c r="F211" s="239" t="e">
        <f>CONCATENATE('staffing plan'!#REF!," ",'staffing plan'!#REF!)</f>
        <v>#REF!</v>
      </c>
      <c r="G211" s="239" t="e">
        <f>'staffing plan'!#REF!</f>
        <v>#REF!</v>
      </c>
      <c r="H211" s="239" t="str">
        <f>'staffing plan'!AW179</f>
        <v xml:space="preserve">Vacant CHUNANON,  </v>
      </c>
      <c r="I211" s="260"/>
      <c r="J211" s="261" t="e">
        <f t="shared" si="17"/>
        <v>#REF!</v>
      </c>
      <c r="L211" s="16" t="s">
        <v>1074</v>
      </c>
      <c r="M211" s="16">
        <v>2</v>
      </c>
      <c r="N211" s="16">
        <f>COUNTIF(KalingaSG,"13")</f>
        <v>2</v>
      </c>
      <c r="O211" s="16">
        <f t="shared" si="18"/>
        <v>0</v>
      </c>
      <c r="Q211" s="16" t="s">
        <v>3088</v>
      </c>
      <c r="R211" s="16" t="s">
        <v>3084</v>
      </c>
    </row>
    <row r="212" spans="1:18" s="16" customFormat="1" ht="28.8" hidden="1">
      <c r="A212" s="269" t="str">
        <f>'staffing plan'!B184</f>
        <v>Local Government Operations Officer III</v>
      </c>
      <c r="B212" s="270">
        <f>+'staffing plan'!C184</f>
        <v>15</v>
      </c>
      <c r="C212" s="271" t="str">
        <f>+'staffing plan'!A184</f>
        <v>OSEC-DILGB-LGOO3-241-2010</v>
      </c>
      <c r="D212" s="298" t="str">
        <f>+'staffing plan'!AK184</f>
        <v>011</v>
      </c>
      <c r="E212" s="271" t="e">
        <f>+'staffing plan'!#REF!</f>
        <v>#REF!</v>
      </c>
      <c r="F212" s="271" t="e">
        <f>CONCATENATE('staffing plan'!#REF!," ",'staffing plan'!#REF!)</f>
        <v>#REF!</v>
      </c>
      <c r="G212" s="271" t="str">
        <f>'staffing plan'!AX184</f>
        <v>Kalinga</v>
      </c>
      <c r="H212" s="271" t="str">
        <f>'staffing plan'!AW184</f>
        <v>DOGUI-IS, Thyrza Shoey Leusen</v>
      </c>
      <c r="I212" s="282" t="s">
        <v>2790</v>
      </c>
      <c r="J212" s="261" t="e">
        <f t="shared" si="17"/>
        <v>#REF!</v>
      </c>
      <c r="L212" s="16" t="s">
        <v>1170</v>
      </c>
      <c r="M212" s="16">
        <v>2</v>
      </c>
      <c r="N212" s="16">
        <f>COUNTIF(KalingaSG,"8")</f>
        <v>2</v>
      </c>
      <c r="O212" s="16">
        <f t="shared" si="18"/>
        <v>0</v>
      </c>
    </row>
    <row r="213" spans="1:18" s="16" customFormat="1" ht="28.8" hidden="1">
      <c r="A213" s="237" t="str">
        <f>'staffing plan'!B191</f>
        <v>Local Government Operations Officer II</v>
      </c>
      <c r="B213" s="238">
        <f>+'staffing plan'!C191</f>
        <v>13</v>
      </c>
      <c r="C213" s="239" t="str">
        <f>+'staffing plan'!A191</f>
        <v>OSEC-DILGB-LGOO2-17-1998</v>
      </c>
      <c r="D213" s="929" t="str">
        <f>+'staffing plan'!AK191</f>
        <v>09</v>
      </c>
      <c r="E213" s="239" t="e">
        <f>+'staffing plan'!#REF!</f>
        <v>#REF!</v>
      </c>
      <c r="F213" s="239" t="e">
        <f>CONCATENATE('staffing plan'!#REF!," ",'staffing plan'!#REF!)</f>
        <v>#REF!</v>
      </c>
      <c r="G213" s="239" t="str">
        <f>'staffing plan'!AX191</f>
        <v>Mt. Province</v>
      </c>
      <c r="H213" s="239" t="str">
        <f>'staffing plan'!AW191</f>
        <v>DOGUP, Trisha Marie Alangsab</v>
      </c>
      <c r="I213" s="260" t="s">
        <v>2790</v>
      </c>
      <c r="J213" s="261" t="e">
        <f t="shared" si="17"/>
        <v>#REF!</v>
      </c>
      <c r="L213" s="16" t="s">
        <v>273</v>
      </c>
      <c r="M213" s="16">
        <v>1</v>
      </c>
      <c r="N213" s="16">
        <f>COUNTIF(KalingaSG,"6")</f>
        <v>1</v>
      </c>
      <c r="O213" s="16">
        <f t="shared" si="18"/>
        <v>0</v>
      </c>
    </row>
    <row r="214" spans="1:18" s="16" customFormat="1" ht="28.8" hidden="1">
      <c r="A214" s="237" t="str">
        <f>'staffing plan'!B200</f>
        <v>Local Government Operations Officer II</v>
      </c>
      <c r="B214" s="238">
        <f>+'staffing plan'!C200</f>
        <v>13</v>
      </c>
      <c r="C214" s="239" t="str">
        <f>+'staffing plan'!A200</f>
        <v>OSEC-DILGB-LGOO2-32-1998</v>
      </c>
      <c r="D214" s="240" t="str">
        <f>+'staffing plan'!AK200</f>
        <v>79</v>
      </c>
      <c r="E214" s="239" t="e">
        <f>+'staffing plan'!#REF!</f>
        <v>#REF!</v>
      </c>
      <c r="F214" s="239" t="e">
        <f>CONCATENATE('staffing plan'!#REF!," ",'staffing plan'!#REF!)</f>
        <v>#REF!</v>
      </c>
      <c r="G214" s="239" t="str">
        <f>'staffing plan'!AX200</f>
        <v>Abra</v>
      </c>
      <c r="H214" s="239" t="str">
        <f>'staffing plan'!AW200</f>
        <v>BALANAY, Mark Anthony Gumabay</v>
      </c>
      <c r="I214" s="260"/>
      <c r="J214" s="261" t="e">
        <f t="shared" si="17"/>
        <v>#REF!</v>
      </c>
      <c r="L214" s="16" t="s">
        <v>455</v>
      </c>
      <c r="M214" s="16">
        <v>1</v>
      </c>
      <c r="N214" s="16">
        <f>COUNTIF(KalingaSG,"4")</f>
        <v>1</v>
      </c>
      <c r="O214" s="16">
        <f>SUM(O206:O213)</f>
        <v>0</v>
      </c>
    </row>
    <row r="215" spans="1:18" s="16" customFormat="1" ht="28.8" hidden="1">
      <c r="A215" s="237" t="str">
        <f>'staffing plan'!B215</f>
        <v>Administrative Assistant II</v>
      </c>
      <c r="B215" s="238">
        <f>+'staffing plan'!C215</f>
        <v>8</v>
      </c>
      <c r="C215" s="239" t="str">
        <f>+'staffing plan'!A215</f>
        <v>OSEC-DILGB-ADAS2-77-2005</v>
      </c>
      <c r="D215" s="240" t="str">
        <f>+'staffing plan'!AK215</f>
        <v>79</v>
      </c>
      <c r="E215" s="239" t="e">
        <f>+'staffing plan'!#REF!</f>
        <v>#REF!</v>
      </c>
      <c r="F215" s="239" t="e">
        <f>CONCATENATE('staffing plan'!#REF!," ",'staffing plan'!#REF!)</f>
        <v>#REF!</v>
      </c>
      <c r="G215" s="239" t="str">
        <f>'staffing plan'!AX215</f>
        <v>Kalinga</v>
      </c>
      <c r="H215" s="239" t="str">
        <f>'staffing plan'!AW215</f>
        <v>GALLEMA, Michelle  Ignacio</v>
      </c>
      <c r="I215" s="260"/>
      <c r="J215" s="261" t="e">
        <f t="shared" si="17"/>
        <v>#REF!</v>
      </c>
      <c r="L215" s="16" t="s">
        <v>2195</v>
      </c>
      <c r="M215" s="16">
        <v>1</v>
      </c>
      <c r="N215" s="16">
        <f>COUNTIF(KalingaSG,"2")</f>
        <v>1</v>
      </c>
      <c r="O215" s="16">
        <f>SUM(O207:O214)</f>
        <v>0</v>
      </c>
    </row>
    <row r="216" spans="1:18" s="16" customFormat="1" ht="28.8" hidden="1">
      <c r="A216" s="237" t="str">
        <f>'staffing plan'!B213</f>
        <v>Administrative Assistant II</v>
      </c>
      <c r="B216" s="238">
        <f>+'staffing plan'!C213</f>
        <v>8</v>
      </c>
      <c r="C216" s="239" t="str">
        <f>+'staffing plan'!A213</f>
        <v>OSEC-DILGB-ADAS2-75-2005</v>
      </c>
      <c r="D216" s="245" t="str">
        <f>+'staffing plan'!AK213</f>
        <v>09</v>
      </c>
      <c r="E216" s="239" t="e">
        <f>+'staffing plan'!#REF!</f>
        <v>#REF!</v>
      </c>
      <c r="F216" s="239" t="e">
        <f>CONCATENATE('staffing plan'!#REF!," ",'staffing plan'!#REF!)</f>
        <v>#REF!</v>
      </c>
      <c r="G216" s="239" t="str">
        <f>'staffing plan'!AX213</f>
        <v>Kalinga</v>
      </c>
      <c r="H216" s="239" t="str">
        <f>'staffing plan'!AW213</f>
        <v>KILLIA-EN, Unice Lipawen</v>
      </c>
      <c r="I216" s="260" t="s">
        <v>2801</v>
      </c>
      <c r="J216" s="261" t="e">
        <f t="shared" si="17"/>
        <v>#REF!</v>
      </c>
      <c r="L216" s="16" t="s">
        <v>2196</v>
      </c>
      <c r="M216" s="16">
        <v>1</v>
      </c>
      <c r="N216" s="16">
        <f>COUNTIF(KalingaSG,"1")</f>
        <v>1</v>
      </c>
      <c r="O216" s="16">
        <f>SUM(O208:O215)</f>
        <v>0</v>
      </c>
    </row>
    <row r="217" spans="1:18" s="16" customFormat="1" ht="28.8" hidden="1">
      <c r="A217" s="237" t="str">
        <f>'staffing plan'!B222</f>
        <v>Administrative Aide VI</v>
      </c>
      <c r="B217" s="238">
        <f>+'staffing plan'!C222</f>
        <v>6</v>
      </c>
      <c r="C217" s="239" t="str">
        <f>+'staffing plan'!A222</f>
        <v>OSEC-DILGB-ADA6-103-2005</v>
      </c>
      <c r="D217" s="240" t="str">
        <f>+'staffing plan'!AK222</f>
        <v>79</v>
      </c>
      <c r="E217" s="239" t="e">
        <f>+'staffing plan'!#REF!</f>
        <v>#REF!</v>
      </c>
      <c r="F217" s="239" t="e">
        <f>CONCATENATE('staffing plan'!#REF!," ",'staffing plan'!#REF!)</f>
        <v>#REF!</v>
      </c>
      <c r="G217" s="239" t="str">
        <f>'staffing plan'!AX222</f>
        <v>Kalinga</v>
      </c>
      <c r="H217" s="239" t="str">
        <f>'staffing plan'!AW222</f>
        <v>BACDAYAN, Wilfred Ramirez</v>
      </c>
      <c r="I217" s="260"/>
      <c r="J217" s="261" t="e">
        <f t="shared" si="17"/>
        <v>#REF!</v>
      </c>
      <c r="M217" s="16">
        <f>SUM(M207:M216)</f>
        <v>22</v>
      </c>
      <c r="N217" s="16">
        <f>SUM(N207:N216)</f>
        <v>22</v>
      </c>
      <c r="O217" s="16">
        <f>SUM(O207:O216)</f>
        <v>0</v>
      </c>
    </row>
    <row r="218" spans="1:18" s="16" customFormat="1" ht="28.8" hidden="1">
      <c r="A218" s="237" t="str">
        <f>'staffing plan'!B228</f>
        <v>Administrative Aide IV</v>
      </c>
      <c r="B218" s="238">
        <f>+'staffing plan'!C228</f>
        <v>4</v>
      </c>
      <c r="C218" s="239" t="str">
        <f>+'staffing plan'!A228</f>
        <v>OSEC-DILGB-ADA4-93-2005</v>
      </c>
      <c r="D218" s="240" t="str">
        <f>+'staffing plan'!AK228</f>
        <v>79</v>
      </c>
      <c r="E218" s="239" t="e">
        <f>+'staffing plan'!#REF!</f>
        <v>#REF!</v>
      </c>
      <c r="F218" s="239" t="e">
        <f>CONCATENATE('staffing plan'!#REF!," ",'staffing plan'!#REF!)</f>
        <v>#REF!</v>
      </c>
      <c r="G218" s="239" t="str">
        <f>'staffing plan'!AX228</f>
        <v>Apayao</v>
      </c>
      <c r="H218" s="239" t="str">
        <f>'staffing plan'!AW228</f>
        <v>CAMPO, Nilo Palsic</v>
      </c>
      <c r="I218" s="260"/>
      <c r="J218" s="261" t="e">
        <f t="shared" si="17"/>
        <v>#REF!</v>
      </c>
    </row>
    <row r="219" spans="1:18" s="16" customFormat="1" ht="28.8" hidden="1">
      <c r="A219" s="237" t="str">
        <f>'staffing plan'!B234</f>
        <v xml:space="preserve">Administrative Aide II   </v>
      </c>
      <c r="B219" s="238">
        <f>+'staffing plan'!C234</f>
        <v>2</v>
      </c>
      <c r="C219" s="239" t="str">
        <f>+'staffing plan'!A234</f>
        <v>OSEC-DILGB-ADA2-57-2005</v>
      </c>
      <c r="D219" s="240" t="str">
        <f>+'staffing plan'!AK234</f>
        <v>79</v>
      </c>
      <c r="E219" s="239" t="e">
        <f>+'staffing plan'!#REF!</f>
        <v>#REF!</v>
      </c>
      <c r="F219" s="239" t="e">
        <f>CONCATENATE('staffing plan'!#REF!," ",'staffing plan'!#REF!)</f>
        <v>#REF!</v>
      </c>
      <c r="G219" s="239" t="str">
        <f>'staffing plan'!AX234</f>
        <v>Kalinga</v>
      </c>
      <c r="H219" s="239" t="str">
        <f>'staffing plan'!AW234</f>
        <v>FERNANDO, Marvin Flores</v>
      </c>
      <c r="I219" s="260"/>
      <c r="J219" s="261" t="e">
        <f t="shared" si="17"/>
        <v>#REF!</v>
      </c>
    </row>
    <row r="220" spans="1:18" s="16" customFormat="1" ht="28.8" hidden="1">
      <c r="A220" s="237" t="str">
        <f>'staffing plan'!B238</f>
        <v>Administrative Aide I</v>
      </c>
      <c r="B220" s="238">
        <f>+'staffing plan'!C238</f>
        <v>1</v>
      </c>
      <c r="C220" s="239" t="str">
        <f>+'staffing plan'!A238</f>
        <v>OSEC-DILGB-ADA1-32-2005</v>
      </c>
      <c r="D220" s="240" t="str">
        <f>+'staffing plan'!AK238</f>
        <v>79</v>
      </c>
      <c r="E220" s="239" t="e">
        <f>+'staffing plan'!#REF!</f>
        <v>#REF!</v>
      </c>
      <c r="F220" s="239" t="e">
        <f>CONCATENATE('staffing plan'!#REF!," ",'staffing plan'!#REF!)</f>
        <v>#REF!</v>
      </c>
      <c r="G220" s="239" t="str">
        <f>'staffing plan'!AX238</f>
        <v>Kalinga</v>
      </c>
      <c r="H220" s="239" t="str">
        <f>'staffing plan'!AW238</f>
        <v>KIBAYEN, Nelson Malnawan</v>
      </c>
      <c r="I220" s="260"/>
      <c r="J220" s="261" t="e">
        <f t="shared" si="17"/>
        <v>#REF!</v>
      </c>
    </row>
    <row r="221" spans="1:18" s="16" customFormat="1" ht="28.8">
      <c r="A221" s="237" t="str">
        <f>'staffing plan'!B138</f>
        <v>Local Government Operations OFFICER VI</v>
      </c>
      <c r="B221" s="238">
        <f>+'staffing plan'!C138</f>
        <v>22</v>
      </c>
      <c r="C221" s="239" t="str">
        <f>+'staffing plan'!A138</f>
        <v>OSEC-DILGB-LGOO6-54-2017</v>
      </c>
      <c r="D221" s="240" t="str">
        <f>+'staffing plan'!AK138</f>
        <v>0639</v>
      </c>
      <c r="E221" s="239" t="e">
        <f>+'staffing plan'!#REF!</f>
        <v>#REF!</v>
      </c>
      <c r="F221" s="239" t="e">
        <f>CONCATENATE('staffing plan'!#REF!," ",'staffing plan'!#REF!)</f>
        <v>#REF!</v>
      </c>
      <c r="G221" s="239" t="str">
        <f>'staffing plan'!AX138</f>
        <v>Kalinga</v>
      </c>
      <c r="H221" s="239" t="str">
        <f>'staffing plan'!AW138</f>
        <v>LUCAS, Chris Berana</v>
      </c>
      <c r="I221" s="260"/>
      <c r="J221" s="261" t="e">
        <f t="shared" si="17"/>
        <v>#REF!</v>
      </c>
    </row>
    <row r="222" spans="1:18" s="16" customFormat="1" ht="28.8">
      <c r="A222" s="237" t="str">
        <f>'staffing plan'!B139</f>
        <v>Local Government Operations OFFICER VI</v>
      </c>
      <c r="B222" s="238">
        <f>+'staffing plan'!C139</f>
        <v>22</v>
      </c>
      <c r="C222" s="239" t="str">
        <f>+'staffing plan'!A139</f>
        <v>OSEC-DILGB-LGOO6-55-2017</v>
      </c>
      <c r="D222" s="240" t="str">
        <f>+'staffing plan'!AK139</f>
        <v>0654</v>
      </c>
      <c r="E222" s="239" t="e">
        <f>+'staffing plan'!#REF!</f>
        <v>#REF!</v>
      </c>
      <c r="F222" s="239" t="e">
        <f>CONCATENATE('staffing plan'!#REF!," ",'staffing plan'!#REF!)</f>
        <v>#REF!</v>
      </c>
      <c r="G222" s="239" t="str">
        <f>'staffing plan'!AX139</f>
        <v>Kalinga</v>
      </c>
      <c r="H222" s="239" t="str">
        <f>'staffing plan'!AW139</f>
        <v>ACUAT, Alexander Gacuya</v>
      </c>
      <c r="I222" s="260"/>
      <c r="J222" s="261" t="e">
        <f t="shared" si="17"/>
        <v>#REF!</v>
      </c>
    </row>
    <row r="223" spans="1:18" s="16" customFormat="1" ht="28.8" hidden="1">
      <c r="A223" s="273" t="s">
        <v>1388</v>
      </c>
      <c r="B223" s="274"/>
      <c r="C223" s="275"/>
      <c r="D223" s="245"/>
      <c r="E223" s="275"/>
      <c r="F223" s="275" t="s">
        <v>2563</v>
      </c>
      <c r="G223" s="275"/>
      <c r="H223" s="278" t="s">
        <v>2802</v>
      </c>
      <c r="I223" s="283" t="s">
        <v>2786</v>
      </c>
      <c r="J223" s="284"/>
    </row>
    <row r="224" spans="1:18" s="16" customFormat="1" ht="28.8">
      <c r="A224" s="237" t="str">
        <f>'staffing plan'!B142</f>
        <v>Local Government Operations OFFICER VI</v>
      </c>
      <c r="B224" s="238">
        <f>+'staffing plan'!C142</f>
        <v>22</v>
      </c>
      <c r="C224" s="239" t="str">
        <f>+'staffing plan'!A142</f>
        <v>OSEC-DILGB-LGOO6-58-2017</v>
      </c>
      <c r="D224" s="240" t="str">
        <f>+'staffing plan'!AK142</f>
        <v>0663</v>
      </c>
      <c r="E224" s="239" t="e">
        <f>+'staffing plan'!#REF!</f>
        <v>#REF!</v>
      </c>
      <c r="F224" s="239" t="e">
        <f>CONCATENATE('staffing plan'!#REF!," ",'staffing plan'!#REF!)</f>
        <v>#REF!</v>
      </c>
      <c r="G224" s="239" t="str">
        <f>'staffing plan'!AX142</f>
        <v>Kalinga</v>
      </c>
      <c r="H224" s="239" t="str">
        <f>'staffing plan'!AW142</f>
        <v>ATING, Lucas Alsiyao</v>
      </c>
      <c r="I224" s="260"/>
      <c r="J224" s="261" t="e">
        <f>E224=G224</f>
        <v>#REF!</v>
      </c>
    </row>
    <row r="225" spans="1:18" s="16" customFormat="1" ht="28.8">
      <c r="A225" s="237" t="str">
        <f>'staffing plan'!B141</f>
        <v>Local Government Operations OFFICER VI</v>
      </c>
      <c r="B225" s="238">
        <f>+'staffing plan'!C141</f>
        <v>22</v>
      </c>
      <c r="C225" s="239" t="str">
        <f>+'staffing plan'!A141</f>
        <v>OSEC-DILGB-LGOO6-57-2017</v>
      </c>
      <c r="D225" s="240" t="str">
        <f>+'staffing plan'!AK141</f>
        <v>0669</v>
      </c>
      <c r="E225" s="239" t="e">
        <f>+'staffing plan'!#REF!</f>
        <v>#REF!</v>
      </c>
      <c r="F225" s="239" t="e">
        <f>CONCATENATE('staffing plan'!#REF!," ",'staffing plan'!#REF!)</f>
        <v>#REF!</v>
      </c>
      <c r="G225" s="239" t="str">
        <f>'staffing plan'!AX141</f>
        <v>Kalinga</v>
      </c>
      <c r="H225" s="239" t="str">
        <f>'staffing plan'!AW141</f>
        <v>LACUESTA, Helen Espita</v>
      </c>
      <c r="I225" s="260"/>
      <c r="J225" s="261" t="e">
        <f>E225=G225</f>
        <v>#REF!</v>
      </c>
      <c r="Q225" s="16" t="s">
        <v>408</v>
      </c>
      <c r="R225" s="16" t="s">
        <v>3084</v>
      </c>
    </row>
    <row r="226" spans="1:18" s="16" customFormat="1" ht="28.8">
      <c r="A226" s="237" t="str">
        <f>'staffing plan'!B144</f>
        <v>Local Government Operations OFFICER VI</v>
      </c>
      <c r="B226" s="238">
        <f>+'staffing plan'!C144</f>
        <v>22</v>
      </c>
      <c r="C226" s="239" t="str">
        <f>+'staffing plan'!A144</f>
        <v>OSEC-DILGB-LGOO6-60-2017</v>
      </c>
      <c r="D226" s="240" t="str">
        <f>+'staffing plan'!AK144</f>
        <v>0675</v>
      </c>
      <c r="E226" s="239" t="e">
        <f>+'staffing plan'!#REF!</f>
        <v>#REF!</v>
      </c>
      <c r="F226" s="239" t="e">
        <f>CONCATENATE('staffing plan'!#REF!," ",'staffing plan'!#REF!)</f>
        <v>#REF!</v>
      </c>
      <c r="G226" s="239" t="str">
        <f>'staffing plan'!AX144</f>
        <v>Kalinga</v>
      </c>
      <c r="H226" s="239" t="str">
        <f>'staffing plan'!AW144</f>
        <v>GAYUDAN, Franchita Lucob</v>
      </c>
      <c r="I226" s="260"/>
      <c r="J226" s="261" t="e">
        <f>E226=G226</f>
        <v>#REF!</v>
      </c>
    </row>
    <row r="227" spans="1:18" s="16" customFormat="1" ht="28.8">
      <c r="A227" s="237" t="str">
        <f>'staffing plan'!B143</f>
        <v>Local Government Operations OFFICER VI</v>
      </c>
      <c r="B227" s="238">
        <f>+'staffing plan'!C143</f>
        <v>22</v>
      </c>
      <c r="C227" s="239" t="str">
        <f>+'staffing plan'!A143</f>
        <v>OSEC-DILGB-LGOO6-59-2017</v>
      </c>
      <c r="D227" s="240" t="str">
        <f>+'staffing plan'!AK143</f>
        <v>0678</v>
      </c>
      <c r="E227" s="239" t="e">
        <f>+'staffing plan'!#REF!</f>
        <v>#REF!</v>
      </c>
      <c r="F227" s="239" t="e">
        <f>CONCATENATE('staffing plan'!#REF!," ",'staffing plan'!#REF!)</f>
        <v>#REF!</v>
      </c>
      <c r="G227" s="239" t="str">
        <f>'staffing plan'!AX143</f>
        <v>Kalinga</v>
      </c>
      <c r="H227" s="239" t="str">
        <f>'staffing plan'!AW143</f>
        <v>BAWANTA, Gemma Oga-oy</v>
      </c>
      <c r="I227" s="260"/>
      <c r="J227" s="261" t="e">
        <f>E227=G227</f>
        <v>#REF!</v>
      </c>
    </row>
    <row r="228" spans="1:18" s="16" customFormat="1" ht="28.8">
      <c r="A228" s="237" t="str">
        <f>'staffing plan'!B140</f>
        <v>Local Government Operations OFFICER VI</v>
      </c>
      <c r="B228" s="238">
        <f>+'staffing plan'!C140</f>
        <v>22</v>
      </c>
      <c r="C228" s="239" t="str">
        <f>+'staffing plan'!A140</f>
        <v>OSEC-DILGB-LGOO6-56-2017</v>
      </c>
      <c r="D228" s="240" t="str">
        <f>+'staffing plan'!AK140</f>
        <v>0681</v>
      </c>
      <c r="E228" s="239" t="e">
        <f>+'staffing plan'!#REF!</f>
        <v>#REF!</v>
      </c>
      <c r="F228" s="239" t="e">
        <f>CONCATENATE('staffing plan'!#REF!," ",'staffing plan'!#REF!)</f>
        <v>#REF!</v>
      </c>
      <c r="G228" s="239" t="str">
        <f>'staffing plan'!AX140</f>
        <v>Kalinga</v>
      </c>
      <c r="H228" s="239" t="str">
        <f>'staffing plan'!AW140</f>
        <v>LORENZO, Elizabeth Perpetua Baylon</v>
      </c>
      <c r="I228" s="260"/>
      <c r="J228" s="261" t="e">
        <f>E228=G228</f>
        <v>#REF!</v>
      </c>
      <c r="Q228" s="16" t="s">
        <v>174</v>
      </c>
      <c r="R228" s="16" t="s">
        <v>3084</v>
      </c>
    </row>
    <row r="229" spans="1:18" hidden="1">
      <c r="A229" s="241"/>
      <c r="B229" s="242"/>
      <c r="C229" s="243"/>
      <c r="D229" s="254"/>
      <c r="E229" s="243"/>
      <c r="F229" s="243"/>
      <c r="G229" s="243"/>
      <c r="H229" s="243"/>
      <c r="I229" s="262"/>
      <c r="N229" s="267"/>
      <c r="O229" s="267"/>
    </row>
    <row r="230" spans="1:18" s="231" customFormat="1">
      <c r="A230" s="234" t="s">
        <v>2803</v>
      </c>
      <c r="B230" s="255"/>
      <c r="C230" s="256"/>
      <c r="D230" s="257"/>
      <c r="E230" s="256"/>
      <c r="F230" s="256"/>
      <c r="G230" s="256"/>
      <c r="H230" s="256"/>
      <c r="I230" s="265"/>
      <c r="J230" s="266"/>
      <c r="L230"/>
      <c r="M230" s="15"/>
      <c r="N230" s="15"/>
      <c r="O230" s="15"/>
    </row>
    <row r="231" spans="1:18" s="16" customFormat="1" ht="28.8" hidden="1">
      <c r="A231" s="269" t="str">
        <f>'staffing plan'!B71</f>
        <v>Local Government Operations Officer VIII</v>
      </c>
      <c r="B231" s="270">
        <f>+'staffing plan'!C71</f>
        <v>26</v>
      </c>
      <c r="C231" s="271" t="str">
        <f>+'staffing plan'!A71</f>
        <v>OSEC-DILGB-LGOO8-67-1998</v>
      </c>
      <c r="D231" s="272" t="str">
        <f>+'staffing plan'!AK71</f>
        <v>09</v>
      </c>
      <c r="E231" s="271" t="e">
        <f>+'staffing plan'!#REF!</f>
        <v>#REF!</v>
      </c>
      <c r="F231" s="271" t="e">
        <f>CONCATENATE('staffing plan'!#REF!," ",'staffing plan'!#REF!)</f>
        <v>#REF!</v>
      </c>
      <c r="G231" s="271" t="str">
        <f>'staffing plan'!AX71</f>
        <v>Baguio City</v>
      </c>
      <c r="H231" s="271" t="str">
        <f>'staffing plan'!AW71</f>
        <v>TRINIDAD, Evelyn Ballug</v>
      </c>
      <c r="I231" s="282"/>
      <c r="J231" s="261" t="e">
        <f t="shared" ref="J231:J254" si="19">E231=G231</f>
        <v>#REF!</v>
      </c>
      <c r="L231" s="296" t="s">
        <v>2782</v>
      </c>
    </row>
    <row r="232" spans="1:18" s="16" customFormat="1" ht="28.8" hidden="1">
      <c r="A232" s="237" t="str">
        <f>'staffing plan'!B91</f>
        <v>Local Government Operations Officer VI</v>
      </c>
      <c r="B232" s="238">
        <f>+'staffing plan'!C91</f>
        <v>22</v>
      </c>
      <c r="C232" s="239" t="str">
        <f>+'staffing plan'!A91</f>
        <v>OSEC-DILGB-LGOO6-10-2010</v>
      </c>
      <c r="D232" s="240" t="str">
        <f>+'staffing plan'!AK91</f>
        <v>011</v>
      </c>
      <c r="E232" s="239" t="e">
        <f>+'staffing plan'!#REF!</f>
        <v>#REF!</v>
      </c>
      <c r="F232" s="239" t="e">
        <f>CONCATENATE('staffing plan'!#REF!," ",'staffing plan'!#REF!)</f>
        <v>#REF!</v>
      </c>
      <c r="G232" s="239">
        <f>'staffing plan'!AX91</f>
        <v>0</v>
      </c>
      <c r="H232" s="239" t="str">
        <f>'staffing plan'!AW91</f>
        <v xml:space="preserve">Vacant ABULENCIA,  </v>
      </c>
      <c r="I232" s="260"/>
      <c r="J232" s="261" t="e">
        <f t="shared" si="19"/>
        <v>#REF!</v>
      </c>
      <c r="L232" s="16" t="s">
        <v>463</v>
      </c>
      <c r="M232" s="16">
        <v>1</v>
      </c>
      <c r="N232" s="16">
        <f>COUNTIF(MtProvinceSG,"26")</f>
        <v>1</v>
      </c>
      <c r="O232" s="16">
        <f>+M232-N232</f>
        <v>0</v>
      </c>
    </row>
    <row r="233" spans="1:18" s="16" customFormat="1" ht="28.8" hidden="1">
      <c r="A233" s="237" t="str">
        <f>'staffing plan'!B159</f>
        <v>Local Government Operations Officer VI</v>
      </c>
      <c r="B233" s="238">
        <f>+'staffing plan'!C159</f>
        <v>22</v>
      </c>
      <c r="C233" s="239" t="str">
        <f>+'staffing plan'!A159</f>
        <v>OSEC-DILGB-LGOO6-236-2010</v>
      </c>
      <c r="D233" s="240" t="str">
        <f>+'staffing plan'!AK159</f>
        <v>08</v>
      </c>
      <c r="E233" s="239" t="e">
        <f>+'staffing plan'!#REF!</f>
        <v>#REF!</v>
      </c>
      <c r="F233" s="239" t="e">
        <f>CONCATENATE('staffing plan'!#REF!," ",'staffing plan'!#REF!)</f>
        <v>#REF!</v>
      </c>
      <c r="G233" s="239" t="str">
        <f>'staffing plan'!AX159</f>
        <v>Apayao</v>
      </c>
      <c r="H233" s="239" t="str">
        <f>'staffing plan'!AW159</f>
        <v>ACERET, Wilnelia Martinez</v>
      </c>
      <c r="I233" s="260"/>
      <c r="J233" s="261" t="e">
        <f t="shared" si="19"/>
        <v>#REF!</v>
      </c>
      <c r="L233" s="16" t="s">
        <v>157</v>
      </c>
      <c r="M233" s="16">
        <v>2</v>
      </c>
      <c r="N233" s="16">
        <f>COUNTIF(MtProvinceSG,"22")+COUNTIF(MtProvinceSG,"24")</f>
        <v>12</v>
      </c>
      <c r="O233" s="16">
        <f t="shared" ref="O233:O239" si="20">+M233-N233</f>
        <v>-10</v>
      </c>
    </row>
    <row r="234" spans="1:18" s="16" customFormat="1" ht="28.8">
      <c r="A234" s="237" t="str">
        <f>'staffing plan'!B158</f>
        <v>Local Government Operations Officer VI</v>
      </c>
      <c r="B234" s="238">
        <f>+'staffing plan'!C158</f>
        <v>22</v>
      </c>
      <c r="C234" s="239" t="str">
        <f>+'staffing plan'!A158</f>
        <v>OSEC-DILGB-LGOO6-74-2017</v>
      </c>
      <c r="D234" s="240" t="str">
        <f>+'staffing plan'!AK158</f>
        <v>09</v>
      </c>
      <c r="E234" s="239" t="e">
        <f>+'staffing plan'!#REF!</f>
        <v>#REF!</v>
      </c>
      <c r="F234" s="239" t="e">
        <f>CONCATENATE('staffing plan'!#REF!," ",'staffing plan'!#REF!)</f>
        <v>#REF!</v>
      </c>
      <c r="G234" s="239" t="str">
        <f>'staffing plan'!AX158</f>
        <v>Mt. Province</v>
      </c>
      <c r="H234" s="239" t="str">
        <f>'staffing plan'!AW158</f>
        <v>FIAR-OD, Ray Bomas-ang</v>
      </c>
      <c r="I234" s="260"/>
      <c r="J234" s="261" t="e">
        <f t="shared" si="19"/>
        <v>#REF!</v>
      </c>
      <c r="L234" s="16" t="s">
        <v>165</v>
      </c>
      <c r="M234" s="16">
        <v>13</v>
      </c>
      <c r="N234" s="16">
        <f>COUNTIF(MtProvinceSG,"20")</f>
        <v>3</v>
      </c>
      <c r="O234" s="16">
        <f t="shared" si="20"/>
        <v>10</v>
      </c>
    </row>
    <row r="235" spans="1:18" s="16" customFormat="1" ht="28.8">
      <c r="A235" s="237" t="str">
        <f>'staffing plan'!B164</f>
        <v>Local Government Operations Officer V</v>
      </c>
      <c r="B235" s="238">
        <f>+'staffing plan'!C164</f>
        <v>20</v>
      </c>
      <c r="C235" s="239" t="str">
        <f>+'staffing plan'!A164</f>
        <v>OSEC-DILGB-LGOO5-101-2010</v>
      </c>
      <c r="D235" s="240" t="str">
        <f>+'staffing plan'!AK164</f>
        <v>09</v>
      </c>
      <c r="E235" s="239" t="e">
        <f>+'staffing plan'!#REF!</f>
        <v>#REF!</v>
      </c>
      <c r="F235" s="239" t="e">
        <f>CONCATENATE('staffing plan'!#REF!," ",'staffing plan'!#REF!)</f>
        <v>#REF!</v>
      </c>
      <c r="G235" s="239" t="str">
        <f>'staffing plan'!AX164</f>
        <v>Mt. Province</v>
      </c>
      <c r="H235" s="239" t="str">
        <f>'staffing plan'!AW164</f>
        <v>MABIASAN, Domingo Gaw-i</v>
      </c>
      <c r="I235" s="260"/>
      <c r="J235" s="261" t="e">
        <f t="shared" si="19"/>
        <v>#REF!</v>
      </c>
      <c r="L235" s="16" t="s">
        <v>1074</v>
      </c>
      <c r="M235" s="16">
        <v>3</v>
      </c>
      <c r="N235" s="16">
        <f>COUNTIF(MtProvinceSG,"13")</f>
        <v>3</v>
      </c>
      <c r="O235" s="16">
        <f t="shared" si="20"/>
        <v>0</v>
      </c>
    </row>
    <row r="236" spans="1:18" s="16" customFormat="1" ht="28.8">
      <c r="A236" s="237" t="str">
        <f>'staffing plan'!B172</f>
        <v>Local Government Operations Officer V</v>
      </c>
      <c r="B236" s="238">
        <f>+'staffing plan'!C172</f>
        <v>20</v>
      </c>
      <c r="C236" s="239" t="str">
        <f>+'staffing plan'!A172</f>
        <v>OSEC-DILGB-LGOO5-947-1998</v>
      </c>
      <c r="D236" s="240" t="str">
        <f>+'staffing plan'!AK172</f>
        <v>09</v>
      </c>
      <c r="E236" s="239" t="e">
        <f>+'staffing plan'!#REF!</f>
        <v>#REF!</v>
      </c>
      <c r="F236" s="239" t="e">
        <f>CONCATENATE('staffing plan'!#REF!," ",'staffing plan'!#REF!)</f>
        <v>#REF!</v>
      </c>
      <c r="G236" s="239" t="str">
        <f>'staffing plan'!AX172</f>
        <v>Mt. Province</v>
      </c>
      <c r="H236" s="239" t="str">
        <f>'staffing plan'!AW172</f>
        <v>LICYAYO, Jennifer Lablabong</v>
      </c>
      <c r="I236" s="260"/>
      <c r="J236" s="261" t="e">
        <f t="shared" si="19"/>
        <v>#REF!</v>
      </c>
      <c r="L236" s="16" t="s">
        <v>1170</v>
      </c>
      <c r="M236" s="16">
        <v>2</v>
      </c>
      <c r="N236" s="16">
        <f>COUNTIF(MtProvinceSG,"8")</f>
        <v>2</v>
      </c>
      <c r="O236" s="16">
        <f t="shared" si="20"/>
        <v>0</v>
      </c>
    </row>
    <row r="237" spans="1:18" s="16" customFormat="1" ht="28.8">
      <c r="A237" s="237" t="str">
        <f>'staffing plan'!B171</f>
        <v>Local Government Operations Officer V</v>
      </c>
      <c r="B237" s="238">
        <f>+'staffing plan'!C171</f>
        <v>20</v>
      </c>
      <c r="C237" s="239" t="str">
        <f>+'staffing plan'!A171</f>
        <v>OSEC-DILGB-LGOO5-943-1998</v>
      </c>
      <c r="D237" s="240" t="str">
        <f>+'staffing plan'!AK171</f>
        <v>09</v>
      </c>
      <c r="E237" s="239" t="e">
        <f>+'staffing plan'!#REF!</f>
        <v>#REF!</v>
      </c>
      <c r="F237" s="239" t="e">
        <f>CONCATENATE('staffing plan'!#REF!," ",'staffing plan'!#REF!)</f>
        <v>#REF!</v>
      </c>
      <c r="G237" s="239" t="str">
        <f>'staffing plan'!AX171</f>
        <v>Mt. Province</v>
      </c>
      <c r="H237" s="239" t="str">
        <f>'staffing plan'!AW171</f>
        <v>BACWADEN, Perry  Daoas</v>
      </c>
      <c r="I237" s="260"/>
      <c r="J237" s="261" t="e">
        <f t="shared" si="19"/>
        <v>#REF!</v>
      </c>
      <c r="L237" s="16" t="s">
        <v>273</v>
      </c>
      <c r="M237" s="16">
        <v>1</v>
      </c>
      <c r="N237" s="16">
        <f>COUNTIF(MtProvinceSG,"6")</f>
        <v>1</v>
      </c>
      <c r="O237" s="16">
        <f t="shared" si="20"/>
        <v>0</v>
      </c>
      <c r="Q237" s="16" t="s">
        <v>2307</v>
      </c>
      <c r="R237" s="16" t="s">
        <v>3084</v>
      </c>
    </row>
    <row r="238" spans="1:18" s="16" customFormat="1" ht="28.8" hidden="1">
      <c r="A238" s="237" t="str">
        <f>'staffing plan'!B194</f>
        <v>Local Government Operations Officer II</v>
      </c>
      <c r="B238" s="238">
        <f>+'staffing plan'!C194</f>
        <v>13</v>
      </c>
      <c r="C238" s="239" t="str">
        <f>+'staffing plan'!A194</f>
        <v>OSEC-DILGB-LGOO2-22-1998</v>
      </c>
      <c r="D238" s="240" t="str">
        <f>+'staffing plan'!AK194</f>
        <v>09</v>
      </c>
      <c r="E238" s="239" t="e">
        <f>+'staffing plan'!#REF!</f>
        <v>#REF!</v>
      </c>
      <c r="F238" s="239" t="e">
        <f>CONCATENATE('staffing plan'!#REF!," ",'staffing plan'!#REF!)</f>
        <v>#REF!</v>
      </c>
      <c r="G238" s="239" t="str">
        <f>'staffing plan'!AX194</f>
        <v>Abra</v>
      </c>
      <c r="H238" s="239" t="str">
        <f>'staffing plan'!AW194</f>
        <v>ANDANAN, Jaleemar Bosque</v>
      </c>
      <c r="I238" s="260"/>
      <c r="J238" s="261" t="e">
        <f t="shared" si="19"/>
        <v>#REF!</v>
      </c>
      <c r="L238" s="16" t="s">
        <v>455</v>
      </c>
      <c r="M238" s="16">
        <v>1</v>
      </c>
      <c r="N238" s="16">
        <f>COUNTIF(MtProvinceSG,"4")</f>
        <v>1</v>
      </c>
      <c r="O238" s="16">
        <f t="shared" si="20"/>
        <v>0</v>
      </c>
    </row>
    <row r="239" spans="1:18" s="16" customFormat="1" ht="28.8" hidden="1">
      <c r="A239" s="237" t="str">
        <f>'staffing plan'!B208</f>
        <v>Administrative Assistant II</v>
      </c>
      <c r="B239" s="238">
        <f>+'staffing plan'!C208</f>
        <v>8</v>
      </c>
      <c r="C239" s="239" t="str">
        <f>+'staffing plan'!A208</f>
        <v>OSEC-DILGB-ADAS2-68-2005</v>
      </c>
      <c r="D239" s="240" t="str">
        <f>+'staffing plan'!AK208</f>
        <v>09</v>
      </c>
      <c r="E239" s="239" t="e">
        <f>+'staffing plan'!#REF!</f>
        <v>#REF!</v>
      </c>
      <c r="F239" s="239" t="e">
        <f>CONCATENATE('staffing plan'!#REF!," ",'staffing plan'!#REF!)</f>
        <v>#REF!</v>
      </c>
      <c r="G239" s="239" t="str">
        <f>'staffing plan'!AX208</f>
        <v>Mt. Province</v>
      </c>
      <c r="H239" s="239" t="str">
        <f>'staffing plan'!AW208</f>
        <v>DEPALOG, Kharla Lhyn Bagwan</v>
      </c>
      <c r="I239" s="260"/>
      <c r="J239" s="261" t="e">
        <f t="shared" si="19"/>
        <v>#REF!</v>
      </c>
      <c r="L239" s="16" t="s">
        <v>2196</v>
      </c>
      <c r="M239" s="16">
        <v>1</v>
      </c>
      <c r="N239" s="16">
        <f>COUNTIF(MtProvinceSG,"1")</f>
        <v>1</v>
      </c>
      <c r="O239" s="16">
        <f t="shared" si="20"/>
        <v>0</v>
      </c>
    </row>
    <row r="240" spans="1:18" s="16" customFormat="1" ht="28.8" hidden="1">
      <c r="A240" s="237" t="str">
        <f>'staffing plan'!B210</f>
        <v>Administrative Assistant II</v>
      </c>
      <c r="B240" s="238">
        <f>+'staffing plan'!C210</f>
        <v>8</v>
      </c>
      <c r="C240" s="239" t="str">
        <f>+'staffing plan'!A210</f>
        <v>OSEC-DILGB-ADAS2-71-2005</v>
      </c>
      <c r="D240" s="245" t="str">
        <f>+'staffing plan'!AK210</f>
        <v>06</v>
      </c>
      <c r="E240" s="239" t="e">
        <f>+'staffing plan'!#REF!</f>
        <v>#REF!</v>
      </c>
      <c r="F240" s="239" t="e">
        <f>CONCATENATE('staffing plan'!#REF!," ",'staffing plan'!#REF!)</f>
        <v>#REF!</v>
      </c>
      <c r="G240" s="239" t="str">
        <f>'staffing plan'!AX210</f>
        <v>Mt. Province</v>
      </c>
      <c r="H240" s="239" t="str">
        <f>'staffing plan'!AW210</f>
        <v>TAMI-ING, Marilyn Kilayon</v>
      </c>
      <c r="I240" s="260" t="s">
        <v>2777</v>
      </c>
      <c r="J240" s="261" t="e">
        <f t="shared" si="19"/>
        <v>#REF!</v>
      </c>
      <c r="M240" s="16">
        <f>SUM(M232:M239)</f>
        <v>24</v>
      </c>
      <c r="N240" s="16">
        <f>SUM(N232:N239)</f>
        <v>24</v>
      </c>
      <c r="O240" s="16">
        <f>SUM(O232:O239)</f>
        <v>0</v>
      </c>
    </row>
    <row r="241" spans="1:18" s="16" customFormat="1" ht="28.8" hidden="1">
      <c r="A241" s="237" t="str">
        <f>'staffing plan'!B220</f>
        <v>Administrative Aide VI</v>
      </c>
      <c r="B241" s="238">
        <f>+'staffing plan'!C220</f>
        <v>6</v>
      </c>
      <c r="C241" s="239" t="str">
        <f>+'staffing plan'!A220</f>
        <v>OSEC-DILGB-ADA6-101-2005</v>
      </c>
      <c r="D241" s="240" t="str">
        <f>+'staffing plan'!AK220</f>
        <v>09</v>
      </c>
      <c r="E241" s="239" t="e">
        <f>+'staffing plan'!#REF!</f>
        <v>#REF!</v>
      </c>
      <c r="F241" s="239" t="e">
        <f>CONCATENATE('staffing plan'!#REF!," ",'staffing plan'!#REF!)</f>
        <v>#REF!</v>
      </c>
      <c r="G241" s="239">
        <f>'staffing plan'!AX220</f>
        <v>0</v>
      </c>
      <c r="H241" s="239" t="str">
        <f>'staffing plan'!AW220</f>
        <v xml:space="preserve">vacant FABAG,  </v>
      </c>
      <c r="I241" s="260"/>
      <c r="J241" s="261" t="e">
        <f t="shared" si="19"/>
        <v>#REF!</v>
      </c>
    </row>
    <row r="242" spans="1:18" s="16" customFormat="1" ht="28.8" hidden="1">
      <c r="A242" s="237" t="str">
        <f>'staffing plan'!B226</f>
        <v>Administrative Aide IV</v>
      </c>
      <c r="B242" s="238">
        <f>+'staffing plan'!C226</f>
        <v>4</v>
      </c>
      <c r="C242" s="239" t="str">
        <f>+'staffing plan'!A226</f>
        <v>OSEC-DILGB-ADA4-91-2005</v>
      </c>
      <c r="D242" s="240" t="str">
        <f>+'staffing plan'!AK226</f>
        <v>09</v>
      </c>
      <c r="E242" s="239" t="e">
        <f>+'staffing plan'!#REF!</f>
        <v>#REF!</v>
      </c>
      <c r="F242" s="239" t="e">
        <f>CONCATENATE('staffing plan'!#REF!," ",'staffing plan'!#REF!)</f>
        <v>#REF!</v>
      </c>
      <c r="G242" s="239" t="str">
        <f>'staffing plan'!AX226</f>
        <v>Mt. Province</v>
      </c>
      <c r="H242" s="239" t="str">
        <f>'staffing plan'!AW226</f>
        <v>LOMAS-E, Rose Mere Manarop</v>
      </c>
      <c r="I242" s="260"/>
      <c r="J242" s="261" t="e">
        <f t="shared" si="19"/>
        <v>#REF!</v>
      </c>
    </row>
    <row r="243" spans="1:18" s="16" customFormat="1" ht="28.8" hidden="1">
      <c r="A243" s="237" t="str">
        <f>'staffing plan'!B237</f>
        <v>Administrative Aide I</v>
      </c>
      <c r="B243" s="238">
        <f>+'staffing plan'!C237</f>
        <v>1</v>
      </c>
      <c r="C243" s="239" t="str">
        <f>+'staffing plan'!A237</f>
        <v>OSEC-DILGB-ADA1-30-2005</v>
      </c>
      <c r="D243" s="240" t="str">
        <f>+'staffing plan'!AK237</f>
        <v>09</v>
      </c>
      <c r="E243" s="239" t="e">
        <f>+'staffing plan'!#REF!</f>
        <v>#REF!</v>
      </c>
      <c r="F243" s="239" t="e">
        <f>CONCATENATE('staffing plan'!#REF!," ",'staffing plan'!#REF!)</f>
        <v>#REF!</v>
      </c>
      <c r="G243" s="239" t="str">
        <f>'staffing plan'!AX237</f>
        <v>Mt. Province</v>
      </c>
      <c r="H243" s="239" t="str">
        <f>'staffing plan'!AW237</f>
        <v>LOMAS-E, Wilmon Finotton</v>
      </c>
      <c r="I243" s="260"/>
      <c r="J243" s="261" t="e">
        <f t="shared" si="19"/>
        <v>#REF!</v>
      </c>
    </row>
    <row r="244" spans="1:18" s="16" customFormat="1" ht="28.8">
      <c r="A244" s="237" t="str">
        <f>'staffing plan'!B152</f>
        <v>Local Government Operations Officer VI</v>
      </c>
      <c r="B244" s="238">
        <f>+'staffing plan'!C152</f>
        <v>22</v>
      </c>
      <c r="C244" s="239" t="str">
        <f>+'staffing plan'!A152</f>
        <v>OSEC-DILGB-LGOO6-68-2017</v>
      </c>
      <c r="D244" s="240" t="str">
        <f>+'staffing plan'!AK152</f>
        <v>0579</v>
      </c>
      <c r="E244" s="239" t="e">
        <f>+'staffing plan'!#REF!</f>
        <v>#REF!</v>
      </c>
      <c r="F244" s="239" t="e">
        <f>CONCATENATE('staffing plan'!#REF!," ",'staffing plan'!#REF!)</f>
        <v>#REF!</v>
      </c>
      <c r="G244" s="239" t="str">
        <f>'staffing plan'!AX152</f>
        <v>Mt. Province</v>
      </c>
      <c r="H244" s="239" t="str">
        <f>'staffing plan'!AW152</f>
        <v>GUIAWAN, Maria Addalay</v>
      </c>
      <c r="I244" s="260"/>
      <c r="J244" s="261" t="e">
        <f t="shared" si="19"/>
        <v>#REF!</v>
      </c>
      <c r="Q244" s="16" t="s">
        <v>167</v>
      </c>
      <c r="R244" s="16" t="s">
        <v>3084</v>
      </c>
    </row>
    <row r="245" spans="1:18" s="16" customFormat="1" ht="28.8" hidden="1">
      <c r="A245" s="237" t="str">
        <f>'staffing plan'!B195</f>
        <v>Local Government Operations Officer II</v>
      </c>
      <c r="B245" s="238">
        <f>+'staffing plan'!C195</f>
        <v>13</v>
      </c>
      <c r="C245" s="239" t="str">
        <f>+'staffing plan'!A195</f>
        <v>OSEC-DILGB-LGOO2-23-1998</v>
      </c>
      <c r="D245" s="240" t="str">
        <f>+'staffing plan'!AK195</f>
        <v>0582</v>
      </c>
      <c r="E245" s="239" t="e">
        <f>+'staffing plan'!#REF!</f>
        <v>#REF!</v>
      </c>
      <c r="F245" s="239" t="e">
        <f>CONCATENATE('staffing plan'!#REF!," ",'staffing plan'!#REF!)</f>
        <v>#REF!</v>
      </c>
      <c r="G245" s="239" t="str">
        <f>'staffing plan'!AX195</f>
        <v>Apayao</v>
      </c>
      <c r="H245" s="239" t="str">
        <f>'staffing plan'!AW195</f>
        <v>ALCANTARA, Joey Paul Bistayan</v>
      </c>
      <c r="I245" s="285" t="s">
        <v>2787</v>
      </c>
      <c r="J245" s="286" t="e">
        <f t="shared" si="19"/>
        <v>#REF!</v>
      </c>
    </row>
    <row r="246" spans="1:18" s="16" customFormat="1" ht="28.8">
      <c r="A246" s="237" t="str">
        <f>'staffing plan'!B146</f>
        <v>Local Government Operations Officer VI</v>
      </c>
      <c r="B246" s="238">
        <f>+'staffing plan'!C146</f>
        <v>22</v>
      </c>
      <c r="C246" s="239" t="str">
        <f>+'staffing plan'!A146</f>
        <v>OSEC-DILGB-LGOO6-62-2017</v>
      </c>
      <c r="D246" s="240" t="str">
        <f>+'staffing plan'!AK146</f>
        <v>0585</v>
      </c>
      <c r="E246" s="239" t="e">
        <f>+'staffing plan'!#REF!</f>
        <v>#REF!</v>
      </c>
      <c r="F246" s="239" t="e">
        <f>CONCATENATE('staffing plan'!#REF!," ",'staffing plan'!#REF!)</f>
        <v>#REF!</v>
      </c>
      <c r="G246" s="239" t="str">
        <f>'staffing plan'!AX146</f>
        <v>Mt. Province</v>
      </c>
      <c r="H246" s="239" t="str">
        <f>'staffing plan'!AW146</f>
        <v>FEGCAN, Erwin Gerald Talusig</v>
      </c>
      <c r="I246" s="260"/>
      <c r="J246" s="261" t="e">
        <f t="shared" si="19"/>
        <v>#REF!</v>
      </c>
      <c r="L246" s="16" t="s">
        <v>2197</v>
      </c>
      <c r="M246" s="16">
        <f>+M240+M217+M187+M155+M143+M121+M72</f>
        <v>170</v>
      </c>
    </row>
    <row r="247" spans="1:18" s="16" customFormat="1" ht="28.8">
      <c r="A247" s="237" t="str">
        <f>'staffing plan'!B148</f>
        <v>Local Government Operations Officer VI</v>
      </c>
      <c r="B247" s="238">
        <f>+'staffing plan'!C148</f>
        <v>22</v>
      </c>
      <c r="C247" s="239" t="str">
        <f>+'staffing plan'!A148</f>
        <v>OSEC-DILGB-LGOO6-64-2017</v>
      </c>
      <c r="D247" s="240" t="str">
        <f>+'staffing plan'!AK148</f>
        <v>0588</v>
      </c>
      <c r="E247" s="239" t="e">
        <f>+'staffing plan'!#REF!</f>
        <v>#REF!</v>
      </c>
      <c r="F247" s="239" t="e">
        <f>CONCATENATE('staffing plan'!#REF!," ",'staffing plan'!#REF!)</f>
        <v>#REF!</v>
      </c>
      <c r="G247" s="239" t="str">
        <f>'staffing plan'!AX148</f>
        <v>Mt. Province</v>
      </c>
      <c r="H247" s="239" t="str">
        <f>'staffing plan'!AW148</f>
        <v>FA-ED, Jill  Fanged</v>
      </c>
      <c r="I247" s="260"/>
      <c r="J247" s="261" t="e">
        <f t="shared" si="19"/>
        <v>#REF!</v>
      </c>
    </row>
    <row r="248" spans="1:18" s="16" customFormat="1" ht="28.8">
      <c r="A248" s="237" t="str">
        <f>'staffing plan'!B151</f>
        <v>Local Government Operations Officer VI</v>
      </c>
      <c r="B248" s="238">
        <f>+'staffing plan'!C151</f>
        <v>22</v>
      </c>
      <c r="C248" s="239" t="str">
        <f>+'staffing plan'!A151</f>
        <v>OSEC-DILGB-LGOO6-67-2017</v>
      </c>
      <c r="D248" s="240" t="str">
        <f>+'staffing plan'!AK151</f>
        <v>0591</v>
      </c>
      <c r="E248" s="239" t="e">
        <f>+'staffing plan'!#REF!</f>
        <v>#REF!</v>
      </c>
      <c r="F248" s="239" t="e">
        <f>CONCATENATE('staffing plan'!#REF!," ",'staffing plan'!#REF!)</f>
        <v>#REF!</v>
      </c>
      <c r="G248" s="239" t="str">
        <f>'staffing plan'!AX151</f>
        <v>Mt. Province</v>
      </c>
      <c r="H248" s="239" t="str">
        <f>'staffing plan'!AW151</f>
        <v>MAYMAYA, Johnny Jr.  Mukay</v>
      </c>
      <c r="I248" s="260"/>
      <c r="J248" s="261" t="e">
        <f t="shared" si="19"/>
        <v>#REF!</v>
      </c>
      <c r="Q248" s="16" t="s">
        <v>167</v>
      </c>
      <c r="R248" s="16" t="s">
        <v>3084</v>
      </c>
    </row>
    <row r="249" spans="1:18" s="16" customFormat="1" ht="28.8">
      <c r="A249" s="269" t="str">
        <f>'staffing plan'!B147</f>
        <v>Local Government Operations Officer VI</v>
      </c>
      <c r="B249" s="270">
        <f>+'staffing plan'!C147</f>
        <v>22</v>
      </c>
      <c r="C249" s="271" t="str">
        <f>+'staffing plan'!A147</f>
        <v>OSEC-DILGB-LGOO6-63-2017</v>
      </c>
      <c r="D249" s="272" t="str">
        <f>+'staffing plan'!AK147</f>
        <v>0594</v>
      </c>
      <c r="E249" s="271" t="e">
        <f>+'staffing plan'!#REF!</f>
        <v>#REF!</v>
      </c>
      <c r="F249" s="271" t="e">
        <f>CONCATENATE('staffing plan'!#REF!," ",'staffing plan'!#REF!)</f>
        <v>#REF!</v>
      </c>
      <c r="G249" s="271" t="str">
        <f>'staffing plan'!AX147</f>
        <v>Mt. Province</v>
      </c>
      <c r="H249" s="271" t="str">
        <f>'staffing plan'!AW147</f>
        <v>MANGANGEY, Robert Jr.  Palog</v>
      </c>
      <c r="I249" s="282"/>
      <c r="J249" s="261" t="e">
        <f t="shared" si="19"/>
        <v>#REF!</v>
      </c>
    </row>
    <row r="250" spans="1:18" s="16" customFormat="1" ht="28.8">
      <c r="A250" s="237" t="str">
        <f>'staffing plan'!B153</f>
        <v>Local Government Operations Officer VI</v>
      </c>
      <c r="B250" s="238">
        <f>+'staffing plan'!C153</f>
        <v>22</v>
      </c>
      <c r="C250" s="239" t="str">
        <f>+'staffing plan'!A153</f>
        <v>OSEC-DILGB-LGOO6-69-2017</v>
      </c>
      <c r="D250" s="240" t="str">
        <f>+'staffing plan'!AK153</f>
        <v>0597</v>
      </c>
      <c r="E250" s="268" t="e">
        <f>+'staffing plan'!#REF!</f>
        <v>#REF!</v>
      </c>
      <c r="F250" s="268" t="e">
        <f>CONCATENATE('staffing plan'!#REF!," ",'staffing plan'!#REF!)</f>
        <v>#REF!</v>
      </c>
      <c r="G250" s="239" t="str">
        <f>'staffing plan'!AX153</f>
        <v>Mt. Province</v>
      </c>
      <c r="H250" s="268" t="str">
        <f>'staffing plan'!AW153</f>
        <v>BASILIO, Caridad  Ballang</v>
      </c>
      <c r="I250" s="280" t="s">
        <v>2804</v>
      </c>
      <c r="J250" s="261" t="e">
        <f t="shared" si="19"/>
        <v>#REF!</v>
      </c>
    </row>
    <row r="251" spans="1:18" s="16" customFormat="1" ht="30" hidden="1" customHeight="1">
      <c r="A251" s="237" t="str">
        <f>'staffing plan'!B196</f>
        <v>Local Government Operations Officer II</v>
      </c>
      <c r="B251" s="238">
        <f>+'staffing plan'!C196</f>
        <v>13</v>
      </c>
      <c r="C251" s="239" t="str">
        <f>+'staffing plan'!A196</f>
        <v>OSEC-DILGB-LGOO2-25-1998</v>
      </c>
      <c r="D251" s="240" t="str">
        <f>+'staffing plan'!AK196</f>
        <v>0597</v>
      </c>
      <c r="E251" s="268" t="e">
        <f>+'staffing plan'!#REF!</f>
        <v>#REF!</v>
      </c>
      <c r="F251" s="268" t="e">
        <f>CONCATENATE('staffing plan'!#REF!," ",'staffing plan'!#REF!)</f>
        <v>#REF!</v>
      </c>
      <c r="G251" s="239">
        <f>'staffing plan'!AX196</f>
        <v>0</v>
      </c>
      <c r="H251" s="268" t="str">
        <f>'staffing plan'!AW196</f>
        <v xml:space="preserve">vacant GAYASO,  </v>
      </c>
      <c r="I251" s="280" t="s">
        <v>2762</v>
      </c>
      <c r="J251" s="261" t="e">
        <f t="shared" si="19"/>
        <v>#REF!</v>
      </c>
    </row>
    <row r="252" spans="1:18" s="16" customFormat="1" ht="28.8">
      <c r="A252" s="237" t="str">
        <f>'staffing plan'!B149</f>
        <v>Local Government Operations Officer VI</v>
      </c>
      <c r="B252" s="238">
        <f>+'staffing plan'!C149</f>
        <v>22</v>
      </c>
      <c r="C252" s="239" t="str">
        <f>+'staffing plan'!A149</f>
        <v>OSEC-DILGB-LGOO6-65-2017</v>
      </c>
      <c r="D252" s="240" t="str">
        <f>+'staffing plan'!AK149</f>
        <v>0600</v>
      </c>
      <c r="E252" s="239" t="e">
        <f>+'staffing plan'!#REF!</f>
        <v>#REF!</v>
      </c>
      <c r="F252" s="239" t="e">
        <f>CONCATENATE('staffing plan'!#REF!," ",'staffing plan'!#REF!)</f>
        <v>#REF!</v>
      </c>
      <c r="G252" s="239" t="str">
        <f>'staffing plan'!AX149</f>
        <v>Mt. Province</v>
      </c>
      <c r="H252" s="239" t="str">
        <f>'staffing plan'!AW149</f>
        <v>BASCO, Raymundo Jacinto Pandoyos</v>
      </c>
      <c r="I252" s="260"/>
      <c r="J252" s="261" t="e">
        <f t="shared" si="19"/>
        <v>#REF!</v>
      </c>
    </row>
    <row r="253" spans="1:18" s="16" customFormat="1" ht="28.8">
      <c r="A253" s="237" t="str">
        <f>'staffing plan'!B145</f>
        <v>Local Government Operations Officer VI</v>
      </c>
      <c r="B253" s="238">
        <f>+'staffing plan'!C145</f>
        <v>22</v>
      </c>
      <c r="C253" s="239" t="str">
        <f>+'staffing plan'!A145</f>
        <v>OSEC-DILGB-LGOO6-61-2017</v>
      </c>
      <c r="D253" s="240" t="str">
        <f>+'staffing plan'!AK145</f>
        <v>0603</v>
      </c>
      <c r="E253" s="239" t="e">
        <f>+'staffing plan'!#REF!</f>
        <v>#REF!</v>
      </c>
      <c r="F253" s="239" t="e">
        <f>CONCATENATE('staffing plan'!#REF!," ",'staffing plan'!#REF!)</f>
        <v>#REF!</v>
      </c>
      <c r="G253" s="239" t="str">
        <f>'staffing plan'!AX145</f>
        <v>Mt. Province</v>
      </c>
      <c r="H253" s="239" t="str">
        <f>'staffing plan'!AW145</f>
        <v>PEEL, Lourdes Claire Fanusan</v>
      </c>
      <c r="I253" s="260"/>
      <c r="J253" s="261" t="e">
        <f t="shared" si="19"/>
        <v>#REF!</v>
      </c>
    </row>
    <row r="254" spans="1:18" s="16" customFormat="1" ht="28.8">
      <c r="A254" s="269" t="str">
        <f>'staffing plan'!B150</f>
        <v>Local Government Operations Officer VI</v>
      </c>
      <c r="B254" s="270">
        <f>+'staffing plan'!C150</f>
        <v>22</v>
      </c>
      <c r="C254" s="271" t="str">
        <f>+'staffing plan'!A150</f>
        <v>OSEC-DILGB-LGOO6-66-2017</v>
      </c>
      <c r="D254" s="272" t="str">
        <f>+'staffing plan'!AK150</f>
        <v>0606</v>
      </c>
      <c r="E254" s="271" t="e">
        <f>+'staffing plan'!#REF!</f>
        <v>#REF!</v>
      </c>
      <c r="F254" s="271" t="e">
        <f>CONCATENATE('staffing plan'!#REF!," ",'staffing plan'!#REF!)</f>
        <v>#REF!</v>
      </c>
      <c r="G254" s="271" t="str">
        <f>'staffing plan'!AX150</f>
        <v>Mt. Province</v>
      </c>
      <c r="H254" s="271" t="str">
        <f>'staffing plan'!AW150</f>
        <v>PILUDEN, Judy Colabot</v>
      </c>
      <c r="I254" s="282"/>
      <c r="J254" s="261" t="e">
        <f t="shared" si="19"/>
        <v>#REF!</v>
      </c>
    </row>
    <row r="255" spans="1:18">
      <c r="N255"/>
      <c r="O255"/>
    </row>
  </sheetData>
  <autoFilter ref="A15:R23" xr:uid="{00000000-0009-0000-0000-00000A000000}"/>
  <mergeCells count="9">
    <mergeCell ref="A1:I1"/>
    <mergeCell ref="A2:I2"/>
    <mergeCell ref="D4:F4"/>
    <mergeCell ref="A4:A5"/>
    <mergeCell ref="B4:B5"/>
    <mergeCell ref="C4:C5"/>
    <mergeCell ref="G4:G5"/>
    <mergeCell ref="H4:H5"/>
    <mergeCell ref="I4:I5"/>
  </mergeCells>
  <conditionalFormatting sqref="H7:H254">
    <cfRule type="containsText" dxfId="249" priority="1" operator="containsText" text="*VACANT*">
      <formula>NOT(ISERROR(SEARCH("*VACANT*",H7)))</formula>
    </cfRule>
  </conditionalFormatting>
  <printOptions horizontalCentered="1"/>
  <pageMargins left="0.21875" right="0.21875" top="0.27916666666666701" bottom="0.33888888888888902" header="0.3" footer="0.13888888888888901"/>
  <pageSetup paperSize="10000" orientation="landscape"/>
  <headerFooter>
    <oddFooter>&amp;LQMS Special RMC&amp;RPage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F35"/>
  <sheetViews>
    <sheetView topLeftCell="I1" workbookViewId="0">
      <selection activeCell="AK4" sqref="AK4"/>
    </sheetView>
  </sheetViews>
  <sheetFormatPr defaultColWidth="9" defaultRowHeight="14.4"/>
  <sheetData>
    <row r="1" spans="1:57">
      <c r="A1" t="s">
        <v>3089</v>
      </c>
      <c r="B1">
        <v>1</v>
      </c>
      <c r="C1">
        <v>2</v>
      </c>
      <c r="D1">
        <v>3</v>
      </c>
      <c r="E1">
        <v>4</v>
      </c>
      <c r="F1">
        <v>5</v>
      </c>
      <c r="G1">
        <v>6</v>
      </c>
      <c r="H1">
        <v>7</v>
      </c>
      <c r="I1">
        <v>8</v>
      </c>
      <c r="L1" t="s">
        <v>3090</v>
      </c>
      <c r="M1">
        <v>1</v>
      </c>
      <c r="N1">
        <v>2</v>
      </c>
      <c r="O1">
        <v>3</v>
      </c>
      <c r="P1">
        <v>4</v>
      </c>
      <c r="Q1">
        <v>5</v>
      </c>
      <c r="R1">
        <v>6</v>
      </c>
      <c r="S1">
        <v>7</v>
      </c>
      <c r="T1">
        <v>8</v>
      </c>
      <c r="W1" t="s">
        <v>3091</v>
      </c>
      <c r="X1">
        <v>1</v>
      </c>
      <c r="Y1">
        <v>2</v>
      </c>
      <c r="Z1">
        <v>3</v>
      </c>
      <c r="AA1">
        <v>4</v>
      </c>
      <c r="AB1">
        <v>5</v>
      </c>
      <c r="AC1">
        <v>6</v>
      </c>
      <c r="AD1">
        <v>7</v>
      </c>
      <c r="AE1">
        <v>8</v>
      </c>
      <c r="AJ1" t="s">
        <v>3092</v>
      </c>
      <c r="AK1">
        <v>1</v>
      </c>
      <c r="AL1">
        <v>2</v>
      </c>
      <c r="AM1">
        <v>3</v>
      </c>
      <c r="AN1">
        <v>4</v>
      </c>
      <c r="AO1">
        <v>5</v>
      </c>
      <c r="AP1">
        <v>6</v>
      </c>
      <c r="AQ1">
        <v>7</v>
      </c>
      <c r="AR1">
        <v>8</v>
      </c>
      <c r="AW1">
        <v>2012</v>
      </c>
      <c r="AX1">
        <v>1</v>
      </c>
      <c r="AY1">
        <v>2</v>
      </c>
      <c r="AZ1">
        <v>3</v>
      </c>
      <c r="BA1">
        <v>4</v>
      </c>
      <c r="BB1">
        <v>5</v>
      </c>
      <c r="BC1">
        <v>6</v>
      </c>
      <c r="BD1">
        <v>7</v>
      </c>
      <c r="BE1">
        <v>8</v>
      </c>
    </row>
    <row r="2" spans="1:57">
      <c r="A2">
        <v>1</v>
      </c>
      <c r="B2" s="229">
        <v>11068</v>
      </c>
      <c r="C2" s="229">
        <v>11160</v>
      </c>
      <c r="D2" s="229">
        <v>11254</v>
      </c>
      <c r="E2" s="229">
        <v>11348</v>
      </c>
      <c r="F2" s="229">
        <v>11443</v>
      </c>
      <c r="G2" s="229">
        <v>11538</v>
      </c>
      <c r="H2" s="229">
        <v>11635</v>
      </c>
      <c r="I2" s="229">
        <v>11732</v>
      </c>
      <c r="L2">
        <v>1</v>
      </c>
      <c r="M2" s="229">
        <v>10510</v>
      </c>
      <c r="N2" s="229"/>
      <c r="O2" s="229"/>
      <c r="P2" s="229">
        <v>10789</v>
      </c>
      <c r="Q2" s="229">
        <v>10884</v>
      </c>
      <c r="R2" s="229">
        <v>10982</v>
      </c>
      <c r="S2" s="229">
        <v>11076</v>
      </c>
      <c r="T2" s="229">
        <v>11173</v>
      </c>
      <c r="W2">
        <v>1</v>
      </c>
      <c r="X2" s="229">
        <v>9981</v>
      </c>
      <c r="Y2" s="229">
        <v>10072</v>
      </c>
      <c r="Z2" s="229">
        <v>10165</v>
      </c>
      <c r="AA2" s="229">
        <v>10258</v>
      </c>
      <c r="AB2" s="229">
        <v>10352</v>
      </c>
      <c r="AC2" s="229">
        <v>10453</v>
      </c>
      <c r="AD2" s="229">
        <v>10543</v>
      </c>
      <c r="AE2" s="229">
        <v>10640</v>
      </c>
      <c r="AG2" s="229">
        <f t="shared" ref="AG2:AG7" si="0">+M2-X2</f>
        <v>529</v>
      </c>
      <c r="AH2" s="229">
        <f t="shared" ref="AH2:AH7" si="1">+T2-AE2</f>
        <v>533</v>
      </c>
      <c r="AI2" s="229"/>
      <c r="AJ2">
        <v>1</v>
      </c>
      <c r="AK2">
        <v>9478</v>
      </c>
      <c r="AL2">
        <v>9568</v>
      </c>
      <c r="AM2">
        <v>9660</v>
      </c>
      <c r="AN2">
        <v>9753</v>
      </c>
      <c r="AO2">
        <v>9846</v>
      </c>
      <c r="AP2">
        <v>9949</v>
      </c>
      <c r="AQ2">
        <v>10036</v>
      </c>
      <c r="AR2">
        <v>10132</v>
      </c>
      <c r="AT2" s="229" t="e">
        <f>+#REF!-AK2</f>
        <v>#REF!</v>
      </c>
      <c r="AU2" s="229" t="e">
        <f>+#REF!-AR2</f>
        <v>#REF!</v>
      </c>
      <c r="AV2" s="229"/>
      <c r="AW2">
        <v>1</v>
      </c>
      <c r="AX2">
        <v>9000</v>
      </c>
      <c r="AY2">
        <v>9090</v>
      </c>
      <c r="AZ2">
        <v>9181</v>
      </c>
      <c r="BA2">
        <v>9273</v>
      </c>
      <c r="BB2">
        <v>9365</v>
      </c>
      <c r="BC2">
        <v>9459</v>
      </c>
      <c r="BD2">
        <v>9554</v>
      </c>
      <c r="BE2">
        <v>9649</v>
      </c>
    </row>
    <row r="3" spans="1:57">
      <c r="A3">
        <v>2</v>
      </c>
      <c r="B3" s="229">
        <v>11761</v>
      </c>
      <c r="C3" s="229">
        <v>11851</v>
      </c>
      <c r="D3" s="229">
        <v>11942</v>
      </c>
      <c r="E3" s="229">
        <v>12034</v>
      </c>
      <c r="F3" s="229">
        <v>12126</v>
      </c>
      <c r="G3" s="229">
        <v>12219</v>
      </c>
      <c r="H3" s="229">
        <v>12313</v>
      </c>
      <c r="I3" s="229">
        <v>12407</v>
      </c>
      <c r="L3">
        <v>2</v>
      </c>
      <c r="M3" s="229">
        <v>11200</v>
      </c>
      <c r="N3" s="229"/>
      <c r="O3" s="229"/>
      <c r="P3" s="229">
        <v>11480</v>
      </c>
      <c r="Q3" s="229">
        <v>11575</v>
      </c>
      <c r="R3" s="229">
        <v>11671</v>
      </c>
      <c r="S3" s="229">
        <v>11767</v>
      </c>
      <c r="T3" s="229">
        <v>11864</v>
      </c>
      <c r="W3">
        <v>2</v>
      </c>
      <c r="X3" s="229">
        <v>10667</v>
      </c>
      <c r="Y3" s="229">
        <v>10761</v>
      </c>
      <c r="Z3" s="229">
        <v>10856</v>
      </c>
      <c r="AA3" s="229">
        <v>10952</v>
      </c>
      <c r="AB3" s="229">
        <v>11049</v>
      </c>
      <c r="AC3" s="229">
        <v>11147</v>
      </c>
      <c r="AD3" s="229">
        <v>11245</v>
      </c>
      <c r="AE3" s="229">
        <v>11345</v>
      </c>
      <c r="AG3" s="229">
        <f t="shared" si="0"/>
        <v>533</v>
      </c>
      <c r="AH3" s="229">
        <f t="shared" si="1"/>
        <v>519</v>
      </c>
      <c r="AI3" s="229"/>
      <c r="AJ3">
        <v>2</v>
      </c>
      <c r="AK3">
        <v>10159</v>
      </c>
      <c r="AL3">
        <v>10255</v>
      </c>
      <c r="AM3">
        <v>10351</v>
      </c>
      <c r="AN3">
        <v>10449</v>
      </c>
      <c r="AO3">
        <v>10547</v>
      </c>
      <c r="AP3">
        <v>10647</v>
      </c>
      <c r="AQ3">
        <v>10747</v>
      </c>
      <c r="AR3">
        <v>10848</v>
      </c>
      <c r="AT3" s="229" t="e">
        <f>+#REF!-AK3</f>
        <v>#REF!</v>
      </c>
      <c r="AU3" s="229" t="e">
        <f>+#REF!-AR3</f>
        <v>#REF!</v>
      </c>
      <c r="AV3" s="229"/>
      <c r="AW3">
        <v>2</v>
      </c>
      <c r="AX3">
        <v>9675</v>
      </c>
      <c r="AY3">
        <v>9772</v>
      </c>
      <c r="AZ3">
        <v>9869</v>
      </c>
      <c r="BA3">
        <v>9968</v>
      </c>
      <c r="BB3">
        <v>10068</v>
      </c>
      <c r="BC3">
        <v>10169</v>
      </c>
      <c r="BD3">
        <v>10270</v>
      </c>
      <c r="BE3">
        <v>10373</v>
      </c>
    </row>
    <row r="4" spans="1:57">
      <c r="A4">
        <v>3</v>
      </c>
      <c r="B4" s="229">
        <v>12466</v>
      </c>
      <c r="C4" s="229">
        <v>12562</v>
      </c>
      <c r="D4" s="229">
        <v>12658</v>
      </c>
      <c r="E4" s="229">
        <v>12756</v>
      </c>
      <c r="F4" s="229">
        <v>12854</v>
      </c>
      <c r="G4" s="229">
        <v>12952</v>
      </c>
      <c r="H4" s="229">
        <v>13052</v>
      </c>
      <c r="I4" s="229">
        <v>13152</v>
      </c>
      <c r="J4" s="127"/>
      <c r="K4" s="127"/>
      <c r="L4">
        <v>3</v>
      </c>
      <c r="M4" s="229">
        <v>11914</v>
      </c>
      <c r="N4" s="229">
        <v>12013</v>
      </c>
      <c r="O4" s="229">
        <v>12112</v>
      </c>
      <c r="P4" s="229">
        <v>12212</v>
      </c>
      <c r="Q4" s="229">
        <v>12313</v>
      </c>
      <c r="R4" s="229">
        <v>12414</v>
      </c>
      <c r="S4" s="229">
        <v>12517</v>
      </c>
      <c r="T4" s="229">
        <v>12620</v>
      </c>
      <c r="U4" s="127"/>
      <c r="V4" s="127"/>
      <c r="W4">
        <v>3</v>
      </c>
      <c r="X4" s="229">
        <v>11387</v>
      </c>
      <c r="Y4" s="229">
        <v>11488</v>
      </c>
      <c r="Z4" s="229">
        <v>11589</v>
      </c>
      <c r="AA4" s="229">
        <v>11691</v>
      </c>
      <c r="AB4" s="229">
        <v>11795</v>
      </c>
      <c r="AC4" s="229">
        <v>11899</v>
      </c>
      <c r="AD4" s="229">
        <v>12004</v>
      </c>
      <c r="AE4" s="229">
        <v>12110</v>
      </c>
      <c r="AF4" s="127"/>
      <c r="AG4" s="229">
        <f t="shared" si="0"/>
        <v>527</v>
      </c>
      <c r="AH4" s="229">
        <f t="shared" si="1"/>
        <v>510</v>
      </c>
      <c r="AI4" s="229"/>
      <c r="AJ4">
        <v>3</v>
      </c>
      <c r="AK4">
        <v>10883</v>
      </c>
      <c r="AL4">
        <v>10985</v>
      </c>
      <c r="AM4">
        <v>11089</v>
      </c>
      <c r="AN4">
        <v>11193</v>
      </c>
      <c r="AO4">
        <v>11298</v>
      </c>
      <c r="AP4">
        <v>11405</v>
      </c>
      <c r="AQ4">
        <v>11512</v>
      </c>
      <c r="AR4">
        <v>11621</v>
      </c>
      <c r="AS4" s="127"/>
      <c r="AT4" s="229" t="e">
        <f>+#REF!-AK4</f>
        <v>#REF!</v>
      </c>
      <c r="AU4" s="229" t="e">
        <f>+#REF!-AR4</f>
        <v>#REF!</v>
      </c>
      <c r="AV4" s="229"/>
      <c r="AW4">
        <v>3</v>
      </c>
      <c r="AX4">
        <v>10401</v>
      </c>
      <c r="AY4">
        <v>10505</v>
      </c>
      <c r="AZ4">
        <v>10610</v>
      </c>
      <c r="BA4">
        <v>10716</v>
      </c>
      <c r="BB4">
        <v>10823</v>
      </c>
      <c r="BC4">
        <v>10931</v>
      </c>
      <c r="BD4">
        <v>11040</v>
      </c>
      <c r="BE4">
        <v>11151</v>
      </c>
    </row>
    <row r="5" spans="1:57">
      <c r="A5">
        <v>4</v>
      </c>
      <c r="B5" s="229">
        <v>13214</v>
      </c>
      <c r="C5" s="229">
        <v>13316</v>
      </c>
      <c r="D5" s="229">
        <v>13418</v>
      </c>
      <c r="E5" s="229">
        <v>13521</v>
      </c>
      <c r="F5" s="229">
        <v>13625</v>
      </c>
      <c r="G5" s="229">
        <v>13729</v>
      </c>
      <c r="H5" s="229">
        <v>13835</v>
      </c>
      <c r="I5" s="229">
        <v>13941</v>
      </c>
      <c r="L5">
        <v>4</v>
      </c>
      <c r="M5" s="229">
        <v>12674</v>
      </c>
      <c r="N5" s="229">
        <v>12778</v>
      </c>
      <c r="O5" s="229">
        <v>12884</v>
      </c>
      <c r="P5" s="229">
        <v>12990</v>
      </c>
      <c r="Q5" s="229">
        <v>13097</v>
      </c>
      <c r="R5" s="229">
        <v>13206</v>
      </c>
      <c r="S5" s="229">
        <v>13315</v>
      </c>
      <c r="T5" s="229">
        <v>13424</v>
      </c>
      <c r="W5">
        <v>4</v>
      </c>
      <c r="X5" s="229">
        <v>12155</v>
      </c>
      <c r="Y5" s="229">
        <v>12262</v>
      </c>
      <c r="Z5" s="229">
        <v>12371</v>
      </c>
      <c r="AA5" s="229">
        <v>12480</v>
      </c>
      <c r="AB5" s="229">
        <v>12591</v>
      </c>
      <c r="AC5" s="229">
        <v>12702</v>
      </c>
      <c r="AD5" s="229">
        <v>12814</v>
      </c>
      <c r="AE5" s="229">
        <v>12927</v>
      </c>
      <c r="AG5" s="229">
        <f t="shared" si="0"/>
        <v>519</v>
      </c>
      <c r="AH5" s="229">
        <f t="shared" si="1"/>
        <v>497</v>
      </c>
      <c r="AI5" s="229"/>
      <c r="AJ5">
        <v>4</v>
      </c>
      <c r="AK5">
        <v>11658</v>
      </c>
      <c r="AL5">
        <v>11767</v>
      </c>
      <c r="AM5">
        <v>11878</v>
      </c>
      <c r="AN5">
        <v>11990</v>
      </c>
      <c r="AO5">
        <v>12103</v>
      </c>
      <c r="AP5">
        <v>12217</v>
      </c>
      <c r="AQ5">
        <v>12333</v>
      </c>
      <c r="AR5">
        <v>12448</v>
      </c>
      <c r="AT5" s="229" t="e">
        <f>+#REF!-AK5</f>
        <v>#REF!</v>
      </c>
      <c r="AU5" s="229" t="e">
        <f>+#REF!-AR5</f>
        <v>#REF!</v>
      </c>
      <c r="AV5" s="229"/>
      <c r="AW5">
        <v>4</v>
      </c>
      <c r="AX5">
        <v>11181</v>
      </c>
      <c r="AY5">
        <v>11292</v>
      </c>
      <c r="AZ5">
        <v>11405</v>
      </c>
      <c r="BA5">
        <v>11519</v>
      </c>
      <c r="BB5">
        <v>11635</v>
      </c>
      <c r="BC5">
        <v>11751</v>
      </c>
      <c r="BD5">
        <v>11869</v>
      </c>
      <c r="BE5">
        <v>11987</v>
      </c>
    </row>
    <row r="6" spans="1:57">
      <c r="A6">
        <v>5</v>
      </c>
      <c r="B6" s="229"/>
      <c r="C6" s="229"/>
      <c r="D6" s="229"/>
      <c r="E6" s="229"/>
      <c r="F6" s="229"/>
      <c r="G6" s="229"/>
      <c r="H6" s="229"/>
      <c r="I6" s="229"/>
      <c r="J6" s="230"/>
      <c r="K6" s="230"/>
      <c r="L6">
        <v>5</v>
      </c>
      <c r="M6" s="229"/>
      <c r="N6" s="229"/>
      <c r="O6" s="229"/>
      <c r="P6" s="229"/>
      <c r="Q6" s="229"/>
      <c r="R6" s="229"/>
      <c r="S6" s="229"/>
      <c r="T6" s="229"/>
      <c r="U6" s="230"/>
      <c r="V6" s="230"/>
      <c r="W6">
        <v>5</v>
      </c>
      <c r="X6" s="229">
        <v>12975</v>
      </c>
      <c r="Y6" s="229">
        <v>13117</v>
      </c>
      <c r="Z6" s="229">
        <v>13206</v>
      </c>
      <c r="AA6" s="229">
        <v>13322</v>
      </c>
      <c r="AB6" s="229">
        <v>13440</v>
      </c>
      <c r="AC6" s="229">
        <v>13559</v>
      </c>
      <c r="AD6" s="229">
        <v>13679</v>
      </c>
      <c r="AE6" s="229">
        <v>13799</v>
      </c>
      <c r="AF6" s="230"/>
      <c r="AG6" s="229">
        <f t="shared" si="0"/>
        <v>-12975</v>
      </c>
      <c r="AH6" s="229">
        <f t="shared" si="1"/>
        <v>-13799</v>
      </c>
      <c r="AI6" s="229"/>
      <c r="AJ6">
        <v>5</v>
      </c>
      <c r="AK6">
        <v>12488</v>
      </c>
      <c r="AL6">
        <v>12644</v>
      </c>
      <c r="AM6">
        <v>12725</v>
      </c>
      <c r="AN6">
        <v>12844</v>
      </c>
      <c r="AO6">
        <v>12965</v>
      </c>
      <c r="AP6">
        <v>13087</v>
      </c>
      <c r="AQ6">
        <v>13211</v>
      </c>
      <c r="AR6">
        <v>13335</v>
      </c>
      <c r="AS6" s="230"/>
      <c r="AT6" s="229" t="e">
        <f>+#REF!-AK6</f>
        <v>#REF!</v>
      </c>
      <c r="AU6" s="229" t="e">
        <f>+#REF!-AR6</f>
        <v>#REF!</v>
      </c>
      <c r="AV6" s="229"/>
      <c r="AW6">
        <v>5</v>
      </c>
      <c r="AX6">
        <v>12019</v>
      </c>
      <c r="AY6">
        <v>12139</v>
      </c>
      <c r="AZ6">
        <v>12261</v>
      </c>
      <c r="BA6">
        <v>12383</v>
      </c>
      <c r="BB6">
        <v>12507</v>
      </c>
      <c r="BC6">
        <v>12632</v>
      </c>
      <c r="BD6">
        <v>12759</v>
      </c>
      <c r="BE6">
        <v>12886</v>
      </c>
    </row>
    <row r="7" spans="1:57">
      <c r="A7">
        <v>6</v>
      </c>
      <c r="B7" s="229">
        <v>14847</v>
      </c>
      <c r="C7" s="229">
        <v>14961</v>
      </c>
      <c r="D7" s="229">
        <v>15076</v>
      </c>
      <c r="E7" s="229">
        <v>15192</v>
      </c>
      <c r="F7" s="229">
        <v>15309</v>
      </c>
      <c r="G7" s="229">
        <v>15426</v>
      </c>
      <c r="H7" s="229">
        <v>15545</v>
      </c>
      <c r="I7" s="229">
        <v>15664</v>
      </c>
      <c r="L7">
        <v>6</v>
      </c>
      <c r="M7" s="229">
        <v>14340</v>
      </c>
      <c r="N7" s="229">
        <v>14459</v>
      </c>
      <c r="O7" s="229">
        <v>14578</v>
      </c>
      <c r="P7" s="229">
        <v>14699</v>
      </c>
      <c r="Q7" s="229">
        <v>14820</v>
      </c>
      <c r="R7" s="229">
        <v>14942</v>
      </c>
      <c r="S7" s="229">
        <v>15066</v>
      </c>
      <c r="T7" s="229">
        <v>15190</v>
      </c>
      <c r="W7">
        <v>6</v>
      </c>
      <c r="X7" s="229">
        <v>13851</v>
      </c>
      <c r="Y7" s="229">
        <v>13973</v>
      </c>
      <c r="Z7" s="229">
        <v>14096</v>
      </c>
      <c r="AA7" s="229">
        <v>14221</v>
      </c>
      <c r="AB7" s="229">
        <v>14347</v>
      </c>
      <c r="AC7" s="229">
        <v>14474</v>
      </c>
      <c r="AD7" s="229">
        <v>14602</v>
      </c>
      <c r="AE7" s="229">
        <v>14731</v>
      </c>
      <c r="AG7" s="229">
        <f t="shared" si="0"/>
        <v>489</v>
      </c>
      <c r="AH7" s="229">
        <f t="shared" si="1"/>
        <v>459</v>
      </c>
      <c r="AI7" s="229"/>
      <c r="AJ7">
        <v>6</v>
      </c>
      <c r="AK7">
        <v>13378</v>
      </c>
      <c r="AL7">
        <v>13504</v>
      </c>
      <c r="AM7">
        <v>13630</v>
      </c>
      <c r="AN7">
        <v>13759</v>
      </c>
      <c r="AO7">
        <v>13889</v>
      </c>
      <c r="AP7">
        <v>14020</v>
      </c>
      <c r="AQ7">
        <v>14152</v>
      </c>
      <c r="AR7">
        <v>14285</v>
      </c>
      <c r="AT7" s="229" t="e">
        <f>+#REF!-AK7</f>
        <v>#REF!</v>
      </c>
      <c r="AU7" s="229" t="e">
        <f>+#REF!-AR7</f>
        <v>#REF!</v>
      </c>
      <c r="AV7" s="229"/>
      <c r="AW7">
        <v>6</v>
      </c>
      <c r="AX7">
        <v>12921</v>
      </c>
      <c r="AY7">
        <v>13050</v>
      </c>
      <c r="AZ7">
        <v>13180</v>
      </c>
      <c r="BA7">
        <v>13312</v>
      </c>
      <c r="BB7">
        <v>13445</v>
      </c>
      <c r="BC7">
        <v>13580</v>
      </c>
      <c r="BD7">
        <v>13716</v>
      </c>
      <c r="BE7">
        <v>13853</v>
      </c>
    </row>
    <row r="8" spans="1:57">
      <c r="A8">
        <v>7</v>
      </c>
      <c r="B8" s="229"/>
      <c r="C8" s="229"/>
      <c r="D8" s="229"/>
      <c r="E8" s="229"/>
      <c r="F8" s="229"/>
      <c r="G8" s="229"/>
      <c r="H8" s="229"/>
      <c r="I8" s="229"/>
      <c r="L8">
        <v>7</v>
      </c>
      <c r="M8" s="229"/>
      <c r="N8" s="229"/>
      <c r="O8" s="229"/>
      <c r="P8" s="229"/>
      <c r="Q8" s="229"/>
      <c r="R8" s="229"/>
      <c r="S8" s="229"/>
      <c r="T8" s="229"/>
      <c r="W8">
        <v>7</v>
      </c>
      <c r="X8" s="229"/>
      <c r="Y8" s="229"/>
      <c r="Z8" s="229"/>
      <c r="AA8" s="229"/>
      <c r="AB8" s="229"/>
      <c r="AC8" s="229"/>
      <c r="AD8" s="229"/>
      <c r="AE8" s="229"/>
      <c r="AG8" s="229"/>
      <c r="AH8" s="229"/>
      <c r="AI8" s="229"/>
      <c r="AJ8">
        <v>7</v>
      </c>
      <c r="AK8">
        <v>14331</v>
      </c>
      <c r="AL8">
        <v>14466</v>
      </c>
      <c r="AM8">
        <v>14602</v>
      </c>
      <c r="AN8">
        <v>14740</v>
      </c>
      <c r="AO8">
        <v>14878</v>
      </c>
      <c r="AP8">
        <v>15018</v>
      </c>
      <c r="AQ8">
        <v>15159</v>
      </c>
      <c r="AR8">
        <v>15303</v>
      </c>
      <c r="AT8" s="229"/>
      <c r="AU8" s="229"/>
      <c r="AV8" s="229"/>
      <c r="AW8">
        <v>7</v>
      </c>
      <c r="AX8">
        <v>13890</v>
      </c>
      <c r="AY8">
        <v>14029</v>
      </c>
      <c r="AZ8">
        <v>14169</v>
      </c>
      <c r="BA8">
        <v>14311</v>
      </c>
      <c r="BB8">
        <v>14454</v>
      </c>
      <c r="BC8">
        <v>14598</v>
      </c>
      <c r="BD8">
        <v>14744</v>
      </c>
      <c r="BE8">
        <v>14892</v>
      </c>
    </row>
    <row r="9" spans="1:57">
      <c r="A9">
        <v>8</v>
      </c>
      <c r="B9" s="229">
        <v>16758</v>
      </c>
      <c r="C9" s="229">
        <v>16910</v>
      </c>
      <c r="D9" s="229">
        <v>17063</v>
      </c>
      <c r="E9" s="229">
        <v>17217</v>
      </c>
      <c r="F9" s="229">
        <v>17372</v>
      </c>
      <c r="G9" s="229">
        <v>17529</v>
      </c>
      <c r="H9" s="229">
        <v>17688</v>
      </c>
      <c r="I9" s="229">
        <v>17848</v>
      </c>
      <c r="L9">
        <v>8</v>
      </c>
      <c r="M9" s="229">
        <v>16282</v>
      </c>
      <c r="N9" s="229">
        <v>16433</v>
      </c>
      <c r="O9" s="229">
        <v>16585</v>
      </c>
      <c r="P9" s="229">
        <v>16739</v>
      </c>
      <c r="Q9" s="229">
        <v>16895</v>
      </c>
      <c r="R9" s="229">
        <v>17051</v>
      </c>
      <c r="S9" s="229">
        <v>17209</v>
      </c>
      <c r="T9" s="229">
        <v>17369</v>
      </c>
      <c r="W9">
        <v>8</v>
      </c>
      <c r="X9" s="229">
        <v>15818</v>
      </c>
      <c r="Y9" s="229">
        <v>15969</v>
      </c>
      <c r="Z9" s="229">
        <v>16121</v>
      </c>
      <c r="AA9" s="229">
        <v>16275</v>
      </c>
      <c r="AB9" s="229">
        <v>16430</v>
      </c>
      <c r="AC9" s="229">
        <v>16586</v>
      </c>
      <c r="AD9" s="229">
        <v>16744</v>
      </c>
      <c r="AE9" s="229">
        <v>16903</v>
      </c>
      <c r="AG9" s="229">
        <f t="shared" ref="AG9:AG12" si="2">+M9-X9</f>
        <v>464</v>
      </c>
      <c r="AH9" s="229">
        <f t="shared" ref="AH9:AH12" si="3">+T9-AE9</f>
        <v>466</v>
      </c>
      <c r="AI9" s="229"/>
      <c r="AJ9">
        <v>8</v>
      </c>
      <c r="AK9">
        <v>15368</v>
      </c>
      <c r="AL9">
        <v>15519</v>
      </c>
      <c r="AM9">
        <v>15670</v>
      </c>
      <c r="AN9">
        <v>15823</v>
      </c>
      <c r="AO9">
        <v>15978</v>
      </c>
      <c r="AP9">
        <v>16133</v>
      </c>
      <c r="AQ9">
        <v>16291</v>
      </c>
      <c r="AR9">
        <v>16450</v>
      </c>
      <c r="AT9" s="229" t="e">
        <f>+#REF!-AK9</f>
        <v>#REF!</v>
      </c>
      <c r="AU9" s="229" t="e">
        <f>+#REF!-AR9</f>
        <v>#REF!</v>
      </c>
      <c r="AV9" s="229"/>
      <c r="AW9">
        <v>8</v>
      </c>
      <c r="AX9">
        <v>14931</v>
      </c>
      <c r="AY9">
        <v>15081</v>
      </c>
      <c r="AZ9">
        <v>15232</v>
      </c>
      <c r="BA9">
        <v>15384</v>
      </c>
      <c r="BB9">
        <v>15538</v>
      </c>
      <c r="BC9">
        <v>15693</v>
      </c>
      <c r="BD9">
        <v>15850</v>
      </c>
      <c r="BE9">
        <v>16009</v>
      </c>
    </row>
    <row r="10" spans="1:57">
      <c r="A10">
        <v>9</v>
      </c>
      <c r="B10" s="229">
        <v>17975</v>
      </c>
      <c r="C10" s="229">
        <v>18125</v>
      </c>
      <c r="D10" s="229">
        <v>18277</v>
      </c>
      <c r="E10" s="229">
        <v>18430</v>
      </c>
      <c r="F10" s="229">
        <v>18584</v>
      </c>
      <c r="G10" s="229">
        <v>18739</v>
      </c>
      <c r="H10" s="229">
        <v>18896</v>
      </c>
      <c r="I10" s="229">
        <v>19054</v>
      </c>
      <c r="L10">
        <v>9</v>
      </c>
      <c r="M10" s="229">
        <v>17473</v>
      </c>
      <c r="N10" s="229">
        <v>17627</v>
      </c>
      <c r="O10" s="229">
        <v>17781</v>
      </c>
      <c r="P10" s="229">
        <v>17937</v>
      </c>
      <c r="Q10" s="229">
        <v>18095</v>
      </c>
      <c r="R10" s="229">
        <v>18253</v>
      </c>
      <c r="S10" s="229">
        <v>18413</v>
      </c>
      <c r="T10" s="229">
        <v>18575</v>
      </c>
      <c r="W10">
        <v>9</v>
      </c>
      <c r="X10" s="229">
        <v>16986</v>
      </c>
      <c r="Y10" s="229">
        <v>17142</v>
      </c>
      <c r="Z10" s="229">
        <v>17299</v>
      </c>
      <c r="AA10" s="229">
        <v>17458</v>
      </c>
      <c r="AB10" s="229">
        <v>17618</v>
      </c>
      <c r="AC10" s="229">
        <v>17780</v>
      </c>
      <c r="AD10" s="229">
        <v>17943</v>
      </c>
      <c r="AE10" s="229">
        <v>18108</v>
      </c>
      <c r="AG10" s="229">
        <f t="shared" si="2"/>
        <v>487</v>
      </c>
      <c r="AH10" s="229">
        <f t="shared" si="3"/>
        <v>467</v>
      </c>
      <c r="AI10" s="229"/>
      <c r="AJ10">
        <v>9</v>
      </c>
      <c r="AK10">
        <v>16512</v>
      </c>
      <c r="AL10">
        <v>16671</v>
      </c>
      <c r="AM10">
        <v>16830</v>
      </c>
      <c r="AN10">
        <v>16992</v>
      </c>
      <c r="AO10">
        <v>17155</v>
      </c>
      <c r="AP10">
        <v>17319</v>
      </c>
      <c r="AQ10">
        <v>17485</v>
      </c>
      <c r="AR10">
        <v>17653</v>
      </c>
      <c r="AT10" s="229" t="e">
        <f>+#REF!-AK10</f>
        <v>#REF!</v>
      </c>
      <c r="AU10" s="229" t="e">
        <f>+#REF!-AR10</f>
        <v>#REF!</v>
      </c>
      <c r="AV10" s="229"/>
      <c r="AW10">
        <v>9</v>
      </c>
      <c r="AX10">
        <v>16051</v>
      </c>
      <c r="AY10">
        <v>16212</v>
      </c>
      <c r="AZ10">
        <v>16374</v>
      </c>
      <c r="BA10">
        <v>16538</v>
      </c>
      <c r="BB10">
        <v>16703</v>
      </c>
      <c r="BC10">
        <v>16870</v>
      </c>
      <c r="BD10">
        <v>17039</v>
      </c>
      <c r="BE10">
        <v>17209</v>
      </c>
    </row>
    <row r="11" spans="1:57">
      <c r="A11">
        <v>10</v>
      </c>
      <c r="B11" s="229"/>
      <c r="C11" s="229"/>
      <c r="D11" s="229"/>
      <c r="E11" s="229"/>
      <c r="F11" s="229"/>
      <c r="G11" s="229"/>
      <c r="H11" s="229"/>
      <c r="I11" s="229"/>
      <c r="L11">
        <v>10</v>
      </c>
      <c r="M11" s="229"/>
      <c r="N11" s="229"/>
      <c r="O11" s="229"/>
      <c r="P11" s="229"/>
      <c r="Q11" s="229"/>
      <c r="R11" s="229"/>
      <c r="S11" s="229"/>
      <c r="T11" s="229"/>
      <c r="W11">
        <v>10</v>
      </c>
      <c r="X11" s="229"/>
      <c r="Y11" s="229"/>
      <c r="Z11" s="229"/>
      <c r="AA11" s="229"/>
      <c r="AB11" s="229"/>
      <c r="AC11" s="229"/>
      <c r="AD11" s="229"/>
      <c r="AE11" s="229"/>
      <c r="AG11" s="229"/>
      <c r="AH11" s="229"/>
      <c r="AI11" s="229"/>
      <c r="AJ11">
        <v>10</v>
      </c>
      <c r="AT11" s="229"/>
      <c r="AU11" s="229"/>
      <c r="AV11" s="229"/>
      <c r="AW11">
        <v>10</v>
      </c>
    </row>
    <row r="12" spans="1:57">
      <c r="A12">
        <v>11</v>
      </c>
      <c r="B12" s="229">
        <v>20754</v>
      </c>
      <c r="C12" s="229">
        <v>21038</v>
      </c>
      <c r="D12" s="229">
        <v>21327</v>
      </c>
      <c r="E12" s="229">
        <v>21619</v>
      </c>
      <c r="F12" s="229">
        <v>21915</v>
      </c>
      <c r="G12" s="229">
        <v>22216</v>
      </c>
      <c r="H12" s="229">
        <v>22520</v>
      </c>
      <c r="I12" s="229">
        <v>22829</v>
      </c>
      <c r="L12">
        <v>11</v>
      </c>
      <c r="M12" s="229">
        <v>20179</v>
      </c>
      <c r="N12" s="229">
        <v>20437</v>
      </c>
      <c r="O12" s="229">
        <v>20698</v>
      </c>
      <c r="P12" s="229"/>
      <c r="Q12" s="229"/>
      <c r="R12" s="229"/>
      <c r="S12" s="229"/>
      <c r="T12" s="229"/>
      <c r="W12">
        <v>11</v>
      </c>
      <c r="X12" s="229">
        <v>19620</v>
      </c>
      <c r="Y12" s="229">
        <v>19853</v>
      </c>
      <c r="Z12" s="229">
        <v>20088</v>
      </c>
      <c r="AA12" s="229">
        <v>20326</v>
      </c>
      <c r="AB12" s="229">
        <v>20567</v>
      </c>
      <c r="AC12" s="229">
        <v>20811</v>
      </c>
      <c r="AD12" s="229">
        <v>21058</v>
      </c>
      <c r="AE12" s="229">
        <v>21307</v>
      </c>
      <c r="AG12" s="229">
        <f t="shared" si="2"/>
        <v>559</v>
      </c>
      <c r="AH12" s="229">
        <f t="shared" si="3"/>
        <v>-21307</v>
      </c>
      <c r="AI12" s="229"/>
      <c r="AJ12">
        <v>11</v>
      </c>
      <c r="AK12">
        <v>19077</v>
      </c>
      <c r="AL12">
        <v>19286</v>
      </c>
      <c r="AM12">
        <v>19496</v>
      </c>
      <c r="AN12">
        <v>19709</v>
      </c>
      <c r="AO12">
        <v>19925</v>
      </c>
      <c r="AP12">
        <v>20142</v>
      </c>
      <c r="AQ12">
        <v>20362</v>
      </c>
      <c r="AR12">
        <v>20585</v>
      </c>
      <c r="AT12" s="229" t="e">
        <f>+#REF!-AK12</f>
        <v>#REF!</v>
      </c>
      <c r="AU12" s="229" t="e">
        <f>+#REF!-AR12</f>
        <v>#REF!</v>
      </c>
      <c r="AV12" s="229"/>
      <c r="AW12">
        <v>11</v>
      </c>
      <c r="AX12">
        <v>18549</v>
      </c>
      <c r="AY12">
        <v>18735</v>
      </c>
      <c r="AZ12">
        <v>18922</v>
      </c>
      <c r="BA12">
        <v>19111</v>
      </c>
      <c r="BB12">
        <v>19302</v>
      </c>
      <c r="BC12">
        <v>19495</v>
      </c>
      <c r="BD12">
        <v>19690</v>
      </c>
      <c r="BE12">
        <v>19887</v>
      </c>
    </row>
    <row r="13" spans="1:57">
      <c r="A13">
        <v>12</v>
      </c>
      <c r="B13" s="229"/>
      <c r="C13" s="229"/>
      <c r="D13" s="229"/>
      <c r="E13" s="229"/>
      <c r="F13" s="229"/>
      <c r="G13" s="229"/>
      <c r="H13" s="229"/>
      <c r="I13" s="229"/>
      <c r="L13">
        <v>12</v>
      </c>
      <c r="M13" s="229"/>
      <c r="N13" s="229"/>
      <c r="O13" s="229"/>
      <c r="P13" s="229"/>
      <c r="Q13" s="229"/>
      <c r="R13" s="229"/>
      <c r="S13" s="229"/>
      <c r="T13" s="229"/>
      <c r="W13">
        <v>12</v>
      </c>
      <c r="X13" s="229"/>
      <c r="Y13" s="229"/>
      <c r="Z13" s="229"/>
      <c r="AA13" s="229"/>
      <c r="AB13" s="229"/>
      <c r="AC13" s="229"/>
      <c r="AD13" s="229"/>
      <c r="AE13" s="229"/>
      <c r="AG13" s="229"/>
      <c r="AH13" s="229"/>
      <c r="AI13" s="229"/>
      <c r="AJ13">
        <v>12</v>
      </c>
      <c r="AT13" s="229"/>
      <c r="AU13" s="229"/>
      <c r="AV13" s="229"/>
      <c r="AW13">
        <v>12</v>
      </c>
    </row>
    <row r="14" spans="1:57">
      <c r="A14">
        <v>13</v>
      </c>
      <c r="B14" s="229">
        <v>25232</v>
      </c>
      <c r="C14" s="229">
        <v>25545</v>
      </c>
      <c r="D14" s="229">
        <v>25861</v>
      </c>
      <c r="E14" s="229">
        <v>26181</v>
      </c>
      <c r="F14" s="229">
        <v>26506</v>
      </c>
      <c r="G14" s="229">
        <v>26834</v>
      </c>
      <c r="H14" s="229">
        <v>27166</v>
      </c>
      <c r="I14" s="229">
        <v>27503</v>
      </c>
      <c r="L14">
        <v>13</v>
      </c>
      <c r="M14" s="229">
        <v>24224</v>
      </c>
      <c r="N14" s="229">
        <v>24510</v>
      </c>
      <c r="O14" s="229">
        <v>24799</v>
      </c>
      <c r="P14" s="229">
        <v>25091</v>
      </c>
      <c r="Q14" s="229">
        <v>25387</v>
      </c>
      <c r="R14" s="229">
        <v>25686</v>
      </c>
      <c r="S14" s="229">
        <v>25989</v>
      </c>
      <c r="T14" s="229">
        <v>26296</v>
      </c>
      <c r="W14">
        <v>13</v>
      </c>
      <c r="X14" s="229">
        <v>23257</v>
      </c>
      <c r="Y14" s="229">
        <v>23517</v>
      </c>
      <c r="Z14" s="229">
        <v>23780</v>
      </c>
      <c r="AA14" s="229">
        <v>24047</v>
      </c>
      <c r="AB14" s="229">
        <v>24315</v>
      </c>
      <c r="AC14" s="229">
        <v>24587</v>
      </c>
      <c r="AD14" s="229">
        <v>24863</v>
      </c>
      <c r="AE14" s="229">
        <v>25141</v>
      </c>
      <c r="AG14" s="229">
        <f t="shared" ref="AG14:AG17" si="4">+M14-X14</f>
        <v>967</v>
      </c>
      <c r="AH14" s="229">
        <f t="shared" ref="AH14:AH17" si="5">+T14-AE14</f>
        <v>1155</v>
      </c>
      <c r="AI14" s="229"/>
      <c r="AJ14">
        <v>13</v>
      </c>
      <c r="AK14">
        <v>22328</v>
      </c>
      <c r="AL14">
        <v>22564</v>
      </c>
      <c r="AM14">
        <v>22804</v>
      </c>
      <c r="AN14">
        <v>23045</v>
      </c>
      <c r="AO14">
        <v>23289</v>
      </c>
      <c r="AP14">
        <v>23536</v>
      </c>
      <c r="AQ14">
        <v>23786</v>
      </c>
      <c r="AR14">
        <v>24037</v>
      </c>
      <c r="AT14" s="229" t="e">
        <f>+#REF!-AK14</f>
        <v>#REF!</v>
      </c>
      <c r="AU14" s="229" t="e">
        <f>+#REF!-AR14</f>
        <v>#REF!</v>
      </c>
      <c r="AV14" s="229"/>
      <c r="AW14">
        <v>13</v>
      </c>
      <c r="AX14">
        <v>21436</v>
      </c>
      <c r="AY14">
        <v>21650</v>
      </c>
      <c r="AZ14">
        <v>21867</v>
      </c>
      <c r="BA14">
        <v>22086</v>
      </c>
      <c r="BB14">
        <v>22306</v>
      </c>
      <c r="BC14">
        <v>22529</v>
      </c>
      <c r="BD14">
        <v>22755</v>
      </c>
      <c r="BE14">
        <v>22982</v>
      </c>
    </row>
    <row r="15" spans="1:57">
      <c r="A15">
        <v>14</v>
      </c>
      <c r="B15" s="229">
        <v>27755</v>
      </c>
      <c r="C15" s="229">
        <v>28099</v>
      </c>
      <c r="D15" s="229">
        <v>28447</v>
      </c>
      <c r="E15" s="229">
        <v>28800</v>
      </c>
      <c r="F15" s="229">
        <v>29156</v>
      </c>
      <c r="G15" s="229">
        <v>29517</v>
      </c>
      <c r="H15" s="229">
        <v>29883</v>
      </c>
      <c r="I15" s="229">
        <v>30253</v>
      </c>
      <c r="L15">
        <v>14</v>
      </c>
      <c r="M15" s="229">
        <v>26494</v>
      </c>
      <c r="N15" s="229">
        <v>26806</v>
      </c>
      <c r="O15" s="229">
        <v>27122</v>
      </c>
      <c r="P15" s="229">
        <v>27442</v>
      </c>
      <c r="Q15" s="229">
        <v>27766</v>
      </c>
      <c r="R15" s="229">
        <v>28093</v>
      </c>
      <c r="S15" s="229">
        <v>28424</v>
      </c>
      <c r="T15" s="229">
        <v>28759</v>
      </c>
      <c r="W15">
        <v>14</v>
      </c>
      <c r="X15" s="229">
        <v>25290</v>
      </c>
      <c r="Y15" s="229">
        <v>25573</v>
      </c>
      <c r="Z15" s="229">
        <v>25859</v>
      </c>
      <c r="AA15" s="229">
        <v>26149</v>
      </c>
      <c r="AB15" s="229">
        <v>26441</v>
      </c>
      <c r="AC15" s="229">
        <v>26737</v>
      </c>
      <c r="AD15" s="229">
        <v>27036</v>
      </c>
      <c r="AE15" s="229">
        <v>27339</v>
      </c>
      <c r="AG15" s="229">
        <f t="shared" si="4"/>
        <v>1204</v>
      </c>
      <c r="AH15" s="229">
        <f t="shared" si="5"/>
        <v>1420</v>
      </c>
      <c r="AI15" s="229"/>
      <c r="AJ15">
        <v>14</v>
      </c>
      <c r="AK15">
        <v>24141</v>
      </c>
      <c r="AL15">
        <v>24396</v>
      </c>
      <c r="AM15">
        <v>24655</v>
      </c>
      <c r="AN15">
        <v>24916</v>
      </c>
      <c r="AO15">
        <v>25180</v>
      </c>
      <c r="AP15">
        <v>25447</v>
      </c>
      <c r="AQ15">
        <v>25717</v>
      </c>
      <c r="AR15">
        <v>25989</v>
      </c>
      <c r="AT15" s="229" t="e">
        <f>+#REF!-AK15</f>
        <v>#REF!</v>
      </c>
      <c r="AU15" s="229" t="e">
        <f>+#REF!-AR15</f>
        <v>#REF!</v>
      </c>
      <c r="AV15" s="229"/>
      <c r="AW15">
        <v>14</v>
      </c>
      <c r="AX15">
        <v>23044</v>
      </c>
      <c r="AY15">
        <v>23274</v>
      </c>
      <c r="AZ15">
        <v>23507</v>
      </c>
      <c r="BA15">
        <v>23742</v>
      </c>
      <c r="BB15">
        <v>23979</v>
      </c>
      <c r="BC15">
        <v>24219</v>
      </c>
      <c r="BD15">
        <v>24461</v>
      </c>
      <c r="BE15">
        <v>24706</v>
      </c>
    </row>
    <row r="16" spans="1:57">
      <c r="A16">
        <v>15</v>
      </c>
      <c r="B16" s="229">
        <v>30531</v>
      </c>
      <c r="C16" s="229">
        <v>30909</v>
      </c>
      <c r="D16" s="229">
        <v>31292</v>
      </c>
      <c r="E16" s="229">
        <v>31680</v>
      </c>
      <c r="F16" s="229">
        <v>32072</v>
      </c>
      <c r="G16" s="229">
        <v>32469</v>
      </c>
      <c r="H16" s="229">
        <v>32871</v>
      </c>
      <c r="I16" s="229">
        <v>33279</v>
      </c>
      <c r="L16">
        <v>15</v>
      </c>
      <c r="M16" s="229">
        <v>29010</v>
      </c>
      <c r="N16" s="229">
        <v>29359</v>
      </c>
      <c r="O16" s="229">
        <v>29713</v>
      </c>
      <c r="P16" s="229">
        <v>30071</v>
      </c>
      <c r="Q16" s="229">
        <v>30432</v>
      </c>
      <c r="R16" s="229">
        <v>30799</v>
      </c>
      <c r="S16" s="229">
        <v>31170</v>
      </c>
      <c r="T16" s="229">
        <v>31545</v>
      </c>
      <c r="W16">
        <v>15</v>
      </c>
      <c r="X16" s="229">
        <v>27565</v>
      </c>
      <c r="Y16" s="229">
        <v>27887</v>
      </c>
      <c r="Z16" s="229">
        <v>28214</v>
      </c>
      <c r="AA16" s="229">
        <v>28544</v>
      </c>
      <c r="AB16" s="229">
        <v>28877</v>
      </c>
      <c r="AC16" s="229">
        <v>29214</v>
      </c>
      <c r="AD16" s="229">
        <v>29557</v>
      </c>
      <c r="AE16" s="229">
        <v>29902</v>
      </c>
      <c r="AG16" s="229">
        <f t="shared" si="4"/>
        <v>1445</v>
      </c>
      <c r="AH16" s="229">
        <f t="shared" si="5"/>
        <v>1643</v>
      </c>
      <c r="AI16" s="229"/>
      <c r="AJ16">
        <v>15</v>
      </c>
      <c r="AK16">
        <v>26192</v>
      </c>
      <c r="AL16">
        <v>26489</v>
      </c>
      <c r="AM16">
        <v>26790</v>
      </c>
      <c r="AN16">
        <v>27094</v>
      </c>
      <c r="AO16">
        <v>27401</v>
      </c>
      <c r="AP16">
        <v>27712</v>
      </c>
      <c r="AQ16">
        <v>28027</v>
      </c>
      <c r="AR16">
        <v>28344</v>
      </c>
      <c r="AT16" s="229" t="e">
        <f>+#REF!-AK16</f>
        <v>#REF!</v>
      </c>
      <c r="AU16" s="229" t="e">
        <f>+#REF!-AR16</f>
        <v>#REF!</v>
      </c>
      <c r="AV16" s="229"/>
      <c r="AW16">
        <v>15</v>
      </c>
      <c r="AX16">
        <v>24887</v>
      </c>
      <c r="AY16">
        <v>25161</v>
      </c>
      <c r="AZ16">
        <v>25438</v>
      </c>
      <c r="BA16">
        <v>25718</v>
      </c>
      <c r="BB16">
        <v>26000</v>
      </c>
      <c r="BC16">
        <v>26286</v>
      </c>
      <c r="BD16">
        <v>26576</v>
      </c>
      <c r="BE16">
        <v>26868</v>
      </c>
    </row>
    <row r="17" spans="1:58">
      <c r="A17">
        <v>16</v>
      </c>
      <c r="B17" s="229">
        <v>33584</v>
      </c>
      <c r="C17" s="229">
        <v>34000</v>
      </c>
      <c r="D17" s="229">
        <v>34421</v>
      </c>
      <c r="E17" s="229">
        <v>34847</v>
      </c>
      <c r="F17" s="229">
        <v>35279</v>
      </c>
      <c r="G17" s="229">
        <v>35716</v>
      </c>
      <c r="H17" s="229">
        <v>36159</v>
      </c>
      <c r="I17" s="229">
        <v>36606</v>
      </c>
      <c r="L17">
        <v>16</v>
      </c>
      <c r="M17" s="229">
        <v>31765</v>
      </c>
      <c r="N17" s="229">
        <v>32147</v>
      </c>
      <c r="O17" s="229">
        <v>32535</v>
      </c>
      <c r="P17" s="229">
        <v>32926</v>
      </c>
      <c r="Q17" s="229">
        <v>33323</v>
      </c>
      <c r="R17" s="229">
        <v>33724</v>
      </c>
      <c r="S17" s="229">
        <v>34130</v>
      </c>
      <c r="T17" s="229">
        <v>34541</v>
      </c>
      <c r="W17">
        <v>16</v>
      </c>
      <c r="X17" s="229">
        <v>30044</v>
      </c>
      <c r="Y17" s="229">
        <v>30396</v>
      </c>
      <c r="Z17" s="229">
        <v>30751</v>
      </c>
      <c r="AA17" s="229">
        <v>31111</v>
      </c>
      <c r="AB17" s="229">
        <v>31474</v>
      </c>
      <c r="AC17" s="229">
        <v>31843</v>
      </c>
      <c r="AD17" s="229">
        <v>32215</v>
      </c>
      <c r="AE17" s="229">
        <v>32592</v>
      </c>
      <c r="AG17" s="229">
        <f t="shared" si="4"/>
        <v>1721</v>
      </c>
      <c r="AH17" s="229">
        <f t="shared" si="5"/>
        <v>1949</v>
      </c>
      <c r="AI17" s="229"/>
      <c r="AJ17">
        <v>16</v>
      </c>
      <c r="AK17">
        <v>28417</v>
      </c>
      <c r="AL17">
        <v>28740</v>
      </c>
      <c r="AM17">
        <v>29066</v>
      </c>
      <c r="AN17">
        <v>29396</v>
      </c>
      <c r="AO17">
        <v>29759</v>
      </c>
      <c r="AP17">
        <v>30066</v>
      </c>
      <c r="AQ17">
        <v>30408</v>
      </c>
      <c r="AR17">
        <v>30752</v>
      </c>
      <c r="AT17" s="229" t="e">
        <f>+#REF!-AK17</f>
        <v>#REF!</v>
      </c>
      <c r="AU17" s="229" t="e">
        <f>+#REF!-AR17</f>
        <v>#REF!</v>
      </c>
      <c r="AV17" s="229"/>
      <c r="AW17">
        <v>16</v>
      </c>
      <c r="AX17">
        <v>26878</v>
      </c>
      <c r="AY17">
        <v>27174</v>
      </c>
      <c r="AZ17">
        <v>27473</v>
      </c>
      <c r="BA17">
        <v>27775</v>
      </c>
      <c r="BB17">
        <v>28080</v>
      </c>
      <c r="BC17">
        <v>28389</v>
      </c>
      <c r="BD17">
        <v>28702</v>
      </c>
      <c r="BE17">
        <v>29017</v>
      </c>
    </row>
    <row r="18" spans="1:58">
      <c r="A18">
        <v>17</v>
      </c>
      <c r="B18" s="229"/>
      <c r="C18" s="229"/>
      <c r="D18" s="229"/>
      <c r="E18" s="229"/>
      <c r="F18" s="229"/>
      <c r="G18" s="229"/>
      <c r="H18" s="229"/>
      <c r="I18" s="229"/>
      <c r="L18">
        <v>17</v>
      </c>
      <c r="M18" s="229"/>
      <c r="N18" s="229"/>
      <c r="O18" s="229"/>
      <c r="P18" s="229"/>
      <c r="Q18" s="229"/>
      <c r="R18" s="229"/>
      <c r="S18" s="229"/>
      <c r="T18" s="229"/>
      <c r="W18">
        <v>17</v>
      </c>
      <c r="X18" s="229"/>
      <c r="Y18" s="229"/>
      <c r="Z18" s="229"/>
      <c r="AA18" s="229"/>
      <c r="AB18" s="229"/>
      <c r="AC18" s="229"/>
      <c r="AD18" s="229"/>
      <c r="AE18" s="229"/>
      <c r="AG18" s="229"/>
      <c r="AH18" s="229"/>
      <c r="AI18" s="229"/>
      <c r="AJ18">
        <v>17</v>
      </c>
      <c r="AT18" s="229"/>
      <c r="AU18" s="229"/>
      <c r="AV18" s="229"/>
      <c r="AW18">
        <v>17</v>
      </c>
    </row>
    <row r="19" spans="1:58">
      <c r="A19">
        <v>18</v>
      </c>
      <c r="B19" s="229">
        <v>40637</v>
      </c>
      <c r="C19" s="229">
        <v>41140</v>
      </c>
      <c r="D19" s="229">
        <v>41650</v>
      </c>
      <c r="E19" s="229">
        <v>42165</v>
      </c>
      <c r="F19" s="229">
        <v>42688</v>
      </c>
      <c r="G19" s="229">
        <v>43217</v>
      </c>
      <c r="H19" s="229">
        <v>43752</v>
      </c>
      <c r="I19" s="229">
        <v>44294</v>
      </c>
      <c r="L19">
        <v>18</v>
      </c>
      <c r="M19" s="229">
        <v>38085</v>
      </c>
      <c r="N19" s="229">
        <v>38543</v>
      </c>
      <c r="O19" s="229">
        <v>39007</v>
      </c>
      <c r="P19" s="229">
        <v>39477</v>
      </c>
      <c r="Q19" s="229">
        <v>39952</v>
      </c>
      <c r="R19" s="229">
        <v>40433</v>
      </c>
      <c r="S19" s="229">
        <v>40920</v>
      </c>
      <c r="T19" s="229">
        <v>41413</v>
      </c>
      <c r="W19">
        <v>18</v>
      </c>
      <c r="X19" s="229">
        <v>35693</v>
      </c>
      <c r="Y19" s="229">
        <v>36111</v>
      </c>
      <c r="Z19" s="229">
        <v>36532</v>
      </c>
      <c r="AA19" s="229">
        <v>36960</v>
      </c>
      <c r="AB19" s="229">
        <v>37392</v>
      </c>
      <c r="AC19" s="229">
        <v>37829</v>
      </c>
      <c r="AD19" s="229">
        <v>38272</v>
      </c>
      <c r="AE19" s="229">
        <v>38719</v>
      </c>
      <c r="AG19" s="229">
        <f t="shared" ref="AG19:AG21" si="6">+M19-X19</f>
        <v>2392</v>
      </c>
      <c r="AH19" s="229">
        <f t="shared" ref="AH19:AH21" si="7">+T19-AE19</f>
        <v>2694</v>
      </c>
      <c r="AI19" s="229"/>
      <c r="AJ19">
        <v>18</v>
      </c>
      <c r="AK19">
        <v>33452</v>
      </c>
      <c r="AL19">
        <v>33831</v>
      </c>
      <c r="AM19">
        <v>34215</v>
      </c>
      <c r="AN19">
        <v>34603</v>
      </c>
      <c r="AO19">
        <v>34996</v>
      </c>
      <c r="AP19">
        <v>35393</v>
      </c>
      <c r="AQ19">
        <v>35795</v>
      </c>
      <c r="AR19">
        <v>36201</v>
      </c>
      <c r="AT19" s="229" t="e">
        <f>+#REF!-AK19</f>
        <v>#REF!</v>
      </c>
      <c r="AU19" s="229" t="e">
        <f>+#REF!-AR19</f>
        <v>#REF!</v>
      </c>
      <c r="AV19" s="229"/>
      <c r="AW19">
        <v>18</v>
      </c>
      <c r="AX19">
        <v>31351</v>
      </c>
      <c r="AY19">
        <v>31696</v>
      </c>
      <c r="AZ19">
        <v>32044</v>
      </c>
      <c r="BA19">
        <v>32397</v>
      </c>
      <c r="BB19">
        <v>32753</v>
      </c>
      <c r="BC19">
        <v>33113</v>
      </c>
      <c r="BD19">
        <v>33478</v>
      </c>
      <c r="BE19">
        <v>33846</v>
      </c>
    </row>
    <row r="20" spans="1:58">
      <c r="A20">
        <v>19</v>
      </c>
      <c r="B20" s="229">
        <v>45269</v>
      </c>
      <c r="C20" s="229">
        <v>46008</v>
      </c>
      <c r="D20" s="229">
        <v>46759</v>
      </c>
      <c r="E20" s="229">
        <v>47522</v>
      </c>
      <c r="F20" s="229">
        <v>48298</v>
      </c>
      <c r="G20" s="229">
        <v>49086</v>
      </c>
      <c r="H20" s="229">
        <v>49888</v>
      </c>
      <c r="I20" s="229">
        <v>50702</v>
      </c>
      <c r="L20">
        <v>19</v>
      </c>
      <c r="M20" s="229">
        <v>42099</v>
      </c>
      <c r="N20" s="229">
        <v>42730</v>
      </c>
      <c r="O20" s="229">
        <v>43371</v>
      </c>
      <c r="P20" s="229">
        <v>44020</v>
      </c>
      <c r="Q20" s="229">
        <v>44680</v>
      </c>
      <c r="R20" s="229">
        <v>45350</v>
      </c>
      <c r="S20" s="229">
        <v>46030</v>
      </c>
      <c r="T20" s="229">
        <v>46720</v>
      </c>
      <c r="W20">
        <v>19</v>
      </c>
      <c r="X20" s="229">
        <v>39151</v>
      </c>
      <c r="Y20" s="229">
        <v>39685</v>
      </c>
      <c r="Z20" s="229">
        <v>40227</v>
      </c>
      <c r="AA20" s="229">
        <v>40776</v>
      </c>
      <c r="AB20" s="229">
        <v>41333</v>
      </c>
      <c r="AC20" s="229">
        <v>41898</v>
      </c>
      <c r="AD20" s="229">
        <v>42470</v>
      </c>
      <c r="AE20" s="229">
        <v>43051</v>
      </c>
      <c r="AG20" s="229">
        <f t="shared" si="6"/>
        <v>2948</v>
      </c>
      <c r="AH20" s="229">
        <f t="shared" si="7"/>
        <v>3669</v>
      </c>
      <c r="AI20" s="229"/>
      <c r="AJ20">
        <v>19</v>
      </c>
      <c r="AK20">
        <v>36409</v>
      </c>
      <c r="AL20">
        <v>36857</v>
      </c>
      <c r="AM20">
        <v>37312</v>
      </c>
      <c r="AN20">
        <v>37771</v>
      </c>
      <c r="AO20">
        <v>38237</v>
      </c>
      <c r="AP20">
        <v>38709</v>
      </c>
      <c r="AQ20">
        <v>39186</v>
      </c>
      <c r="AR20">
        <v>39670</v>
      </c>
      <c r="AT20" s="229" t="e">
        <f>+#REF!-AK20</f>
        <v>#REF!</v>
      </c>
      <c r="AU20" s="229" t="e">
        <f>+#REF!-AR20</f>
        <v>#REF!</v>
      </c>
      <c r="AV20" s="229"/>
      <c r="AW20">
        <v>19</v>
      </c>
      <c r="AX20">
        <v>33859</v>
      </c>
      <c r="AY20">
        <v>34231</v>
      </c>
      <c r="AZ20">
        <v>34608</v>
      </c>
      <c r="BA20">
        <v>34988</v>
      </c>
      <c r="BB20">
        <v>35373</v>
      </c>
      <c r="BC20">
        <v>35762</v>
      </c>
      <c r="BD20">
        <v>36156</v>
      </c>
      <c r="BE20">
        <v>36554</v>
      </c>
    </row>
    <row r="21" spans="1:58">
      <c r="A21">
        <v>20</v>
      </c>
      <c r="B21" s="229">
        <v>51155</v>
      </c>
      <c r="C21" s="229">
        <v>51989</v>
      </c>
      <c r="D21" s="229">
        <v>52838</v>
      </c>
      <c r="E21" s="229">
        <v>53700</v>
      </c>
      <c r="F21" s="229">
        <v>54577</v>
      </c>
      <c r="G21" s="229">
        <v>55468</v>
      </c>
      <c r="H21" s="229">
        <v>56373</v>
      </c>
      <c r="I21" s="229">
        <v>57293</v>
      </c>
      <c r="L21">
        <v>20</v>
      </c>
      <c r="M21" s="229">
        <v>47037</v>
      </c>
      <c r="N21" s="229">
        <v>47742</v>
      </c>
      <c r="O21" s="229">
        <v>48457</v>
      </c>
      <c r="P21" s="229">
        <v>49184</v>
      </c>
      <c r="Q21" s="229">
        <v>49921</v>
      </c>
      <c r="R21" s="229">
        <v>50669</v>
      </c>
      <c r="S21" s="229">
        <v>51428</v>
      </c>
      <c r="T21" s="229">
        <v>52199</v>
      </c>
      <c r="W21">
        <v>20</v>
      </c>
      <c r="X21" s="229">
        <v>43250</v>
      </c>
      <c r="Y21" s="229">
        <v>43841</v>
      </c>
      <c r="Z21" s="229">
        <v>44440</v>
      </c>
      <c r="AA21" s="229">
        <v>45047</v>
      </c>
      <c r="AB21" s="229">
        <v>45662</v>
      </c>
      <c r="AC21" s="229">
        <v>46285</v>
      </c>
      <c r="AD21" s="229">
        <v>46917</v>
      </c>
      <c r="AE21" s="229">
        <v>47559</v>
      </c>
      <c r="AG21" s="229">
        <f t="shared" si="6"/>
        <v>3787</v>
      </c>
      <c r="AH21" s="229">
        <f t="shared" si="7"/>
        <v>4640</v>
      </c>
      <c r="AI21" s="229"/>
      <c r="AJ21">
        <v>20</v>
      </c>
      <c r="AK21">
        <v>39768</v>
      </c>
      <c r="AL21">
        <v>40259</v>
      </c>
      <c r="AM21">
        <v>40755</v>
      </c>
      <c r="AN21">
        <v>41258</v>
      </c>
      <c r="AO21">
        <v>41766</v>
      </c>
      <c r="AP21">
        <v>42281</v>
      </c>
      <c r="AQ21">
        <v>42802</v>
      </c>
      <c r="AR21">
        <v>43330</v>
      </c>
      <c r="AT21" s="229" t="e">
        <f>+#REF!-AK21</f>
        <v>#REF!</v>
      </c>
      <c r="AU21" s="229" t="e">
        <f>+#REF!-AR21</f>
        <v>#REF!</v>
      </c>
      <c r="AV21" s="229"/>
      <c r="AW21">
        <v>20</v>
      </c>
      <c r="AX21">
        <v>36567</v>
      </c>
      <c r="AY21">
        <v>36970</v>
      </c>
      <c r="AZ21">
        <v>37376</v>
      </c>
      <c r="BA21">
        <v>37788</v>
      </c>
      <c r="BB21">
        <v>38203</v>
      </c>
      <c r="BC21">
        <v>38623</v>
      </c>
      <c r="BD21">
        <v>39048</v>
      </c>
      <c r="BE21">
        <v>39478</v>
      </c>
    </row>
    <row r="22" spans="1:58">
      <c r="A22">
        <v>21</v>
      </c>
      <c r="B22" s="229"/>
      <c r="C22" s="229"/>
      <c r="D22" s="229"/>
      <c r="E22" s="229"/>
      <c r="F22" s="229"/>
      <c r="G22" s="229"/>
      <c r="H22" s="229"/>
      <c r="I22" s="229"/>
      <c r="L22">
        <v>21</v>
      </c>
      <c r="M22" s="229"/>
      <c r="N22" s="229"/>
      <c r="O22" s="229"/>
      <c r="P22" s="229"/>
      <c r="Q22" s="229"/>
      <c r="R22" s="229"/>
      <c r="S22" s="229"/>
      <c r="T22" s="229"/>
      <c r="W22">
        <v>21</v>
      </c>
      <c r="X22" s="229"/>
      <c r="Y22" s="229"/>
      <c r="Z22" s="229"/>
      <c r="AA22" s="229"/>
      <c r="AB22" s="229"/>
      <c r="AC22" s="229"/>
      <c r="AD22" s="229"/>
      <c r="AE22" s="229"/>
      <c r="AG22" s="229"/>
      <c r="AH22" s="229"/>
      <c r="AI22" s="229"/>
      <c r="AJ22">
        <v>21</v>
      </c>
      <c r="AT22" s="229"/>
      <c r="AU22" s="229"/>
      <c r="AV22" s="229"/>
      <c r="AW22">
        <v>21</v>
      </c>
    </row>
    <row r="23" spans="1:58">
      <c r="A23">
        <v>22</v>
      </c>
      <c r="B23" s="229">
        <v>65319</v>
      </c>
      <c r="C23" s="229">
        <v>66385</v>
      </c>
      <c r="D23" s="229">
        <v>67469</v>
      </c>
      <c r="E23" s="229">
        <v>68570</v>
      </c>
      <c r="F23" s="229">
        <v>69689</v>
      </c>
      <c r="G23" s="229">
        <v>70827</v>
      </c>
      <c r="H23" s="229">
        <v>71983</v>
      </c>
      <c r="I23" s="229">
        <v>73157</v>
      </c>
      <c r="L23">
        <v>22</v>
      </c>
      <c r="M23" s="229">
        <v>58717</v>
      </c>
      <c r="N23" s="229">
        <v>59597</v>
      </c>
      <c r="O23" s="229">
        <v>60491</v>
      </c>
      <c r="P23" s="229">
        <v>61397</v>
      </c>
      <c r="Q23" s="229">
        <v>62318</v>
      </c>
      <c r="R23" s="229">
        <v>63252</v>
      </c>
      <c r="S23" s="229">
        <v>64200</v>
      </c>
      <c r="T23" s="229">
        <v>65162</v>
      </c>
      <c r="W23">
        <v>22</v>
      </c>
      <c r="X23" s="229">
        <v>52783</v>
      </c>
      <c r="Y23" s="229">
        <v>53503</v>
      </c>
      <c r="Z23" s="229">
        <v>54234</v>
      </c>
      <c r="AA23" s="229">
        <v>54975</v>
      </c>
      <c r="AB23" s="229">
        <v>55726</v>
      </c>
      <c r="AC23" s="229">
        <v>56487</v>
      </c>
      <c r="AD23" s="229">
        <v>57258</v>
      </c>
      <c r="AE23" s="229">
        <v>58040</v>
      </c>
      <c r="AG23" s="229">
        <f t="shared" ref="AG23:AG25" si="8">+M23-X23</f>
        <v>5934</v>
      </c>
      <c r="AH23" s="229">
        <f t="shared" ref="AH23:AH25" si="9">+T23-AE23</f>
        <v>7122</v>
      </c>
      <c r="AI23" s="229"/>
      <c r="AJ23">
        <v>22</v>
      </c>
      <c r="AK23">
        <v>47448</v>
      </c>
      <c r="AL23">
        <v>48032</v>
      </c>
      <c r="AM23">
        <v>48625</v>
      </c>
      <c r="AN23">
        <v>49224</v>
      </c>
      <c r="AO23">
        <v>49831</v>
      </c>
      <c r="AP23">
        <v>50445</v>
      </c>
      <c r="AQ23">
        <v>51067</v>
      </c>
      <c r="AR23">
        <v>51697</v>
      </c>
      <c r="AT23" s="229" t="e">
        <f>+#REF!-AK23</f>
        <v>#REF!</v>
      </c>
      <c r="AU23" s="229" t="e">
        <f>+#REF!-AR23</f>
        <v>#REF!</v>
      </c>
      <c r="AV23" s="229"/>
      <c r="AW23">
        <v>22</v>
      </c>
      <c r="AX23">
        <v>42652</v>
      </c>
      <c r="AY23">
        <v>43121</v>
      </c>
      <c r="AZ23">
        <v>43596</v>
      </c>
      <c r="BA23">
        <v>44075</v>
      </c>
      <c r="BB23">
        <v>44560</v>
      </c>
      <c r="BC23">
        <v>45050</v>
      </c>
      <c r="BD23">
        <v>45546</v>
      </c>
      <c r="BE23">
        <v>46047</v>
      </c>
    </row>
    <row r="24" spans="1:58">
      <c r="A24">
        <v>23</v>
      </c>
      <c r="B24" s="229">
        <v>73811</v>
      </c>
      <c r="C24" s="229">
        <v>75015</v>
      </c>
      <c r="D24" s="229">
        <v>76240</v>
      </c>
      <c r="E24" s="229">
        <v>77484</v>
      </c>
      <c r="F24" s="229">
        <v>78749</v>
      </c>
      <c r="G24" s="229">
        <v>80034</v>
      </c>
      <c r="H24" s="229">
        <v>81340</v>
      </c>
      <c r="I24" s="229">
        <v>82668</v>
      </c>
      <c r="L24">
        <v>23</v>
      </c>
      <c r="M24" s="229">
        <v>65604</v>
      </c>
      <c r="N24" s="229">
        <v>66587</v>
      </c>
      <c r="O24" s="229"/>
      <c r="P24" s="229"/>
      <c r="Q24" s="229"/>
      <c r="R24" s="229"/>
      <c r="S24" s="229"/>
      <c r="T24" s="229"/>
      <c r="W24">
        <v>23</v>
      </c>
      <c r="X24" s="229">
        <v>58310</v>
      </c>
      <c r="Y24" s="229">
        <v>59106</v>
      </c>
      <c r="Z24" s="229">
        <v>59913</v>
      </c>
      <c r="AA24" s="229">
        <v>60732</v>
      </c>
      <c r="AB24" s="229">
        <v>61561</v>
      </c>
      <c r="AC24" s="229">
        <v>62402</v>
      </c>
      <c r="AD24" s="229">
        <v>63255</v>
      </c>
      <c r="AE24" s="229">
        <v>64118</v>
      </c>
      <c r="AG24" s="229">
        <f t="shared" si="8"/>
        <v>7294</v>
      </c>
      <c r="AH24" s="229">
        <f t="shared" si="9"/>
        <v>-64118</v>
      </c>
      <c r="AI24" s="229"/>
      <c r="AJ24">
        <v>23</v>
      </c>
      <c r="AK24">
        <v>51826</v>
      </c>
      <c r="AL24">
        <v>52466</v>
      </c>
      <c r="AM24">
        <v>53112</v>
      </c>
      <c r="AN24">
        <v>53767</v>
      </c>
      <c r="AO24">
        <v>54430</v>
      </c>
      <c r="AP24">
        <v>55101</v>
      </c>
      <c r="AQ24">
        <v>55781</v>
      </c>
      <c r="AR24">
        <v>56468</v>
      </c>
      <c r="AT24" s="229" t="e">
        <f>+#REF!-AK24</f>
        <v>#REF!</v>
      </c>
      <c r="AU24" s="229" t="e">
        <f>+#REF!-AR24</f>
        <v>#REF!</v>
      </c>
      <c r="AV24" s="229"/>
      <c r="AW24">
        <v>23</v>
      </c>
      <c r="AX24">
        <v>46064</v>
      </c>
      <c r="AY24">
        <v>46571</v>
      </c>
      <c r="AZ24">
        <v>47083</v>
      </c>
      <c r="BA24">
        <v>47601</v>
      </c>
      <c r="BB24">
        <v>48125</v>
      </c>
      <c r="BC24">
        <v>48654</v>
      </c>
      <c r="BD24">
        <v>49190</v>
      </c>
      <c r="BE24">
        <v>49731</v>
      </c>
    </row>
    <row r="25" spans="1:58">
      <c r="A25">
        <v>24</v>
      </c>
      <c r="B25" s="229">
        <v>83406</v>
      </c>
      <c r="C25" s="229">
        <v>84767</v>
      </c>
      <c r="D25" s="229">
        <v>86151</v>
      </c>
      <c r="E25" s="229">
        <v>87557</v>
      </c>
      <c r="F25" s="229">
        <v>88986</v>
      </c>
      <c r="G25" s="229">
        <v>90439</v>
      </c>
      <c r="H25" s="229">
        <v>91915</v>
      </c>
      <c r="I25" s="229">
        <v>93415</v>
      </c>
      <c r="L25">
        <v>24</v>
      </c>
      <c r="M25" s="229">
        <v>73299</v>
      </c>
      <c r="N25" s="229">
        <v>74397</v>
      </c>
      <c r="O25" s="229">
        <v>75512</v>
      </c>
      <c r="P25" s="229">
        <v>76644</v>
      </c>
      <c r="Q25" s="229">
        <v>77793</v>
      </c>
      <c r="R25" s="229">
        <v>78959</v>
      </c>
      <c r="S25" s="229">
        <v>80143</v>
      </c>
      <c r="T25" s="229">
        <v>81344</v>
      </c>
      <c r="W25">
        <v>24</v>
      </c>
      <c r="X25" s="229">
        <v>64416</v>
      </c>
      <c r="Y25" s="229">
        <v>65296</v>
      </c>
      <c r="Z25" s="229">
        <v>66187</v>
      </c>
      <c r="AA25" s="229">
        <v>67092</v>
      </c>
      <c r="AB25" s="229">
        <v>68008</v>
      </c>
      <c r="AC25" s="229">
        <v>68937</v>
      </c>
      <c r="AD25" s="229">
        <v>69878</v>
      </c>
      <c r="AE25" s="229">
        <v>70832</v>
      </c>
      <c r="AG25" s="229">
        <f t="shared" si="8"/>
        <v>8883</v>
      </c>
      <c r="AH25" s="229">
        <f t="shared" si="9"/>
        <v>10512</v>
      </c>
      <c r="AI25" s="229"/>
      <c r="AJ25">
        <v>24</v>
      </c>
      <c r="AK25">
        <v>56610</v>
      </c>
      <c r="AL25">
        <v>57308</v>
      </c>
      <c r="AM25">
        <v>58014</v>
      </c>
      <c r="AN25">
        <v>58730</v>
      </c>
      <c r="AO25">
        <v>59543</v>
      </c>
      <c r="AP25">
        <v>60187</v>
      </c>
      <c r="AQ25">
        <v>60928</v>
      </c>
      <c r="AR25">
        <v>61679</v>
      </c>
      <c r="AT25" s="229" t="e">
        <f>+#REF!-AK25</f>
        <v>#REF!</v>
      </c>
      <c r="AU25" s="229" t="e">
        <f>+#REF!-AR25</f>
        <v>#REF!</v>
      </c>
      <c r="AV25" s="229"/>
      <c r="AW25">
        <v>24</v>
      </c>
      <c r="AX25">
        <v>49750</v>
      </c>
      <c r="AY25">
        <v>50297</v>
      </c>
      <c r="AZ25">
        <v>50850</v>
      </c>
      <c r="BA25">
        <v>51410</v>
      </c>
      <c r="BB25">
        <v>51975</v>
      </c>
      <c r="BC25">
        <v>52547</v>
      </c>
      <c r="BD25">
        <v>53125</v>
      </c>
      <c r="BE25">
        <v>53709</v>
      </c>
    </row>
    <row r="26" spans="1:58">
      <c r="A26">
        <v>25</v>
      </c>
      <c r="B26" s="229"/>
      <c r="C26" s="229"/>
      <c r="D26" s="229"/>
      <c r="E26" s="229"/>
      <c r="F26" s="229"/>
      <c r="G26" s="229"/>
      <c r="H26" s="229"/>
      <c r="I26" s="229"/>
      <c r="L26">
        <v>25</v>
      </c>
      <c r="M26" s="229"/>
      <c r="N26" s="229"/>
      <c r="O26" s="229"/>
      <c r="P26" s="229"/>
      <c r="Q26" s="229"/>
      <c r="R26" s="229"/>
      <c r="S26" s="229"/>
      <c r="T26" s="229"/>
      <c r="W26">
        <v>25</v>
      </c>
      <c r="X26" s="229"/>
      <c r="Y26" s="229"/>
      <c r="Z26" s="229"/>
      <c r="AA26" s="229"/>
      <c r="AB26" s="229"/>
      <c r="AC26" s="229"/>
      <c r="AD26" s="229"/>
      <c r="AE26" s="229"/>
      <c r="AG26" s="229"/>
      <c r="AH26" s="229"/>
      <c r="AI26" s="229"/>
      <c r="AJ26">
        <v>25</v>
      </c>
      <c r="AT26" s="229"/>
      <c r="AU26" s="229"/>
      <c r="AV26" s="229"/>
      <c r="AW26">
        <v>25</v>
      </c>
    </row>
    <row r="27" spans="1:58">
      <c r="A27">
        <v>26</v>
      </c>
      <c r="B27" s="229">
        <v>107444</v>
      </c>
      <c r="C27" s="229">
        <v>109197</v>
      </c>
      <c r="D27" s="229">
        <v>110980</v>
      </c>
      <c r="E27" s="229">
        <v>112791</v>
      </c>
      <c r="F27" s="229">
        <v>114632</v>
      </c>
      <c r="G27" s="229">
        <v>116503</v>
      </c>
      <c r="H27" s="229">
        <v>118404</v>
      </c>
      <c r="I27" s="229">
        <v>120337</v>
      </c>
      <c r="J27">
        <f>+E27-P27</f>
        <v>16479</v>
      </c>
      <c r="L27">
        <v>26</v>
      </c>
      <c r="M27" s="229">
        <v>92108</v>
      </c>
      <c r="N27" s="229">
        <v>93488</v>
      </c>
      <c r="O27" s="229">
        <v>94889</v>
      </c>
      <c r="P27" s="229">
        <v>96312</v>
      </c>
      <c r="Q27" s="229">
        <v>97755</v>
      </c>
      <c r="R27" s="229">
        <v>99221</v>
      </c>
      <c r="S27" s="229">
        <v>100708</v>
      </c>
      <c r="T27" s="229">
        <v>102217</v>
      </c>
      <c r="U27">
        <f>+P27-AA27</f>
        <v>14072</v>
      </c>
      <c r="W27">
        <v>26</v>
      </c>
      <c r="X27" s="229">
        <v>78960</v>
      </c>
      <c r="Y27" s="229">
        <v>80039</v>
      </c>
      <c r="Z27" s="229">
        <v>81132</v>
      </c>
      <c r="AA27" s="229">
        <v>82240</v>
      </c>
      <c r="AB27" s="229">
        <v>83363</v>
      </c>
      <c r="AC27" s="229">
        <v>84502</v>
      </c>
      <c r="AD27" s="229">
        <v>85657</v>
      </c>
      <c r="AE27" s="229">
        <v>86825</v>
      </c>
      <c r="AF27">
        <f>+AA27-BA27</f>
        <v>22276</v>
      </c>
      <c r="AG27" s="229">
        <f t="shared" ref="AG27:AG29" si="10">+M27-X27</f>
        <v>13148</v>
      </c>
      <c r="AH27" s="229">
        <f t="shared" ref="AH27:AH29" si="11">+T27-AE27</f>
        <v>15392</v>
      </c>
      <c r="AI27" s="229"/>
      <c r="AJ27">
        <v>26</v>
      </c>
      <c r="AK27">
        <v>67690</v>
      </c>
      <c r="AL27">
        <v>68524</v>
      </c>
      <c r="AM27">
        <v>69369</v>
      </c>
      <c r="AN27">
        <v>70224</v>
      </c>
      <c r="AO27">
        <v>71090</v>
      </c>
      <c r="AP27">
        <v>71967</v>
      </c>
      <c r="AQ27">
        <v>72855</v>
      </c>
      <c r="AR27">
        <v>73751</v>
      </c>
      <c r="AS27">
        <f>+AN27-BN27</f>
        <v>70224</v>
      </c>
      <c r="AT27" s="229" t="e">
        <f>+#REF!-AK27</f>
        <v>#REF!</v>
      </c>
      <c r="AU27" s="229" t="e">
        <f>+#REF!-AR27</f>
        <v>#REF!</v>
      </c>
      <c r="AV27" s="229"/>
      <c r="AW27">
        <v>26</v>
      </c>
      <c r="AX27">
        <v>58028</v>
      </c>
      <c r="AY27">
        <v>58666</v>
      </c>
      <c r="AZ27">
        <v>59312</v>
      </c>
      <c r="BA27">
        <v>59964</v>
      </c>
      <c r="BB27">
        <v>60624</v>
      </c>
      <c r="BC27">
        <v>61291</v>
      </c>
      <c r="BD27">
        <v>61965</v>
      </c>
      <c r="BE27">
        <v>62646</v>
      </c>
      <c r="BF27">
        <f>+BA27*12</f>
        <v>719568</v>
      </c>
    </row>
    <row r="28" spans="1:58">
      <c r="A28">
        <v>27</v>
      </c>
      <c r="B28" s="229">
        <v>121411</v>
      </c>
      <c r="C28" s="229">
        <v>123393</v>
      </c>
      <c r="D28" s="229">
        <v>125407</v>
      </c>
      <c r="E28" s="229">
        <v>127454</v>
      </c>
      <c r="F28" s="229">
        <v>129534</v>
      </c>
      <c r="G28" s="229">
        <v>131648</v>
      </c>
      <c r="H28" s="229">
        <v>133797</v>
      </c>
      <c r="I28" s="229">
        <v>135981</v>
      </c>
      <c r="L28">
        <v>27</v>
      </c>
      <c r="M28" s="229">
        <v>102910</v>
      </c>
      <c r="N28" s="229">
        <v>104453</v>
      </c>
      <c r="O28" s="229">
        <v>106019</v>
      </c>
      <c r="P28" s="229">
        <v>107608</v>
      </c>
      <c r="Q28" s="229"/>
      <c r="R28" s="229"/>
      <c r="S28" s="229"/>
      <c r="T28" s="229"/>
      <c r="W28">
        <v>27</v>
      </c>
      <c r="X28" s="229">
        <v>87229</v>
      </c>
      <c r="Y28" s="229">
        <v>88420</v>
      </c>
      <c r="Z28" s="229">
        <v>89628</v>
      </c>
      <c r="AA28" s="229">
        <v>90852</v>
      </c>
      <c r="AB28" s="229">
        <v>92093</v>
      </c>
      <c r="AC28" s="229">
        <v>93351</v>
      </c>
      <c r="AD28" s="229">
        <v>94625</v>
      </c>
      <c r="AE28" s="229">
        <v>95925</v>
      </c>
      <c r="AG28" s="229">
        <f t="shared" si="10"/>
        <v>15681</v>
      </c>
      <c r="AH28" s="229">
        <f t="shared" si="11"/>
        <v>-95925</v>
      </c>
      <c r="AI28" s="229"/>
      <c r="AJ28">
        <v>27</v>
      </c>
      <c r="AK28">
        <v>73937</v>
      </c>
      <c r="AL28">
        <v>74849</v>
      </c>
      <c r="AM28">
        <v>75771</v>
      </c>
      <c r="AN28">
        <v>76705</v>
      </c>
      <c r="AO28">
        <v>77651</v>
      </c>
      <c r="AP28">
        <v>78608</v>
      </c>
      <c r="AQ28">
        <v>79577</v>
      </c>
      <c r="AR28">
        <v>80567</v>
      </c>
      <c r="AT28" s="229" t="e">
        <f>+#REF!-AK28</f>
        <v>#REF!</v>
      </c>
      <c r="AU28" s="229" t="e">
        <f>+#REF!-AR28</f>
        <v>#REF!</v>
      </c>
      <c r="AV28" s="229"/>
      <c r="AW28">
        <v>27</v>
      </c>
      <c r="AX28">
        <v>62670</v>
      </c>
      <c r="AY28">
        <v>63360</v>
      </c>
      <c r="AZ28">
        <v>64057</v>
      </c>
      <c r="BA28">
        <v>64761</v>
      </c>
      <c r="BB28">
        <v>65474</v>
      </c>
      <c r="BC28">
        <v>66194</v>
      </c>
      <c r="BD28">
        <v>66922</v>
      </c>
      <c r="BE28">
        <v>67658</v>
      </c>
    </row>
    <row r="29" spans="1:58">
      <c r="A29">
        <v>28</v>
      </c>
      <c r="B29" s="229">
        <v>137195</v>
      </c>
      <c r="C29" s="229">
        <v>139434</v>
      </c>
      <c r="D29" s="229">
        <v>141710</v>
      </c>
      <c r="E29" s="229">
        <v>144023</v>
      </c>
      <c r="F29" s="229">
        <v>146373</v>
      </c>
      <c r="G29" s="229">
        <v>148763</v>
      </c>
      <c r="H29" s="229">
        <v>151191</v>
      </c>
      <c r="I29" s="229">
        <v>153658</v>
      </c>
      <c r="L29">
        <v>28</v>
      </c>
      <c r="M29" s="229">
        <v>114981</v>
      </c>
      <c r="N29" s="229">
        <v>116704</v>
      </c>
      <c r="O29" s="229">
        <v>118453</v>
      </c>
      <c r="P29" s="229">
        <v>120229</v>
      </c>
      <c r="Q29" s="229"/>
      <c r="R29" s="229"/>
      <c r="S29" s="229"/>
      <c r="T29" s="229"/>
      <c r="W29">
        <v>28</v>
      </c>
      <c r="X29" s="229">
        <v>96363</v>
      </c>
      <c r="Y29" s="229">
        <v>97679</v>
      </c>
      <c r="Z29" s="229">
        <v>99013</v>
      </c>
      <c r="AA29" s="229">
        <v>100366</v>
      </c>
      <c r="AB29" s="229">
        <v>101736</v>
      </c>
      <c r="AC29" s="229">
        <v>103126</v>
      </c>
      <c r="AD29" s="229">
        <v>104534</v>
      </c>
      <c r="AE29" s="229">
        <v>105962</v>
      </c>
      <c r="AG29" s="229">
        <f t="shared" si="10"/>
        <v>18618</v>
      </c>
      <c r="AH29" s="229">
        <f t="shared" si="11"/>
        <v>-105962</v>
      </c>
      <c r="AI29" s="229"/>
      <c r="AJ29">
        <v>28</v>
      </c>
      <c r="AK29">
        <v>80760</v>
      </c>
      <c r="AL29">
        <v>81756</v>
      </c>
      <c r="AM29">
        <v>82764</v>
      </c>
      <c r="AN29">
        <v>83784</v>
      </c>
      <c r="AO29">
        <v>84817</v>
      </c>
      <c r="AP29">
        <v>85862</v>
      </c>
      <c r="AQ29">
        <v>86921</v>
      </c>
      <c r="AR29">
        <v>87993</v>
      </c>
      <c r="AT29" s="229" t="e">
        <f>+#REF!-AK29</f>
        <v>#REF!</v>
      </c>
      <c r="AU29" s="229" t="e">
        <f>+#REF!-AR29</f>
        <v>#REF!</v>
      </c>
      <c r="AV29" s="229"/>
      <c r="AW29">
        <v>28</v>
      </c>
      <c r="AX29">
        <v>67684</v>
      </c>
      <c r="AY29">
        <v>68428</v>
      </c>
      <c r="AZ29">
        <v>69181</v>
      </c>
      <c r="BA29">
        <v>69942</v>
      </c>
      <c r="BB29">
        <v>70711</v>
      </c>
      <c r="BC29">
        <v>71489</v>
      </c>
      <c r="BD29">
        <v>72276</v>
      </c>
      <c r="BE29">
        <v>73071</v>
      </c>
    </row>
    <row r="31" spans="1:58">
      <c r="AA31" s="229"/>
    </row>
    <row r="32" spans="1:58">
      <c r="X32" s="229">
        <v>52783</v>
      </c>
    </row>
    <row r="33" spans="24:44">
      <c r="X33">
        <f>+X32*12</f>
        <v>633396</v>
      </c>
    </row>
    <row r="34" spans="24:44">
      <c r="X34">
        <v>43250</v>
      </c>
      <c r="Y34">
        <v>43841</v>
      </c>
      <c r="Z34">
        <v>44440</v>
      </c>
      <c r="AA34">
        <v>45047</v>
      </c>
      <c r="AB34">
        <v>45662</v>
      </c>
      <c r="AC34">
        <v>46285</v>
      </c>
      <c r="AD34">
        <v>46917</v>
      </c>
      <c r="AE34">
        <v>47559</v>
      </c>
      <c r="AK34">
        <v>39768</v>
      </c>
      <c r="AL34">
        <v>40259</v>
      </c>
      <c r="AM34">
        <v>40755</v>
      </c>
      <c r="AN34">
        <v>41258</v>
      </c>
      <c r="AO34">
        <v>41766</v>
      </c>
      <c r="AP34">
        <v>42281</v>
      </c>
      <c r="AQ34">
        <v>42802</v>
      </c>
      <c r="AR34">
        <v>43330</v>
      </c>
    </row>
    <row r="35" spans="24:44">
      <c r="X35">
        <f t="shared" ref="X35:AE35" si="12">+X34*12</f>
        <v>519000</v>
      </c>
      <c r="Y35">
        <f t="shared" si="12"/>
        <v>526092</v>
      </c>
      <c r="Z35">
        <f t="shared" si="12"/>
        <v>533280</v>
      </c>
      <c r="AA35">
        <f t="shared" si="12"/>
        <v>540564</v>
      </c>
      <c r="AB35">
        <f t="shared" si="12"/>
        <v>547944</v>
      </c>
      <c r="AC35">
        <f t="shared" si="12"/>
        <v>555420</v>
      </c>
      <c r="AD35">
        <f t="shared" si="12"/>
        <v>563004</v>
      </c>
      <c r="AE35">
        <f t="shared" si="12"/>
        <v>570708</v>
      </c>
      <c r="AK35">
        <f t="shared" ref="AK35:AR35" si="13">+AK34*12</f>
        <v>477216</v>
      </c>
      <c r="AL35">
        <f t="shared" si="13"/>
        <v>483108</v>
      </c>
      <c r="AM35">
        <f t="shared" si="13"/>
        <v>489060</v>
      </c>
      <c r="AN35">
        <f t="shared" si="13"/>
        <v>495096</v>
      </c>
      <c r="AO35">
        <f t="shared" si="13"/>
        <v>501192</v>
      </c>
      <c r="AP35">
        <f t="shared" si="13"/>
        <v>507372</v>
      </c>
      <c r="AQ35">
        <f t="shared" si="13"/>
        <v>513624</v>
      </c>
      <c r="AR35">
        <f t="shared" si="13"/>
        <v>519960</v>
      </c>
    </row>
  </sheetData>
  <sheetProtection selectLockedCells="1" selectUnlockedCells="1"/>
  <pageMargins left="0.69930555555555596" right="0.69930555555555596"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V92"/>
  <sheetViews>
    <sheetView view="pageBreakPreview" topLeftCell="A57" zoomScaleNormal="70" zoomScaleSheetLayoutView="100" workbookViewId="0">
      <selection activeCell="E86" sqref="E86"/>
    </sheetView>
  </sheetViews>
  <sheetFormatPr defaultColWidth="9" defaultRowHeight="14.4"/>
  <cols>
    <col min="1" max="1" width="42" customWidth="1"/>
    <col min="2" max="2" width="4.6640625" style="176" customWidth="1"/>
    <col min="3" max="4" width="8.6640625" style="162" customWidth="1"/>
    <col min="5" max="19" width="8.6640625" style="176" customWidth="1"/>
    <col min="20" max="20" width="8.6640625" style="176" hidden="1" customWidth="1"/>
    <col min="21" max="21" width="8.6640625" style="176" customWidth="1"/>
    <col min="22" max="22" width="7.6640625" style="176" customWidth="1"/>
  </cols>
  <sheetData>
    <row r="1" spans="1:22" s="191" customFormat="1" ht="21">
      <c r="A1" s="1092" t="s">
        <v>3093</v>
      </c>
      <c r="B1" s="1092"/>
      <c r="C1" s="1092"/>
      <c r="D1" s="1092"/>
      <c r="E1" s="1092"/>
      <c r="F1" s="1092"/>
      <c r="G1" s="1092"/>
      <c r="H1" s="1092"/>
      <c r="I1" s="1092"/>
      <c r="J1" s="1092"/>
      <c r="K1" s="1092"/>
      <c r="L1" s="1092"/>
      <c r="M1" s="1092"/>
      <c r="N1" s="1092"/>
      <c r="O1" s="1092"/>
      <c r="P1" s="1092"/>
      <c r="Q1" s="1092"/>
      <c r="R1" s="1092"/>
      <c r="S1" s="1092"/>
      <c r="T1" s="1092"/>
      <c r="U1" s="1092"/>
      <c r="V1" s="1092"/>
    </row>
    <row r="2" spans="1:22" ht="15.6">
      <c r="A2" s="1093" t="str">
        <f ca="1">CONCATENATE("As of  ",TEXT(NOW(),"MMMM DD, YYYY"))</f>
        <v>As of  March 24, 2026</v>
      </c>
      <c r="B2" s="1093"/>
      <c r="C2" s="1093"/>
      <c r="D2" s="1093"/>
      <c r="E2" s="1093"/>
      <c r="F2" s="1093"/>
      <c r="G2" s="1093"/>
      <c r="H2" s="1093"/>
      <c r="I2" s="1093"/>
      <c r="J2" s="1093"/>
      <c r="K2" s="1093"/>
      <c r="L2" s="1093"/>
      <c r="M2" s="1093"/>
      <c r="N2" s="1093"/>
      <c r="O2" s="1093"/>
      <c r="P2" s="1093"/>
      <c r="Q2" s="1093"/>
      <c r="R2" s="1093"/>
      <c r="S2" s="1093"/>
      <c r="T2" s="1093"/>
      <c r="U2" s="1093"/>
      <c r="V2" s="1093"/>
    </row>
    <row r="4" spans="1:22" s="192" customFormat="1" ht="15.6">
      <c r="A4" s="1089" t="s">
        <v>1386</v>
      </c>
      <c r="B4" s="1090" t="s">
        <v>1387</v>
      </c>
      <c r="C4" s="1091" t="s">
        <v>57</v>
      </c>
      <c r="D4" s="1091"/>
      <c r="E4" s="1085" t="s">
        <v>408</v>
      </c>
      <c r="F4" s="1085"/>
      <c r="G4" s="1085" t="s">
        <v>181</v>
      </c>
      <c r="H4" s="1085"/>
      <c r="I4" s="1085" t="s">
        <v>189</v>
      </c>
      <c r="J4" s="1085"/>
      <c r="K4" s="1085" t="s">
        <v>167</v>
      </c>
      <c r="L4" s="1085"/>
      <c r="M4" s="1085" t="s">
        <v>174</v>
      </c>
      <c r="N4" s="1085"/>
      <c r="O4" s="1085" t="s">
        <v>211</v>
      </c>
      <c r="P4" s="1085"/>
      <c r="Q4" s="1085" t="s">
        <v>268</v>
      </c>
      <c r="R4" s="1085"/>
      <c r="S4" s="1086" t="s">
        <v>2188</v>
      </c>
      <c r="T4" s="1087"/>
      <c r="U4" s="1088"/>
      <c r="V4" s="1083" t="s">
        <v>2188</v>
      </c>
    </row>
    <row r="5" spans="1:22" s="192" customFormat="1" ht="15.6">
      <c r="A5" s="1089"/>
      <c r="B5" s="1090"/>
      <c r="C5" s="194" t="s">
        <v>62</v>
      </c>
      <c r="D5" s="195" t="s">
        <v>100</v>
      </c>
      <c r="E5" s="196" t="s">
        <v>62</v>
      </c>
      <c r="F5" s="195" t="s">
        <v>100</v>
      </c>
      <c r="G5" s="196" t="s">
        <v>62</v>
      </c>
      <c r="H5" s="195" t="s">
        <v>100</v>
      </c>
      <c r="I5" s="196" t="s">
        <v>62</v>
      </c>
      <c r="J5" s="195" t="s">
        <v>100</v>
      </c>
      <c r="K5" s="196" t="s">
        <v>62</v>
      </c>
      <c r="L5" s="195" t="s">
        <v>100</v>
      </c>
      <c r="M5" s="196" t="s">
        <v>62</v>
      </c>
      <c r="N5" s="195" t="s">
        <v>100</v>
      </c>
      <c r="O5" s="196" t="s">
        <v>62</v>
      </c>
      <c r="P5" s="195" t="s">
        <v>100</v>
      </c>
      <c r="Q5" s="196" t="s">
        <v>62</v>
      </c>
      <c r="R5" s="195" t="s">
        <v>100</v>
      </c>
      <c r="S5" s="196" t="s">
        <v>62</v>
      </c>
      <c r="T5" s="222" t="s">
        <v>100</v>
      </c>
      <c r="U5" s="195" t="s">
        <v>100</v>
      </c>
      <c r="V5" s="1084"/>
    </row>
    <row r="6" spans="1:22" s="193" customFormat="1" ht="21.6" customHeight="1">
      <c r="A6" s="197" t="s">
        <v>52</v>
      </c>
      <c r="B6" s="198">
        <v>28</v>
      </c>
      <c r="C6" s="199">
        <f>COUNTIF(PosStSex,"DIR4RM")</f>
        <v>1</v>
      </c>
      <c r="D6" s="200">
        <f>COUNTIF(PosStSex,"DIR4RF")</f>
        <v>0</v>
      </c>
      <c r="E6" s="199">
        <f>COUNTIF(PosStSex,"DIR4AbM")</f>
        <v>0</v>
      </c>
      <c r="F6" s="200">
        <f>COUNTIF(PosStSex,"DIR4AbF")</f>
        <v>0</v>
      </c>
      <c r="G6" s="199">
        <f>COUNTIF(PosStSex,"DIR4ApM")</f>
        <v>0</v>
      </c>
      <c r="H6" s="200">
        <f>COUNTIF(PosStSex,"DIR4ApF")</f>
        <v>0</v>
      </c>
      <c r="I6" s="199">
        <f>COUNTIF(PosStSex,"DIR4BCM")</f>
        <v>0</v>
      </c>
      <c r="J6" s="200">
        <f>COUNTIF(PosStSex,"DIR4BCF")</f>
        <v>0</v>
      </c>
      <c r="K6" s="199">
        <f>COUNTIF(PosStSex,"DIR4BM")</f>
        <v>0</v>
      </c>
      <c r="L6" s="200">
        <f>COUNTIF(PosStSex,"DIR4BF")</f>
        <v>0</v>
      </c>
      <c r="M6" s="199">
        <f>COUNTIF(PosStSex,"DIR4IM")</f>
        <v>0</v>
      </c>
      <c r="N6" s="200">
        <f>COUNTIF(PosStSex,"DIR4IF")</f>
        <v>0</v>
      </c>
      <c r="O6" s="199">
        <f>COUNTIF(PosStSex,"DIR4KM")</f>
        <v>0</v>
      </c>
      <c r="P6" s="200">
        <f>COUNTIF(PosStSex,"DIR4KF")</f>
        <v>0</v>
      </c>
      <c r="Q6" s="199">
        <f>COUNTIF(PosStSex,"DIR4MPM")</f>
        <v>0</v>
      </c>
      <c r="R6" s="200">
        <f>COUNTIF(PosStSex,"DIR4MPF")</f>
        <v>0</v>
      </c>
      <c r="S6" s="223">
        <f>SUM(C6,E6,G6,I6,K6,M6,O6,Q6)</f>
        <v>1</v>
      </c>
      <c r="T6" s="223" t="e">
        <f>SUM(#REF!,#REF!,#REF!,#REF!,#REF!,#REF!,#REF!,#REF!)</f>
        <v>#REF!</v>
      </c>
      <c r="U6" s="223">
        <f>SUM(F6,H6,J6,L6,N6,P6,R6,D6)</f>
        <v>0</v>
      </c>
      <c r="V6" s="224">
        <f>+U6+S6</f>
        <v>1</v>
      </c>
    </row>
    <row r="7" spans="1:22" s="193" customFormat="1" ht="21.6" customHeight="1">
      <c r="A7" s="201" t="s">
        <v>68</v>
      </c>
      <c r="B7" s="202">
        <v>27</v>
      </c>
      <c r="C7" s="203">
        <f>COUNTIF(PosStSex,"DIR3RM")</f>
        <v>0</v>
      </c>
      <c r="D7" s="204">
        <f>COUNTIF(PosStSex,"DIR3RF")</f>
        <v>1</v>
      </c>
      <c r="E7" s="203">
        <f>COUNTIF(PosStSex,"DIR3AbM")</f>
        <v>0</v>
      </c>
      <c r="F7" s="204">
        <f>COUNTIF(PosStSex,"DIR3AbF")</f>
        <v>0</v>
      </c>
      <c r="G7" s="203">
        <f>COUNTIF(PosStSex,"DIR3ApM")</f>
        <v>0</v>
      </c>
      <c r="H7" s="204">
        <f>COUNTIF(PosStSex,"DIR3ApF")</f>
        <v>0</v>
      </c>
      <c r="I7" s="203">
        <f>COUNTIF(PosStSex,"DIR3BCM")</f>
        <v>0</v>
      </c>
      <c r="J7" s="204">
        <f>COUNTIF(PosStSex,"DIR3BCF")</f>
        <v>0</v>
      </c>
      <c r="K7" s="203">
        <f>COUNTIF(PosStSex,"DIR3BM")</f>
        <v>0</v>
      </c>
      <c r="L7" s="204">
        <f>COUNTIF(PosStSex,"DIR3BF")</f>
        <v>0</v>
      </c>
      <c r="M7" s="203">
        <f>COUNTIF(PosStSex,"DIR3IM")</f>
        <v>0</v>
      </c>
      <c r="N7" s="204">
        <f>COUNTIF(PosStSex,"DIR3IF")</f>
        <v>0</v>
      </c>
      <c r="O7" s="203">
        <f>COUNTIF(PosStSex,"DIR3KM")</f>
        <v>0</v>
      </c>
      <c r="P7" s="204">
        <f>COUNTIF(PosStSex,"DIR3KF")</f>
        <v>0</v>
      </c>
      <c r="Q7" s="203">
        <f>COUNTIF(PosStSex,"DIR3MPM")</f>
        <v>0</v>
      </c>
      <c r="R7" s="204">
        <f>COUNTIF(PosStSex,"DIR3MPF")</f>
        <v>0</v>
      </c>
      <c r="S7" s="203">
        <f>SUM(C7,E7,G7,I7,K7,M7,O7,Q7)</f>
        <v>0</v>
      </c>
      <c r="T7" s="203" t="e">
        <f>SUM(#REF!,#REF!,#REF!,#REF!,#REF!,#REF!,#REF!,#REF!)</f>
        <v>#REF!</v>
      </c>
      <c r="U7" s="203">
        <f>SUM(D7,F7,H7,J7,L7,N7,P7,R7)</f>
        <v>1</v>
      </c>
      <c r="V7" s="225">
        <f>+S7+U7</f>
        <v>1</v>
      </c>
    </row>
    <row r="8" spans="1:22" s="193" customFormat="1" ht="21.6" customHeight="1">
      <c r="A8" s="201" t="s">
        <v>463</v>
      </c>
      <c r="B8" s="202">
        <v>26</v>
      </c>
      <c r="C8" s="203">
        <f>COUNTIF(PosStSex,"LGOO8RM")</f>
        <v>0</v>
      </c>
      <c r="D8" s="204">
        <f>COUNTIF(PosStSex,"LGOO8RF")</f>
        <v>0</v>
      </c>
      <c r="E8" s="203">
        <f>COUNTIF(PosStSex,"LGOO8AbM")</f>
        <v>0</v>
      </c>
      <c r="F8" s="204">
        <f>COUNTIF(PosStSex,"LGOO8AbF")</f>
        <v>1</v>
      </c>
      <c r="G8" s="203">
        <f>COUNTIF(PosStSex,"LGOO8ApM")</f>
        <v>1</v>
      </c>
      <c r="H8" s="204">
        <f>COUNTIF(PosStSex,"LGOO8ApF")</f>
        <v>0</v>
      </c>
      <c r="I8" s="203">
        <f>COUNTIF(PosStSex,"LGOO8BCM")</f>
        <v>0</v>
      </c>
      <c r="J8" s="204">
        <f>COUNTIF(PosStSex,"LGOO8BCF")</f>
        <v>1</v>
      </c>
      <c r="K8" s="203">
        <f>COUNTIF(PosStSex,"LGOO8BM")</f>
        <v>0</v>
      </c>
      <c r="L8" s="204">
        <f>COUNTIF(PosStSex,"LGOO8BF")</f>
        <v>1</v>
      </c>
      <c r="M8" s="203">
        <f>COUNTIF(PosStSex,"LGOO8IM")</f>
        <v>0</v>
      </c>
      <c r="N8" s="204">
        <f>COUNTIF(PosStSex,"LGOO8IF")</f>
        <v>1</v>
      </c>
      <c r="O8" s="203">
        <f>COUNTIF(PosStSex,"LGOO8KM")</f>
        <v>1</v>
      </c>
      <c r="P8" s="204">
        <f>COUNTIF(PosStSex,"LGOO8KF")</f>
        <v>0</v>
      </c>
      <c r="Q8" s="203">
        <f>COUNTIF(PosStSex,"LGOO8MPM")</f>
        <v>1</v>
      </c>
      <c r="R8" s="204">
        <f>COUNTIF(PosStSex,"LGOO8MPF")</f>
        <v>0</v>
      </c>
      <c r="S8" s="203">
        <f t="shared" ref="S8:S35" si="0">SUM(C8,E8,G8,I8,K8,M8,O8,Q8)</f>
        <v>3</v>
      </c>
      <c r="T8" s="203" t="e">
        <f>SUM(#REF!,#REF!,#REF!,#REF!,#REF!,#REF!,#REF!,#REF!)</f>
        <v>#REF!</v>
      </c>
      <c r="U8" s="203">
        <f t="shared" ref="U8:U34" si="1">SUM(D8,F8,H8,J8,L8,N8,P8,R8)</f>
        <v>4</v>
      </c>
      <c r="V8" s="225">
        <f t="shared" ref="V8:V34" si="2">+S8+U8</f>
        <v>7</v>
      </c>
    </row>
    <row r="9" spans="1:22" s="193" customFormat="1" ht="21.6" customHeight="1">
      <c r="A9" s="201" t="s">
        <v>2189</v>
      </c>
      <c r="B9" s="202">
        <v>24</v>
      </c>
      <c r="C9" s="203">
        <f>COUNTIF(PosStSex,"CADOFRM")</f>
        <v>0</v>
      </c>
      <c r="D9" s="204">
        <f>COUNTIF(PosStSex,"CADOFRF")</f>
        <v>1</v>
      </c>
      <c r="E9" s="203">
        <f>COUNTIF(PosStSex,"CADOFAbM")</f>
        <v>0</v>
      </c>
      <c r="F9" s="204">
        <f>COUNTIF(PosStSex,"CADOFAbF")</f>
        <v>0</v>
      </c>
      <c r="G9" s="203">
        <f>COUNTIF(PosStSex,"CADOFApM")</f>
        <v>0</v>
      </c>
      <c r="H9" s="204">
        <f>COUNTIF(PosStSex,"CADOFApF")</f>
        <v>0</v>
      </c>
      <c r="I9" s="203">
        <f>COUNTIF(PosStSex,"CADOFBCM")</f>
        <v>0</v>
      </c>
      <c r="J9" s="204">
        <f>COUNTIF(PosStSex,"CADOFBCF")</f>
        <v>0</v>
      </c>
      <c r="K9" s="203">
        <f>COUNTIF(PosStSex,"CADOFBM")</f>
        <v>0</v>
      </c>
      <c r="L9" s="204">
        <f>COUNTIF(PosStSex,"CADOFBF")</f>
        <v>0</v>
      </c>
      <c r="M9" s="203">
        <f>COUNTIF(PosStSex,"CADOFIM")</f>
        <v>0</v>
      </c>
      <c r="N9" s="204">
        <f>COUNTIF(PosStSex,"CADOFIF")</f>
        <v>0</v>
      </c>
      <c r="O9" s="203">
        <f>COUNTIF(PosStSex,"CADOFKM")</f>
        <v>0</v>
      </c>
      <c r="P9" s="204">
        <f>COUNTIF(PosStSex,"CADOFKF")</f>
        <v>0</v>
      </c>
      <c r="Q9" s="203">
        <f>COUNTIF(PosStSex,"CADOFMPM")</f>
        <v>0</v>
      </c>
      <c r="R9" s="204">
        <f>COUNTIF(PosStSex,"CADOFMPF")</f>
        <v>0</v>
      </c>
      <c r="S9" s="203">
        <f t="shared" si="0"/>
        <v>0</v>
      </c>
      <c r="T9" s="203" t="e">
        <f>SUM(#REF!,#REF!,#REF!,#REF!,#REF!,#REF!,#REF!,#REF!)</f>
        <v>#REF!</v>
      </c>
      <c r="U9" s="203">
        <f t="shared" si="1"/>
        <v>1</v>
      </c>
      <c r="V9" s="225">
        <f t="shared" si="2"/>
        <v>1</v>
      </c>
    </row>
    <row r="10" spans="1:22" s="193" customFormat="1" ht="21.6" customHeight="1">
      <c r="A10" s="201" t="s">
        <v>151</v>
      </c>
      <c r="B10" s="202">
        <v>24</v>
      </c>
      <c r="C10" s="203">
        <f>COUNTIF(PosStSex,"LGOO7RM")</f>
        <v>0</v>
      </c>
      <c r="D10" s="204">
        <f>COUNTIF(PosStSex,"LGOO7RF")</f>
        <v>2</v>
      </c>
      <c r="E10" s="203">
        <f>COUNTIF(PosStSex,"LGOO7AbM")</f>
        <v>0</v>
      </c>
      <c r="F10" s="204">
        <f>COUNTIF(PosStSex,"LGOO7AbF")</f>
        <v>1</v>
      </c>
      <c r="G10" s="203">
        <f>COUNTIF(PosStSex,"LGOO7ApM")</f>
        <v>1</v>
      </c>
      <c r="H10" s="204">
        <f>COUNTIF(PosStSex,"LGOO7ApF")</f>
        <v>0</v>
      </c>
      <c r="I10" s="203">
        <f>COUNTIF(PosStSex,"LGOO7BCM")</f>
        <v>0</v>
      </c>
      <c r="J10" s="204">
        <f>COUNTIF(PosStSex,"LGOO7BCF")</f>
        <v>0</v>
      </c>
      <c r="K10" s="203">
        <f>COUNTIF(PosStSex,"LGOO7BM")</f>
        <v>0</v>
      </c>
      <c r="L10" s="204">
        <f>COUNTIF(PosStSex,"LGOO7BF")</f>
        <v>0</v>
      </c>
      <c r="M10" s="203">
        <f>COUNTIF(PosStSex,"LGOO7IM")</f>
        <v>1</v>
      </c>
      <c r="N10" s="204">
        <f>COUNTIF(PosStSex,"LGOO7IF")</f>
        <v>0</v>
      </c>
      <c r="O10" s="203">
        <f>COUNTIF(PosStSex,"LGOO7KM")</f>
        <v>0</v>
      </c>
      <c r="P10" s="204">
        <f>COUNTIF(PosStSex,"LGOO7KF")</f>
        <v>1</v>
      </c>
      <c r="Q10" s="203">
        <f>COUNTIF(PosStSex,"LGOO7MPM")</f>
        <v>0</v>
      </c>
      <c r="R10" s="204">
        <f>COUNTIF(PosStSex,"LGOO7MPF")</f>
        <v>1</v>
      </c>
      <c r="S10" s="203">
        <f t="shared" si="0"/>
        <v>2</v>
      </c>
      <c r="T10" s="203" t="e">
        <f>SUM(#REF!,#REF!,#REF!,#REF!,#REF!,#REF!,#REF!,#REF!)</f>
        <v>#REF!</v>
      </c>
      <c r="U10" s="203">
        <f t="shared" si="1"/>
        <v>5</v>
      </c>
      <c r="V10" s="225">
        <f t="shared" si="2"/>
        <v>7</v>
      </c>
    </row>
    <row r="11" spans="1:22" s="193" customFormat="1" ht="21.6" customHeight="1">
      <c r="A11" s="201" t="s">
        <v>76</v>
      </c>
      <c r="B11" s="202">
        <v>23</v>
      </c>
      <c r="C11" s="203">
        <f>COUNTIF(PosStSex,"ATTY4RM")</f>
        <v>0</v>
      </c>
      <c r="D11" s="204">
        <f>COUNTIF(PosStSex,"ATTY4RF")</f>
        <v>1</v>
      </c>
      <c r="E11" s="203">
        <f>COUNTIF(PosStSex,"ATTY4AbM")</f>
        <v>0</v>
      </c>
      <c r="F11" s="204">
        <f>COUNTIF(PosStSex,"ATTY4AbF")</f>
        <v>0</v>
      </c>
      <c r="G11" s="203">
        <f>COUNTIF(PosStSex,"ATTY4ApM")</f>
        <v>0</v>
      </c>
      <c r="H11" s="204">
        <f>COUNTIF(PosStSex,"ATTY4ApF")</f>
        <v>0</v>
      </c>
      <c r="I11" s="203">
        <f>COUNTIF(PosStSex,"ATTY4BCM")</f>
        <v>0</v>
      </c>
      <c r="J11" s="204">
        <f>COUNTIF(PosStSex,"ATTY4BCF")</f>
        <v>0</v>
      </c>
      <c r="K11" s="203">
        <f>COUNTIF(PosStSex,"ATTY4BM")</f>
        <v>0</v>
      </c>
      <c r="L11" s="204">
        <f>COUNTIF(PosStSex,"ATTY4BF")</f>
        <v>0</v>
      </c>
      <c r="M11" s="203">
        <f>COUNTIF(PosStSex,"ATTY4IM")</f>
        <v>0</v>
      </c>
      <c r="N11" s="204">
        <f>COUNTIF(PosStSex,"ATTY4IF")</f>
        <v>0</v>
      </c>
      <c r="O11" s="203">
        <f>COUNTIF(PosStSex,"ATTY4KM")</f>
        <v>0</v>
      </c>
      <c r="P11" s="204">
        <f>COUNTIF(PosStSex,"ATTY4KF")</f>
        <v>0</v>
      </c>
      <c r="Q11" s="203">
        <f>COUNTIF(PosStSex,"ATTY4MPM")</f>
        <v>0</v>
      </c>
      <c r="R11" s="204">
        <f>COUNTIF(PosStSex,"ATTY4MPF")</f>
        <v>0</v>
      </c>
      <c r="S11" s="203">
        <f t="shared" si="0"/>
        <v>0</v>
      </c>
      <c r="T11" s="203" t="e">
        <f>SUM(#REF!,#REF!,#REF!,#REF!,#REF!,#REF!,#REF!,#REF!)</f>
        <v>#REF!</v>
      </c>
      <c r="U11" s="203">
        <f t="shared" si="1"/>
        <v>1</v>
      </c>
      <c r="V11" s="225">
        <f t="shared" si="2"/>
        <v>1</v>
      </c>
    </row>
    <row r="12" spans="1:22" s="193" customFormat="1" ht="21.6" customHeight="1">
      <c r="A12" s="201" t="s">
        <v>157</v>
      </c>
      <c r="B12" s="202">
        <v>22</v>
      </c>
      <c r="C12" s="203">
        <f>COUNTIF(PosStSex,"LGOO6RM")</f>
        <v>0</v>
      </c>
      <c r="D12" s="204">
        <f>COUNTIF(PosStSex,"LGOO6RF")</f>
        <v>1</v>
      </c>
      <c r="E12" s="203">
        <f>COUNTIF(PosStSex,"LGOO6AbM")</f>
        <v>15</v>
      </c>
      <c r="F12" s="204">
        <f>COUNTIF(PosStSex,"LGOO6AbF")</f>
        <v>12</v>
      </c>
      <c r="G12" s="203">
        <f>COUNTIF(PosStSex,"LGOO6ApM")</f>
        <v>3</v>
      </c>
      <c r="H12" s="204">
        <f>COUNTIF(PosStSex,"LGOO6ApF")</f>
        <v>5</v>
      </c>
      <c r="I12" s="203">
        <f>COUNTIF(PosStSex,"LGOO6BCM")</f>
        <v>0</v>
      </c>
      <c r="J12" s="204">
        <f>COUNTIF(PosStSex,"LGOO6BCF")</f>
        <v>1</v>
      </c>
      <c r="K12" s="203">
        <f>COUNTIF(PosStSex,"LGOO6BM")</f>
        <v>6</v>
      </c>
      <c r="L12" s="204">
        <f>COUNTIF(PosStSex,"LGOO6BF")</f>
        <v>8</v>
      </c>
      <c r="M12" s="203">
        <f>COUNTIF(PosStSex,"LGOO6IM")</f>
        <v>5</v>
      </c>
      <c r="N12" s="204">
        <f>COUNTIF(PosStSex,"LGOO6IF")</f>
        <v>6</v>
      </c>
      <c r="O12" s="203">
        <f>COUNTIF(PosStSex,"LGOO6KM")</f>
        <v>4</v>
      </c>
      <c r="P12" s="204">
        <f>COUNTIF(PosStSex,"LGOO6KF")</f>
        <v>4</v>
      </c>
      <c r="Q12" s="203">
        <f>COUNTIF(PosStSex,"LGOO6MPM")</f>
        <v>5</v>
      </c>
      <c r="R12" s="204">
        <f>COUNTIF(PosStSex,"LGOO6MPF")</f>
        <v>6</v>
      </c>
      <c r="S12" s="203">
        <f t="shared" si="0"/>
        <v>38</v>
      </c>
      <c r="T12" s="203" t="e">
        <f>SUM(#REF!,#REF!,#REF!,#REF!,#REF!,#REF!,#REF!,#REF!)</f>
        <v>#REF!</v>
      </c>
      <c r="U12" s="203">
        <f t="shared" si="1"/>
        <v>43</v>
      </c>
      <c r="V12" s="225">
        <f t="shared" si="2"/>
        <v>81</v>
      </c>
    </row>
    <row r="13" spans="1:22" s="193" customFormat="1" ht="21.6" customHeight="1">
      <c r="A13" s="201" t="s">
        <v>2190</v>
      </c>
      <c r="B13" s="202">
        <v>22</v>
      </c>
      <c r="C13" s="203">
        <f>COUNTIF(PosStSex,"SADOFRM")</f>
        <v>1</v>
      </c>
      <c r="D13" s="204">
        <f>COUNTIF(PosStSex,"SADOFRF")</f>
        <v>0</v>
      </c>
      <c r="E13" s="203">
        <f>COUNTIF(PosStSex,"SADOFAbM")</f>
        <v>0</v>
      </c>
      <c r="F13" s="204">
        <f>COUNTIF(PosStSex,"SADOFAbF")</f>
        <v>0</v>
      </c>
      <c r="G13" s="203">
        <f>COUNTIF(PosStSex,"SADOFApM")</f>
        <v>0</v>
      </c>
      <c r="H13" s="204">
        <f>COUNTIF(PosStSex,"SADOFApF")</f>
        <v>0</v>
      </c>
      <c r="I13" s="203">
        <f>COUNTIF(PosStSex,"SADOFBCM")</f>
        <v>0</v>
      </c>
      <c r="J13" s="204">
        <f>COUNTIF(PosStSex,"SADOFBCF")</f>
        <v>0</v>
      </c>
      <c r="K13" s="203">
        <f>COUNTIF(PosStSex,"SADOFBM")</f>
        <v>0</v>
      </c>
      <c r="L13" s="204">
        <f>COUNTIF(PosStSex,"SADOFBF")</f>
        <v>0</v>
      </c>
      <c r="M13" s="203">
        <f>COUNTIF(PosStSex,"SADOFIM")</f>
        <v>0</v>
      </c>
      <c r="N13" s="204">
        <f>COUNTIF(PosStSex,"SADOFIF")</f>
        <v>0</v>
      </c>
      <c r="O13" s="203">
        <f>COUNTIF(PosStSex,"SADOFKM")</f>
        <v>0</v>
      </c>
      <c r="P13" s="204">
        <f>COUNTIF(PosStSex,"SADOFKF")</f>
        <v>0</v>
      </c>
      <c r="Q13" s="203">
        <f>COUNTIF(PosStSex,"SADOFMPM")</f>
        <v>0</v>
      </c>
      <c r="R13" s="204">
        <f>COUNTIF(PosStSex,"SADOFMPF")</f>
        <v>0</v>
      </c>
      <c r="S13" s="203">
        <f t="shared" si="0"/>
        <v>1</v>
      </c>
      <c r="T13" s="203" t="e">
        <f>SUM(#REF!,#REF!,#REF!,#REF!,#REF!,#REF!,#REF!,#REF!)</f>
        <v>#REF!</v>
      </c>
      <c r="U13" s="203">
        <f t="shared" si="1"/>
        <v>0</v>
      </c>
      <c r="V13" s="225">
        <f t="shared" si="2"/>
        <v>1</v>
      </c>
    </row>
    <row r="14" spans="1:22" s="193" customFormat="1" ht="21.6" customHeight="1">
      <c r="A14" s="201" t="s">
        <v>165</v>
      </c>
      <c r="B14" s="202">
        <v>20</v>
      </c>
      <c r="C14" s="203">
        <f>COUNTIF(PosStSex,"LGOO5RM")</f>
        <v>3</v>
      </c>
      <c r="D14" s="204">
        <f>COUNTIF(PosStSex,"LGOO5RF")</f>
        <v>2</v>
      </c>
      <c r="E14" s="203">
        <f>COUNTIF(PosStSex,"LGOO5AbM")</f>
        <v>1</v>
      </c>
      <c r="F14" s="204">
        <f>COUNTIF(PosStSex,"LGOO5AbF")</f>
        <v>2</v>
      </c>
      <c r="G14" s="203">
        <f>COUNTIF(PosStSex,"LGOO5ApM")</f>
        <v>1</v>
      </c>
      <c r="H14" s="204">
        <f>COUNTIF(PosStSex,"LGOO5ApF")</f>
        <v>1</v>
      </c>
      <c r="I14" s="203">
        <f>COUNTIF(PosStSex,"LGOO5BCM")</f>
        <v>0</v>
      </c>
      <c r="J14" s="204">
        <f>COUNTIF(PosStSex,"LGOO5BCF")</f>
        <v>0</v>
      </c>
      <c r="K14" s="203">
        <f>COUNTIF(PosStSex,"LGOO5BM")</f>
        <v>0</v>
      </c>
      <c r="L14" s="204">
        <f>COUNTIF(PosStSex,"LGOO5BF")</f>
        <v>4</v>
      </c>
      <c r="M14" s="203">
        <f>COUNTIF(PosStSex,"LGOO5IM")</f>
        <v>2</v>
      </c>
      <c r="N14" s="204">
        <f>COUNTIF(PosStSex,"LGOO5IF")</f>
        <v>1</v>
      </c>
      <c r="O14" s="203">
        <f>COUNTIF(PosStSex,"LGOO5KM")</f>
        <v>0</v>
      </c>
      <c r="P14" s="204">
        <f>COUNTIF(PosStSex,"LGOO5KF")</f>
        <v>1</v>
      </c>
      <c r="Q14" s="203">
        <f>COUNTIF(PosStSex,"LGOO5MPM")</f>
        <v>2</v>
      </c>
      <c r="R14" s="204">
        <f>COUNTIF(PosStSex,"LGOO5MPF")</f>
        <v>1</v>
      </c>
      <c r="S14" s="203">
        <f t="shared" si="0"/>
        <v>9</v>
      </c>
      <c r="T14" s="203" t="e">
        <f>SUM(#REF!,#REF!,#REF!,#REF!,#REF!,#REF!,#REF!,#REF!)</f>
        <v>#REF!</v>
      </c>
      <c r="U14" s="203">
        <f t="shared" si="1"/>
        <v>12</v>
      </c>
      <c r="V14" s="225">
        <f t="shared" si="2"/>
        <v>21</v>
      </c>
    </row>
    <row r="15" spans="1:22" s="193" customFormat="1" ht="21.6" customHeight="1">
      <c r="A15" s="201" t="s">
        <v>292</v>
      </c>
      <c r="B15" s="202">
        <v>19</v>
      </c>
      <c r="C15" s="203">
        <f>COUNTIF(PosStSex,"A3RM")</f>
        <v>0</v>
      </c>
      <c r="D15" s="204">
        <f>COUNTIF(PosStSex,"A3RF")</f>
        <v>1</v>
      </c>
      <c r="E15" s="203">
        <f>COUNTIF(PosStSex,"A3AbM")</f>
        <v>0</v>
      </c>
      <c r="F15" s="204">
        <f>COUNTIF(PosStSex,"A3AbF")</f>
        <v>0</v>
      </c>
      <c r="G15" s="203">
        <f>COUNTIF(PosStSex,"A3ApM")</f>
        <v>0</v>
      </c>
      <c r="H15" s="204">
        <f>COUNTIF(PosStSex,"A3ApF")</f>
        <v>0</v>
      </c>
      <c r="I15" s="203">
        <f>COUNTIF(PosStSex,"A3BCM")</f>
        <v>0</v>
      </c>
      <c r="J15" s="204">
        <f>COUNTIF(PosStSex,"A3BCF")</f>
        <v>0</v>
      </c>
      <c r="K15" s="203">
        <f>COUNTIF(PosStSex,"A3BM")</f>
        <v>0</v>
      </c>
      <c r="L15" s="204">
        <f>COUNTIF(PosStSex,"A3BF")</f>
        <v>0</v>
      </c>
      <c r="M15" s="203">
        <f>COUNTIF(PosStSex,"A3IM")</f>
        <v>0</v>
      </c>
      <c r="N15" s="204">
        <f>COUNTIF(PosStSex,"A3IF")</f>
        <v>0</v>
      </c>
      <c r="O15" s="203">
        <f>COUNTIF(PosStSex,"A3KM")</f>
        <v>0</v>
      </c>
      <c r="P15" s="204">
        <f>COUNTIF(PosStSex,"A3KF")</f>
        <v>0</v>
      </c>
      <c r="Q15" s="203">
        <f>COUNTIF(PosStSex,"A3MPM")</f>
        <v>0</v>
      </c>
      <c r="R15" s="204">
        <f>COUNTIF(PosStSex,"A3MPF")</f>
        <v>0</v>
      </c>
      <c r="S15" s="203">
        <f t="shared" si="0"/>
        <v>0</v>
      </c>
      <c r="T15" s="203" t="e">
        <f>SUM(#REF!,#REF!,#REF!,#REF!,#REF!,#REF!,#REF!,#REF!)</f>
        <v>#REF!</v>
      </c>
      <c r="U15" s="203">
        <f t="shared" si="1"/>
        <v>1</v>
      </c>
      <c r="V15" s="225">
        <f t="shared" si="2"/>
        <v>1</v>
      </c>
    </row>
    <row r="16" spans="1:22" s="193" customFormat="1" ht="21.6" customHeight="1">
      <c r="A16" s="201" t="s">
        <v>94</v>
      </c>
      <c r="B16" s="202">
        <v>19</v>
      </c>
      <c r="C16" s="203">
        <f>COUNTIF(PosStSex,"ITO1RM")</f>
        <v>1</v>
      </c>
      <c r="D16" s="204">
        <f>COUNTIF(PosStSex,"ITO1RF")</f>
        <v>0</v>
      </c>
      <c r="E16" s="203">
        <f>COUNTIF(PosStSex,"ITO1AbM")</f>
        <v>0</v>
      </c>
      <c r="F16" s="204">
        <f>COUNTIF(PosStSex,"ITO1AbF")</f>
        <v>0</v>
      </c>
      <c r="G16" s="203">
        <f>COUNTIF(PosStSex,"ITO1ApM")</f>
        <v>0</v>
      </c>
      <c r="H16" s="204">
        <f>COUNTIF(PosStSex,"ITO1ApF")</f>
        <v>0</v>
      </c>
      <c r="I16" s="203">
        <f>COUNTIF(PosStSex,"ITO1BCM")</f>
        <v>0</v>
      </c>
      <c r="J16" s="204">
        <f>COUNTIF(PosStSex,"ITO1BCF")</f>
        <v>0</v>
      </c>
      <c r="K16" s="203">
        <f>COUNTIF(PosStSex,"ITO1BM")</f>
        <v>0</v>
      </c>
      <c r="L16" s="204">
        <f>COUNTIF(PosStSex,"ITO1BF")</f>
        <v>0</v>
      </c>
      <c r="M16" s="203">
        <f>COUNTIF(PosStSex,"ITO1IM")</f>
        <v>0</v>
      </c>
      <c r="N16" s="204">
        <f>COUNTIF(PosStSex,"ITO1IF")</f>
        <v>0</v>
      </c>
      <c r="O16" s="203">
        <f>COUNTIF(PosStSex,"ITO1KM")</f>
        <v>0</v>
      </c>
      <c r="P16" s="204">
        <f>COUNTIF(PosStSex,"ITO1KF")</f>
        <v>0</v>
      </c>
      <c r="Q16" s="203">
        <f>COUNTIF(PosStSex,"ITO1MPM")</f>
        <v>0</v>
      </c>
      <c r="R16" s="204">
        <f>COUNTIF(PosStSex,"ITO1MPF")</f>
        <v>0</v>
      </c>
      <c r="S16" s="203">
        <f t="shared" si="0"/>
        <v>1</v>
      </c>
      <c r="T16" s="203" t="e">
        <f>SUM(#REF!,#REF!,#REF!,#REF!,#REF!,#REF!,#REF!,#REF!)</f>
        <v>#REF!</v>
      </c>
      <c r="U16" s="203">
        <f t="shared" si="1"/>
        <v>0</v>
      </c>
      <c r="V16" s="225">
        <f t="shared" si="2"/>
        <v>1</v>
      </c>
    </row>
    <row r="17" spans="1:22" s="193" customFormat="1" ht="21.6" customHeight="1">
      <c r="A17" s="201" t="s">
        <v>2191</v>
      </c>
      <c r="B17" s="202">
        <v>18</v>
      </c>
      <c r="C17" s="203">
        <f>COUNTIF(PosStSex,"ADOF5RM")</f>
        <v>2</v>
      </c>
      <c r="D17" s="204">
        <f>COUNTIF(PosStSex,"ADOF5RF")</f>
        <v>1</v>
      </c>
      <c r="E17" s="203">
        <f>COUNTIF(PosStSex,"ADOF5AbM")</f>
        <v>0</v>
      </c>
      <c r="F17" s="204">
        <f>COUNTIF(PosStSex,"ADOF5AbF")</f>
        <v>0</v>
      </c>
      <c r="G17" s="203">
        <f>COUNTIF(PosStSex,"ADOF5ApM")</f>
        <v>0</v>
      </c>
      <c r="H17" s="204">
        <f>COUNTIF(PosStSex,"ADOF5ApF")</f>
        <v>0</v>
      </c>
      <c r="I17" s="203">
        <f>COUNTIF(PosStSex,"ADOF5BCM")</f>
        <v>0</v>
      </c>
      <c r="J17" s="204">
        <f>COUNTIF(PosStSex,"ADOF5BCF")</f>
        <v>0</v>
      </c>
      <c r="K17" s="203">
        <f>COUNTIF(PosStSex,"ADOF5BM")</f>
        <v>0</v>
      </c>
      <c r="L17" s="204">
        <f>COUNTIF(PosStSex,"ADOF5BF")</f>
        <v>0</v>
      </c>
      <c r="M17" s="203">
        <f>COUNTIF(PosStSex,"ADOF5IM")</f>
        <v>0</v>
      </c>
      <c r="N17" s="204">
        <f>COUNTIF(PosStSex,"ADOF5IF")</f>
        <v>0</v>
      </c>
      <c r="O17" s="203">
        <f>COUNTIF(PosStSex,"ADOF5KM")</f>
        <v>0</v>
      </c>
      <c r="P17" s="204">
        <f>COUNTIF(PosStSex,"ADOF5KF")</f>
        <v>0</v>
      </c>
      <c r="Q17" s="203">
        <f>COUNTIF(PosStSex,"ADOF5MPM")</f>
        <v>0</v>
      </c>
      <c r="R17" s="204">
        <f>COUNTIF(PosStSex,"ADOF5MPF")</f>
        <v>0</v>
      </c>
      <c r="S17" s="203">
        <f t="shared" si="0"/>
        <v>2</v>
      </c>
      <c r="T17" s="203" t="e">
        <f>SUM(#REF!,#REF!,#REF!,#REF!,#REF!,#REF!,#REF!,#REF!)</f>
        <v>#REF!</v>
      </c>
      <c r="U17" s="203">
        <f t="shared" si="1"/>
        <v>1</v>
      </c>
      <c r="V17" s="225">
        <f t="shared" si="2"/>
        <v>3</v>
      </c>
    </row>
    <row r="18" spans="1:22" s="193" customFormat="1" ht="21.6" customHeight="1">
      <c r="A18" s="201" t="s">
        <v>187</v>
      </c>
      <c r="B18" s="202">
        <v>18</v>
      </c>
      <c r="C18" s="203">
        <f>COUNTIF(PosStSex,"LGOO4RM")</f>
        <v>2</v>
      </c>
      <c r="D18" s="204">
        <f>COUNTIF(PosStSex,"LGOO4RF")</f>
        <v>2</v>
      </c>
      <c r="E18" s="203">
        <f>COUNTIF(PosStSex,"LGOO4AbM")</f>
        <v>0</v>
      </c>
      <c r="F18" s="204">
        <f>COUNTIF(PosStSex,"LGOO4AbF")</f>
        <v>0</v>
      </c>
      <c r="G18" s="203">
        <f>COUNTIF(PosStSex,"LGOO4ApM")</f>
        <v>0</v>
      </c>
      <c r="H18" s="204">
        <f>COUNTIF(PosStSex,"LGOO4ApF")</f>
        <v>0</v>
      </c>
      <c r="I18" s="203">
        <f>COUNTIF(PosStSex,"LGOO4BCM")</f>
        <v>0</v>
      </c>
      <c r="J18" s="204">
        <f>COUNTIF(PosStSex,"LGOO4BCF")</f>
        <v>0</v>
      </c>
      <c r="K18" s="203">
        <f>COUNTIF(PosStSex,"LGOO4BM")</f>
        <v>0</v>
      </c>
      <c r="L18" s="204">
        <f>COUNTIF(PosStSex,"LGOO4BF")</f>
        <v>0</v>
      </c>
      <c r="M18" s="203">
        <f>COUNTIF(PosStSex,"LGOO4IM")</f>
        <v>0</v>
      </c>
      <c r="N18" s="204">
        <f>COUNTIF(PosStSex,"LGOO4IF")</f>
        <v>0</v>
      </c>
      <c r="O18" s="203">
        <f>COUNTIF(PosStSex,"LGOO4KM")</f>
        <v>0</v>
      </c>
      <c r="P18" s="204">
        <f>COUNTIF(PosStSex,"LGOO4KF")</f>
        <v>0</v>
      </c>
      <c r="Q18" s="203">
        <f>COUNTIF(PosStSex,"LGOO4MPM")</f>
        <v>0</v>
      </c>
      <c r="R18" s="204">
        <f>COUNTIF(PosStSex,"LGOO4MPF")</f>
        <v>0</v>
      </c>
      <c r="S18" s="203">
        <f t="shared" si="0"/>
        <v>2</v>
      </c>
      <c r="T18" s="203" t="e">
        <f>SUM(#REF!,#REF!,#REF!,#REF!,#REF!,#REF!,#REF!,#REF!)</f>
        <v>#REF!</v>
      </c>
      <c r="U18" s="203">
        <f t="shared" si="1"/>
        <v>2</v>
      </c>
      <c r="V18" s="225">
        <f t="shared" si="2"/>
        <v>4</v>
      </c>
    </row>
    <row r="19" spans="1:22" s="193" customFormat="1" ht="21.6" customHeight="1">
      <c r="A19" s="201" t="s">
        <v>87</v>
      </c>
      <c r="B19" s="202">
        <v>18</v>
      </c>
      <c r="C19" s="203">
        <f>COUNTIF(PosStSex,"PlO3RM")</f>
        <v>0</v>
      </c>
      <c r="D19" s="204">
        <f>COUNTIF(PosStSex,"PlO3RF")</f>
        <v>1</v>
      </c>
      <c r="E19" s="203">
        <f>COUNTIF(PosStSex,"PlO3AbM")</f>
        <v>0</v>
      </c>
      <c r="F19" s="204">
        <f>COUNTIF(PosStSex,"PlO3AbF")</f>
        <v>0</v>
      </c>
      <c r="G19" s="203">
        <f>COUNTIF(PosStSex,"PlO3ApM")</f>
        <v>0</v>
      </c>
      <c r="H19" s="204">
        <f>COUNTIF(PosStSex,"PlO3ApF")</f>
        <v>0</v>
      </c>
      <c r="I19" s="203">
        <f>COUNTIF(PosStSex,"PlO3BCM")</f>
        <v>0</v>
      </c>
      <c r="J19" s="204">
        <f>COUNTIF(PosStSex,"PlO3BCF")</f>
        <v>0</v>
      </c>
      <c r="K19" s="203">
        <f>COUNTIF(PosStSex,"PlO3BM")</f>
        <v>0</v>
      </c>
      <c r="L19" s="204">
        <f>COUNTIF(PosStSex,"PlO3BF")</f>
        <v>0</v>
      </c>
      <c r="M19" s="203">
        <f>COUNTIF(PosStSex,"PlO3IM")</f>
        <v>0</v>
      </c>
      <c r="N19" s="204">
        <f>COUNTIF(PosStSex,"PlO3IF")</f>
        <v>0</v>
      </c>
      <c r="O19" s="203">
        <f>COUNTIF(PosStSex,"PlO3KM")</f>
        <v>0</v>
      </c>
      <c r="P19" s="204">
        <f>COUNTIF(PosStSex,"PlO3KF")</f>
        <v>0</v>
      </c>
      <c r="Q19" s="203">
        <f>COUNTIF(PosStSex,"PlO3MPM")</f>
        <v>0</v>
      </c>
      <c r="R19" s="204">
        <f>COUNTIF(PosStSex,"PlO3MPF")</f>
        <v>0</v>
      </c>
      <c r="S19" s="203">
        <f t="shared" si="0"/>
        <v>0</v>
      </c>
      <c r="T19" s="203" t="e">
        <f>SUM(#REF!,#REF!,#REF!,#REF!,#REF!,#REF!,#REF!,#REF!)</f>
        <v>#REF!</v>
      </c>
      <c r="U19" s="203">
        <f t="shared" si="1"/>
        <v>1</v>
      </c>
      <c r="V19" s="225">
        <f t="shared" si="2"/>
        <v>1</v>
      </c>
    </row>
    <row r="20" spans="1:22" s="193" customFormat="1" ht="21.6" customHeight="1">
      <c r="A20" s="201" t="s">
        <v>318</v>
      </c>
      <c r="B20" s="202">
        <v>16</v>
      </c>
      <c r="C20" s="203">
        <f>COUNTIF(PosStSex,"A2RM")</f>
        <v>0</v>
      </c>
      <c r="D20" s="204">
        <f>COUNTIF(PosStSex,"A2RF")</f>
        <v>1</v>
      </c>
      <c r="E20" s="203">
        <f>COUNTIF(PosStSex,"A2AbM")</f>
        <v>0</v>
      </c>
      <c r="F20" s="204">
        <f>COUNTIF(PosStSex,"A2AbF")</f>
        <v>0</v>
      </c>
      <c r="G20" s="203">
        <f>COUNTIF(PosStSex,"A2ApM")</f>
        <v>0</v>
      </c>
      <c r="H20" s="204">
        <f>COUNTIF(PosStSex,"A2ApF")</f>
        <v>0</v>
      </c>
      <c r="I20" s="203">
        <f>COUNTIF(PosStSex,"A2BCM")</f>
        <v>0</v>
      </c>
      <c r="J20" s="204">
        <f>COUNTIF(PosStSex,"A2BCF")</f>
        <v>0</v>
      </c>
      <c r="K20" s="203">
        <f>COUNTIF(PosStSex,"A2BM")</f>
        <v>0</v>
      </c>
      <c r="L20" s="204">
        <f>COUNTIF(PosStSex,"A2BF")</f>
        <v>0</v>
      </c>
      <c r="M20" s="203">
        <f>COUNTIF(PosStSex,"A2IM")</f>
        <v>0</v>
      </c>
      <c r="N20" s="204">
        <f>COUNTIF(PosStSex,"A2IF")</f>
        <v>0</v>
      </c>
      <c r="O20" s="203">
        <f>COUNTIF(PosStSex,"A2KM")</f>
        <v>0</v>
      </c>
      <c r="P20" s="204">
        <f>COUNTIF(PosStSex,"A2KF")</f>
        <v>0</v>
      </c>
      <c r="Q20" s="203">
        <f>COUNTIF(PosStSex,"A2MPM")</f>
        <v>0</v>
      </c>
      <c r="R20" s="204">
        <f>COUNTIF(PosStSex,"A2MPF")</f>
        <v>0</v>
      </c>
      <c r="S20" s="203">
        <f t="shared" si="0"/>
        <v>0</v>
      </c>
      <c r="T20" s="203" t="e">
        <f>SUM(#REF!,#REF!,#REF!,#REF!,#REF!,#REF!,#REF!,#REF!)</f>
        <v>#REF!</v>
      </c>
      <c r="U20" s="203">
        <f t="shared" si="1"/>
        <v>1</v>
      </c>
      <c r="V20" s="225">
        <f t="shared" si="2"/>
        <v>1</v>
      </c>
    </row>
    <row r="21" spans="1:22" s="193" customFormat="1" ht="21.6" customHeight="1">
      <c r="A21" s="201" t="s">
        <v>2192</v>
      </c>
      <c r="B21" s="202">
        <v>15</v>
      </c>
      <c r="C21" s="203">
        <f>COUNTIF(PosStSex,"ADOF4RM")</f>
        <v>0</v>
      </c>
      <c r="D21" s="204">
        <f>COUNTIF(PosStSex,"ADOF4RF")</f>
        <v>2</v>
      </c>
      <c r="E21" s="203">
        <f>COUNTIF(PosStSex,"ADOF4AbM")</f>
        <v>0</v>
      </c>
      <c r="F21" s="204">
        <f>COUNTIF(PosStSex,"ADOF4AbF")</f>
        <v>0</v>
      </c>
      <c r="G21" s="203">
        <f>COUNTIF(PosStSex,"ADOF4ApM")</f>
        <v>0</v>
      </c>
      <c r="H21" s="204">
        <f>COUNTIF(PosStSex,"ADOF4ApF")</f>
        <v>0</v>
      </c>
      <c r="I21" s="203">
        <f>COUNTIF(PosStSex,"ADOF4BCM")</f>
        <v>0</v>
      </c>
      <c r="J21" s="204">
        <f>COUNTIF(PosStSex,"ADOF4BCF")</f>
        <v>0</v>
      </c>
      <c r="K21" s="203">
        <f>COUNTIF(PosStSex,"ADOF4BM")</f>
        <v>0</v>
      </c>
      <c r="L21" s="204">
        <f>COUNTIF(PosStSex,"ADOF4BF")</f>
        <v>0</v>
      </c>
      <c r="M21" s="203">
        <f>COUNTIF(PosStSex,"ADOF4IM")</f>
        <v>0</v>
      </c>
      <c r="N21" s="204">
        <f>COUNTIF(PosStSex,"ADOF4IF")</f>
        <v>0</v>
      </c>
      <c r="O21" s="203">
        <f>COUNTIF(PosStSex,"ADOF4KM")</f>
        <v>0</v>
      </c>
      <c r="P21" s="204">
        <f>COUNTIF(PosStSex,"ADOF4KF")</f>
        <v>0</v>
      </c>
      <c r="Q21" s="203">
        <f>COUNTIF(PosStSex,"ADOF4MPM")</f>
        <v>0</v>
      </c>
      <c r="R21" s="204">
        <f>COUNTIF(PosStSex,"ADOF4MPF")</f>
        <v>0</v>
      </c>
      <c r="S21" s="203">
        <f t="shared" si="0"/>
        <v>0</v>
      </c>
      <c r="T21" s="203" t="e">
        <f>SUM(#REF!,#REF!,#REF!,#REF!,#REF!,#REF!,#REF!,#REF!)</f>
        <v>#REF!</v>
      </c>
      <c r="U21" s="203">
        <f t="shared" si="1"/>
        <v>2</v>
      </c>
      <c r="V21" s="225">
        <f t="shared" si="2"/>
        <v>2</v>
      </c>
    </row>
    <row r="22" spans="1:22" s="193" customFormat="1" ht="21.6" customHeight="1">
      <c r="A22" s="201" t="s">
        <v>1066</v>
      </c>
      <c r="B22" s="202">
        <v>15</v>
      </c>
      <c r="C22" s="203">
        <f>COUNTIF(PosStSex,"lgoo3RM")</f>
        <v>0</v>
      </c>
      <c r="D22" s="204">
        <f>COUNTIF(PosStSex,"lgoo3RF")</f>
        <v>0</v>
      </c>
      <c r="E22" s="203">
        <f>COUNTIF(PosStSex,"lgoo3AbM")</f>
        <v>0</v>
      </c>
      <c r="F22" s="204">
        <f>COUNTIF(PosStSex,"lgoo3AbF")</f>
        <v>0</v>
      </c>
      <c r="G22" s="203">
        <f>COUNTIF(PosStSex,"lgoo3ApM")</f>
        <v>0</v>
      </c>
      <c r="H22" s="204">
        <f>COUNTIF(PosStSex,"lgoo3ApF")</f>
        <v>0</v>
      </c>
      <c r="I22" s="203">
        <f>COUNTIF(PosStSex,"lgoo3BCM")</f>
        <v>0</v>
      </c>
      <c r="J22" s="204">
        <f>COUNTIF(PosStSex,"lgoo3BCF")</f>
        <v>0</v>
      </c>
      <c r="K22" s="203">
        <f>COUNTIF(PosStSex,"lgoo3BM")</f>
        <v>0</v>
      </c>
      <c r="L22" s="204">
        <f>COUNTIF(PosStSex,"lgoo3BF")</f>
        <v>0</v>
      </c>
      <c r="M22" s="203">
        <f>COUNTIF(PosStSex,"lgoo3IM")</f>
        <v>0</v>
      </c>
      <c r="N22" s="204">
        <f>COUNTIF(PosStSex,"lgoo3IF")</f>
        <v>0</v>
      </c>
      <c r="O22" s="203">
        <f>COUNTIF(PosStSex,"lgoo3KM")</f>
        <v>0</v>
      </c>
      <c r="P22" s="204">
        <f>COUNTIF(PosStSex,"lgoo3KF")</f>
        <v>0</v>
      </c>
      <c r="Q22" s="203">
        <f>COUNTIF(PosStSex,"lgoo3MPM")</f>
        <v>0</v>
      </c>
      <c r="R22" s="204">
        <f>COUNTIF(PosStSex,"lgoo3MPF")</f>
        <v>0</v>
      </c>
      <c r="S22" s="203">
        <f t="shared" si="0"/>
        <v>0</v>
      </c>
      <c r="T22" s="203" t="e">
        <f>SUM(#REF!,#REF!,#REF!,#REF!,#REF!,#REF!,#REF!,#REF!)</f>
        <v>#REF!</v>
      </c>
      <c r="U22" s="203">
        <f t="shared" si="1"/>
        <v>0</v>
      </c>
      <c r="V22" s="225">
        <f t="shared" si="2"/>
        <v>0</v>
      </c>
    </row>
    <row r="23" spans="1:22" s="193" customFormat="1" ht="21.6" customHeight="1">
      <c r="A23" s="201" t="s">
        <v>262</v>
      </c>
      <c r="B23" s="202">
        <v>15</v>
      </c>
      <c r="C23" s="203">
        <f>COUNTIF(PosStSex,"STAT2RM")</f>
        <v>1</v>
      </c>
      <c r="D23" s="204">
        <f>COUNTIF(PosStSex,"STAT2RF")</f>
        <v>0</v>
      </c>
      <c r="E23" s="203">
        <f>COUNTIF(PosStSex,"STAT2AbM")</f>
        <v>0</v>
      </c>
      <c r="F23" s="204">
        <f>COUNTIF(PosStSex,"STAT2AbF")</f>
        <v>0</v>
      </c>
      <c r="G23" s="203">
        <f>COUNTIF(PosStSex,"STAT2ApM")</f>
        <v>0</v>
      </c>
      <c r="H23" s="204">
        <f>COUNTIF(PosStSex,"STAT2ApF")</f>
        <v>0</v>
      </c>
      <c r="I23" s="203">
        <f>COUNTIF(PosStSex,"STAT2BCM")</f>
        <v>0</v>
      </c>
      <c r="J23" s="204">
        <f>COUNTIF(PosStSex,"STAT2BCF")</f>
        <v>0</v>
      </c>
      <c r="K23" s="203">
        <f>COUNTIF(PosStSex,"STAT2BM")</f>
        <v>0</v>
      </c>
      <c r="L23" s="204">
        <f>COUNTIF(PosStSex,"STAT2BF")</f>
        <v>0</v>
      </c>
      <c r="M23" s="203">
        <f>COUNTIF(PosStSex,"STAT2IM")</f>
        <v>0</v>
      </c>
      <c r="N23" s="204">
        <f>COUNTIF(PosStSex,"STAT2IF")</f>
        <v>0</v>
      </c>
      <c r="O23" s="203">
        <f>COUNTIF(PosStSex,"STAT2KM")</f>
        <v>0</v>
      </c>
      <c r="P23" s="204">
        <f>COUNTIF(PosStSex,"STAT2KF")</f>
        <v>0</v>
      </c>
      <c r="Q23" s="203">
        <f>COUNTIF(PosStSex,"STAT2MPM")</f>
        <v>0</v>
      </c>
      <c r="R23" s="204">
        <f>COUNTIF(PosStSex,"STAT2MPF")</f>
        <v>0</v>
      </c>
      <c r="S23" s="203">
        <f t="shared" si="0"/>
        <v>1</v>
      </c>
      <c r="T23" s="203" t="e">
        <f>SUM(#REF!,#REF!,#REF!,#REF!,#REF!,#REF!,#REF!,#REF!)</f>
        <v>#REF!</v>
      </c>
      <c r="U23" s="203">
        <f t="shared" si="1"/>
        <v>0</v>
      </c>
      <c r="V23" s="225">
        <f t="shared" si="2"/>
        <v>1</v>
      </c>
    </row>
    <row r="24" spans="1:22" s="193" customFormat="1" ht="21.6" customHeight="1">
      <c r="A24" s="201" t="s">
        <v>2193</v>
      </c>
      <c r="B24" s="202">
        <v>14</v>
      </c>
      <c r="C24" s="203">
        <f>COUNTIF(PosStSex,"ADOF3RM")</f>
        <v>1</v>
      </c>
      <c r="D24" s="204">
        <f>COUNTIF(PosStSex,"ADOF3RF")</f>
        <v>1</v>
      </c>
      <c r="E24" s="203">
        <f>COUNTIF(PosStSex,"ADOF3AbM")</f>
        <v>0</v>
      </c>
      <c r="F24" s="204">
        <f>COUNTIF(PosStSex,"ADOF3AbF")</f>
        <v>0</v>
      </c>
      <c r="G24" s="203">
        <f>COUNTIF(PosStSex,"ADOF3ApM")</f>
        <v>0</v>
      </c>
      <c r="H24" s="204">
        <f>COUNTIF(PosStSex,"ADOF3ApF")</f>
        <v>0</v>
      </c>
      <c r="I24" s="203">
        <f>COUNTIF(PosStSex,"ADOF3BCM")</f>
        <v>0</v>
      </c>
      <c r="J24" s="204">
        <f>COUNTIF(PosStSex,"ADOF3BCF")</f>
        <v>0</v>
      </c>
      <c r="K24" s="203">
        <f>COUNTIF(PosStSex,"ADOF3BM")</f>
        <v>0</v>
      </c>
      <c r="L24" s="204">
        <f>COUNTIF(PosStSex,"ADOF3BF")</f>
        <v>0</v>
      </c>
      <c r="M24" s="203">
        <f>COUNTIF(PosStSex,"ADOF3IM")</f>
        <v>0</v>
      </c>
      <c r="N24" s="204">
        <f>COUNTIF(PosStSex,"ADOF3IF")</f>
        <v>0</v>
      </c>
      <c r="O24" s="203">
        <f>COUNTIF(PosStSex,"ADOF3KM")</f>
        <v>0</v>
      </c>
      <c r="P24" s="204">
        <f>COUNTIF(PosStSex,"ADOF3KF")</f>
        <v>0</v>
      </c>
      <c r="Q24" s="203">
        <f>COUNTIF(PosStSex,"ADOF3MPM")</f>
        <v>0</v>
      </c>
      <c r="R24" s="204">
        <f>COUNTIF(PosStSex,"ADOF3MPF")</f>
        <v>0</v>
      </c>
      <c r="S24" s="203">
        <f t="shared" si="0"/>
        <v>1</v>
      </c>
      <c r="T24" s="203" t="e">
        <f>SUM(#REF!,#REF!,#REF!,#REF!,#REF!,#REF!,#REF!,#REF!)</f>
        <v>#REF!</v>
      </c>
      <c r="U24" s="203">
        <f t="shared" si="1"/>
        <v>1</v>
      </c>
      <c r="V24" s="225">
        <f t="shared" si="2"/>
        <v>2</v>
      </c>
    </row>
    <row r="25" spans="1:22" s="193" customFormat="1" ht="21.6" customHeight="1">
      <c r="A25" s="201" t="s">
        <v>1074</v>
      </c>
      <c r="B25" s="202">
        <v>13</v>
      </c>
      <c r="C25" s="203">
        <f>COUNTIF(PosStSex,"LGOO2RM")</f>
        <v>0</v>
      </c>
      <c r="D25" s="204">
        <f>COUNTIF(PosStSex,"LGOO2RF")</f>
        <v>0</v>
      </c>
      <c r="E25" s="203">
        <f>COUNTIF(PosStSex,"LGOO2AbM")</f>
        <v>3</v>
      </c>
      <c r="F25" s="204">
        <f>COUNTIF(PosStSex,"LGOO2AbF")</f>
        <v>2</v>
      </c>
      <c r="G25" s="203">
        <f>COUNTIF(PosStSex,"LGOO2ApM")</f>
        <v>2</v>
      </c>
      <c r="H25" s="204">
        <f>COUNTIF(PosStSex,"LGOO2ApF")</f>
        <v>1</v>
      </c>
      <c r="I25" s="203">
        <f>COUNTIF(PosStSex,"LGOO2BCM")</f>
        <v>0</v>
      </c>
      <c r="J25" s="204">
        <f>COUNTIF(PosStSex,"LGOO2BCF")</f>
        <v>0</v>
      </c>
      <c r="K25" s="203">
        <f>COUNTIF(PosStSex,"LGOO2BM")</f>
        <v>1</v>
      </c>
      <c r="L25" s="204">
        <f>COUNTIF(PosStSex,"LGOO2BF")</f>
        <v>1</v>
      </c>
      <c r="M25" s="203">
        <f>COUNTIF(PosStSex,"LGOO2IM")</f>
        <v>2</v>
      </c>
      <c r="N25" s="204">
        <f>COUNTIF(PosStSex,"LGOO2IF")</f>
        <v>1</v>
      </c>
      <c r="O25" s="203">
        <f>COUNTIF(PosStSex,"LGOO2KM")</f>
        <v>1</v>
      </c>
      <c r="P25" s="204">
        <f>COUNTIF(PosStSex,"LGOO2KF")</f>
        <v>1</v>
      </c>
      <c r="Q25" s="203">
        <f>COUNTIF(PosStSex,"LGOO2MPM")</f>
        <v>0</v>
      </c>
      <c r="R25" s="204">
        <f>COUNTIF(PosStSex,"LGOO2MPF")</f>
        <v>3</v>
      </c>
      <c r="S25" s="203">
        <f t="shared" si="0"/>
        <v>9</v>
      </c>
      <c r="T25" s="203" t="e">
        <f>SUM(#REF!,#REF!,#REF!,#REF!,#REF!,#REF!,#REF!,#REF!)</f>
        <v>#REF!</v>
      </c>
      <c r="U25" s="203">
        <f t="shared" si="1"/>
        <v>9</v>
      </c>
      <c r="V25" s="225">
        <f t="shared" si="2"/>
        <v>18</v>
      </c>
    </row>
    <row r="26" spans="1:22" s="193" customFormat="1" ht="21.6" customHeight="1">
      <c r="A26" s="201" t="s">
        <v>264</v>
      </c>
      <c r="B26" s="202">
        <v>11</v>
      </c>
      <c r="C26" s="203">
        <f>COUNTIF(PosStSex,"STAT1RM")</f>
        <v>0</v>
      </c>
      <c r="D26" s="204">
        <f>COUNTIF(PosStSex,"STAT1RF")</f>
        <v>1</v>
      </c>
      <c r="E26" s="203">
        <f>COUNTIF(PosStSex,"STAT1AbM")</f>
        <v>0</v>
      </c>
      <c r="F26" s="204">
        <f>COUNTIF(PosStSex,"STAT1AbF")</f>
        <v>0</v>
      </c>
      <c r="G26" s="203">
        <f>COUNTIF(PosStSex,"STAT1ApM")</f>
        <v>0</v>
      </c>
      <c r="H26" s="204">
        <f>COUNTIF(PosStSex,"STAT1ApF")</f>
        <v>0</v>
      </c>
      <c r="I26" s="203">
        <f>COUNTIF(PosStSex,"STAT1BCM")</f>
        <v>0</v>
      </c>
      <c r="J26" s="204">
        <f>COUNTIF(PosStSex,"STAT1BCF")</f>
        <v>0</v>
      </c>
      <c r="K26" s="203">
        <f>COUNTIF(PosStSex,"STAT1BM")</f>
        <v>0</v>
      </c>
      <c r="L26" s="204">
        <f>COUNTIF(PosStSex,"STAT1BF")</f>
        <v>0</v>
      </c>
      <c r="M26" s="203">
        <f>COUNTIF(PosStSex,"STAT1IM")</f>
        <v>0</v>
      </c>
      <c r="N26" s="204">
        <f>COUNTIF(PosStSex,"STAT1IF")</f>
        <v>0</v>
      </c>
      <c r="O26" s="203">
        <f>COUNTIF(PosStSex,"STAT1KM")</f>
        <v>0</v>
      </c>
      <c r="P26" s="204">
        <f>COUNTIF(PosStSex,"STAT1KF")</f>
        <v>0</v>
      </c>
      <c r="Q26" s="203">
        <f>COUNTIF(PosStSex,"STAT1MPM")</f>
        <v>0</v>
      </c>
      <c r="R26" s="204">
        <f>COUNTIF(PosStSex,"STAT1MPF")</f>
        <v>0</v>
      </c>
      <c r="S26" s="203">
        <f t="shared" si="0"/>
        <v>0</v>
      </c>
      <c r="T26" s="203" t="e">
        <f>SUM(#REF!,#REF!,#REF!,#REF!,#REF!,#REF!,#REF!,#REF!)</f>
        <v>#REF!</v>
      </c>
      <c r="U26" s="203">
        <f t="shared" si="1"/>
        <v>1</v>
      </c>
      <c r="V26" s="225">
        <f t="shared" si="2"/>
        <v>1</v>
      </c>
    </row>
    <row r="27" spans="1:22" s="193" customFormat="1" ht="21.6" customHeight="1">
      <c r="A27" s="201" t="s">
        <v>370</v>
      </c>
      <c r="B27" s="202">
        <v>9</v>
      </c>
      <c r="C27" s="203">
        <f>COUNTIF(PosStSex,"ADAS3RM")</f>
        <v>1</v>
      </c>
      <c r="D27" s="204">
        <f>COUNTIF(PosStSex,"ADAS3RF")</f>
        <v>2</v>
      </c>
      <c r="E27" s="203">
        <f>COUNTIF(PosStSex,"ADAS3AbM")</f>
        <v>0</v>
      </c>
      <c r="F27" s="204">
        <f>COUNTIF(PosStSex,"ADAS3AbF")</f>
        <v>0</v>
      </c>
      <c r="G27" s="203">
        <f>COUNTIF(PosStSex,"ADAS3ApM")</f>
        <v>0</v>
      </c>
      <c r="H27" s="204">
        <f>COUNTIF(PosStSex,"ADAS3ApF")</f>
        <v>0</v>
      </c>
      <c r="I27" s="203">
        <f>COUNTIF(PosStSex,"ADAS3BCM")</f>
        <v>0</v>
      </c>
      <c r="J27" s="204">
        <f>COUNTIF(PosStSex,"ADAS3BCF")</f>
        <v>0</v>
      </c>
      <c r="K27" s="203">
        <f>COUNTIF(PosStSex,"ADAS3BM")</f>
        <v>0</v>
      </c>
      <c r="L27" s="204">
        <f>COUNTIF(PosStSex,"ADAS3BF")</f>
        <v>0</v>
      </c>
      <c r="M27" s="203">
        <f>COUNTIF(PosStSex,"ADAS3IM")</f>
        <v>0</v>
      </c>
      <c r="N27" s="204">
        <f>COUNTIF(PosStSex,"ADAS3IF")</f>
        <v>0</v>
      </c>
      <c r="O27" s="203">
        <f>COUNTIF(PosStSex,"ADAS3KM")</f>
        <v>0</v>
      </c>
      <c r="P27" s="204">
        <f>COUNTIF(PosStSex,"ADAS3KF")</f>
        <v>0</v>
      </c>
      <c r="Q27" s="203">
        <f>COUNTIF(PosStSex,"ADAS3MPM")</f>
        <v>0</v>
      </c>
      <c r="R27" s="204">
        <f>COUNTIF(PosStSex,"ADAS3MPF")</f>
        <v>0</v>
      </c>
      <c r="S27" s="203">
        <f t="shared" si="0"/>
        <v>1</v>
      </c>
      <c r="T27" s="203" t="e">
        <f>SUM(#REF!,#REF!,#REF!,#REF!,#REF!,#REF!,#REF!,#REF!)</f>
        <v>#REF!</v>
      </c>
      <c r="U27" s="203">
        <f t="shared" si="1"/>
        <v>2</v>
      </c>
      <c r="V27" s="225">
        <f t="shared" si="2"/>
        <v>3</v>
      </c>
    </row>
    <row r="28" spans="1:22" s="193" customFormat="1" ht="21.6" customHeight="1">
      <c r="A28" s="201" t="s">
        <v>1170</v>
      </c>
      <c r="B28" s="202">
        <v>8</v>
      </c>
      <c r="C28" s="203">
        <f>COUNTIF(PosStSex,"ADAS2RM")</f>
        <v>1</v>
      </c>
      <c r="D28" s="204">
        <f>COUNTIF(PosStSex,"ADAS2RF")</f>
        <v>0</v>
      </c>
      <c r="E28" s="203">
        <f>COUNTIF(PosStSex,"ADAS2AbM")</f>
        <v>0</v>
      </c>
      <c r="F28" s="204">
        <f>COUNTIF(PosStSex,"ADAS2AbF")</f>
        <v>1</v>
      </c>
      <c r="G28" s="203">
        <f>COUNTIF(PosStSex,"ADAS2ApM")</f>
        <v>0</v>
      </c>
      <c r="H28" s="204">
        <f>COUNTIF(PosStSex,"ADAS2ApF")</f>
        <v>2</v>
      </c>
      <c r="I28" s="203">
        <f>COUNTIF(PosStSex,"ADAS2BCM")</f>
        <v>0</v>
      </c>
      <c r="J28" s="204">
        <f>COUNTIF(PosStSex,"ADAS2BCF")</f>
        <v>0</v>
      </c>
      <c r="K28" s="203">
        <f>COUNTIF(PosStSex,"ADAS2BM")</f>
        <v>0</v>
      </c>
      <c r="L28" s="204">
        <f>COUNTIF(PosStSex,"ADAS2BF")</f>
        <v>2</v>
      </c>
      <c r="M28" s="203">
        <f>COUNTIF(PosStSex,"ADAS2IM")</f>
        <v>1</v>
      </c>
      <c r="N28" s="204">
        <f>COUNTIF(PosStSex,"ADAS2IF")</f>
        <v>1</v>
      </c>
      <c r="O28" s="203">
        <f>COUNTIF(PosStSex,"ADAS2KM")</f>
        <v>0</v>
      </c>
      <c r="P28" s="204">
        <f>COUNTIF(PosStSex,"ADAS2KF")</f>
        <v>2</v>
      </c>
      <c r="Q28" s="203">
        <f>COUNTIF(PosStSex,"ADAS2MPM")</f>
        <v>0</v>
      </c>
      <c r="R28" s="204">
        <f>COUNTIF(PosStSex,"ADAS2MPF")</f>
        <v>2</v>
      </c>
      <c r="S28" s="203">
        <f t="shared" si="0"/>
        <v>2</v>
      </c>
      <c r="T28" s="203" t="e">
        <f>SUM(#REF!,#REF!,#REF!,#REF!,#REF!,#REF!,#REF!,#REF!)</f>
        <v>#REF!</v>
      </c>
      <c r="U28" s="203">
        <f t="shared" si="1"/>
        <v>10</v>
      </c>
      <c r="V28" s="225">
        <f t="shared" si="2"/>
        <v>12</v>
      </c>
    </row>
    <row r="29" spans="1:22" s="193" customFormat="1" ht="21.6" customHeight="1">
      <c r="A29" s="201" t="s">
        <v>273</v>
      </c>
      <c r="B29" s="202">
        <v>6</v>
      </c>
      <c r="C29" s="203">
        <f>COUNTIF(PosStSex,"ADA6RM")</f>
        <v>0</v>
      </c>
      <c r="D29" s="204">
        <f>COUNTIF(PosStSex,"ADA6RF")</f>
        <v>2</v>
      </c>
      <c r="E29" s="203">
        <f>COUNTIF(PosStSex,"ADA6AbM")</f>
        <v>0</v>
      </c>
      <c r="F29" s="204">
        <f>COUNTIF(PosStSex,"ADA6AbF")</f>
        <v>1</v>
      </c>
      <c r="G29" s="203">
        <f>COUNTIF(PosStSex,"ADA6ApM")</f>
        <v>0</v>
      </c>
      <c r="H29" s="204">
        <f>COUNTIF(PosStSex,"ADA6ApF")</f>
        <v>0</v>
      </c>
      <c r="I29" s="203">
        <f>COUNTIF(PosStSex,"ADA6BCM")</f>
        <v>0</v>
      </c>
      <c r="J29" s="204">
        <f>COUNTIF(PosStSex,"ADA6BCF")</f>
        <v>0</v>
      </c>
      <c r="K29" s="203">
        <f>COUNTIF(PosStSex,"ADA6BM")</f>
        <v>1</v>
      </c>
      <c r="L29" s="204">
        <f>COUNTIF(PosStSex,"ADA6BF")</f>
        <v>0</v>
      </c>
      <c r="M29" s="203">
        <f>COUNTIF(PosStSex,"ADA6IM")</f>
        <v>0</v>
      </c>
      <c r="N29" s="204">
        <f>COUNTIF(PosStSex,"ADA6IF")</f>
        <v>1</v>
      </c>
      <c r="O29" s="203">
        <f>COUNTIF(PosStSex,"ADA6KM")</f>
        <v>1</v>
      </c>
      <c r="P29" s="204">
        <f>COUNTIF(PosStSex,"ADA6KF")</f>
        <v>0</v>
      </c>
      <c r="Q29" s="203">
        <f>COUNTIF(PosStSex,"ADA6MPM")</f>
        <v>0</v>
      </c>
      <c r="R29" s="204">
        <f>COUNTIF(PosStSex,"ADA6MPF")</f>
        <v>0</v>
      </c>
      <c r="S29" s="203">
        <f t="shared" si="0"/>
        <v>2</v>
      </c>
      <c r="T29" s="203" t="e">
        <f>SUM(#REF!,#REF!,#REF!,#REF!,#REF!,#REF!,#REF!,#REF!)</f>
        <v>#REF!</v>
      </c>
      <c r="U29" s="203">
        <f t="shared" si="1"/>
        <v>4</v>
      </c>
      <c r="V29" s="225">
        <f t="shared" si="2"/>
        <v>6</v>
      </c>
    </row>
    <row r="30" spans="1:22" s="193" customFormat="1" ht="21.6" customHeight="1">
      <c r="A30" s="201" t="s">
        <v>455</v>
      </c>
      <c r="B30" s="202">
        <v>4</v>
      </c>
      <c r="C30" s="203">
        <f>COUNTIF(PosStSex,"ADA4RM")</f>
        <v>3</v>
      </c>
      <c r="D30" s="204">
        <f>COUNTIF(PosStSex,"ADA4RF")</f>
        <v>1</v>
      </c>
      <c r="E30" s="203">
        <f>COUNTIF(PosStSex,"ADA4AbM")</f>
        <v>0</v>
      </c>
      <c r="F30" s="204">
        <f>COUNTIF(PosStSex,"ADA4AbF")</f>
        <v>1</v>
      </c>
      <c r="G30" s="203">
        <f>COUNTIF(PosStSex,"ADA4ApM")</f>
        <v>1</v>
      </c>
      <c r="H30" s="204">
        <f>COUNTIF(PosStSex,"ADA4ApF")</f>
        <v>0</v>
      </c>
      <c r="I30" s="203">
        <f>COUNTIF(PosStSex,"ADA4BCM")</f>
        <v>0</v>
      </c>
      <c r="J30" s="204">
        <f>COUNTIF(PosStSex,"ADA4BCF")</f>
        <v>1</v>
      </c>
      <c r="K30" s="203">
        <f>COUNTIF(PosStSex,"ADA4BM")</f>
        <v>0</v>
      </c>
      <c r="L30" s="204">
        <f>COUNTIF(PosStSex,"ADA4BF")</f>
        <v>1</v>
      </c>
      <c r="M30" s="203">
        <f>COUNTIF(PosStSex,"ADA4IM")</f>
        <v>1</v>
      </c>
      <c r="N30" s="204">
        <f>COUNTIF(PosStSex,"ADA4IF")</f>
        <v>0</v>
      </c>
      <c r="O30" s="203">
        <f>COUNTIF(PosStSex,"ADA4KM")</f>
        <v>0</v>
      </c>
      <c r="P30" s="204">
        <f>COUNTIF(PosStSex,"ADA4KF")</f>
        <v>0</v>
      </c>
      <c r="Q30" s="203">
        <f>COUNTIF(PosStSex,"ADA4MPM")</f>
        <v>0</v>
      </c>
      <c r="R30" s="204">
        <f>COUNTIF(PosStSex,"ADA4MPF")</f>
        <v>1</v>
      </c>
      <c r="S30" s="203">
        <f t="shared" si="0"/>
        <v>5</v>
      </c>
      <c r="T30" s="203" t="e">
        <f>SUM(#REF!,#REF!,#REF!,#REF!,#REF!,#REF!,#REF!,#REF!)</f>
        <v>#REF!</v>
      </c>
      <c r="U30" s="203">
        <f t="shared" si="1"/>
        <v>5</v>
      </c>
      <c r="V30" s="225">
        <f t="shared" si="2"/>
        <v>10</v>
      </c>
    </row>
    <row r="31" spans="1:22" s="193" customFormat="1" ht="21.6" customHeight="1">
      <c r="A31" s="205" t="s">
        <v>2194</v>
      </c>
      <c r="B31" s="206">
        <v>3</v>
      </c>
      <c r="C31" s="207">
        <f>COUNTIF(PosStSex,"ADA3RM")</f>
        <v>1</v>
      </c>
      <c r="D31" s="208">
        <f>COUNTIF(PosStSex,"ADA3RF")</f>
        <v>0</v>
      </c>
      <c r="E31" s="207">
        <f>COUNTIF(PosStSex,"ADA3AbM")</f>
        <v>1</v>
      </c>
      <c r="F31" s="208">
        <f>COUNTIF(PosStSex,"ADA3AbF")</f>
        <v>0</v>
      </c>
      <c r="G31" s="207">
        <f>COUNTIF(PosStSex,"ADA3ApM")</f>
        <v>1</v>
      </c>
      <c r="H31" s="208">
        <f>COUNTIF(PosStSex,"ADA3ApF")</f>
        <v>0</v>
      </c>
      <c r="I31" s="207">
        <f>COUNTIF(PosStSex,"ADA3BCM")</f>
        <v>0</v>
      </c>
      <c r="J31" s="208">
        <f>COUNTIF(PosStSex,"ADA3BCF")</f>
        <v>0</v>
      </c>
      <c r="K31" s="207">
        <f>COUNTIF(PosStSex,"ADA3BM")</f>
        <v>0</v>
      </c>
      <c r="L31" s="208">
        <f>COUNTIF(PosStSex,"ADA3BF")</f>
        <v>0</v>
      </c>
      <c r="M31" s="207">
        <f>COUNTIF(PosStSex,"ADA3IM")</f>
        <v>0</v>
      </c>
      <c r="N31" s="208">
        <f>COUNTIF(PosStSex,"ADA3IF")</f>
        <v>0</v>
      </c>
      <c r="O31" s="207">
        <f>COUNTIF(PosStSex,"ADA3KM")</f>
        <v>0</v>
      </c>
      <c r="P31" s="208">
        <f>COUNTIF(PosStSex,"ADA3KF")</f>
        <v>0</v>
      </c>
      <c r="Q31" s="207">
        <f>COUNTIF(PosStSex,"ADA3MPM")</f>
        <v>0</v>
      </c>
      <c r="R31" s="208">
        <f>COUNTIF(PosStSex,"ADA3MPF")</f>
        <v>0</v>
      </c>
      <c r="S31" s="207">
        <f t="shared" si="0"/>
        <v>3</v>
      </c>
      <c r="T31" s="207" t="e">
        <f>SUM(#REF!,#REF!,#REF!,#REF!,#REF!,#REF!,#REF!,#REF!)</f>
        <v>#REF!</v>
      </c>
      <c r="U31" s="207">
        <f t="shared" si="1"/>
        <v>0</v>
      </c>
      <c r="V31" s="226">
        <f t="shared" si="2"/>
        <v>3</v>
      </c>
    </row>
    <row r="32" spans="1:22" s="193" customFormat="1" ht="21.6" customHeight="1">
      <c r="A32" s="205" t="s">
        <v>422</v>
      </c>
      <c r="B32" s="206">
        <v>3</v>
      </c>
      <c r="C32" s="207">
        <f>COUNTIF(PosStSex,"SECG1RM")</f>
        <v>3</v>
      </c>
      <c r="D32" s="208">
        <f>COUNTIF(PosStSex,"SECG1RF")</f>
        <v>0</v>
      </c>
      <c r="E32" s="207">
        <f>COUNTIF(PosStSex,"SECG1AbM")</f>
        <v>0</v>
      </c>
      <c r="F32" s="208">
        <f>COUNTIF(PosStSex,"SECG1AbF")</f>
        <v>0</v>
      </c>
      <c r="G32" s="207">
        <f>COUNTIF(PosStSex,"SECG1ApM")</f>
        <v>0</v>
      </c>
      <c r="H32" s="208">
        <f>COUNTIF(PosStSex,"SECG1ApF")</f>
        <v>0</v>
      </c>
      <c r="I32" s="207">
        <f>COUNTIF(PosStSex,"SECG1BCM")</f>
        <v>0</v>
      </c>
      <c r="J32" s="208">
        <f>COUNTIF(PosStSex,"SECG1BCF")</f>
        <v>0</v>
      </c>
      <c r="K32" s="207">
        <f>COUNTIF(PosStSex,"SECG1BM")</f>
        <v>0</v>
      </c>
      <c r="L32" s="208">
        <f>COUNTIF(PosStSex,"SECG1BF")</f>
        <v>0</v>
      </c>
      <c r="M32" s="207">
        <f>COUNTIF(PosStSex,"SECG1IM")</f>
        <v>0</v>
      </c>
      <c r="N32" s="208">
        <f>COUNTIF(PosStSex,"SECG1IF")</f>
        <v>0</v>
      </c>
      <c r="O32" s="207">
        <f>COUNTIF(PosStSex,"SECG1KM")</f>
        <v>0</v>
      </c>
      <c r="P32" s="208">
        <f>COUNTIF(PosStSex,"SECG1KF")</f>
        <v>0</v>
      </c>
      <c r="Q32" s="207">
        <f>COUNTIF(PosStSex,"SECG1MPM")</f>
        <v>0</v>
      </c>
      <c r="R32" s="208">
        <f>COUNTIF(PosStSex,"SECG1MPF")</f>
        <v>0</v>
      </c>
      <c r="S32" s="207">
        <f t="shared" si="0"/>
        <v>3</v>
      </c>
      <c r="T32" s="207" t="e">
        <f>SUM(#REF!,#REF!,#REF!,#REF!,#REF!,#REF!,#REF!,#REF!)</f>
        <v>#REF!</v>
      </c>
      <c r="U32" s="207">
        <f t="shared" si="1"/>
        <v>0</v>
      </c>
      <c r="V32" s="226">
        <f t="shared" si="2"/>
        <v>3</v>
      </c>
    </row>
    <row r="33" spans="1:22" s="193" customFormat="1" ht="21.6" customHeight="1">
      <c r="A33" s="205" t="s">
        <v>2195</v>
      </c>
      <c r="B33" s="206">
        <v>2</v>
      </c>
      <c r="C33" s="207">
        <f>COUNTIF(PosStSex,"ADA2RM")</f>
        <v>0</v>
      </c>
      <c r="D33" s="208">
        <f>COUNTIF(PosStSex,"ADA2RF")</f>
        <v>0</v>
      </c>
      <c r="E33" s="207">
        <f>COUNTIF(PosStSex,"ADA2AbM")</f>
        <v>0</v>
      </c>
      <c r="F33" s="208">
        <f>COUNTIF(PosStSex,"ADA2AbF")</f>
        <v>0</v>
      </c>
      <c r="G33" s="207">
        <f>COUNTIF(PosStSex,"ADA2ApM")</f>
        <v>0</v>
      </c>
      <c r="H33" s="208">
        <f>COUNTIF(PosStSex,"ADA2ApF")</f>
        <v>0</v>
      </c>
      <c r="I33" s="207">
        <f>COUNTIF(PosStSex,"ADA2BCM")</f>
        <v>0</v>
      </c>
      <c r="J33" s="208">
        <f>COUNTIF(PosStSex,"ADA2BCF")</f>
        <v>0</v>
      </c>
      <c r="K33" s="207">
        <f>COUNTIF(PosStSex,"ADA2BM")</f>
        <v>0</v>
      </c>
      <c r="L33" s="208">
        <f>COUNTIF(PosStSex,"ADA2BF")</f>
        <v>0</v>
      </c>
      <c r="M33" s="207">
        <f>COUNTIF(PosStSex,"ADA2IM")</f>
        <v>0</v>
      </c>
      <c r="N33" s="208">
        <f>COUNTIF(PosStSex,"ADA2IF")</f>
        <v>0</v>
      </c>
      <c r="O33" s="207">
        <f>COUNTIF(PosStSex,"ADA2KM")</f>
        <v>1</v>
      </c>
      <c r="P33" s="208">
        <f>COUNTIF(PosStSex,"ADA2KF")</f>
        <v>0</v>
      </c>
      <c r="Q33" s="207">
        <f>COUNTIF(PosStSex,"ADA2MPM")</f>
        <v>0</v>
      </c>
      <c r="R33" s="208">
        <f>COUNTIF(PosStSex,"ADA2MPF")</f>
        <v>0</v>
      </c>
      <c r="S33" s="207">
        <f t="shared" si="0"/>
        <v>1</v>
      </c>
      <c r="T33" s="207" t="e">
        <f>SUM(#REF!,#REF!,#REF!,#REF!,#REF!,#REF!,#REF!,#REF!)</f>
        <v>#REF!</v>
      </c>
      <c r="U33" s="207">
        <f t="shared" si="1"/>
        <v>0</v>
      </c>
      <c r="V33" s="226">
        <f t="shared" si="2"/>
        <v>1</v>
      </c>
    </row>
    <row r="34" spans="1:22" s="193" customFormat="1" ht="21.6" customHeight="1">
      <c r="A34" s="205" t="s">
        <v>2196</v>
      </c>
      <c r="B34" s="206">
        <v>1</v>
      </c>
      <c r="C34" s="209">
        <f>COUNTIF(PosStSex,"ADA1RM")</f>
        <v>0</v>
      </c>
      <c r="D34" s="210">
        <f>COUNTIF(PosStSex,"ADA1RF")</f>
        <v>0</v>
      </c>
      <c r="E34" s="209">
        <f>COUNTIF(PosStSex,"ADA1AbM")</f>
        <v>0</v>
      </c>
      <c r="F34" s="210">
        <f>COUNTIF(PosStSex,"ADA1AbF")</f>
        <v>0</v>
      </c>
      <c r="G34" s="209">
        <f>COUNTIF(PosStSex,"ADA1ApM")</f>
        <v>0</v>
      </c>
      <c r="H34" s="210">
        <f>COUNTIF(PosStSex,"ADA1ApF")</f>
        <v>1</v>
      </c>
      <c r="I34" s="209">
        <f>COUNTIF(PosStSex,"ADA1BCM")</f>
        <v>0</v>
      </c>
      <c r="J34" s="210">
        <f>COUNTIF(PosStSex,"ADA1BCF")</f>
        <v>0</v>
      </c>
      <c r="K34" s="209">
        <f>COUNTIF(PosStSex,"ADA1BM")</f>
        <v>0</v>
      </c>
      <c r="L34" s="210">
        <f>COUNTIF(PosStSex,"ADA1BF")</f>
        <v>0</v>
      </c>
      <c r="M34" s="209">
        <f>COUNTIF(PosStSex,"ADA1IM")</f>
        <v>0</v>
      </c>
      <c r="N34" s="210">
        <f>COUNTIF(PosStSex,"ADA1IF")</f>
        <v>0</v>
      </c>
      <c r="O34" s="209">
        <f>COUNTIF(PosStSex,"ADA1KM")</f>
        <v>1</v>
      </c>
      <c r="P34" s="210">
        <f>COUNTIF(PosStSex,"ADA1KF")</f>
        <v>0</v>
      </c>
      <c r="Q34" s="209">
        <f>COUNTIF(PosStSex,"ADA1MPM")</f>
        <v>1</v>
      </c>
      <c r="R34" s="210">
        <f>COUNTIF(PosStSex,"ADA1MPF")</f>
        <v>0</v>
      </c>
      <c r="S34" s="209">
        <f t="shared" si="0"/>
        <v>2</v>
      </c>
      <c r="T34" s="209" t="e">
        <f>SUM(#REF!,#REF!,#REF!,#REF!,#REF!,#REF!,#REF!,#REF!)</f>
        <v>#REF!</v>
      </c>
      <c r="U34" s="209">
        <f t="shared" si="1"/>
        <v>1</v>
      </c>
      <c r="V34" s="227">
        <f t="shared" si="2"/>
        <v>3</v>
      </c>
    </row>
    <row r="35" spans="1:22" s="162" customFormat="1" ht="21.75" customHeight="1">
      <c r="A35" s="211"/>
      <c r="B35" s="212"/>
      <c r="C35" s="213">
        <f t="shared" ref="C35:K35" si="3">SUM(C6:C34)</f>
        <v>21</v>
      </c>
      <c r="D35" s="214">
        <f t="shared" si="3"/>
        <v>23</v>
      </c>
      <c r="E35" s="213">
        <f t="shared" si="3"/>
        <v>20</v>
      </c>
      <c r="F35" s="214">
        <f t="shared" si="3"/>
        <v>21</v>
      </c>
      <c r="G35" s="213">
        <f t="shared" si="3"/>
        <v>10</v>
      </c>
      <c r="H35" s="214">
        <f t="shared" si="3"/>
        <v>10</v>
      </c>
      <c r="I35" s="213">
        <f t="shared" si="3"/>
        <v>0</v>
      </c>
      <c r="J35" s="214">
        <f t="shared" si="3"/>
        <v>3</v>
      </c>
      <c r="K35" s="213">
        <f t="shared" si="3"/>
        <v>8</v>
      </c>
      <c r="L35" s="214">
        <f t="shared" ref="L35:R35" si="4">SUM(L6:L34)</f>
        <v>17</v>
      </c>
      <c r="M35" s="213">
        <f t="shared" si="4"/>
        <v>12</v>
      </c>
      <c r="N35" s="214">
        <f t="shared" si="4"/>
        <v>11</v>
      </c>
      <c r="O35" s="213">
        <f t="shared" si="4"/>
        <v>9</v>
      </c>
      <c r="P35" s="214">
        <f t="shared" si="4"/>
        <v>9</v>
      </c>
      <c r="Q35" s="213">
        <f t="shared" si="4"/>
        <v>9</v>
      </c>
      <c r="R35" s="214">
        <f t="shared" si="4"/>
        <v>14</v>
      </c>
      <c r="S35" s="213">
        <f t="shared" si="0"/>
        <v>89</v>
      </c>
      <c r="T35" s="213" t="e">
        <f>SUM(T6:T34)</f>
        <v>#REF!</v>
      </c>
      <c r="U35" s="213">
        <f>SUM(U6:U34)</f>
        <v>108</v>
      </c>
      <c r="V35" s="228">
        <f>SUM(V6:V34)</f>
        <v>197</v>
      </c>
    </row>
    <row r="36" spans="1:22" ht="8.25" customHeight="1">
      <c r="D36" s="215"/>
      <c r="E36" s="216"/>
      <c r="F36" s="217"/>
      <c r="G36" s="216"/>
      <c r="H36" s="217"/>
      <c r="I36" s="216"/>
      <c r="J36" s="217"/>
      <c r="K36" s="216"/>
      <c r="L36" s="217"/>
      <c r="M36" s="217"/>
      <c r="N36" s="217"/>
      <c r="O36" s="217"/>
      <c r="P36" s="217"/>
      <c r="Q36" s="217"/>
      <c r="R36" s="217"/>
      <c r="S36" s="162"/>
      <c r="T36" s="216"/>
      <c r="U36" s="216"/>
      <c r="V36" s="216"/>
    </row>
    <row r="37" spans="1:22">
      <c r="B37" s="218" t="s">
        <v>3094</v>
      </c>
    </row>
    <row r="42" spans="1:22" s="192" customFormat="1" ht="15.6">
      <c r="A42" s="1089" t="s">
        <v>1386</v>
      </c>
      <c r="B42" s="1090" t="s">
        <v>1387</v>
      </c>
      <c r="C42" s="1091" t="s">
        <v>57</v>
      </c>
      <c r="D42" s="1091"/>
      <c r="E42" s="1085" t="s">
        <v>408</v>
      </c>
      <c r="F42" s="1085"/>
      <c r="G42" s="1085" t="s">
        <v>181</v>
      </c>
      <c r="H42" s="1085"/>
      <c r="I42" s="1085" t="s">
        <v>189</v>
      </c>
      <c r="J42" s="1085"/>
      <c r="K42" s="1085" t="s">
        <v>167</v>
      </c>
      <c r="L42" s="1085"/>
      <c r="M42" s="1085" t="s">
        <v>174</v>
      </c>
      <c r="N42" s="1085"/>
      <c r="O42" s="1085" t="s">
        <v>211</v>
      </c>
      <c r="P42" s="1085"/>
      <c r="Q42" s="1085" t="s">
        <v>268</v>
      </c>
      <c r="R42" s="1085"/>
      <c r="S42" s="1086" t="s">
        <v>2188</v>
      </c>
      <c r="T42" s="1087"/>
      <c r="U42" s="1088"/>
      <c r="V42" s="1083" t="s">
        <v>2188</v>
      </c>
    </row>
    <row r="43" spans="1:22" s="192" customFormat="1" ht="15.6">
      <c r="A43" s="1089"/>
      <c r="B43" s="1090"/>
      <c r="C43" s="194" t="s">
        <v>62</v>
      </c>
      <c r="D43" s="195" t="s">
        <v>100</v>
      </c>
      <c r="E43" s="196" t="s">
        <v>62</v>
      </c>
      <c r="F43" s="195" t="s">
        <v>100</v>
      </c>
      <c r="G43" s="196" t="s">
        <v>62</v>
      </c>
      <c r="H43" s="195" t="s">
        <v>100</v>
      </c>
      <c r="I43" s="196" t="s">
        <v>62</v>
      </c>
      <c r="J43" s="195" t="s">
        <v>100</v>
      </c>
      <c r="K43" s="196" t="s">
        <v>62</v>
      </c>
      <c r="L43" s="195" t="s">
        <v>100</v>
      </c>
      <c r="M43" s="196" t="s">
        <v>62</v>
      </c>
      <c r="N43" s="195" t="s">
        <v>100</v>
      </c>
      <c r="O43" s="196" t="s">
        <v>62</v>
      </c>
      <c r="P43" s="195" t="s">
        <v>100</v>
      </c>
      <c r="Q43" s="196" t="s">
        <v>62</v>
      </c>
      <c r="R43" s="195" t="s">
        <v>100</v>
      </c>
      <c r="S43" s="196" t="s">
        <v>62</v>
      </c>
      <c r="T43" s="222" t="s">
        <v>100</v>
      </c>
      <c r="U43" s="195" t="s">
        <v>100</v>
      </c>
      <c r="V43" s="1084"/>
    </row>
    <row r="45" spans="1:22" s="193" customFormat="1" ht="21.6" customHeight="1">
      <c r="A45" s="201" t="s">
        <v>463</v>
      </c>
      <c r="B45" s="202">
        <v>26</v>
      </c>
      <c r="C45" s="203">
        <f>COUNTIF(PosStSex,"LGOO8RM")</f>
        <v>0</v>
      </c>
      <c r="D45" s="204">
        <f>COUNTIF(PosStSex,"LGOO8RF")</f>
        <v>0</v>
      </c>
      <c r="E45" s="203">
        <f>COUNTIF(PosStSex,"LGOO8AbM")</f>
        <v>0</v>
      </c>
      <c r="F45" s="204">
        <f>COUNTIF(PosStSex,"LGOO8AbF")</f>
        <v>1</v>
      </c>
      <c r="G45" s="203">
        <f>COUNTIF(PosStSex,"LGOO8ApM")</f>
        <v>1</v>
      </c>
      <c r="H45" s="204">
        <f>COUNTIF(PosStSex,"LGOO8ApF")</f>
        <v>0</v>
      </c>
      <c r="I45" s="203">
        <f>COUNTIF(PosStSex,"LGOO8BCM")</f>
        <v>0</v>
      </c>
      <c r="J45" s="204">
        <f>COUNTIF(PosStSex,"LGOO8BCF")</f>
        <v>1</v>
      </c>
      <c r="K45" s="203">
        <f>COUNTIF(PosStSex,"LGOO8BM")</f>
        <v>0</v>
      </c>
      <c r="L45" s="204">
        <f>COUNTIF(PosStSex,"LGOO8BF")</f>
        <v>1</v>
      </c>
      <c r="M45" s="203">
        <f>COUNTIF(PosStSex,"LGOO8IM")</f>
        <v>0</v>
      </c>
      <c r="N45" s="204">
        <f>COUNTIF(PosStSex,"LGOO8IF")</f>
        <v>1</v>
      </c>
      <c r="O45" s="203">
        <f>COUNTIF(PosStSex,"LGOO8KM")</f>
        <v>1</v>
      </c>
      <c r="P45" s="204">
        <f>COUNTIF(PosStSex,"LGOO8KF")</f>
        <v>0</v>
      </c>
      <c r="Q45" s="203">
        <f>COUNTIF(PosStSex,"LGOO8MPM")</f>
        <v>1</v>
      </c>
      <c r="R45" s="204">
        <f>COUNTIF(PosStSex,"LGOO8MPF")</f>
        <v>0</v>
      </c>
      <c r="S45" s="203">
        <f t="shared" ref="S45:S57" si="5">SUM(C45,E45,G45,I45,K45,M45,O45,Q45)</f>
        <v>3</v>
      </c>
      <c r="T45" s="203" t="e">
        <f>SUM(#REF!,#REF!,#REF!,#REF!,#REF!,#REF!,#REF!,#REF!)</f>
        <v>#REF!</v>
      </c>
      <c r="U45" s="203">
        <f t="shared" ref="U45:U57" si="6">SUM(D45,F45,H45,J45,L45,N45,P45,R45)</f>
        <v>4</v>
      </c>
      <c r="V45" s="225">
        <f t="shared" ref="V45:V57" si="7">+S45+U45</f>
        <v>7</v>
      </c>
    </row>
    <row r="46" spans="1:22" ht="15.6">
      <c r="A46" s="219" t="s">
        <v>3095</v>
      </c>
      <c r="C46" s="203">
        <f ca="1">COUNTIF(PTSexCat,"LGOO8RAM")</f>
        <v>0</v>
      </c>
      <c r="D46" s="204">
        <f ca="1">COUNTIF(PTSexCat,"LGOO8RAF")</f>
        <v>0</v>
      </c>
      <c r="E46" s="203">
        <f ca="1">COUNTIF(PTSexCat,"LGOO8AbAM")</f>
        <v>0</v>
      </c>
      <c r="F46" s="204">
        <f ca="1">COUNTIF(PTSexCat,"LGOO8AbAF")</f>
        <v>0</v>
      </c>
      <c r="G46" s="203">
        <f ca="1">COUNTIF(PTSexCat,"LGOO8ApAM")</f>
        <v>0</v>
      </c>
      <c r="H46" s="204">
        <f ca="1">COUNTIF(PTSexCat,"LGOO8ApAF")</f>
        <v>0</v>
      </c>
      <c r="I46" s="203">
        <f ca="1">COUNTIF(PTSexCat,"LGOO8BCAM")</f>
        <v>0</v>
      </c>
      <c r="J46" s="204">
        <f ca="1">COUNTIF(PTSexCat,"LGOO8BCAF")</f>
        <v>0</v>
      </c>
      <c r="K46" s="203">
        <f ca="1">COUNTIF(PTSexCat,"LGOO8BAM")</f>
        <v>0</v>
      </c>
      <c r="L46" s="204">
        <f ca="1">COUNTIF(PTSexCat,"LGOO8BAF")</f>
        <v>0</v>
      </c>
      <c r="M46" s="203">
        <f ca="1">COUNTIF(PTSexCat,"LGOO8IAM")</f>
        <v>0</v>
      </c>
      <c r="N46" s="204">
        <f ca="1">COUNTIF(PTSexCat,"LGOO8IAF")</f>
        <v>0</v>
      </c>
      <c r="O46" s="203">
        <f ca="1">COUNTIF(PTSexCat,"LGOO8KAM")</f>
        <v>0</v>
      </c>
      <c r="P46" s="204">
        <f ca="1">COUNTIF(PTSexCat,"LGOO8KAF")</f>
        <v>0</v>
      </c>
      <c r="Q46" s="203">
        <f ca="1">COUNTIF(PTSexCat,"LGOO8MPAM")</f>
        <v>0</v>
      </c>
      <c r="R46" s="204">
        <f ca="1">COUNTIF(PTSexCat,"LGOO8MPAF")</f>
        <v>0</v>
      </c>
      <c r="S46" s="203">
        <f t="shared" ca="1" si="5"/>
        <v>0</v>
      </c>
      <c r="T46" s="203" t="e">
        <f>SUM(#REF!,#REF!,#REF!,#REF!,#REF!,#REF!,#REF!,#REF!)</f>
        <v>#REF!</v>
      </c>
      <c r="U46" s="203">
        <f t="shared" ca="1" si="6"/>
        <v>0</v>
      </c>
      <c r="V46" s="225">
        <f t="shared" ca="1" si="7"/>
        <v>0</v>
      </c>
    </row>
    <row r="47" spans="1:22" ht="15.6">
      <c r="A47" s="220" t="s">
        <v>3096</v>
      </c>
      <c r="C47" s="203">
        <f ca="1">COUNTIF(PTSexCat,"LGOO8RBM")</f>
        <v>0</v>
      </c>
      <c r="D47" s="204">
        <f ca="1">COUNTIF(PTSexCat,"LGOO8RBF")</f>
        <v>0</v>
      </c>
      <c r="E47" s="203">
        <f ca="1">COUNTIF(PTSexCat,"LGOO8AbBM")</f>
        <v>0</v>
      </c>
      <c r="F47" s="204">
        <f ca="1">COUNTIF(PTSexCat,"LGOO8AbBF")</f>
        <v>0</v>
      </c>
      <c r="G47" s="203">
        <f ca="1">COUNTIF(PTSexCat,"LGOO8ApBM")</f>
        <v>0</v>
      </c>
      <c r="H47" s="204">
        <f ca="1">COUNTIF(PTSexCat,"LGOO8ApBF")</f>
        <v>0</v>
      </c>
      <c r="I47" s="203">
        <f ca="1">COUNTIF(PTSexCat,"LGOO8BCBM")</f>
        <v>0</v>
      </c>
      <c r="J47" s="204">
        <f ca="1">COUNTIF(PTSexCat,"LGOO8BCBF")</f>
        <v>0</v>
      </c>
      <c r="K47" s="203">
        <f ca="1">COUNTIF(PTSexCat,"LGOO8BBM")</f>
        <v>0</v>
      </c>
      <c r="L47" s="204">
        <f ca="1">COUNTIF(PTSexCat,"LGOO8BBF")</f>
        <v>0</v>
      </c>
      <c r="M47" s="203">
        <f ca="1">COUNTIF(PTSexCat,"LGOO8IBM")</f>
        <v>0</v>
      </c>
      <c r="N47" s="204">
        <f ca="1">COUNTIF(PTSexCat,"LGOO8IBF")</f>
        <v>0</v>
      </c>
      <c r="O47" s="203">
        <f ca="1">COUNTIF(PTSexCat,"LGOO8KBM")</f>
        <v>0</v>
      </c>
      <c r="P47" s="204">
        <f ca="1">COUNTIF(PTSexCat,"LGOO8KBF")</f>
        <v>0</v>
      </c>
      <c r="Q47" s="203">
        <f ca="1">COUNTIF(PTSexCat,"LGOO8MPBM")</f>
        <v>0</v>
      </c>
      <c r="R47" s="204">
        <f ca="1">COUNTIF(PTSexCat,"LGOO8MPBF")</f>
        <v>0</v>
      </c>
      <c r="S47" s="203">
        <f t="shared" ca="1" si="5"/>
        <v>0</v>
      </c>
      <c r="T47" s="203" t="e">
        <f>SUM(#REF!,#REF!,#REF!,#REF!,#REF!,#REF!,#REF!,#REF!)</f>
        <v>#REF!</v>
      </c>
      <c r="U47" s="203">
        <f t="shared" ca="1" si="6"/>
        <v>0</v>
      </c>
      <c r="V47" s="225">
        <f t="shared" ca="1" si="7"/>
        <v>0</v>
      </c>
    </row>
    <row r="48" spans="1:22" ht="15.6">
      <c r="A48" s="220" t="s">
        <v>3097</v>
      </c>
      <c r="C48" s="203">
        <f ca="1">COUNTIF(PTSexCat,"LGOO8RCM")</f>
        <v>0</v>
      </c>
      <c r="D48" s="204">
        <f ca="1">COUNTIF(PTSexCat,"LGOO8RCF")</f>
        <v>0</v>
      </c>
      <c r="E48" s="203">
        <f ca="1">COUNTIF(PTSexCat,"LGOO8AbCM")</f>
        <v>0</v>
      </c>
      <c r="F48" s="204">
        <f ca="1">COUNTIF(PTSexCat,"LGOO8AbCF")</f>
        <v>0</v>
      </c>
      <c r="G48" s="203">
        <f ca="1">COUNTIF(PTSexCat,"LGOO8ApCM")</f>
        <v>0</v>
      </c>
      <c r="H48" s="204">
        <f ca="1">COUNTIF(PTSexCat,"LGOO8ApCF")</f>
        <v>0</v>
      </c>
      <c r="I48" s="203">
        <f ca="1">COUNTIF(PTSexCat,"LGOO8BCCM")</f>
        <v>0</v>
      </c>
      <c r="J48" s="204">
        <f ca="1">COUNTIF(PTSexCat,"LGOO8BCCF")</f>
        <v>0</v>
      </c>
      <c r="K48" s="203">
        <f ca="1">COUNTIF(PTSexCat,"LGOO8BCM")</f>
        <v>0</v>
      </c>
      <c r="L48" s="204">
        <f ca="1">COUNTIF(PTSexCat,"LGOO8BCF")</f>
        <v>0</v>
      </c>
      <c r="M48" s="203">
        <f ca="1">COUNTIF(PTSexCat,"LGOO8ICM")</f>
        <v>0</v>
      </c>
      <c r="N48" s="204">
        <f ca="1">COUNTIF(PTSexCat,"LGOO8ICF")</f>
        <v>0</v>
      </c>
      <c r="O48" s="203">
        <f ca="1">COUNTIF(PTSexCat,"LGOO8KCM")</f>
        <v>0</v>
      </c>
      <c r="P48" s="204">
        <f ca="1">COUNTIF(PTSexCat,"LGOO8KCF")</f>
        <v>0</v>
      </c>
      <c r="Q48" s="203">
        <f ca="1">COUNTIF(PTSexCat,"LGOO8MPCM")</f>
        <v>0</v>
      </c>
      <c r="R48" s="204">
        <f ca="1">COUNTIF(PTSexCat,"LGOO8MPCF")</f>
        <v>0</v>
      </c>
      <c r="S48" s="203">
        <f t="shared" ca="1" si="5"/>
        <v>0</v>
      </c>
      <c r="T48" s="203" t="e">
        <f>SUM(#REF!,#REF!,#REF!,#REF!,#REF!,#REF!,#REF!,#REF!)</f>
        <v>#REF!</v>
      </c>
      <c r="U48" s="203">
        <f t="shared" ca="1" si="6"/>
        <v>0</v>
      </c>
      <c r="V48" s="225">
        <f t="shared" ca="1" si="7"/>
        <v>0</v>
      </c>
    </row>
    <row r="49" spans="1:22" ht="15.6">
      <c r="A49" s="220" t="s">
        <v>3098</v>
      </c>
      <c r="C49" s="203">
        <f ca="1">COUNTIF(PTSexCat,"LGOO8RDM")</f>
        <v>0</v>
      </c>
      <c r="D49" s="204">
        <f ca="1">COUNTIF(PTSexCat,"LGOO8RDF")</f>
        <v>0</v>
      </c>
      <c r="E49" s="203">
        <f ca="1">COUNTIF(PTSexCat,"LGOO8AbDM")</f>
        <v>0</v>
      </c>
      <c r="F49" s="204">
        <f ca="1">COUNTIF(PTSexCat,"LGOO8AbDF")</f>
        <v>1</v>
      </c>
      <c r="G49" s="203">
        <f ca="1">COUNTIF(PTSexCat,"LGOO8ApDM")</f>
        <v>0</v>
      </c>
      <c r="H49" s="204">
        <f ca="1">COUNTIF(PTSexCat,"LGOO8ApDF")</f>
        <v>0</v>
      </c>
      <c r="I49" s="203">
        <f ca="1">COUNTIF(PTSexCat,"LGOO8BCDM")</f>
        <v>0</v>
      </c>
      <c r="J49" s="204">
        <f ca="1">COUNTIF(PTSexCat,"LGOO8BCDF")</f>
        <v>0</v>
      </c>
      <c r="K49" s="203">
        <f ca="1">COUNTIF(PTSexCat,"LGOO8BDM")</f>
        <v>0</v>
      </c>
      <c r="L49" s="204">
        <f ca="1">COUNTIF(PTSexCat,"LGOO8BDF")</f>
        <v>0</v>
      </c>
      <c r="M49" s="203">
        <f ca="1">COUNTIF(PTSexCat,"LGOO8IDM")</f>
        <v>0</v>
      </c>
      <c r="N49" s="204">
        <f ca="1">COUNTIF(PTSexCat,"LGOO8IDF")</f>
        <v>1</v>
      </c>
      <c r="O49" s="203">
        <f ca="1">COUNTIF(PTSexCat,"LGOO8KDM")</f>
        <v>1</v>
      </c>
      <c r="P49" s="204">
        <f ca="1">COUNTIF(PTSexCat,"LGOO8KDF")</f>
        <v>0</v>
      </c>
      <c r="Q49" s="203">
        <f ca="1">COUNTIF(PTSexCat,"LGOO8MPDM")</f>
        <v>1</v>
      </c>
      <c r="R49" s="204">
        <f ca="1">COUNTIF(PTSexCat,"LGOO8MPDF")</f>
        <v>0</v>
      </c>
      <c r="S49" s="203">
        <f t="shared" ca="1" si="5"/>
        <v>2</v>
      </c>
      <c r="T49" s="203" t="e">
        <f>SUM(#REF!,#REF!,#REF!,#REF!,#REF!,#REF!,#REF!,#REF!)</f>
        <v>#REF!</v>
      </c>
      <c r="U49" s="203">
        <f t="shared" ca="1" si="6"/>
        <v>2</v>
      </c>
      <c r="V49" s="225">
        <f t="shared" ca="1" si="7"/>
        <v>4</v>
      </c>
    </row>
    <row r="50" spans="1:22" ht="15.6">
      <c r="A50" s="221" t="s">
        <v>3099</v>
      </c>
      <c r="C50" s="203">
        <f ca="1">COUNTIF(PTSexCat,"LGOO8REM")</f>
        <v>0</v>
      </c>
      <c r="D50" s="204">
        <f ca="1">COUNTIF(PTSexCat,"LGOO8REF")</f>
        <v>0</v>
      </c>
      <c r="E50" s="203">
        <f ca="1">COUNTIF(PTSexCat,"LGOO8AbEM")</f>
        <v>0</v>
      </c>
      <c r="F50" s="204">
        <f ca="1">COUNTIF(PTSexCat,"LGOO8AbEF")</f>
        <v>0</v>
      </c>
      <c r="G50" s="203">
        <f ca="1">COUNTIF(PTSexCat,"LGOO8ApEM")</f>
        <v>0</v>
      </c>
      <c r="H50" s="204">
        <f ca="1">COUNTIF(PTSexCat,"LGOO8ApEF")</f>
        <v>0</v>
      </c>
      <c r="I50" s="203">
        <f ca="1">COUNTIF(PTSexCat,"LGOO8BCEM")</f>
        <v>0</v>
      </c>
      <c r="J50" s="204">
        <f ca="1">COUNTIF(PTSexCat,"LGOO8BCEF")</f>
        <v>0</v>
      </c>
      <c r="K50" s="203">
        <f ca="1">COUNTIF(PTSexCat,"LGOO8BEM")</f>
        <v>0</v>
      </c>
      <c r="L50" s="204">
        <f ca="1">COUNTIF(PTSexCat,"LGOO8BEF")</f>
        <v>1</v>
      </c>
      <c r="M50" s="203">
        <f ca="1">COUNTIF(PTSexCat,"LGOO8IEM")</f>
        <v>0</v>
      </c>
      <c r="N50" s="204">
        <f ca="1">COUNTIF(PTSexCat,"LGOO8IEF")</f>
        <v>0</v>
      </c>
      <c r="O50" s="203">
        <f ca="1">COUNTIF(PTSexCat,"LGOO8KEM")</f>
        <v>0</v>
      </c>
      <c r="P50" s="204">
        <f ca="1">COUNTIF(PTSexCat,"LGOO8KEF")</f>
        <v>0</v>
      </c>
      <c r="Q50" s="203">
        <f ca="1">COUNTIF(PTSexCat,"LGOO8MPEM")</f>
        <v>0</v>
      </c>
      <c r="R50" s="204">
        <f ca="1">COUNTIF(PTSexCat,"LGOO8MPEF")</f>
        <v>0</v>
      </c>
      <c r="S50" s="203">
        <f t="shared" ca="1" si="5"/>
        <v>0</v>
      </c>
      <c r="T50" s="203" t="e">
        <f>SUM(#REF!,#REF!,#REF!,#REF!,#REF!,#REF!,#REF!,#REF!)</f>
        <v>#REF!</v>
      </c>
      <c r="U50" s="203">
        <f t="shared" ca="1" si="6"/>
        <v>1</v>
      </c>
      <c r="V50" s="225">
        <f t="shared" ca="1" si="7"/>
        <v>1</v>
      </c>
    </row>
    <row r="52" spans="1:22" s="193" customFormat="1" ht="21.6" customHeight="1">
      <c r="A52" s="201" t="s">
        <v>151</v>
      </c>
      <c r="B52" s="202">
        <v>24</v>
      </c>
      <c r="C52" s="203">
        <f>COUNTIF(PosStSex,"LGOO7RM")</f>
        <v>0</v>
      </c>
      <c r="D52" s="204">
        <f>COUNTIF(PosStSex,"LGOO7RF")</f>
        <v>2</v>
      </c>
      <c r="E52" s="203">
        <f>COUNTIF(PosStSex,"LGOO7AbM")</f>
        <v>0</v>
      </c>
      <c r="F52" s="204">
        <f>COUNTIF(PosStSex,"LGOO7AbF")</f>
        <v>1</v>
      </c>
      <c r="G52" s="203">
        <f>COUNTIF(PosStSex,"LGOO7ApM")</f>
        <v>1</v>
      </c>
      <c r="H52" s="204">
        <f>COUNTIF(PosStSex,"LGOO7ApF")</f>
        <v>0</v>
      </c>
      <c r="I52" s="203">
        <f>COUNTIF(PosStSex,"LGOO7BCM")</f>
        <v>0</v>
      </c>
      <c r="J52" s="204">
        <f>COUNTIF(PosStSex,"LGOO7BCF")</f>
        <v>0</v>
      </c>
      <c r="K52" s="203">
        <f>COUNTIF(PosStSex,"LGOO7BM")</f>
        <v>0</v>
      </c>
      <c r="L52" s="204">
        <f>COUNTIF(PosStSex,"LGOO7BF")</f>
        <v>0</v>
      </c>
      <c r="M52" s="203">
        <f>COUNTIF(PosStSex,"LGOO7IM")</f>
        <v>1</v>
      </c>
      <c r="N52" s="204">
        <f>COUNTIF(PosStSex,"LGOO7IF")</f>
        <v>0</v>
      </c>
      <c r="O52" s="203">
        <f>COUNTIF(PosStSex,"LGOO7KM")</f>
        <v>0</v>
      </c>
      <c r="P52" s="204">
        <f>COUNTIF(PosStSex,"LGOO7KF")</f>
        <v>1</v>
      </c>
      <c r="Q52" s="203">
        <f>COUNTIF(PosStSex,"LGOO7MPM")</f>
        <v>0</v>
      </c>
      <c r="R52" s="204">
        <f>COUNTIF(PosStSex,"LGOO7MPF")</f>
        <v>1</v>
      </c>
      <c r="S52" s="203">
        <f t="shared" si="5"/>
        <v>2</v>
      </c>
      <c r="T52" s="203" t="e">
        <f>SUM(#REF!,#REF!,#REF!,#REF!,#REF!,#REF!,#REF!,#REF!)</f>
        <v>#REF!</v>
      </c>
      <c r="U52" s="203">
        <f t="shared" si="6"/>
        <v>5</v>
      </c>
      <c r="V52" s="225">
        <f t="shared" si="7"/>
        <v>7</v>
      </c>
    </row>
    <row r="53" spans="1:22" ht="15.6">
      <c r="A53" s="219" t="s">
        <v>3095</v>
      </c>
      <c r="C53" s="203">
        <f ca="1">COUNTIF(PTSexCat,"LGOO7RAM")</f>
        <v>0</v>
      </c>
      <c r="D53" s="204">
        <f ca="1">COUNTIF(PTSexCat,"LGOO7RAF")</f>
        <v>0</v>
      </c>
      <c r="E53" s="203">
        <f ca="1">COUNTIF(PTSexCat,"LGOO7AbAM")</f>
        <v>0</v>
      </c>
      <c r="F53" s="204">
        <f ca="1">COUNTIF(PTSexCat,"LGOO7AbAF")</f>
        <v>0</v>
      </c>
      <c r="G53" s="203">
        <f ca="1">COUNTIF(PTSexCat,"LGOO7ApAM")</f>
        <v>0</v>
      </c>
      <c r="H53" s="204">
        <f ca="1">COUNTIF(PTSexCat,"LGOO7ApAF")</f>
        <v>0</v>
      </c>
      <c r="I53" s="203">
        <f ca="1">COUNTIF(PTSexCat,"LGOO7BCAM")</f>
        <v>0</v>
      </c>
      <c r="J53" s="204">
        <f ca="1">COUNTIF(PTSexCat,"LGOO7BCAF")</f>
        <v>0</v>
      </c>
      <c r="K53" s="203">
        <f ca="1">COUNTIF(PTSexCat,"LGOO7BAM")</f>
        <v>0</v>
      </c>
      <c r="L53" s="204">
        <f ca="1">COUNTIF(PTSexCat,"LGOO7BAF")</f>
        <v>0</v>
      </c>
      <c r="M53" s="203">
        <f ca="1">COUNTIF(PTSexCat,"LGOO7IAM")</f>
        <v>0</v>
      </c>
      <c r="N53" s="204">
        <f ca="1">COUNTIF(PTSexCat,"LGOO7IAF")</f>
        <v>0</v>
      </c>
      <c r="O53" s="203">
        <f ca="1">COUNTIF(PTSexCat,"LGOO7KAM")</f>
        <v>0</v>
      </c>
      <c r="P53" s="204">
        <f ca="1">COUNTIF(PTSexCat,"LGOO7KAF")</f>
        <v>0</v>
      </c>
      <c r="Q53" s="203">
        <f ca="1">COUNTIF(PTSexCat,"LGOO7MPAM")</f>
        <v>0</v>
      </c>
      <c r="R53" s="204">
        <f ca="1">COUNTIF(PTSexCat,"LGOO7MPAF")</f>
        <v>0</v>
      </c>
      <c r="S53" s="203">
        <f t="shared" ca="1" si="5"/>
        <v>0</v>
      </c>
      <c r="T53" s="203" t="e">
        <f>SUM(#REF!,#REF!,#REF!,#REF!,#REF!,#REF!,#REF!,#REF!)</f>
        <v>#REF!</v>
      </c>
      <c r="U53" s="203">
        <f t="shared" ca="1" si="6"/>
        <v>0</v>
      </c>
      <c r="V53" s="225">
        <f t="shared" ca="1" si="7"/>
        <v>0</v>
      </c>
    </row>
    <row r="54" spans="1:22" ht="15.6">
      <c r="A54" s="220" t="s">
        <v>3096</v>
      </c>
      <c r="C54" s="203">
        <f ca="1">COUNTIF(PTSexCat,"LGOO7RBM")</f>
        <v>0</v>
      </c>
      <c r="D54" s="204">
        <f ca="1">COUNTIF(PTSexCat,"LGOO7RBF")</f>
        <v>0</v>
      </c>
      <c r="E54" s="203">
        <f ca="1">COUNTIF(PTSexCat,"LGOO7AbBM")</f>
        <v>0</v>
      </c>
      <c r="F54" s="204">
        <f ca="1">COUNTIF(PTSexCat,"LGOO7AbBF")</f>
        <v>0</v>
      </c>
      <c r="G54" s="203">
        <f ca="1">COUNTIF(PTSexCat,"LGOO7ApBM")</f>
        <v>0</v>
      </c>
      <c r="H54" s="204">
        <f ca="1">COUNTIF(PTSexCat,"LGOO7ApBF")</f>
        <v>0</v>
      </c>
      <c r="I54" s="203">
        <f ca="1">COUNTIF(PTSexCat,"LGOO7BCBM")</f>
        <v>0</v>
      </c>
      <c r="J54" s="204">
        <f ca="1">COUNTIF(PTSexCat,"LGOO7BCBF")</f>
        <v>0</v>
      </c>
      <c r="K54" s="203">
        <f ca="1">COUNTIF(PTSexCat,"LGOO7BBM")</f>
        <v>0</v>
      </c>
      <c r="L54" s="204">
        <f ca="1">COUNTIF(PTSexCat,"LGOO7BBF")</f>
        <v>0</v>
      </c>
      <c r="M54" s="203">
        <f ca="1">COUNTIF(PTSexCat,"LGOO7IBM")</f>
        <v>0</v>
      </c>
      <c r="N54" s="204">
        <f ca="1">COUNTIF(PTSexCat,"LGOO7IBF")</f>
        <v>0</v>
      </c>
      <c r="O54" s="203">
        <f ca="1">COUNTIF(PTSexCat,"LGOO7KBM")</f>
        <v>0</v>
      </c>
      <c r="P54" s="204">
        <f ca="1">COUNTIF(PTSexCat,"LGOO7KBF")</f>
        <v>0</v>
      </c>
      <c r="Q54" s="203">
        <f ca="1">COUNTIF(PTSexCat,"LGOO7MPBM")</f>
        <v>0</v>
      </c>
      <c r="R54" s="204">
        <f ca="1">COUNTIF(PTSexCat,"LGOO7MPBF")</f>
        <v>0</v>
      </c>
      <c r="S54" s="203">
        <f t="shared" ca="1" si="5"/>
        <v>0</v>
      </c>
      <c r="T54" s="203" t="e">
        <f>SUM(#REF!,#REF!,#REF!,#REF!,#REF!,#REF!,#REF!,#REF!)</f>
        <v>#REF!</v>
      </c>
      <c r="U54" s="203">
        <f t="shared" ca="1" si="6"/>
        <v>0</v>
      </c>
      <c r="V54" s="225">
        <f t="shared" ca="1" si="7"/>
        <v>0</v>
      </c>
    </row>
    <row r="55" spans="1:22" ht="15.6">
      <c r="A55" s="220" t="s">
        <v>3097</v>
      </c>
      <c r="C55" s="203">
        <f ca="1">COUNTIF(PTSexCat,"LGOO7RCM")</f>
        <v>0</v>
      </c>
      <c r="D55" s="204">
        <f ca="1">COUNTIF(PTSexCat,"LGOO7RCF")</f>
        <v>0</v>
      </c>
      <c r="E55" s="203">
        <f ca="1">COUNTIF(PTSexCat,"LGOO7AbCM")</f>
        <v>0</v>
      </c>
      <c r="F55" s="204">
        <f ca="1">COUNTIF(PTSexCat,"LGOO7AbCF")</f>
        <v>0</v>
      </c>
      <c r="G55" s="203">
        <f ca="1">COUNTIF(PTSexCat,"LGOO7ApCM")</f>
        <v>0</v>
      </c>
      <c r="H55" s="204">
        <f ca="1">COUNTIF(PTSexCat,"LGOO7ApCF")</f>
        <v>0</v>
      </c>
      <c r="I55" s="203">
        <f ca="1">COUNTIF(PTSexCat,"LGOO7BCCM")</f>
        <v>0</v>
      </c>
      <c r="J55" s="204">
        <f ca="1">COUNTIF(PTSexCat,"LGOO7BCCF")</f>
        <v>0</v>
      </c>
      <c r="K55" s="203">
        <f ca="1">COUNTIF(PTSexCat,"LGOO7BCM")</f>
        <v>0</v>
      </c>
      <c r="L55" s="204">
        <f ca="1">COUNTIF(PTSexCat,"LGOO7BCF")</f>
        <v>0</v>
      </c>
      <c r="M55" s="203">
        <f ca="1">COUNTIF(PTSexCat,"LGOO7ICM")</f>
        <v>0</v>
      </c>
      <c r="N55" s="204">
        <f ca="1">COUNTIF(PTSexCat,"LGOO7ICF")</f>
        <v>0</v>
      </c>
      <c r="O55" s="203">
        <f ca="1">COUNTIF(PTSexCat,"LGOO7KCM")</f>
        <v>0</v>
      </c>
      <c r="P55" s="204">
        <f ca="1">COUNTIF(PTSexCat,"LGOO7KCF")</f>
        <v>0</v>
      </c>
      <c r="Q55" s="203">
        <f ca="1">COUNTIF(PTSexCat,"LGOO7MPCM")</f>
        <v>0</v>
      </c>
      <c r="R55" s="204">
        <f ca="1">COUNTIF(PTSexCat,"LGOO7MPCF")</f>
        <v>0</v>
      </c>
      <c r="S55" s="203">
        <f t="shared" ca="1" si="5"/>
        <v>0</v>
      </c>
      <c r="T55" s="203" t="e">
        <f>SUM(#REF!,#REF!,#REF!,#REF!,#REF!,#REF!,#REF!,#REF!)</f>
        <v>#REF!</v>
      </c>
      <c r="U55" s="203">
        <f t="shared" ca="1" si="6"/>
        <v>0</v>
      </c>
      <c r="V55" s="225">
        <f t="shared" ca="1" si="7"/>
        <v>0</v>
      </c>
    </row>
    <row r="56" spans="1:22" ht="15.6">
      <c r="A56" s="220" t="s">
        <v>3098</v>
      </c>
      <c r="C56" s="203">
        <f ca="1">COUNTIF(PTSexCat,"LGOO7RDM")</f>
        <v>0</v>
      </c>
      <c r="D56" s="204">
        <f ca="1">COUNTIF(PTSexCat,"LGOO7RDF")</f>
        <v>2</v>
      </c>
      <c r="E56" s="203">
        <f ca="1">COUNTIF(PTSexCat,"LGOO7AbDM")</f>
        <v>0</v>
      </c>
      <c r="F56" s="204">
        <f ca="1">COUNTIF(PTSexCat,"LGOO7AbDF")</f>
        <v>1</v>
      </c>
      <c r="G56" s="203">
        <f ca="1">COUNTIF(PTSexCat,"LGOO7ApDM")</f>
        <v>0</v>
      </c>
      <c r="H56" s="204">
        <f ca="1">COUNTIF(PTSexCat,"LGOO7ApDF")</f>
        <v>0</v>
      </c>
      <c r="I56" s="203">
        <f ca="1">COUNTIF(PTSexCat,"LGOO7BCDM")</f>
        <v>0</v>
      </c>
      <c r="J56" s="204">
        <f ca="1">COUNTIF(PTSexCat,"LGOO7BCDF")</f>
        <v>0</v>
      </c>
      <c r="K56" s="203">
        <f ca="1">COUNTIF(PTSexCat,"LGOO7BDM")</f>
        <v>0</v>
      </c>
      <c r="L56" s="204">
        <f ca="1">COUNTIF(PTSexCat,"LGOO7BDF")</f>
        <v>0</v>
      </c>
      <c r="M56" s="203">
        <f ca="1">COUNTIF(PTSexCat,"LGOO7IDM")</f>
        <v>1</v>
      </c>
      <c r="N56" s="204">
        <f ca="1">COUNTIF(PTSexCat,"LGOO7IDF")</f>
        <v>0</v>
      </c>
      <c r="O56" s="203">
        <f ca="1">COUNTIF(PTSexCat,"LGOO7KDM")</f>
        <v>0</v>
      </c>
      <c r="P56" s="204">
        <f ca="1">COUNTIF(PTSexCat,"LGOO7KDF")</f>
        <v>1</v>
      </c>
      <c r="Q56" s="203">
        <f ca="1">COUNTIF(PTSexCat,"LGOO7MPDM")</f>
        <v>0</v>
      </c>
      <c r="R56" s="204">
        <f ca="1">COUNTIF(PTSexCat,"LGOO7MPDF")</f>
        <v>1</v>
      </c>
      <c r="S56" s="203">
        <f t="shared" ca="1" si="5"/>
        <v>1</v>
      </c>
      <c r="T56" s="203" t="e">
        <f>SUM(#REF!,#REF!,#REF!,#REF!,#REF!,#REF!,#REF!,#REF!)</f>
        <v>#REF!</v>
      </c>
      <c r="U56" s="203">
        <f t="shared" ca="1" si="6"/>
        <v>5</v>
      </c>
      <c r="V56" s="225">
        <f t="shared" ca="1" si="7"/>
        <v>6</v>
      </c>
    </row>
    <row r="57" spans="1:22" ht="15.6">
      <c r="A57" s="221" t="s">
        <v>3099</v>
      </c>
      <c r="C57" s="203">
        <f ca="1">COUNTIF(PTSexCat,"LGOO7REM")</f>
        <v>0</v>
      </c>
      <c r="D57" s="204">
        <f ca="1">COUNTIF(PTSexCat,"LGOO7REF")</f>
        <v>0</v>
      </c>
      <c r="E57" s="203">
        <f ca="1">COUNTIF(PTSexCat,"LGOO7AbEM")</f>
        <v>0</v>
      </c>
      <c r="F57" s="204">
        <f ca="1">COUNTIF(PTSexCat,"LGOO7AbEF")</f>
        <v>0</v>
      </c>
      <c r="G57" s="203">
        <f ca="1">COUNTIF(PTSexCat,"LGOO7ApEM")</f>
        <v>1</v>
      </c>
      <c r="H57" s="204">
        <f ca="1">COUNTIF(PTSexCat,"LGOO7ApEF")</f>
        <v>0</v>
      </c>
      <c r="I57" s="203">
        <f ca="1">COUNTIF(PTSexCat,"LGOO7BCEM")</f>
        <v>0</v>
      </c>
      <c r="J57" s="204">
        <f ca="1">COUNTIF(PTSexCat,"LGOO7BCEF")</f>
        <v>0</v>
      </c>
      <c r="K57" s="203">
        <f ca="1">COUNTIF(PTSexCat,"LGOO7BEM")</f>
        <v>0</v>
      </c>
      <c r="L57" s="204">
        <f ca="1">COUNTIF(PTSexCat,"LGOO7BEF")</f>
        <v>0</v>
      </c>
      <c r="M57" s="203">
        <f ca="1">COUNTIF(PTSexCat,"LGOO7IEM")</f>
        <v>0</v>
      </c>
      <c r="N57" s="204">
        <f ca="1">COUNTIF(PTSexCat,"LGOO7IEF")</f>
        <v>0</v>
      </c>
      <c r="O57" s="203">
        <f ca="1">COUNTIF(PTSexCat,"LGOO7KEM")</f>
        <v>0</v>
      </c>
      <c r="P57" s="204">
        <f ca="1">COUNTIF(PTSexCat,"LGOO7KEF")</f>
        <v>0</v>
      </c>
      <c r="Q57" s="203">
        <f ca="1">COUNTIF(PTSexCat,"LGOO7MPEM")</f>
        <v>0</v>
      </c>
      <c r="R57" s="204">
        <f ca="1">COUNTIF(PTSexCat,"LGOO7MPEF")</f>
        <v>0</v>
      </c>
      <c r="S57" s="203">
        <f t="shared" ca="1" si="5"/>
        <v>1</v>
      </c>
      <c r="T57" s="203" t="e">
        <f>SUM(#REF!,#REF!,#REF!,#REF!,#REF!,#REF!,#REF!,#REF!)</f>
        <v>#REF!</v>
      </c>
      <c r="U57" s="203">
        <f t="shared" ca="1" si="6"/>
        <v>0</v>
      </c>
      <c r="V57" s="225">
        <f t="shared" ca="1" si="7"/>
        <v>1</v>
      </c>
    </row>
    <row r="59" spans="1:22" s="193" customFormat="1" ht="21" customHeight="1">
      <c r="A59" s="201" t="s">
        <v>157</v>
      </c>
      <c r="B59" s="202">
        <v>22</v>
      </c>
      <c r="C59" s="203">
        <f>COUNTIF(PosStSex,"LGOO6RM")</f>
        <v>0</v>
      </c>
      <c r="D59" s="204">
        <f>COUNTIF(PosStSex,"LGOO6RF")</f>
        <v>1</v>
      </c>
      <c r="E59" s="203">
        <f>COUNTIF(PosStSex,"LGOO6AbM")</f>
        <v>15</v>
      </c>
      <c r="F59" s="204">
        <f>COUNTIF(PosStSex,"LGOO6AbF")</f>
        <v>12</v>
      </c>
      <c r="G59" s="203">
        <f>COUNTIF(PosStSex,"LGOO6ApM")</f>
        <v>3</v>
      </c>
      <c r="H59" s="204">
        <f>COUNTIF(PosStSex,"LGOO6ApF")</f>
        <v>5</v>
      </c>
      <c r="I59" s="203">
        <f>COUNTIF(PosStSex,"LGOO6BCM")</f>
        <v>0</v>
      </c>
      <c r="J59" s="204">
        <f>COUNTIF(PosStSex,"LGOO6BCF")</f>
        <v>1</v>
      </c>
      <c r="K59" s="203">
        <f>COUNTIF(PosStSex,"LGOO6BM")</f>
        <v>6</v>
      </c>
      <c r="L59" s="204">
        <f>COUNTIF(PosStSex,"LGOO6BF")</f>
        <v>8</v>
      </c>
      <c r="M59" s="203">
        <f>COUNTIF(PosStSex,"LGOO6IM")</f>
        <v>5</v>
      </c>
      <c r="N59" s="204">
        <f>COUNTIF(PosStSex,"LGOO6IF")</f>
        <v>6</v>
      </c>
      <c r="O59" s="203">
        <f>COUNTIF(PosStSex,"LGOO6KM")</f>
        <v>4</v>
      </c>
      <c r="P59" s="204">
        <f>COUNTIF(PosStSex,"LGOO6KF")</f>
        <v>4</v>
      </c>
      <c r="Q59" s="203">
        <f>COUNTIF(PosStSex,"LGOO6MPM")</f>
        <v>5</v>
      </c>
      <c r="R59" s="204">
        <f>COUNTIF(PosStSex,"LGOO6MPF")</f>
        <v>6</v>
      </c>
      <c r="S59" s="203">
        <f t="shared" ref="S59:S64" si="8">SUM(C59,E59,G59,I59,K59,M59,O59,Q59)</f>
        <v>38</v>
      </c>
      <c r="T59" s="203" t="e">
        <f>SUM(#REF!,#REF!,#REF!,#REF!,#REF!,#REF!,#REF!,#REF!)</f>
        <v>#REF!</v>
      </c>
      <c r="U59" s="203">
        <f t="shared" ref="U59:U64" si="9">SUM(D59,F59,H59,J59,L59,N59,P59,R59)</f>
        <v>43</v>
      </c>
      <c r="V59" s="225">
        <f t="shared" ref="V59:V64" si="10">+S59+U59</f>
        <v>81</v>
      </c>
    </row>
    <row r="60" spans="1:22" ht="15.6">
      <c r="A60" s="219" t="s">
        <v>3095</v>
      </c>
      <c r="C60" s="203">
        <f ca="1">COUNTIF(PTSexCat,"LGOO6RAM")</f>
        <v>0</v>
      </c>
      <c r="D60" s="204">
        <f ca="1">COUNTIF(PTSexCat,"LGOO6RAF")</f>
        <v>0</v>
      </c>
      <c r="E60" s="203">
        <f ca="1">COUNTIF(PTSexCat,"LGOO6AbAM")</f>
        <v>0</v>
      </c>
      <c r="F60" s="204">
        <f ca="1">COUNTIF(PTSexCat,"LGOO6AbAF")</f>
        <v>0</v>
      </c>
      <c r="G60" s="203">
        <f ca="1">COUNTIF(PTSexCat,"LGOO6ApAM")</f>
        <v>0</v>
      </c>
      <c r="H60" s="204">
        <f ca="1">COUNTIF(PTSexCat,"LGOO6ApAF")</f>
        <v>0</v>
      </c>
      <c r="I60" s="203">
        <f ca="1">COUNTIF(PTSexCat,"LGOO6BCAM")</f>
        <v>0</v>
      </c>
      <c r="J60" s="204">
        <f ca="1">COUNTIF(PTSexCat,"LGOO6BCAF")</f>
        <v>0</v>
      </c>
      <c r="K60" s="203">
        <f ca="1">COUNTIF(PTSexCat,"LGOO6BAM")</f>
        <v>0</v>
      </c>
      <c r="L60" s="204">
        <f ca="1">COUNTIF(PTSexCat,"LGOO6BAF")</f>
        <v>0</v>
      </c>
      <c r="M60" s="203">
        <f ca="1">COUNTIF(PTSexCat,"LGOO6IAM")</f>
        <v>0</v>
      </c>
      <c r="N60" s="204">
        <f ca="1">COUNTIF(PTSexCat,"LGOO6IAF")</f>
        <v>0</v>
      </c>
      <c r="O60" s="203">
        <f ca="1">COUNTIF(PTSexCat,"LGOO6KAM")</f>
        <v>0</v>
      </c>
      <c r="P60" s="204">
        <f ca="1">COUNTIF(PTSexCat,"LGOO6KAF")</f>
        <v>0</v>
      </c>
      <c r="Q60" s="203">
        <f ca="1">COUNTIF(PTSexCat,"LGOO6MPAM")</f>
        <v>0</v>
      </c>
      <c r="R60" s="204">
        <f ca="1">COUNTIF(PTSexCat,"LGOO6MPAF")</f>
        <v>0</v>
      </c>
      <c r="S60" s="203">
        <f t="shared" ca="1" si="8"/>
        <v>0</v>
      </c>
      <c r="T60" s="203" t="e">
        <f>SUM(#REF!,#REF!,#REF!,#REF!,#REF!,#REF!,#REF!,#REF!)</f>
        <v>#REF!</v>
      </c>
      <c r="U60" s="203">
        <f t="shared" ca="1" si="9"/>
        <v>0</v>
      </c>
      <c r="V60" s="225">
        <f t="shared" ca="1" si="10"/>
        <v>0</v>
      </c>
    </row>
    <row r="61" spans="1:22" ht="15.6">
      <c r="A61" s="220" t="s">
        <v>3096</v>
      </c>
      <c r="C61" s="203">
        <f ca="1">COUNTIF(PTSexCat,"LGOO6RBM")</f>
        <v>0</v>
      </c>
      <c r="D61" s="204">
        <f ca="1">COUNTIF(PTSexCat,"LGOO6RBF")</f>
        <v>0</v>
      </c>
      <c r="E61" s="203">
        <f ca="1">COUNTIF(PTSexCat,"LGOO6AbBM")</f>
        <v>0</v>
      </c>
      <c r="F61" s="204">
        <f ca="1">COUNTIF(PTSexCat,"LGOO6AbBF")</f>
        <v>0</v>
      </c>
      <c r="G61" s="203">
        <f ca="1">COUNTIF(PTSexCat,"LGOO6ApBM")</f>
        <v>0</v>
      </c>
      <c r="H61" s="204">
        <f ca="1">COUNTIF(PTSexCat,"LGOO6ApBF")</f>
        <v>0</v>
      </c>
      <c r="I61" s="203">
        <f ca="1">COUNTIF(PTSexCat,"LGOO6BCBM")</f>
        <v>0</v>
      </c>
      <c r="J61" s="204">
        <f ca="1">COUNTIF(PTSexCat,"LGOO6BCBF")</f>
        <v>0</v>
      </c>
      <c r="K61" s="203">
        <f ca="1">COUNTIF(PTSexCat,"LGOO6BBM")</f>
        <v>0</v>
      </c>
      <c r="L61" s="204">
        <f ca="1">COUNTIF(PTSexCat,"LGOO6BBF")</f>
        <v>0</v>
      </c>
      <c r="M61" s="203">
        <f ca="1">COUNTIF(PTSexCat,"LGOO6IBM")</f>
        <v>0</v>
      </c>
      <c r="N61" s="204">
        <f ca="1">COUNTIF(PTSexCat,"LGOO6IBF")</f>
        <v>0</v>
      </c>
      <c r="O61" s="203">
        <f ca="1">COUNTIF(PTSexCat,"LGOO6KBM")</f>
        <v>0</v>
      </c>
      <c r="P61" s="204">
        <f ca="1">COUNTIF(PTSexCat,"LGOO6KBF")</f>
        <v>0</v>
      </c>
      <c r="Q61" s="203">
        <f ca="1">COUNTIF(PTSexCat,"LGOO6MPBM")</f>
        <v>0</v>
      </c>
      <c r="R61" s="204">
        <f ca="1">COUNTIF(PTSexCat,"LGOO6MPBF")</f>
        <v>0</v>
      </c>
      <c r="S61" s="203">
        <f t="shared" ca="1" si="8"/>
        <v>0</v>
      </c>
      <c r="T61" s="203" t="e">
        <f>SUM(#REF!,#REF!,#REF!,#REF!,#REF!,#REF!,#REF!,#REF!)</f>
        <v>#REF!</v>
      </c>
      <c r="U61" s="203">
        <f t="shared" ca="1" si="9"/>
        <v>0</v>
      </c>
      <c r="V61" s="225">
        <f t="shared" ca="1" si="10"/>
        <v>0</v>
      </c>
    </row>
    <row r="62" spans="1:22" ht="15.6">
      <c r="A62" s="220" t="s">
        <v>3097</v>
      </c>
      <c r="C62" s="203">
        <f ca="1">COUNTIF(PTSexCat,"LGOO6RCM")</f>
        <v>0</v>
      </c>
      <c r="D62" s="204">
        <f ca="1">COUNTIF(PTSexCat,"LGOO6RCF")</f>
        <v>0</v>
      </c>
      <c r="E62" s="203">
        <f ca="1">COUNTIF(PTSexCat,"LGOO6AbCM")</f>
        <v>3</v>
      </c>
      <c r="F62" s="204">
        <f ca="1">COUNTIF(PTSexCat,"LGOO6AbCF")</f>
        <v>2</v>
      </c>
      <c r="G62" s="203">
        <f ca="1">COUNTIF(PTSexCat,"LGOO6ApCM")</f>
        <v>1</v>
      </c>
      <c r="H62" s="204">
        <f ca="1">COUNTIF(PTSexCat,"LGOO6ApCF")</f>
        <v>3</v>
      </c>
      <c r="I62" s="203">
        <f ca="1">COUNTIF(PTSexCat,"LGOO6BCCM")</f>
        <v>0</v>
      </c>
      <c r="J62" s="204">
        <f ca="1">COUNTIF(PTSexCat,"LGOO6BCCF")</f>
        <v>0</v>
      </c>
      <c r="K62" s="203">
        <f ca="1">COUNTIF(PTSexCat,"LGOO6BCM")</f>
        <v>2</v>
      </c>
      <c r="L62" s="204">
        <f ca="1">COUNTIF(PTSexCat,"LGOO6BCF")</f>
        <v>0</v>
      </c>
      <c r="M62" s="203">
        <f ca="1">COUNTIF(PTSexCat,"LGOO6ICM")</f>
        <v>0</v>
      </c>
      <c r="N62" s="204">
        <f ca="1">COUNTIF(PTSexCat,"LGOO6ICF")</f>
        <v>2</v>
      </c>
      <c r="O62" s="203">
        <f ca="1">COUNTIF(PTSexCat,"LGOO6KCM")</f>
        <v>2</v>
      </c>
      <c r="P62" s="204">
        <f ca="1">COUNTIF(PTSexCat,"LGOO6KCF")</f>
        <v>1</v>
      </c>
      <c r="Q62" s="203">
        <f ca="1">COUNTIF(PTSexCat,"LGOO6MPCM")</f>
        <v>4</v>
      </c>
      <c r="R62" s="204">
        <f ca="1">COUNTIF(PTSexCat,"LGOO6MPCF")</f>
        <v>1</v>
      </c>
      <c r="S62" s="203">
        <f t="shared" ca="1" si="8"/>
        <v>12</v>
      </c>
      <c r="T62" s="203" t="e">
        <f>SUM(#REF!,#REF!,#REF!,#REF!,#REF!,#REF!,#REF!,#REF!)</f>
        <v>#REF!</v>
      </c>
      <c r="U62" s="203">
        <f t="shared" ca="1" si="9"/>
        <v>9</v>
      </c>
      <c r="V62" s="225">
        <f t="shared" ca="1" si="10"/>
        <v>21</v>
      </c>
    </row>
    <row r="63" spans="1:22" ht="15.6">
      <c r="A63" s="220" t="s">
        <v>3098</v>
      </c>
      <c r="C63" s="203">
        <f ca="1">COUNTIF(PTSexCat,"LGOO6RDM")</f>
        <v>0</v>
      </c>
      <c r="D63" s="204">
        <f ca="1">COUNTIF(PTSexCat,"LGOO6RDF")</f>
        <v>1</v>
      </c>
      <c r="E63" s="203">
        <f ca="1">COUNTIF(PTSexCat,"LGOO6AbDM")</f>
        <v>6</v>
      </c>
      <c r="F63" s="204">
        <f ca="1">COUNTIF(PTSexCat,"LGOO6AbDF")</f>
        <v>6</v>
      </c>
      <c r="G63" s="203">
        <f ca="1">COUNTIF(PTSexCat,"LGOO6ApDM")</f>
        <v>2</v>
      </c>
      <c r="H63" s="204">
        <f ca="1">COUNTIF(PTSexCat,"LGOO6ApDF")</f>
        <v>1</v>
      </c>
      <c r="I63" s="203">
        <f ca="1">COUNTIF(PTSexCat,"LGOO6BCDM")</f>
        <v>0</v>
      </c>
      <c r="J63" s="204">
        <f ca="1">COUNTIF(PTSexCat,"LGOO6BCDF")</f>
        <v>1</v>
      </c>
      <c r="K63" s="203">
        <f ca="1">COUNTIF(PTSexCat,"LGOO6BDM")</f>
        <v>4</v>
      </c>
      <c r="L63" s="204">
        <f ca="1">COUNTIF(PTSexCat,"LGOO6BDF")</f>
        <v>3</v>
      </c>
      <c r="M63" s="203">
        <f ca="1">COUNTIF(PTSexCat,"LGOO6IDM")</f>
        <v>1</v>
      </c>
      <c r="N63" s="204">
        <f ca="1">COUNTIF(PTSexCat,"LGOO6IDF")</f>
        <v>2</v>
      </c>
      <c r="O63" s="203">
        <f ca="1">COUNTIF(PTSexCat,"LGOO6KDM")</f>
        <v>0</v>
      </c>
      <c r="P63" s="204">
        <f ca="1">COUNTIF(PTSexCat,"LGOO6KDF")</f>
        <v>1</v>
      </c>
      <c r="Q63" s="203">
        <f ca="1">COUNTIF(PTSexCat,"LGOO6MPDM")</f>
        <v>1</v>
      </c>
      <c r="R63" s="204">
        <f ca="1">COUNTIF(PTSexCat,"LGOO6MPDF")</f>
        <v>4</v>
      </c>
      <c r="S63" s="203">
        <f t="shared" ca="1" si="8"/>
        <v>14</v>
      </c>
      <c r="T63" s="203" t="e">
        <f>SUM(#REF!,#REF!,#REF!,#REF!,#REF!,#REF!,#REF!,#REF!)</f>
        <v>#REF!</v>
      </c>
      <c r="U63" s="203">
        <f t="shared" ca="1" si="9"/>
        <v>19</v>
      </c>
      <c r="V63" s="225">
        <f t="shared" ca="1" si="10"/>
        <v>33</v>
      </c>
    </row>
    <row r="64" spans="1:22" ht="15.6">
      <c r="A64" s="221" t="s">
        <v>3099</v>
      </c>
      <c r="C64" s="203">
        <f ca="1">COUNTIF(PTSexCat,"LGOO6REM")</f>
        <v>0</v>
      </c>
      <c r="D64" s="204">
        <f ca="1">COUNTIF(PTSexCat,"LGOO6REF")</f>
        <v>0</v>
      </c>
      <c r="E64" s="203">
        <f ca="1">COUNTIF(PTSexCat,"LGOO6AbEM")</f>
        <v>2</v>
      </c>
      <c r="F64" s="204">
        <f ca="1">COUNTIF(PTSexCat,"LGOO6AbEF")</f>
        <v>3</v>
      </c>
      <c r="G64" s="203">
        <f ca="1">COUNTIF(PTSexCat,"LGOO6ApEM")</f>
        <v>0</v>
      </c>
      <c r="H64" s="204">
        <f ca="1">COUNTIF(PTSexCat,"LGOO6ApEF")</f>
        <v>1</v>
      </c>
      <c r="I64" s="203">
        <f ca="1">COUNTIF(PTSexCat,"LGOO6BCEM")</f>
        <v>0</v>
      </c>
      <c r="J64" s="204">
        <f ca="1">COUNTIF(PTSexCat,"LGOO6BCEF")</f>
        <v>0</v>
      </c>
      <c r="K64" s="203">
        <f ca="1">COUNTIF(PTSexCat,"LGOO6BEM")</f>
        <v>0</v>
      </c>
      <c r="L64" s="204">
        <f ca="1">COUNTIF(PTSexCat,"LGOO6BEF")</f>
        <v>3</v>
      </c>
      <c r="M64" s="203">
        <f ca="1">COUNTIF(PTSexCat,"LGOO6IEM")</f>
        <v>3</v>
      </c>
      <c r="N64" s="204">
        <f ca="1">COUNTIF(PTSexCat,"LGOO6IEF")</f>
        <v>0</v>
      </c>
      <c r="O64" s="203">
        <f ca="1">COUNTIF(PTSexCat,"LGOO6KEM")</f>
        <v>0</v>
      </c>
      <c r="P64" s="204">
        <f ca="1">COUNTIF(PTSexCat,"LGOO6KEF")</f>
        <v>2</v>
      </c>
      <c r="Q64" s="203">
        <f ca="1">COUNTIF(PTSexCat,"LGOO6MPEM")</f>
        <v>0</v>
      </c>
      <c r="R64" s="204">
        <f ca="1">COUNTIF(PTSexCat,"LGOO6MPEF")</f>
        <v>1</v>
      </c>
      <c r="S64" s="203">
        <f t="shared" ca="1" si="8"/>
        <v>5</v>
      </c>
      <c r="T64" s="203" t="e">
        <f>SUM(#REF!,#REF!,#REF!,#REF!,#REF!,#REF!,#REF!,#REF!)</f>
        <v>#REF!</v>
      </c>
      <c r="U64" s="203">
        <f t="shared" ca="1" si="9"/>
        <v>10</v>
      </c>
      <c r="V64" s="225">
        <f t="shared" ca="1" si="10"/>
        <v>15</v>
      </c>
    </row>
    <row r="66" spans="1:22" s="193" customFormat="1" ht="21.6" customHeight="1">
      <c r="A66" s="201" t="s">
        <v>165</v>
      </c>
      <c r="B66" s="202">
        <v>20</v>
      </c>
      <c r="C66" s="203">
        <f>COUNTIF(PosStSex,"LGOO5RM")</f>
        <v>3</v>
      </c>
      <c r="D66" s="204">
        <f>COUNTIF(PosStSex,"LGOO5RF")</f>
        <v>2</v>
      </c>
      <c r="E66" s="203">
        <f>COUNTIF(PosStSex,"LGOO5AbM")</f>
        <v>1</v>
      </c>
      <c r="F66" s="204">
        <f>COUNTIF(PosStSex,"LGOO5AbF")</f>
        <v>2</v>
      </c>
      <c r="G66" s="203">
        <f>COUNTIF(PosStSex,"LGOO5ApM")</f>
        <v>1</v>
      </c>
      <c r="H66" s="204">
        <f>COUNTIF(PosStSex,"LGOO5ApF")</f>
        <v>1</v>
      </c>
      <c r="I66" s="203">
        <f>COUNTIF(PosStSex,"LGOO5BCM")</f>
        <v>0</v>
      </c>
      <c r="J66" s="204">
        <f>COUNTIF(PosStSex,"LGOO5BCF")</f>
        <v>0</v>
      </c>
      <c r="K66" s="203">
        <f>COUNTIF(PosStSex,"LGOO5BM")</f>
        <v>0</v>
      </c>
      <c r="L66" s="204">
        <f>COUNTIF(PosStSex,"LGOO5BF")</f>
        <v>4</v>
      </c>
      <c r="M66" s="203">
        <f>COUNTIF(PosStSex,"LGOO5IM")</f>
        <v>2</v>
      </c>
      <c r="N66" s="204">
        <f>COUNTIF(PosStSex,"LGOO5IF")</f>
        <v>1</v>
      </c>
      <c r="O66" s="203">
        <f>COUNTIF(PosStSex,"LGOO5KM")</f>
        <v>0</v>
      </c>
      <c r="P66" s="204">
        <f>COUNTIF(PosStSex,"LGOO5KF")</f>
        <v>1</v>
      </c>
      <c r="Q66" s="203">
        <f>COUNTIF(PosStSex,"LGOO5MPM")</f>
        <v>2</v>
      </c>
      <c r="R66" s="204">
        <f>COUNTIF(PosStSex,"LGOO5MPF")</f>
        <v>1</v>
      </c>
      <c r="S66" s="203">
        <f>SUM(C66,E66,G66,I66,K66,M66,O66,Q66)</f>
        <v>9</v>
      </c>
      <c r="T66" s="203" t="e">
        <f>SUM(#REF!,#REF!,#REF!,#REF!,#REF!,#REF!,#REF!,#REF!)</f>
        <v>#REF!</v>
      </c>
      <c r="U66" s="203">
        <f>SUM(D66,F66,H66,J66,L66,N66,P66,R66)</f>
        <v>12</v>
      </c>
      <c r="V66" s="225">
        <f>+S66+U66</f>
        <v>21</v>
      </c>
    </row>
    <row r="67" spans="1:22" ht="15.6">
      <c r="A67" s="219" t="s">
        <v>3095</v>
      </c>
      <c r="C67" s="203">
        <f ca="1">COUNTIF(PTSexCat,"LGOO5RAM")</f>
        <v>0</v>
      </c>
      <c r="D67" s="204">
        <f ca="1">COUNTIF(PTSexCat,"LGOO5RAF")</f>
        <v>0</v>
      </c>
      <c r="E67" s="203">
        <f ca="1">COUNTIF(PTSexCat,"LGOO5AbAM")</f>
        <v>0</v>
      </c>
      <c r="F67" s="204">
        <f ca="1">COUNTIF(PTSexCat,"LGOO5AbAF")</f>
        <v>0</v>
      </c>
      <c r="G67" s="203">
        <f ca="1">COUNTIF(PTSexCat,"LGOO5ApAM")</f>
        <v>0</v>
      </c>
      <c r="H67" s="204">
        <f ca="1">COUNTIF(PTSexCat,"LGOO5ApAF")</f>
        <v>0</v>
      </c>
      <c r="I67" s="203">
        <f ca="1">COUNTIF(PTSexCat,"LGOO5BCAM")</f>
        <v>0</v>
      </c>
      <c r="J67" s="204">
        <f ca="1">COUNTIF(PTSexCat,"LGOO5BCAF")</f>
        <v>0</v>
      </c>
      <c r="K67" s="203">
        <f ca="1">COUNTIF(PTSexCat,"LGOO5BAM")</f>
        <v>0</v>
      </c>
      <c r="L67" s="204">
        <f ca="1">COUNTIF(PTSexCat,"LGOO5BAF")</f>
        <v>0</v>
      </c>
      <c r="M67" s="203">
        <f ca="1">COUNTIF(PTSexCat,"LGOO5IAM")</f>
        <v>0</v>
      </c>
      <c r="N67" s="204">
        <f ca="1">COUNTIF(PTSexCat,"LGOO5IAF")</f>
        <v>0</v>
      </c>
      <c r="O67" s="203">
        <f ca="1">COUNTIF(PTSexCat,"LGOO5KAM")</f>
        <v>0</v>
      </c>
      <c r="P67" s="204">
        <f ca="1">COUNTIF(PTSexCat,"LGOO5KAF")</f>
        <v>0</v>
      </c>
      <c r="Q67" s="203">
        <f ca="1">COUNTIF(PTSexCat,"LGOO5MPAM")</f>
        <v>0</v>
      </c>
      <c r="R67" s="204">
        <f ca="1">COUNTIF(PTSexCat,"LGOO5MPAF")</f>
        <v>0</v>
      </c>
      <c r="S67" s="203">
        <f t="shared" ref="S67:S78" ca="1" si="11">SUM(C67,E67,G67,I67,K67,M67,O67,Q67)</f>
        <v>0</v>
      </c>
      <c r="T67" s="203" t="e">
        <f>SUM(#REF!,#REF!,#REF!,#REF!,#REF!,#REF!,#REF!,#REF!)</f>
        <v>#REF!</v>
      </c>
      <c r="U67" s="203">
        <f t="shared" ref="U67:U78" ca="1" si="12">SUM(D67,F67,H67,J67,L67,N67,P67,R67)</f>
        <v>0</v>
      </c>
      <c r="V67" s="225">
        <f t="shared" ref="V67:V78" ca="1" si="13">+S67+U67</f>
        <v>0</v>
      </c>
    </row>
    <row r="68" spans="1:22" ht="15.6">
      <c r="A68" s="220" t="s">
        <v>3096</v>
      </c>
      <c r="C68" s="203">
        <f ca="1">COUNTIF(PTSexCat,"LGOO5RBM")</f>
        <v>0</v>
      </c>
      <c r="D68" s="204">
        <f ca="1">COUNTIF(PTSexCat,"LGOO5RBF")</f>
        <v>0</v>
      </c>
      <c r="E68" s="203">
        <f ca="1">COUNTIF(PTSexCat,"LGOO5AbBM")</f>
        <v>0</v>
      </c>
      <c r="F68" s="204">
        <f ca="1">COUNTIF(PTSexCat,"LGOO5AbBF")</f>
        <v>1</v>
      </c>
      <c r="G68" s="203">
        <f ca="1">COUNTIF(PTSexCat,"LGOO5ApBM")</f>
        <v>1</v>
      </c>
      <c r="H68" s="204">
        <f ca="1">COUNTIF(PTSexCat,"LGOO5ApBF")</f>
        <v>1</v>
      </c>
      <c r="I68" s="203">
        <f ca="1">COUNTIF(PTSexCat,"LGOO5BCBM")</f>
        <v>0</v>
      </c>
      <c r="J68" s="204">
        <f ca="1">COUNTIF(PTSexCat,"LGOO5BCBF")</f>
        <v>0</v>
      </c>
      <c r="K68" s="203">
        <f ca="1">COUNTIF(PTSexCat,"LGOO5BBM")</f>
        <v>0</v>
      </c>
      <c r="L68" s="204">
        <f ca="1">COUNTIF(PTSexCat,"LGOO5BBF")</f>
        <v>0</v>
      </c>
      <c r="M68" s="203">
        <f ca="1">COUNTIF(PTSexCat,"LGOO5IBM")</f>
        <v>1</v>
      </c>
      <c r="N68" s="204">
        <f ca="1">COUNTIF(PTSexCat,"LGOO5IBF")</f>
        <v>0</v>
      </c>
      <c r="O68" s="203">
        <f ca="1">COUNTIF(PTSexCat,"LGOO5KBM")</f>
        <v>0</v>
      </c>
      <c r="P68" s="204">
        <f ca="1">COUNTIF(PTSexCat,"LGOO5KBF")</f>
        <v>1</v>
      </c>
      <c r="Q68" s="203">
        <f ca="1">COUNTIF(PTSexCat,"LGOO5MPBM")</f>
        <v>0</v>
      </c>
      <c r="R68" s="204">
        <f ca="1">COUNTIF(PTSexCat,"LGOO5MPBF")</f>
        <v>0</v>
      </c>
      <c r="S68" s="203">
        <f t="shared" ca="1" si="11"/>
        <v>2</v>
      </c>
      <c r="T68" s="203" t="e">
        <f>SUM(#REF!,#REF!,#REF!,#REF!,#REF!,#REF!,#REF!,#REF!)</f>
        <v>#REF!</v>
      </c>
      <c r="U68" s="203">
        <f t="shared" ca="1" si="12"/>
        <v>3</v>
      </c>
      <c r="V68" s="225">
        <f t="shared" ca="1" si="13"/>
        <v>5</v>
      </c>
    </row>
    <row r="69" spans="1:22" ht="15.6">
      <c r="A69" s="220" t="s">
        <v>3097</v>
      </c>
      <c r="C69" s="203">
        <f ca="1">COUNTIF(PTSexCat,"LGOO5RCM")</f>
        <v>1</v>
      </c>
      <c r="D69" s="204">
        <f ca="1">COUNTIF(PTSexCat,"LGOO5RCF")</f>
        <v>0</v>
      </c>
      <c r="E69" s="203">
        <f ca="1">COUNTIF(PTSexCat,"LGOO5AbCM")</f>
        <v>1</v>
      </c>
      <c r="F69" s="204">
        <f ca="1">COUNTIF(PTSexCat,"LGOO5AbCF")</f>
        <v>1</v>
      </c>
      <c r="G69" s="203">
        <f ca="1">COUNTIF(PTSexCat,"LGOO5ApCM")</f>
        <v>0</v>
      </c>
      <c r="H69" s="204">
        <f ca="1">COUNTIF(PTSexCat,"LGOO5ApCF")</f>
        <v>0</v>
      </c>
      <c r="I69" s="203">
        <f ca="1">COUNTIF(PTSexCat,"LGOO5BCCM")</f>
        <v>0</v>
      </c>
      <c r="J69" s="204">
        <f ca="1">COUNTIF(PTSexCat,"LGOO5BCCF")</f>
        <v>0</v>
      </c>
      <c r="K69" s="203">
        <f ca="1">COUNTIF(PTSexCat,"LGOO5BCM")</f>
        <v>0</v>
      </c>
      <c r="L69" s="204">
        <f ca="1">COUNTIF(PTSexCat,"LGOO5BCF")</f>
        <v>1</v>
      </c>
      <c r="M69" s="203">
        <f ca="1">COUNTIF(PTSexCat,"LGOO5ICM")</f>
        <v>0</v>
      </c>
      <c r="N69" s="204">
        <f ca="1">COUNTIF(PTSexCat,"LGOO5ICF")</f>
        <v>0</v>
      </c>
      <c r="O69" s="203">
        <f ca="1">COUNTIF(PTSexCat,"LGOO5KCM")</f>
        <v>0</v>
      </c>
      <c r="P69" s="204">
        <f ca="1">COUNTIF(PTSexCat,"LGOO5KCF")</f>
        <v>0</v>
      </c>
      <c r="Q69" s="203">
        <f ca="1">COUNTIF(PTSexCat,"LGOO5MPCM")</f>
        <v>1</v>
      </c>
      <c r="R69" s="204">
        <f ca="1">COUNTIF(PTSexCat,"LGOO5MPCF")</f>
        <v>1</v>
      </c>
      <c r="S69" s="203">
        <f t="shared" ca="1" si="11"/>
        <v>3</v>
      </c>
      <c r="T69" s="203" t="e">
        <f>SUM(#REF!,#REF!,#REF!,#REF!,#REF!,#REF!,#REF!,#REF!)</f>
        <v>#REF!</v>
      </c>
      <c r="U69" s="203">
        <f t="shared" ca="1" si="12"/>
        <v>3</v>
      </c>
      <c r="V69" s="225">
        <f t="shared" ca="1" si="13"/>
        <v>6</v>
      </c>
    </row>
    <row r="70" spans="1:22" ht="15.6">
      <c r="A70" s="220" t="s">
        <v>3098</v>
      </c>
      <c r="C70" s="203">
        <f ca="1">COUNTIF(PTSexCat,"LGOO5RDM")</f>
        <v>1</v>
      </c>
      <c r="D70" s="204">
        <f ca="1">COUNTIF(PTSexCat,"LGOO5RDF")</f>
        <v>1</v>
      </c>
      <c r="E70" s="203">
        <f ca="1">COUNTIF(PTSexCat,"LGOO5AbDM")</f>
        <v>0</v>
      </c>
      <c r="F70" s="204">
        <f ca="1">COUNTIF(PTSexCat,"LGOO5AbDF")</f>
        <v>0</v>
      </c>
      <c r="G70" s="203">
        <f ca="1">COUNTIF(PTSexCat,"LGOO5ApDM")</f>
        <v>0</v>
      </c>
      <c r="H70" s="204">
        <f ca="1">COUNTIF(PTSexCat,"LGOO5ApDF")</f>
        <v>0</v>
      </c>
      <c r="I70" s="203">
        <f ca="1">COUNTIF(PTSexCat,"LGOO5BCDM")</f>
        <v>0</v>
      </c>
      <c r="J70" s="204">
        <f ca="1">COUNTIF(PTSexCat,"LGOO5BCDF")</f>
        <v>0</v>
      </c>
      <c r="K70" s="203">
        <f ca="1">COUNTIF(PTSexCat,"LGOO5BDM")</f>
        <v>0</v>
      </c>
      <c r="L70" s="204">
        <f ca="1">COUNTIF(PTSexCat,"LGOO5BDF")</f>
        <v>3</v>
      </c>
      <c r="M70" s="203">
        <f ca="1">COUNTIF(PTSexCat,"LGOO5IDM")</f>
        <v>1</v>
      </c>
      <c r="N70" s="204">
        <f ca="1">COUNTIF(PTSexCat,"LGOO5IDF")</f>
        <v>0</v>
      </c>
      <c r="O70" s="203">
        <f ca="1">COUNTIF(PTSexCat,"LGOO5KDM")</f>
        <v>0</v>
      </c>
      <c r="P70" s="204">
        <f ca="1">COUNTIF(PTSexCat,"LGOO5KDF")</f>
        <v>0</v>
      </c>
      <c r="Q70" s="203">
        <f ca="1">COUNTIF(PTSexCat,"LGOO5MPDM")</f>
        <v>1</v>
      </c>
      <c r="R70" s="204">
        <f ca="1">COUNTIF(PTSexCat,"LGOO5MPDF")</f>
        <v>0</v>
      </c>
      <c r="S70" s="203">
        <f t="shared" ca="1" si="11"/>
        <v>3</v>
      </c>
      <c r="T70" s="203" t="e">
        <f>SUM(#REF!,#REF!,#REF!,#REF!,#REF!,#REF!,#REF!,#REF!)</f>
        <v>#REF!</v>
      </c>
      <c r="U70" s="203">
        <f t="shared" ca="1" si="12"/>
        <v>4</v>
      </c>
      <c r="V70" s="225">
        <f t="shared" ca="1" si="13"/>
        <v>7</v>
      </c>
    </row>
    <row r="71" spans="1:22" ht="15.6">
      <c r="A71" s="221" t="s">
        <v>3099</v>
      </c>
      <c r="C71" s="203">
        <f ca="1">COUNTIF(PTSexCat,"LGOO5REM")</f>
        <v>1</v>
      </c>
      <c r="D71" s="204">
        <f ca="1">COUNTIF(PTSexCat,"LGOO5REF")</f>
        <v>1</v>
      </c>
      <c r="E71" s="203">
        <f ca="1">COUNTIF(PTSexCat,"LGOO5AbEM")</f>
        <v>0</v>
      </c>
      <c r="F71" s="204">
        <f ca="1">COUNTIF(PTSexCat,"LGOO5AbEF")</f>
        <v>0</v>
      </c>
      <c r="G71" s="203">
        <f ca="1">COUNTIF(PTSexCat,"LGOO5ApEM")</f>
        <v>0</v>
      </c>
      <c r="H71" s="204">
        <f ca="1">COUNTIF(PTSexCat,"LGOO5ApEF")</f>
        <v>0</v>
      </c>
      <c r="I71" s="203">
        <f ca="1">COUNTIF(PTSexCat,"LGOO5BCEM")</f>
        <v>0</v>
      </c>
      <c r="J71" s="204">
        <f ca="1">COUNTIF(PTSexCat,"LGOO5BCEF")</f>
        <v>0</v>
      </c>
      <c r="K71" s="203">
        <f ca="1">COUNTIF(PTSexCat,"LGOO5BEM")</f>
        <v>0</v>
      </c>
      <c r="L71" s="204">
        <f ca="1">COUNTIF(PTSexCat,"LGOO5BEF")</f>
        <v>0</v>
      </c>
      <c r="M71" s="203">
        <f ca="1">COUNTIF(PTSexCat,"LGOO5IEM")</f>
        <v>0</v>
      </c>
      <c r="N71" s="204">
        <f ca="1">COUNTIF(PTSexCat,"LGOO5IEF")</f>
        <v>1</v>
      </c>
      <c r="O71" s="203">
        <f ca="1">COUNTIF(PTSexCat,"LGOO5KEM")</f>
        <v>0</v>
      </c>
      <c r="P71" s="204">
        <f ca="1">COUNTIF(PTSexCat,"LGOO5KEF")</f>
        <v>0</v>
      </c>
      <c r="Q71" s="203">
        <f ca="1">COUNTIF(PTSexCat,"LGOO5MPEM")</f>
        <v>0</v>
      </c>
      <c r="R71" s="204">
        <f ca="1">COUNTIF(PTSexCat,"LGOO5MPEF")</f>
        <v>0</v>
      </c>
      <c r="S71" s="203">
        <f t="shared" ca="1" si="11"/>
        <v>1</v>
      </c>
      <c r="T71" s="203" t="e">
        <f>SUM(#REF!,#REF!,#REF!,#REF!,#REF!,#REF!,#REF!,#REF!)</f>
        <v>#REF!</v>
      </c>
      <c r="U71" s="203">
        <f t="shared" ca="1" si="12"/>
        <v>2</v>
      </c>
      <c r="V71" s="225">
        <f t="shared" ca="1" si="13"/>
        <v>3</v>
      </c>
    </row>
    <row r="73" spans="1:22" s="193" customFormat="1" ht="21.6" customHeight="1">
      <c r="A73" s="201" t="s">
        <v>187</v>
      </c>
      <c r="B73" s="202">
        <v>18</v>
      </c>
      <c r="C73" s="203">
        <f>COUNTIF(PosStSex,"LGOO4RM")</f>
        <v>2</v>
      </c>
      <c r="D73" s="204">
        <f>COUNTIF(PosStSex,"LGOO4RF")</f>
        <v>2</v>
      </c>
      <c r="E73" s="203">
        <f>COUNTIF(PosStSex,"LGOO4AbM")</f>
        <v>0</v>
      </c>
      <c r="F73" s="204">
        <f>COUNTIF(PosStSex,"LGOO4AbF")</f>
        <v>0</v>
      </c>
      <c r="G73" s="203">
        <f>COUNTIF(PosStSex,"LGOO4ApM")</f>
        <v>0</v>
      </c>
      <c r="H73" s="204">
        <f>COUNTIF(PosStSex,"LGOO4ApF")</f>
        <v>0</v>
      </c>
      <c r="I73" s="203">
        <f>COUNTIF(PosStSex,"LGOO4BCM")</f>
        <v>0</v>
      </c>
      <c r="J73" s="204">
        <f>COUNTIF(PosStSex,"LGOO4BCF")</f>
        <v>0</v>
      </c>
      <c r="K73" s="203">
        <f>COUNTIF(PosStSex,"LGOO4BM")</f>
        <v>0</v>
      </c>
      <c r="L73" s="204">
        <f>COUNTIF(PosStSex,"LGOO4BF")</f>
        <v>0</v>
      </c>
      <c r="M73" s="203">
        <f>COUNTIF(PosStSex,"LGOO4IM")</f>
        <v>0</v>
      </c>
      <c r="N73" s="204">
        <f>COUNTIF(PosStSex,"LGOO4IF")</f>
        <v>0</v>
      </c>
      <c r="O73" s="203">
        <f>COUNTIF(PosStSex,"LGOO4KM")</f>
        <v>0</v>
      </c>
      <c r="P73" s="204">
        <f>COUNTIF(PosStSex,"LGOO4KF")</f>
        <v>0</v>
      </c>
      <c r="Q73" s="203">
        <f>COUNTIF(PosStSex,"LGOO4MPM")</f>
        <v>0</v>
      </c>
      <c r="R73" s="204">
        <f>COUNTIF(PosStSex,"LGOO4MPF")</f>
        <v>0</v>
      </c>
      <c r="S73" s="203">
        <f t="shared" si="11"/>
        <v>2</v>
      </c>
      <c r="T73" s="203" t="e">
        <f>SUM(#REF!,#REF!,#REF!,#REF!,#REF!,#REF!,#REF!,#REF!)</f>
        <v>#REF!</v>
      </c>
      <c r="U73" s="203">
        <f t="shared" si="12"/>
        <v>2</v>
      </c>
      <c r="V73" s="225">
        <f t="shared" si="13"/>
        <v>4</v>
      </c>
    </row>
    <row r="74" spans="1:22" ht="15.6">
      <c r="A74" s="219" t="s">
        <v>3095</v>
      </c>
      <c r="C74" s="203">
        <f ca="1">COUNTIF(PTSexCat,"LGOO4RAM")</f>
        <v>0</v>
      </c>
      <c r="D74" s="204">
        <f ca="1">COUNTIF(PTSexCat,"LGOO4RAF")</f>
        <v>0</v>
      </c>
      <c r="E74" s="203">
        <f ca="1">COUNTIF(PTSexCat,"LGOO4AbAM")</f>
        <v>0</v>
      </c>
      <c r="F74" s="204">
        <f ca="1">COUNTIF(PTSexCat,"LGOO4AbAF")</f>
        <v>0</v>
      </c>
      <c r="G74" s="203">
        <f ca="1">COUNTIF(PTSexCat,"LGOO4ApAM")</f>
        <v>0</v>
      </c>
      <c r="H74" s="204">
        <f ca="1">COUNTIF(PTSexCat,"LGOO4ApAF")</f>
        <v>0</v>
      </c>
      <c r="I74" s="203">
        <f ca="1">COUNTIF(PTSexCat,"LGOO4BCAM")</f>
        <v>0</v>
      </c>
      <c r="J74" s="204">
        <f ca="1">COUNTIF(PTSexCat,"LGOO4BCAF")</f>
        <v>0</v>
      </c>
      <c r="K74" s="203">
        <f ca="1">COUNTIF(PTSexCat,"LGOO4BAM")</f>
        <v>0</v>
      </c>
      <c r="L74" s="204">
        <f ca="1">COUNTIF(PTSexCat,"LGOO4BAF")</f>
        <v>0</v>
      </c>
      <c r="M74" s="203">
        <f ca="1">COUNTIF(PTSexCat,"LGOO4IAM")</f>
        <v>0</v>
      </c>
      <c r="N74" s="204">
        <f ca="1">COUNTIF(PTSexCat,"LGOO4IAF")</f>
        <v>0</v>
      </c>
      <c r="O74" s="203">
        <f ca="1">COUNTIF(PTSexCat,"LGOO4KAM")</f>
        <v>0</v>
      </c>
      <c r="P74" s="204">
        <f ca="1">COUNTIF(PTSexCat,"LGOO4KAF")</f>
        <v>0</v>
      </c>
      <c r="Q74" s="203">
        <f ca="1">COUNTIF(PTSexCat,"LGOO4MPAM")</f>
        <v>0</v>
      </c>
      <c r="R74" s="204">
        <f ca="1">COUNTIF(PTSexCat,"LGOO4MPAF")</f>
        <v>0</v>
      </c>
      <c r="S74" s="203">
        <f t="shared" ca="1" si="11"/>
        <v>0</v>
      </c>
      <c r="T74" s="203" t="e">
        <f>SUM(#REF!,#REF!,#REF!,#REF!,#REF!,#REF!,#REF!,#REF!)</f>
        <v>#REF!</v>
      </c>
      <c r="U74" s="203">
        <f t="shared" ca="1" si="12"/>
        <v>0</v>
      </c>
      <c r="V74" s="225">
        <f t="shared" ca="1" si="13"/>
        <v>0</v>
      </c>
    </row>
    <row r="75" spans="1:22" ht="15.6">
      <c r="A75" s="220" t="s">
        <v>3096</v>
      </c>
      <c r="C75" s="203">
        <f ca="1">COUNTIF(PTSexCat,"LGOO4RBM")</f>
        <v>0</v>
      </c>
      <c r="D75" s="204">
        <f ca="1">COUNTIF(PTSexCat,"LGOO4RBF")</f>
        <v>0</v>
      </c>
      <c r="E75" s="203">
        <f ca="1">COUNTIF(PTSexCat,"LGOO4AbBM")</f>
        <v>0</v>
      </c>
      <c r="F75" s="204">
        <f ca="1">COUNTIF(PTSexCat,"LGOO4AbBF")</f>
        <v>0</v>
      </c>
      <c r="G75" s="203">
        <f ca="1">COUNTIF(PTSexCat,"LGOO4ApBM")</f>
        <v>0</v>
      </c>
      <c r="H75" s="204">
        <f ca="1">COUNTIF(PTSexCat,"LGOO4ApBF")</f>
        <v>0</v>
      </c>
      <c r="I75" s="203">
        <f ca="1">COUNTIF(PTSexCat,"LGOO4BCBM")</f>
        <v>0</v>
      </c>
      <c r="J75" s="204">
        <f ca="1">COUNTIF(PTSexCat,"LGOO4BCBF")</f>
        <v>0</v>
      </c>
      <c r="K75" s="203">
        <f ca="1">COUNTIF(PTSexCat,"LGOO4BBM")</f>
        <v>0</v>
      </c>
      <c r="L75" s="204">
        <f ca="1">COUNTIF(PTSexCat,"LGOO4BBF")</f>
        <v>0</v>
      </c>
      <c r="M75" s="203">
        <f ca="1">COUNTIF(PTSexCat,"LGOO4IBM")</f>
        <v>0</v>
      </c>
      <c r="N75" s="204">
        <f ca="1">COUNTIF(PTSexCat,"LGOO4IBF")</f>
        <v>0</v>
      </c>
      <c r="O75" s="203">
        <f ca="1">COUNTIF(PTSexCat,"LGOO4KBM")</f>
        <v>0</v>
      </c>
      <c r="P75" s="204">
        <f ca="1">COUNTIF(PTSexCat,"LGOO4KBF")</f>
        <v>0</v>
      </c>
      <c r="Q75" s="203">
        <f ca="1">COUNTIF(PTSexCat,"LGOO4MPBM")</f>
        <v>0</v>
      </c>
      <c r="R75" s="204">
        <f ca="1">COUNTIF(PTSexCat,"LGOO4MPBF")</f>
        <v>0</v>
      </c>
      <c r="S75" s="203">
        <f t="shared" ca="1" si="11"/>
        <v>0</v>
      </c>
      <c r="T75" s="203" t="e">
        <f>SUM(#REF!,#REF!,#REF!,#REF!,#REF!,#REF!,#REF!,#REF!)</f>
        <v>#REF!</v>
      </c>
      <c r="U75" s="203">
        <f t="shared" ca="1" si="12"/>
        <v>0</v>
      </c>
      <c r="V75" s="225">
        <f t="shared" ca="1" si="13"/>
        <v>0</v>
      </c>
    </row>
    <row r="76" spans="1:22" ht="15.6">
      <c r="A76" s="220" t="s">
        <v>3097</v>
      </c>
      <c r="C76" s="203">
        <f ca="1">COUNTIF(PTSexCat,"LGOO4RCM")</f>
        <v>2</v>
      </c>
      <c r="D76" s="204">
        <f ca="1">COUNTIF(PTSexCat,"LGOO4RCF")</f>
        <v>2</v>
      </c>
      <c r="E76" s="203">
        <f ca="1">COUNTIF(PTSexCat,"LGOO4AbCM")</f>
        <v>0</v>
      </c>
      <c r="F76" s="204">
        <f ca="1">COUNTIF(PTSexCat,"LGOO4AbCF")</f>
        <v>0</v>
      </c>
      <c r="G76" s="203">
        <f ca="1">COUNTIF(PTSexCat,"LGOO4ApCM")</f>
        <v>0</v>
      </c>
      <c r="H76" s="204">
        <f ca="1">COUNTIF(PTSexCat,"LGOO4ApCF")</f>
        <v>0</v>
      </c>
      <c r="I76" s="203">
        <f ca="1">COUNTIF(PTSexCat,"LGOO4BCCM")</f>
        <v>0</v>
      </c>
      <c r="J76" s="204">
        <f ca="1">COUNTIF(PTSexCat,"LGOO4BCCF")</f>
        <v>0</v>
      </c>
      <c r="K76" s="203">
        <f ca="1">COUNTIF(PTSexCat,"LGOO4BCM")</f>
        <v>0</v>
      </c>
      <c r="L76" s="204">
        <f ca="1">COUNTIF(PTSexCat,"LGOO4BCF")</f>
        <v>0</v>
      </c>
      <c r="M76" s="203">
        <f ca="1">COUNTIF(PTSexCat,"LGOO4ICM")</f>
        <v>0</v>
      </c>
      <c r="N76" s="204">
        <f ca="1">COUNTIF(PTSexCat,"LGOO4ICF")</f>
        <v>0</v>
      </c>
      <c r="O76" s="203">
        <f ca="1">COUNTIF(PTSexCat,"LGOO4KCM")</f>
        <v>0</v>
      </c>
      <c r="P76" s="204">
        <f ca="1">COUNTIF(PTSexCat,"LGOO4KCF")</f>
        <v>0</v>
      </c>
      <c r="Q76" s="203">
        <f ca="1">COUNTIF(PTSexCat,"LGOO4MPCM")</f>
        <v>0</v>
      </c>
      <c r="R76" s="204">
        <f ca="1">COUNTIF(PTSexCat,"LGOO4MPCF")</f>
        <v>0</v>
      </c>
      <c r="S76" s="203">
        <f t="shared" ca="1" si="11"/>
        <v>2</v>
      </c>
      <c r="T76" s="203" t="e">
        <f>SUM(#REF!,#REF!,#REF!,#REF!,#REF!,#REF!,#REF!,#REF!)</f>
        <v>#REF!</v>
      </c>
      <c r="U76" s="203">
        <f t="shared" ca="1" si="12"/>
        <v>2</v>
      </c>
      <c r="V76" s="225">
        <f t="shared" ca="1" si="13"/>
        <v>4</v>
      </c>
    </row>
    <row r="77" spans="1:22" ht="15.6">
      <c r="A77" s="220" t="s">
        <v>3098</v>
      </c>
      <c r="C77" s="203">
        <f ca="1">COUNTIF(PTSexCat,"LGOO4RDM")</f>
        <v>0</v>
      </c>
      <c r="D77" s="204">
        <f ca="1">COUNTIF(PTSexCat,"LGOO4RDF")</f>
        <v>0</v>
      </c>
      <c r="E77" s="203">
        <f ca="1">COUNTIF(PTSexCat,"LGOO4AbDM")</f>
        <v>0</v>
      </c>
      <c r="F77" s="204">
        <f ca="1">COUNTIF(PTSexCat,"LGOO4AbDF")</f>
        <v>0</v>
      </c>
      <c r="G77" s="203">
        <f ca="1">COUNTIF(PTSexCat,"LGOO4ApDM")</f>
        <v>0</v>
      </c>
      <c r="H77" s="204">
        <f ca="1">COUNTIF(PTSexCat,"LGOO4ApDF")</f>
        <v>0</v>
      </c>
      <c r="I77" s="203">
        <f ca="1">COUNTIF(PTSexCat,"LGOO4BCDM")</f>
        <v>0</v>
      </c>
      <c r="J77" s="204">
        <f ca="1">COUNTIF(PTSexCat,"LGOO4BCDF")</f>
        <v>0</v>
      </c>
      <c r="K77" s="203">
        <f ca="1">COUNTIF(PTSexCat,"LGOO4BDM")</f>
        <v>0</v>
      </c>
      <c r="L77" s="204">
        <f ca="1">COUNTIF(PTSexCat,"LGOO4BDF")</f>
        <v>0</v>
      </c>
      <c r="M77" s="203">
        <f ca="1">COUNTIF(PTSexCat,"LGOO4IDM")</f>
        <v>0</v>
      </c>
      <c r="N77" s="204">
        <f ca="1">COUNTIF(PTSexCat,"LGOO4IDF")</f>
        <v>0</v>
      </c>
      <c r="O77" s="203">
        <f ca="1">COUNTIF(PTSexCat,"LGOO4KDM")</f>
        <v>0</v>
      </c>
      <c r="P77" s="204">
        <f ca="1">COUNTIF(PTSexCat,"LGOO4KDF")</f>
        <v>0</v>
      </c>
      <c r="Q77" s="203">
        <f ca="1">COUNTIF(PTSexCat,"LGOO4MPDM")</f>
        <v>0</v>
      </c>
      <c r="R77" s="204">
        <f ca="1">COUNTIF(PTSexCat,"LGOO4MPDF")</f>
        <v>0</v>
      </c>
      <c r="S77" s="203">
        <f t="shared" ca="1" si="11"/>
        <v>0</v>
      </c>
      <c r="T77" s="203" t="e">
        <f>SUM(#REF!,#REF!,#REF!,#REF!,#REF!,#REF!,#REF!,#REF!)</f>
        <v>#REF!</v>
      </c>
      <c r="U77" s="203">
        <f t="shared" ca="1" si="12"/>
        <v>0</v>
      </c>
      <c r="V77" s="225">
        <f t="shared" ca="1" si="13"/>
        <v>0</v>
      </c>
    </row>
    <row r="78" spans="1:22" ht="15.6">
      <c r="A78" s="221" t="s">
        <v>3099</v>
      </c>
      <c r="C78" s="203">
        <f ca="1">COUNTIF(PTSexCat,"LGOO4REM")</f>
        <v>0</v>
      </c>
      <c r="D78" s="204">
        <f ca="1">COUNTIF(PTSexCat,"LGOO4REF")</f>
        <v>0</v>
      </c>
      <c r="E78" s="203">
        <f ca="1">COUNTIF(PTSexCat,"LGOO4AbEM")</f>
        <v>0</v>
      </c>
      <c r="F78" s="204">
        <f ca="1">COUNTIF(PTSexCat,"LGOO4AbEF")</f>
        <v>0</v>
      </c>
      <c r="G78" s="203">
        <f ca="1">COUNTIF(PTSexCat,"LGOO4ApEM")</f>
        <v>0</v>
      </c>
      <c r="H78" s="204">
        <f ca="1">COUNTIF(PTSexCat,"LGOO4ApEF")</f>
        <v>0</v>
      </c>
      <c r="I78" s="203">
        <f ca="1">COUNTIF(PTSexCat,"LGOO4BCEM")</f>
        <v>0</v>
      </c>
      <c r="J78" s="204">
        <f ca="1">COUNTIF(PTSexCat,"LGOO4BCEF")</f>
        <v>0</v>
      </c>
      <c r="K78" s="203">
        <f ca="1">COUNTIF(PTSexCat,"LGOO4BEM")</f>
        <v>0</v>
      </c>
      <c r="L78" s="204">
        <f ca="1">COUNTIF(PTSexCat,"LGOO4BEF")</f>
        <v>0</v>
      </c>
      <c r="M78" s="203">
        <f ca="1">COUNTIF(PTSexCat,"LGOO4IEM")</f>
        <v>0</v>
      </c>
      <c r="N78" s="204">
        <f ca="1">COUNTIF(PTSexCat,"LGOO4IEF")</f>
        <v>0</v>
      </c>
      <c r="O78" s="203">
        <f ca="1">COUNTIF(PTSexCat,"LGOO4KEM")</f>
        <v>0</v>
      </c>
      <c r="P78" s="204">
        <f ca="1">COUNTIF(PTSexCat,"LGOO4KEF")</f>
        <v>0</v>
      </c>
      <c r="Q78" s="203">
        <f ca="1">COUNTIF(PTSexCat,"LGOO4MPEM")</f>
        <v>0</v>
      </c>
      <c r="R78" s="204">
        <f ca="1">COUNTIF(PTSexCat,"LGOO4MPEF")</f>
        <v>0</v>
      </c>
      <c r="S78" s="203">
        <f t="shared" ca="1" si="11"/>
        <v>0</v>
      </c>
      <c r="T78" s="203" t="e">
        <f>SUM(#REF!,#REF!,#REF!,#REF!,#REF!,#REF!,#REF!,#REF!)</f>
        <v>#REF!</v>
      </c>
      <c r="U78" s="203">
        <f t="shared" ca="1" si="12"/>
        <v>0</v>
      </c>
      <c r="V78" s="225">
        <f t="shared" ca="1" si="13"/>
        <v>0</v>
      </c>
    </row>
    <row r="80" spans="1:22" s="193" customFormat="1" ht="21.6" customHeight="1">
      <c r="A80" s="201" t="s">
        <v>1066</v>
      </c>
      <c r="B80" s="202">
        <v>15</v>
      </c>
      <c r="C80" s="203">
        <f>COUNTIF(PosStSex,"lgoo3RM")</f>
        <v>0</v>
      </c>
      <c r="D80" s="204">
        <f>COUNTIF(PosStSex,"lgoo3RF")</f>
        <v>0</v>
      </c>
      <c r="E80" s="203">
        <f>COUNTIF(PosStSex,"lgoo3AbM")</f>
        <v>0</v>
      </c>
      <c r="F80" s="204">
        <f>COUNTIF(PosStSex,"lgoo3AbF")</f>
        <v>0</v>
      </c>
      <c r="G80" s="203">
        <f>COUNTIF(PosStSex,"lgoo3ApM")</f>
        <v>0</v>
      </c>
      <c r="H80" s="204">
        <f>COUNTIF(PosStSex,"lgoo3ApF")</f>
        <v>0</v>
      </c>
      <c r="I80" s="203">
        <f>COUNTIF(PosStSex,"lgoo3BCM")</f>
        <v>0</v>
      </c>
      <c r="J80" s="204">
        <f>COUNTIF(PosStSex,"lgoo3BCF")</f>
        <v>0</v>
      </c>
      <c r="K80" s="203">
        <f>COUNTIF(PosStSex,"lgoo3BM")</f>
        <v>0</v>
      </c>
      <c r="L80" s="204">
        <f>COUNTIF(PosStSex,"lgoo3BF")</f>
        <v>0</v>
      </c>
      <c r="M80" s="203">
        <f>COUNTIF(PosStSex,"lgoo3IM")</f>
        <v>0</v>
      </c>
      <c r="N80" s="204">
        <f>COUNTIF(PosStSex,"lgoo3IF")</f>
        <v>0</v>
      </c>
      <c r="O80" s="203">
        <f>COUNTIF(PosStSex,"lgoo3KM")</f>
        <v>0</v>
      </c>
      <c r="P80" s="204">
        <f>COUNTIF(PosStSex,"lgoo3KF")</f>
        <v>0</v>
      </c>
      <c r="Q80" s="203">
        <f>COUNTIF(PosStSex,"lgoo3MPM")</f>
        <v>0</v>
      </c>
      <c r="R80" s="204">
        <f>COUNTIF(PosStSex,"lgoo3MPF")</f>
        <v>0</v>
      </c>
      <c r="S80" s="203">
        <f t="shared" ref="S80:S85" si="14">SUM(C80,E80,G80,I80,K80,M80,O80,Q80)</f>
        <v>0</v>
      </c>
      <c r="T80" s="203" t="e">
        <f>SUM(#REF!,#REF!,#REF!,#REF!,#REF!,#REF!,#REF!,#REF!)</f>
        <v>#REF!</v>
      </c>
      <c r="U80" s="203">
        <f t="shared" ref="U80:U85" si="15">SUM(D80,F80,H80,J80,L80,N80,P80,R80)</f>
        <v>0</v>
      </c>
      <c r="V80" s="225">
        <f t="shared" ref="V80:V85" si="16">+S80+U80</f>
        <v>0</v>
      </c>
    </row>
    <row r="81" spans="1:22" ht="15.6">
      <c r="A81" s="219" t="s">
        <v>3095</v>
      </c>
      <c r="C81" s="203">
        <f ca="1">COUNTIF(PTSexCat,"LGOO3RAM")</f>
        <v>0</v>
      </c>
      <c r="D81" s="204">
        <f ca="1">COUNTIF(PTSexCat,"LGOO3RAF")</f>
        <v>0</v>
      </c>
      <c r="E81" s="203">
        <f ca="1">COUNTIF(PTSexCat,"LGOO3AbAM")</f>
        <v>0</v>
      </c>
      <c r="F81" s="204">
        <f ca="1">COUNTIF(PTSexCat,"LGOO3AbAF")</f>
        <v>0</v>
      </c>
      <c r="G81" s="203">
        <f ca="1">COUNTIF(PTSexCat,"LGOO3ApAM")</f>
        <v>0</v>
      </c>
      <c r="H81" s="204">
        <f ca="1">COUNTIF(PTSexCat,"LGOO3ApAF")</f>
        <v>0</v>
      </c>
      <c r="I81" s="203">
        <f ca="1">COUNTIF(PTSexCat,"LGOO3BCAM")</f>
        <v>0</v>
      </c>
      <c r="J81" s="204">
        <f ca="1">COUNTIF(PTSexCat,"LGOO3BCAF")</f>
        <v>0</v>
      </c>
      <c r="K81" s="203">
        <f ca="1">COUNTIF(PTSexCat,"LGOO3BAM")</f>
        <v>0</v>
      </c>
      <c r="L81" s="204">
        <f ca="1">COUNTIF(PTSexCat,"LGOO3BAF")</f>
        <v>0</v>
      </c>
      <c r="M81" s="203">
        <f ca="1">COUNTIF(PTSexCat,"LGOO3IAM")</f>
        <v>0</v>
      </c>
      <c r="N81" s="204">
        <f ca="1">COUNTIF(PTSexCat,"LGOO3IAF")</f>
        <v>0</v>
      </c>
      <c r="O81" s="203">
        <f ca="1">COUNTIF(PTSexCat,"LGOO3KAM")</f>
        <v>0</v>
      </c>
      <c r="P81" s="204">
        <f ca="1">COUNTIF(PTSexCat,"LGOO3KAF")</f>
        <v>0</v>
      </c>
      <c r="Q81" s="203">
        <f ca="1">COUNTIF(PTSexCat,"LGOO3MPAM")</f>
        <v>0</v>
      </c>
      <c r="R81" s="204">
        <f ca="1">COUNTIF(PTSexCat,"LGOO3MPAF")</f>
        <v>0</v>
      </c>
      <c r="S81" s="203">
        <f t="shared" ca="1" si="14"/>
        <v>0</v>
      </c>
      <c r="T81" s="203" t="e">
        <f>SUM(#REF!,#REF!,#REF!,#REF!,#REF!,#REF!,#REF!,#REF!)</f>
        <v>#REF!</v>
      </c>
      <c r="U81" s="203">
        <f t="shared" ca="1" si="15"/>
        <v>0</v>
      </c>
      <c r="V81" s="225">
        <f t="shared" ca="1" si="16"/>
        <v>0</v>
      </c>
    </row>
    <row r="82" spans="1:22" ht="15.6">
      <c r="A82" s="220" t="s">
        <v>3096</v>
      </c>
      <c r="C82" s="203">
        <f ca="1">COUNTIF(PTSexCat,"LGOO3RBM")</f>
        <v>0</v>
      </c>
      <c r="D82" s="204">
        <f ca="1">COUNTIF(PTSexCat,"LGOO3RBF")</f>
        <v>0</v>
      </c>
      <c r="E82" s="203">
        <f ca="1">COUNTIF(PTSexCat,"LGOO3AbBM")</f>
        <v>0</v>
      </c>
      <c r="F82" s="204">
        <f ca="1">COUNTIF(PTSexCat,"LGOO3AbBF")</f>
        <v>0</v>
      </c>
      <c r="G82" s="203">
        <f ca="1">COUNTIF(PTSexCat,"LGOO3ApBM")</f>
        <v>0</v>
      </c>
      <c r="H82" s="204">
        <f ca="1">COUNTIF(PTSexCat,"LGOO3ApBF")</f>
        <v>0</v>
      </c>
      <c r="I82" s="203">
        <f ca="1">COUNTIF(PTSexCat,"LGOO3BCBM")</f>
        <v>0</v>
      </c>
      <c r="J82" s="204">
        <f ca="1">COUNTIF(PTSexCat,"LGOO3BCBF")</f>
        <v>0</v>
      </c>
      <c r="K82" s="203">
        <f ca="1">COUNTIF(PTSexCat,"LGOO3BBM")</f>
        <v>0</v>
      </c>
      <c r="L82" s="204">
        <f ca="1">COUNTIF(PTSexCat,"LGOO3BBF")</f>
        <v>0</v>
      </c>
      <c r="M82" s="203">
        <f ca="1">COUNTIF(PTSexCat,"LGOO3IBM")</f>
        <v>0</v>
      </c>
      <c r="N82" s="204">
        <f ca="1">COUNTIF(PTSexCat,"LGOO3IBF")</f>
        <v>0</v>
      </c>
      <c r="O82" s="203">
        <f ca="1">COUNTIF(PTSexCat,"LGOO3KBM")</f>
        <v>0</v>
      </c>
      <c r="P82" s="204">
        <f ca="1">COUNTIF(PTSexCat,"LGOO3KBF")</f>
        <v>0</v>
      </c>
      <c r="Q82" s="203">
        <f ca="1">COUNTIF(PTSexCat,"LGOO3MPBM")</f>
        <v>0</v>
      </c>
      <c r="R82" s="204">
        <f ca="1">COUNTIF(PTSexCat,"LGOO3MPBF")</f>
        <v>0</v>
      </c>
      <c r="S82" s="203">
        <f t="shared" ca="1" si="14"/>
        <v>0</v>
      </c>
      <c r="T82" s="203" t="e">
        <f>SUM(#REF!,#REF!,#REF!,#REF!,#REF!,#REF!,#REF!,#REF!)</f>
        <v>#REF!</v>
      </c>
      <c r="U82" s="203">
        <f t="shared" ca="1" si="15"/>
        <v>0</v>
      </c>
      <c r="V82" s="225">
        <f t="shared" ca="1" si="16"/>
        <v>0</v>
      </c>
    </row>
    <row r="83" spans="1:22" ht="15.6">
      <c r="A83" s="220" t="s">
        <v>3097</v>
      </c>
      <c r="C83" s="203">
        <f ca="1">COUNTIF(PTSexCat,"LGOO3RCM")</f>
        <v>0</v>
      </c>
      <c r="D83" s="204">
        <f ca="1">COUNTIF(PTSexCat,"LGOO3RCF")</f>
        <v>0</v>
      </c>
      <c r="E83" s="203">
        <f ca="1">COUNTIF(PTSexCat,"LGOO3AbCM")</f>
        <v>0</v>
      </c>
      <c r="F83" s="204">
        <f ca="1">COUNTIF(PTSexCat,"LGOO3AbCF")</f>
        <v>0</v>
      </c>
      <c r="G83" s="203">
        <f ca="1">COUNTIF(PTSexCat,"LGOO3ApCM")</f>
        <v>0</v>
      </c>
      <c r="H83" s="204">
        <f ca="1">COUNTIF(PTSexCat,"LGOO3ApCF")</f>
        <v>0</v>
      </c>
      <c r="I83" s="203">
        <f ca="1">COUNTIF(PTSexCat,"LGOO3BCCM")</f>
        <v>0</v>
      </c>
      <c r="J83" s="204">
        <f ca="1">COUNTIF(PTSexCat,"LGOO3BCCF")</f>
        <v>0</v>
      </c>
      <c r="K83" s="203">
        <f ca="1">COUNTIF(PTSexCat,"LGOO3BCM")</f>
        <v>0</v>
      </c>
      <c r="L83" s="204">
        <f ca="1">COUNTIF(PTSexCat,"LGOO3BCF")</f>
        <v>0</v>
      </c>
      <c r="M83" s="203">
        <f ca="1">COUNTIF(PTSexCat,"LGOO3ICM")</f>
        <v>0</v>
      </c>
      <c r="N83" s="204">
        <f ca="1">COUNTIF(PTSexCat,"LGOO3ICF")</f>
        <v>0</v>
      </c>
      <c r="O83" s="203">
        <f ca="1">COUNTIF(PTSexCat,"LGOO3KCM")</f>
        <v>0</v>
      </c>
      <c r="P83" s="204">
        <f ca="1">COUNTIF(PTSexCat,"LGOO3KCF")</f>
        <v>0</v>
      </c>
      <c r="Q83" s="203">
        <f ca="1">COUNTIF(PTSexCat,"LGOO3MPCM")</f>
        <v>0</v>
      </c>
      <c r="R83" s="204">
        <f ca="1">COUNTIF(PTSexCat,"LGOO3MPCF")</f>
        <v>0</v>
      </c>
      <c r="S83" s="203">
        <f t="shared" ca="1" si="14"/>
        <v>0</v>
      </c>
      <c r="T83" s="203" t="e">
        <f>SUM(#REF!,#REF!,#REF!,#REF!,#REF!,#REF!,#REF!,#REF!)</f>
        <v>#REF!</v>
      </c>
      <c r="U83" s="203">
        <f t="shared" ca="1" si="15"/>
        <v>0</v>
      </c>
      <c r="V83" s="225">
        <f t="shared" ca="1" si="16"/>
        <v>0</v>
      </c>
    </row>
    <row r="84" spans="1:22" ht="15.6">
      <c r="A84" s="220" t="s">
        <v>3098</v>
      </c>
      <c r="C84" s="203">
        <f ca="1">COUNTIF(PTSexCat,"LGOO3RDM")</f>
        <v>0</v>
      </c>
      <c r="D84" s="204">
        <f ca="1">COUNTIF(PTSexCat,"LGOO3RDF")</f>
        <v>0</v>
      </c>
      <c r="E84" s="203">
        <f ca="1">COUNTIF(PTSexCat,"LGOO3AbDM")</f>
        <v>0</v>
      </c>
      <c r="F84" s="204">
        <f ca="1">COUNTIF(PTSexCat,"LGOO3AbDF")</f>
        <v>0</v>
      </c>
      <c r="G84" s="203">
        <f ca="1">COUNTIF(PTSexCat,"LGOO3ApDM")</f>
        <v>0</v>
      </c>
      <c r="H84" s="204">
        <f ca="1">COUNTIF(PTSexCat,"LGOO3ApDF")</f>
        <v>0</v>
      </c>
      <c r="I84" s="203">
        <f ca="1">COUNTIF(PTSexCat,"LGOO3BCDM")</f>
        <v>0</v>
      </c>
      <c r="J84" s="204">
        <f ca="1">COUNTIF(PTSexCat,"LGOO3BCDF")</f>
        <v>0</v>
      </c>
      <c r="K84" s="203">
        <f ca="1">COUNTIF(PTSexCat,"LGOO3BDM")</f>
        <v>0</v>
      </c>
      <c r="L84" s="204">
        <f ca="1">COUNTIF(PTSexCat,"LGOO3BDF")</f>
        <v>0</v>
      </c>
      <c r="M84" s="203">
        <f ca="1">COUNTIF(PTSexCat,"LGOO3IDM")</f>
        <v>0</v>
      </c>
      <c r="N84" s="204">
        <f ca="1">COUNTIF(PTSexCat,"LGOO3IDF")</f>
        <v>0</v>
      </c>
      <c r="O84" s="203">
        <f ca="1">COUNTIF(PTSexCat,"LGOO3KDM")</f>
        <v>0</v>
      </c>
      <c r="P84" s="204">
        <f ca="1">COUNTIF(PTSexCat,"LGOO3KDF")</f>
        <v>0</v>
      </c>
      <c r="Q84" s="203">
        <f ca="1">COUNTIF(PTSexCat,"LGOO3MPDM")</f>
        <v>0</v>
      </c>
      <c r="R84" s="204">
        <f ca="1">COUNTIF(PTSexCat,"LGOO3MPDF")</f>
        <v>0</v>
      </c>
      <c r="S84" s="203">
        <f t="shared" ca="1" si="14"/>
        <v>0</v>
      </c>
      <c r="T84" s="203" t="e">
        <f>SUM(#REF!,#REF!,#REF!,#REF!,#REF!,#REF!,#REF!,#REF!)</f>
        <v>#REF!</v>
      </c>
      <c r="U84" s="203">
        <f t="shared" ca="1" si="15"/>
        <v>0</v>
      </c>
      <c r="V84" s="225">
        <f t="shared" ca="1" si="16"/>
        <v>0</v>
      </c>
    </row>
    <row r="85" spans="1:22" ht="15.6">
      <c r="A85" s="221" t="s">
        <v>3099</v>
      </c>
      <c r="C85" s="203">
        <f ca="1">COUNTIF(PTSexCat,"LGOO3REM")</f>
        <v>0</v>
      </c>
      <c r="D85" s="204">
        <f ca="1">COUNTIF(PTSexCat,"LGOO3REF")</f>
        <v>0</v>
      </c>
      <c r="E85" s="203">
        <f ca="1">COUNTIF(PTSexCat,"LGOO3AbEM")</f>
        <v>0</v>
      </c>
      <c r="F85" s="204">
        <f ca="1">COUNTIF(PTSexCat,"LGOO3AbEF")</f>
        <v>0</v>
      </c>
      <c r="G85" s="203">
        <f ca="1">COUNTIF(PTSexCat,"LGOO3ApEM")</f>
        <v>0</v>
      </c>
      <c r="H85" s="204">
        <f ca="1">COUNTIF(PTSexCat,"LGOO3ApEF")</f>
        <v>0</v>
      </c>
      <c r="I85" s="203">
        <f ca="1">COUNTIF(PTSexCat,"LGOO3BCEM")</f>
        <v>0</v>
      </c>
      <c r="J85" s="204">
        <f ca="1">COUNTIF(PTSexCat,"LGOO3BCEF")</f>
        <v>0</v>
      </c>
      <c r="K85" s="203">
        <f ca="1">COUNTIF(PTSexCat,"LGOO3BEM")</f>
        <v>0</v>
      </c>
      <c r="L85" s="204">
        <f ca="1">COUNTIF(PTSexCat,"LGOO3BEF")</f>
        <v>0</v>
      </c>
      <c r="M85" s="203">
        <f ca="1">COUNTIF(PTSexCat,"LGOO3IEM")</f>
        <v>0</v>
      </c>
      <c r="N85" s="204">
        <f ca="1">COUNTIF(PTSexCat,"LGOO3IEF")</f>
        <v>0</v>
      </c>
      <c r="O85" s="203">
        <f ca="1">COUNTIF(PTSexCat,"LGOO3KEM")</f>
        <v>0</v>
      </c>
      <c r="P85" s="204">
        <f ca="1">COUNTIF(PTSexCat,"LGOO3KEF")</f>
        <v>0</v>
      </c>
      <c r="Q85" s="203">
        <f ca="1">COUNTIF(PTSexCat,"LGOO3MPEM")</f>
        <v>0</v>
      </c>
      <c r="R85" s="204">
        <f ca="1">COUNTIF(PTSexCat,"LGOO3MPEF")</f>
        <v>0</v>
      </c>
      <c r="S85" s="203">
        <f t="shared" ca="1" si="14"/>
        <v>0</v>
      </c>
      <c r="T85" s="203" t="e">
        <f>SUM(#REF!,#REF!,#REF!,#REF!,#REF!,#REF!,#REF!,#REF!)</f>
        <v>#REF!</v>
      </c>
      <c r="U85" s="203">
        <f t="shared" ca="1" si="15"/>
        <v>0</v>
      </c>
      <c r="V85" s="225">
        <f t="shared" ca="1" si="16"/>
        <v>0</v>
      </c>
    </row>
    <row r="87" spans="1:22" s="193" customFormat="1" ht="21.6" customHeight="1">
      <c r="A87" s="201" t="s">
        <v>1074</v>
      </c>
      <c r="B87" s="202">
        <v>13</v>
      </c>
      <c r="C87" s="203">
        <f>COUNTIF(PosStSex,"LGOO2RM")</f>
        <v>0</v>
      </c>
      <c r="D87" s="204">
        <f>COUNTIF(PosStSex,"LGOO2RF")</f>
        <v>0</v>
      </c>
      <c r="E87" s="203">
        <f>COUNTIF(PosStSex,"LGOO2AbM")</f>
        <v>3</v>
      </c>
      <c r="F87" s="204">
        <f>COUNTIF(PosStSex,"LGOO2AbF")</f>
        <v>2</v>
      </c>
      <c r="G87" s="203">
        <f>COUNTIF(PosStSex,"LGOO2ApM")</f>
        <v>2</v>
      </c>
      <c r="H87" s="204">
        <f>COUNTIF(PosStSex,"LGOO2ApF")</f>
        <v>1</v>
      </c>
      <c r="I87" s="203">
        <f>COUNTIF(PosStSex,"LGOO2BCM")</f>
        <v>0</v>
      </c>
      <c r="J87" s="204">
        <f>COUNTIF(PosStSex,"LGOO2BCF")</f>
        <v>0</v>
      </c>
      <c r="K87" s="203">
        <f>COUNTIF(PosStSex,"LGOO2BM")</f>
        <v>1</v>
      </c>
      <c r="L87" s="204">
        <f>COUNTIF(PosStSex,"LGOO2BF")</f>
        <v>1</v>
      </c>
      <c r="M87" s="203">
        <f>COUNTIF(PosStSex,"LGOO2IM")</f>
        <v>2</v>
      </c>
      <c r="N87" s="204">
        <f>COUNTIF(PosStSex,"LGOO2IF")</f>
        <v>1</v>
      </c>
      <c r="O87" s="203">
        <f>COUNTIF(PosStSex,"LGOO2KM")</f>
        <v>1</v>
      </c>
      <c r="P87" s="204">
        <f>COUNTIF(PosStSex,"LGOO2KF")</f>
        <v>1</v>
      </c>
      <c r="Q87" s="203">
        <f>COUNTIF(PosStSex,"LGOO2MPM")</f>
        <v>0</v>
      </c>
      <c r="R87" s="204">
        <f>COUNTIF(PosStSex,"LGOO2MPF")</f>
        <v>3</v>
      </c>
      <c r="S87" s="203">
        <f t="shared" ref="S87:S92" si="17">SUM(C87,E87,G87,I87,K87,M87,O87,Q87)</f>
        <v>9</v>
      </c>
      <c r="T87" s="203" t="e">
        <f>SUM(#REF!,#REF!,#REF!,#REF!,#REF!,#REF!,#REF!,#REF!)</f>
        <v>#REF!</v>
      </c>
      <c r="U87" s="203">
        <f t="shared" ref="U87:U92" si="18">SUM(D87,F87,H87,J87,L87,N87,P87,R87)</f>
        <v>9</v>
      </c>
      <c r="V87" s="225">
        <f t="shared" ref="V87:V92" si="19">+S87+U87</f>
        <v>18</v>
      </c>
    </row>
    <row r="88" spans="1:22" ht="15.6">
      <c r="A88" s="219" t="s">
        <v>3095</v>
      </c>
      <c r="C88" s="203">
        <f ca="1">COUNTIF(PTSexCat,"LGOO2RAM")</f>
        <v>0</v>
      </c>
      <c r="D88" s="204">
        <f ca="1">COUNTIF(PTSexCat,"LGOO2RAF")</f>
        <v>0</v>
      </c>
      <c r="E88" s="203">
        <f ca="1">COUNTIF(PTSexCat,"LGOO2AbAM")</f>
        <v>0</v>
      </c>
      <c r="F88" s="204">
        <f ca="1">COUNTIF(PTSexCat,"LGOO2AbAF")</f>
        <v>0</v>
      </c>
      <c r="G88" s="203">
        <f ca="1">COUNTIF(PTSexCat,"LGOO2ApAM")</f>
        <v>0</v>
      </c>
      <c r="H88" s="204">
        <f ca="1">COUNTIF(PTSexCat,"LGOO2ApAF")</f>
        <v>0</v>
      </c>
      <c r="I88" s="203">
        <f ca="1">COUNTIF(PTSexCat,"LGOO2BCAM")</f>
        <v>0</v>
      </c>
      <c r="J88" s="204">
        <f ca="1">COUNTIF(PTSexCat,"LGOO2BCAF")</f>
        <v>0</v>
      </c>
      <c r="K88" s="203">
        <f ca="1">COUNTIF(PTSexCat,"LGOO2BAM")</f>
        <v>0</v>
      </c>
      <c r="L88" s="204">
        <f ca="1">COUNTIF(PTSexCat,"LGOO2BAF")</f>
        <v>0</v>
      </c>
      <c r="M88" s="203">
        <f ca="1">COUNTIF(PTSexCat,"LGOO2IAM")</f>
        <v>0</v>
      </c>
      <c r="N88" s="204">
        <f ca="1">COUNTIF(PTSexCat,"LGOO2IAF")</f>
        <v>0</v>
      </c>
      <c r="O88" s="203">
        <f ca="1">COUNTIF(PTSexCat,"LGOO2KAM")</f>
        <v>0</v>
      </c>
      <c r="P88" s="204">
        <f ca="1">COUNTIF(PTSexCat,"LGOO2KAF")</f>
        <v>0</v>
      </c>
      <c r="Q88" s="203">
        <f ca="1">COUNTIF(PTSexCat,"LGOO2MPAM")</f>
        <v>0</v>
      </c>
      <c r="R88" s="204">
        <f ca="1">COUNTIF(PTSexCat,"LGOO2MPAF")</f>
        <v>0</v>
      </c>
      <c r="S88" s="203">
        <f t="shared" ca="1" si="17"/>
        <v>0</v>
      </c>
      <c r="T88" s="203" t="e">
        <f>SUM(#REF!,#REF!,#REF!,#REF!,#REF!,#REF!,#REF!,#REF!)</f>
        <v>#REF!</v>
      </c>
      <c r="U88" s="203">
        <f t="shared" ca="1" si="18"/>
        <v>0</v>
      </c>
      <c r="V88" s="225">
        <f t="shared" ca="1" si="19"/>
        <v>0</v>
      </c>
    </row>
    <row r="89" spans="1:22" ht="15.6">
      <c r="A89" s="220" t="s">
        <v>3096</v>
      </c>
      <c r="C89" s="203">
        <f ca="1">COUNTIF(PTSexCat,"LGOO2RBM")</f>
        <v>0</v>
      </c>
      <c r="D89" s="204">
        <f ca="1">COUNTIF(PTSexCat,"LGOO2RBF")</f>
        <v>0</v>
      </c>
      <c r="E89" s="203">
        <f ca="1">COUNTIF(PTSexCat,"LGOO2AbBM")</f>
        <v>3</v>
      </c>
      <c r="F89" s="204">
        <f ca="1">COUNTIF(PTSexCat,"LGOO2AbBF")</f>
        <v>2</v>
      </c>
      <c r="G89" s="203">
        <f ca="1">COUNTIF(PTSexCat,"LGOO2ApBM")</f>
        <v>0</v>
      </c>
      <c r="H89" s="204">
        <f ca="1">COUNTIF(PTSexCat,"LGOO2ApBF")</f>
        <v>1</v>
      </c>
      <c r="I89" s="203">
        <f ca="1">COUNTIF(PTSexCat,"LGOO2BCBM")</f>
        <v>0</v>
      </c>
      <c r="J89" s="204">
        <f ca="1">COUNTIF(PTSexCat,"LGOO2BCBF")</f>
        <v>0</v>
      </c>
      <c r="K89" s="203">
        <f ca="1">COUNTIF(PTSexCat,"LGOO2BBM")</f>
        <v>1</v>
      </c>
      <c r="L89" s="204">
        <f ca="1">COUNTIF(PTSexCat,"LGOO2BBF")</f>
        <v>1</v>
      </c>
      <c r="M89" s="203">
        <f ca="1">COUNTIF(PTSexCat,"LGOO2IBM")</f>
        <v>1</v>
      </c>
      <c r="N89" s="204">
        <f ca="1">COUNTIF(PTSexCat,"LGOO2IBF")</f>
        <v>0</v>
      </c>
      <c r="O89" s="203">
        <f ca="1">COUNTIF(PTSexCat,"LGOO2KBM")</f>
        <v>0</v>
      </c>
      <c r="P89" s="204">
        <f ca="1">COUNTIF(PTSexCat,"LGOO2KBF")</f>
        <v>1</v>
      </c>
      <c r="Q89" s="203">
        <f ca="1">COUNTIF(PTSexCat,"LGOO2MPBM")</f>
        <v>0</v>
      </c>
      <c r="R89" s="204">
        <f ca="1">COUNTIF(PTSexCat,"LGOO2MPBF")</f>
        <v>3</v>
      </c>
      <c r="S89" s="203">
        <f t="shared" ca="1" si="17"/>
        <v>5</v>
      </c>
      <c r="T89" s="203" t="e">
        <f>SUM(#REF!,#REF!,#REF!,#REF!,#REF!,#REF!,#REF!,#REF!)</f>
        <v>#REF!</v>
      </c>
      <c r="U89" s="203">
        <f t="shared" ca="1" si="18"/>
        <v>8</v>
      </c>
      <c r="V89" s="225">
        <f t="shared" ca="1" si="19"/>
        <v>13</v>
      </c>
    </row>
    <row r="90" spans="1:22" ht="15.6">
      <c r="A90" s="220" t="s">
        <v>3097</v>
      </c>
      <c r="C90" s="203">
        <f ca="1">COUNTIF(PTSexCat,"LGOO2RCM")</f>
        <v>0</v>
      </c>
      <c r="D90" s="204">
        <f ca="1">COUNTIF(PTSexCat,"LGOO2RCF")</f>
        <v>0</v>
      </c>
      <c r="E90" s="203">
        <f ca="1">COUNTIF(PTSexCat,"LGOO2AbCM")</f>
        <v>0</v>
      </c>
      <c r="F90" s="204">
        <f ca="1">COUNTIF(PTSexCat,"LGOO2AbCF")</f>
        <v>0</v>
      </c>
      <c r="G90" s="203">
        <f ca="1">COUNTIF(PTSexCat,"LGOO2ApCM")</f>
        <v>2</v>
      </c>
      <c r="H90" s="204">
        <f ca="1">COUNTIF(PTSexCat,"LGOO2ApCF")</f>
        <v>0</v>
      </c>
      <c r="I90" s="203">
        <f ca="1">COUNTIF(PTSexCat,"LGOO2BCCM")</f>
        <v>0</v>
      </c>
      <c r="J90" s="204">
        <f ca="1">COUNTIF(PTSexCat,"LGOO2BCCF")</f>
        <v>0</v>
      </c>
      <c r="K90" s="203">
        <f ca="1">COUNTIF(PTSexCat,"LGOO2BCM")</f>
        <v>0</v>
      </c>
      <c r="L90" s="204">
        <f ca="1">COUNTIF(PTSexCat,"LGOO2BCF")</f>
        <v>0</v>
      </c>
      <c r="M90" s="203">
        <f ca="1">COUNTIF(PTSexCat,"LGOO2ICM")</f>
        <v>1</v>
      </c>
      <c r="N90" s="204">
        <f ca="1">COUNTIF(PTSexCat,"LGOO2ICF")</f>
        <v>1</v>
      </c>
      <c r="O90" s="203">
        <f ca="1">COUNTIF(PTSexCat,"LGOO2KCM")</f>
        <v>1</v>
      </c>
      <c r="P90" s="204">
        <f ca="1">COUNTIF(PTSexCat,"LGOO2KCF")</f>
        <v>0</v>
      </c>
      <c r="Q90" s="203">
        <f ca="1">COUNTIF(PTSexCat,"LGOO2MPCM")</f>
        <v>0</v>
      </c>
      <c r="R90" s="204">
        <f ca="1">COUNTIF(PTSexCat,"LGOO2MPCF")</f>
        <v>0</v>
      </c>
      <c r="S90" s="203">
        <f t="shared" ca="1" si="17"/>
        <v>4</v>
      </c>
      <c r="T90" s="203" t="e">
        <f>SUM(#REF!,#REF!,#REF!,#REF!,#REF!,#REF!,#REF!,#REF!)</f>
        <v>#REF!</v>
      </c>
      <c r="U90" s="203">
        <f t="shared" ca="1" si="18"/>
        <v>1</v>
      </c>
      <c r="V90" s="225">
        <f t="shared" ca="1" si="19"/>
        <v>5</v>
      </c>
    </row>
    <row r="91" spans="1:22" ht="15.6">
      <c r="A91" s="220" t="s">
        <v>3098</v>
      </c>
      <c r="C91" s="203">
        <f ca="1">COUNTIF(PTSexCat,"LGOO2RDM")</f>
        <v>0</v>
      </c>
      <c r="D91" s="204">
        <f ca="1">COUNTIF(PTSexCat,"LGOO2RDF")</f>
        <v>0</v>
      </c>
      <c r="E91" s="203">
        <f ca="1">COUNTIF(PTSexCat,"LGOO2AbDM")</f>
        <v>0</v>
      </c>
      <c r="F91" s="204">
        <f ca="1">COUNTIF(PTSexCat,"LGOO2AbDF")</f>
        <v>0</v>
      </c>
      <c r="G91" s="203">
        <f ca="1">COUNTIF(PTSexCat,"LGOO2ApDM")</f>
        <v>0</v>
      </c>
      <c r="H91" s="204">
        <f ca="1">COUNTIF(PTSexCat,"LGOO2ApDF")</f>
        <v>0</v>
      </c>
      <c r="I91" s="203">
        <f ca="1">COUNTIF(PTSexCat,"LGOO2BCDM")</f>
        <v>0</v>
      </c>
      <c r="J91" s="204">
        <f ca="1">COUNTIF(PTSexCat,"LGOO2BCDF")</f>
        <v>0</v>
      </c>
      <c r="K91" s="203">
        <f ca="1">COUNTIF(PTSexCat,"LGOO2BDM")</f>
        <v>0</v>
      </c>
      <c r="L91" s="204">
        <f ca="1">COUNTIF(PTSexCat,"LGOO2BDF")</f>
        <v>0</v>
      </c>
      <c r="M91" s="203">
        <f ca="1">COUNTIF(PTSexCat,"LGOO2IDM")</f>
        <v>0</v>
      </c>
      <c r="N91" s="204">
        <f ca="1">COUNTIF(PTSexCat,"LGOO2IDF")</f>
        <v>0</v>
      </c>
      <c r="O91" s="203">
        <f ca="1">COUNTIF(PTSexCat,"LGOO2KDM")</f>
        <v>0</v>
      </c>
      <c r="P91" s="204">
        <f ca="1">COUNTIF(PTSexCat,"LGOO2KDF")</f>
        <v>0</v>
      </c>
      <c r="Q91" s="203">
        <f ca="1">COUNTIF(PTSexCat,"LGOO2MPDM")</f>
        <v>0</v>
      </c>
      <c r="R91" s="204">
        <f ca="1">COUNTIF(PTSexCat,"LGOO2MPDF")</f>
        <v>0</v>
      </c>
      <c r="S91" s="203">
        <f t="shared" ca="1" si="17"/>
        <v>0</v>
      </c>
      <c r="T91" s="203" t="e">
        <f>SUM(#REF!,#REF!,#REF!,#REF!,#REF!,#REF!,#REF!,#REF!)</f>
        <v>#REF!</v>
      </c>
      <c r="U91" s="203">
        <f t="shared" ca="1" si="18"/>
        <v>0</v>
      </c>
      <c r="V91" s="225">
        <f t="shared" ca="1" si="19"/>
        <v>0</v>
      </c>
    </row>
    <row r="92" spans="1:22" ht="15.6">
      <c r="A92" s="221" t="s">
        <v>3099</v>
      </c>
      <c r="C92" s="203">
        <f ca="1">COUNTIF(PTSexCat,"LGOO2REM")</f>
        <v>0</v>
      </c>
      <c r="D92" s="204">
        <f ca="1">COUNTIF(PTSexCat,"LGOO2REF")</f>
        <v>0</v>
      </c>
      <c r="E92" s="203">
        <f ca="1">COUNTIF(PTSexCat,"LGOO2AbEM")</f>
        <v>0</v>
      </c>
      <c r="F92" s="204">
        <f ca="1">COUNTIF(PTSexCat,"LGOO2AbEF")</f>
        <v>0</v>
      </c>
      <c r="G92" s="203">
        <f ca="1">COUNTIF(PTSexCat,"LGOO2ApEM")</f>
        <v>0</v>
      </c>
      <c r="H92" s="204">
        <f ca="1">COUNTIF(PTSexCat,"LGOO2ApEF")</f>
        <v>0</v>
      </c>
      <c r="I92" s="203">
        <f ca="1">COUNTIF(PTSexCat,"LGOO2BCEM")</f>
        <v>0</v>
      </c>
      <c r="J92" s="204">
        <f ca="1">COUNTIF(PTSexCat,"LGOO2BCEF")</f>
        <v>0</v>
      </c>
      <c r="K92" s="203">
        <f ca="1">COUNTIF(PTSexCat,"LGOO2BEM")</f>
        <v>0</v>
      </c>
      <c r="L92" s="204">
        <f ca="1">COUNTIF(PTSexCat,"LGOO2BEF")</f>
        <v>0</v>
      </c>
      <c r="M92" s="203">
        <f ca="1">COUNTIF(PTSexCat,"LGOO2IEM")</f>
        <v>0</v>
      </c>
      <c r="N92" s="204">
        <f ca="1">COUNTIF(PTSexCat,"LGOO2IEF")</f>
        <v>0</v>
      </c>
      <c r="O92" s="203">
        <f ca="1">COUNTIF(PTSexCat,"LGOO2KEM")</f>
        <v>0</v>
      </c>
      <c r="P92" s="204">
        <f ca="1">COUNTIF(PTSexCat,"LGOO2KEF")</f>
        <v>0</v>
      </c>
      <c r="Q92" s="203">
        <f ca="1">COUNTIF(PTSexCat,"LGOO2MPEM")</f>
        <v>0</v>
      </c>
      <c r="R92" s="204">
        <f ca="1">COUNTIF(PTSexCat,"LGOO2MPEF")</f>
        <v>0</v>
      </c>
      <c r="S92" s="203">
        <f t="shared" ca="1" si="17"/>
        <v>0</v>
      </c>
      <c r="T92" s="203" t="e">
        <f>SUM(#REF!,#REF!,#REF!,#REF!,#REF!,#REF!,#REF!,#REF!)</f>
        <v>#REF!</v>
      </c>
      <c r="U92" s="203">
        <f t="shared" ca="1" si="18"/>
        <v>0</v>
      </c>
      <c r="V92" s="225">
        <f t="shared" ca="1" si="19"/>
        <v>0</v>
      </c>
    </row>
  </sheetData>
  <sheetProtection password="DDCD" sheet="1" formatCells="0" formatColumns="0" formatRows="0" insertColumns="0" insertRows="0" insertHyperlinks="0" deleteColumns="0" deleteRows="0" sort="0" autoFilter="0" pivotTables="0"/>
  <mergeCells count="26">
    <mergeCell ref="E42:F42"/>
    <mergeCell ref="G42:H42"/>
    <mergeCell ref="I42:J42"/>
    <mergeCell ref="K42:L42"/>
    <mergeCell ref="A1:V1"/>
    <mergeCell ref="A2:V2"/>
    <mergeCell ref="C4:D4"/>
    <mergeCell ref="E4:F4"/>
    <mergeCell ref="G4:H4"/>
    <mergeCell ref="I4:J4"/>
    <mergeCell ref="K4:L4"/>
    <mergeCell ref="M4:N4"/>
    <mergeCell ref="O4:P4"/>
    <mergeCell ref="Q4:R4"/>
    <mergeCell ref="S4:U4"/>
    <mergeCell ref="V4:V5"/>
    <mergeCell ref="A4:A5"/>
    <mergeCell ref="A42:A43"/>
    <mergeCell ref="B4:B5"/>
    <mergeCell ref="B42:B43"/>
    <mergeCell ref="C42:D42"/>
    <mergeCell ref="V42:V43"/>
    <mergeCell ref="M42:N42"/>
    <mergeCell ref="O42:P42"/>
    <mergeCell ref="Q42:R42"/>
    <mergeCell ref="S42:U42"/>
  </mergeCells>
  <conditionalFormatting sqref="C6:C35">
    <cfRule type="cellIs" dxfId="248" priority="443" operator="greaterThan">
      <formula>0</formula>
    </cfRule>
    <cfRule type="cellIs" dxfId="247" priority="445" operator="greaterThan">
      <formula>0</formula>
    </cfRule>
  </conditionalFormatting>
  <conditionalFormatting sqref="C45:C50">
    <cfRule type="cellIs" dxfId="246" priority="111" operator="greaterThan">
      <formula>0</formula>
    </cfRule>
    <cfRule type="cellIs" dxfId="245" priority="113" operator="greaterThan">
      <formula>0</formula>
    </cfRule>
  </conditionalFormatting>
  <conditionalFormatting sqref="C52:C57">
    <cfRule type="cellIs" dxfId="244" priority="139" operator="greaterThan">
      <formula>0</formula>
    </cfRule>
    <cfRule type="cellIs" dxfId="243" priority="141" operator="greaterThan">
      <formula>0</formula>
    </cfRule>
  </conditionalFormatting>
  <conditionalFormatting sqref="C59:C64">
    <cfRule type="cellIs" dxfId="242" priority="251" operator="greaterThan">
      <formula>0</formula>
    </cfRule>
    <cfRule type="cellIs" dxfId="241" priority="253" operator="greaterThan">
      <formula>0</formula>
    </cfRule>
  </conditionalFormatting>
  <conditionalFormatting sqref="C66:C71">
    <cfRule type="cellIs" dxfId="240" priority="363" operator="greaterThan">
      <formula>0</formula>
    </cfRule>
    <cfRule type="cellIs" dxfId="239" priority="365" operator="greaterThan">
      <formula>0</formula>
    </cfRule>
  </conditionalFormatting>
  <conditionalFormatting sqref="C73:C78">
    <cfRule type="cellIs" dxfId="238" priority="83" operator="greaterThan">
      <formula>0</formula>
    </cfRule>
    <cfRule type="cellIs" dxfId="237" priority="85" operator="greaterThan">
      <formula>0</formula>
    </cfRule>
  </conditionalFormatting>
  <conditionalFormatting sqref="C80:C85">
    <cfRule type="cellIs" dxfId="236" priority="27" operator="greaterThan">
      <formula>0</formula>
    </cfRule>
    <cfRule type="cellIs" dxfId="235" priority="29" operator="greaterThan">
      <formula>0</formula>
    </cfRule>
  </conditionalFormatting>
  <conditionalFormatting sqref="C87:C92">
    <cfRule type="cellIs" dxfId="234" priority="307" operator="greaterThan">
      <formula>0</formula>
    </cfRule>
    <cfRule type="cellIs" dxfId="233" priority="309" operator="greaterThan">
      <formula>0</formula>
    </cfRule>
  </conditionalFormatting>
  <conditionalFormatting sqref="C6:V34 C45:V50 C52:V57 C59:V64 C66:V71 C73:V78 C80:V85 C87:V92">
    <cfRule type="cellIs" dxfId="232" priority="1" operator="between">
      <formula>0.01</formula>
      <formula>-0.01</formula>
    </cfRule>
  </conditionalFormatting>
  <conditionalFormatting sqref="D6:D35">
    <cfRule type="cellIs" dxfId="231" priority="444" operator="greaterThan">
      <formula>0</formula>
    </cfRule>
  </conditionalFormatting>
  <conditionalFormatting sqref="D45:D50">
    <cfRule type="cellIs" dxfId="230" priority="112" operator="greaterThan">
      <formula>0</formula>
    </cfRule>
  </conditionalFormatting>
  <conditionalFormatting sqref="D52:D57">
    <cfRule type="cellIs" dxfId="229" priority="140" operator="greaterThan">
      <formula>0</formula>
    </cfRule>
  </conditionalFormatting>
  <conditionalFormatting sqref="D59:D64">
    <cfRule type="cellIs" dxfId="228" priority="252" operator="greaterThan">
      <formula>0</formula>
    </cfRule>
  </conditionalFormatting>
  <conditionalFormatting sqref="D66:D71">
    <cfRule type="cellIs" dxfId="227" priority="364" operator="greaterThan">
      <formula>0</formula>
    </cfRule>
  </conditionalFormatting>
  <conditionalFormatting sqref="D73:D78">
    <cfRule type="cellIs" dxfId="226" priority="84" operator="greaterThan">
      <formula>0</formula>
    </cfRule>
  </conditionalFormatting>
  <conditionalFormatting sqref="D80:D85">
    <cfRule type="cellIs" dxfId="225" priority="28" operator="greaterThan">
      <formula>0</formula>
    </cfRule>
  </conditionalFormatting>
  <conditionalFormatting sqref="D87:D92">
    <cfRule type="cellIs" dxfId="224" priority="308" operator="greaterThan">
      <formula>0</formula>
    </cfRule>
  </conditionalFormatting>
  <conditionalFormatting sqref="E6:E35">
    <cfRule type="cellIs" dxfId="223" priority="440" operator="greaterThan">
      <formula>0</formula>
    </cfRule>
    <cfRule type="cellIs" dxfId="222" priority="442" operator="greaterThan">
      <formula>0</formula>
    </cfRule>
  </conditionalFormatting>
  <conditionalFormatting sqref="E45:E50">
    <cfRule type="cellIs" dxfId="221" priority="108" operator="greaterThan">
      <formula>0</formula>
    </cfRule>
    <cfRule type="cellIs" dxfId="220" priority="110" operator="greaterThan">
      <formula>0</formula>
    </cfRule>
  </conditionalFormatting>
  <conditionalFormatting sqref="E52:E57">
    <cfRule type="cellIs" dxfId="219" priority="136" operator="greaterThan">
      <formula>0</formula>
    </cfRule>
    <cfRule type="cellIs" dxfId="218" priority="138" operator="greaterThan">
      <formula>0</formula>
    </cfRule>
  </conditionalFormatting>
  <conditionalFormatting sqref="E59:E64">
    <cfRule type="cellIs" dxfId="217" priority="248" operator="greaterThan">
      <formula>0</formula>
    </cfRule>
    <cfRule type="cellIs" dxfId="216" priority="250" operator="greaterThan">
      <formula>0</formula>
    </cfRule>
  </conditionalFormatting>
  <conditionalFormatting sqref="E66:E71">
    <cfRule type="cellIs" dxfId="215" priority="360" operator="greaterThan">
      <formula>0</formula>
    </cfRule>
    <cfRule type="cellIs" dxfId="214" priority="362" operator="greaterThan">
      <formula>0</formula>
    </cfRule>
  </conditionalFormatting>
  <conditionalFormatting sqref="E73:E78">
    <cfRule type="cellIs" dxfId="213" priority="80" operator="greaterThan">
      <formula>0</formula>
    </cfRule>
    <cfRule type="cellIs" dxfId="212" priority="82" operator="greaterThan">
      <formula>0</formula>
    </cfRule>
  </conditionalFormatting>
  <conditionalFormatting sqref="E80:E85">
    <cfRule type="cellIs" dxfId="211" priority="24" operator="greaterThan">
      <formula>0</formula>
    </cfRule>
    <cfRule type="cellIs" dxfId="210" priority="26" operator="greaterThan">
      <formula>0</formula>
    </cfRule>
  </conditionalFormatting>
  <conditionalFormatting sqref="E87:E92">
    <cfRule type="cellIs" dxfId="209" priority="304" operator="greaterThan">
      <formula>0</formula>
    </cfRule>
    <cfRule type="cellIs" dxfId="208" priority="306" operator="greaterThan">
      <formula>0</formula>
    </cfRule>
  </conditionalFormatting>
  <conditionalFormatting sqref="F6:F35">
    <cfRule type="cellIs" dxfId="207" priority="441" operator="greaterThan">
      <formula>0</formula>
    </cfRule>
  </conditionalFormatting>
  <conditionalFormatting sqref="F45:F50">
    <cfRule type="cellIs" dxfId="206" priority="109" operator="greaterThan">
      <formula>0</formula>
    </cfRule>
  </conditionalFormatting>
  <conditionalFormatting sqref="F52:F57">
    <cfRule type="cellIs" dxfId="205" priority="137" operator="greaterThan">
      <formula>0</formula>
    </cfRule>
  </conditionalFormatting>
  <conditionalFormatting sqref="F59:F64">
    <cfRule type="cellIs" dxfId="204" priority="249" operator="greaterThan">
      <formula>0</formula>
    </cfRule>
  </conditionalFormatting>
  <conditionalFormatting sqref="F66:F71">
    <cfRule type="cellIs" dxfId="203" priority="361" operator="greaterThan">
      <formula>0</formula>
    </cfRule>
  </conditionalFormatting>
  <conditionalFormatting sqref="F73:F78">
    <cfRule type="cellIs" dxfId="202" priority="81" operator="greaterThan">
      <formula>0</formula>
    </cfRule>
  </conditionalFormatting>
  <conditionalFormatting sqref="F80:F85">
    <cfRule type="cellIs" dxfId="201" priority="25" operator="greaterThan">
      <formula>0</formula>
    </cfRule>
  </conditionalFormatting>
  <conditionalFormatting sqref="F87:F92">
    <cfRule type="cellIs" dxfId="200" priority="305" operator="greaterThan">
      <formula>0</formula>
    </cfRule>
  </conditionalFormatting>
  <conditionalFormatting sqref="G6:G35">
    <cfRule type="cellIs" dxfId="199" priority="409" operator="greaterThan">
      <formula>0</formula>
    </cfRule>
    <cfRule type="cellIs" dxfId="198" priority="411" operator="greaterThan">
      <formula>0</formula>
    </cfRule>
  </conditionalFormatting>
  <conditionalFormatting sqref="G45:G50">
    <cfRule type="cellIs" dxfId="197" priority="101" operator="greaterThan">
      <formula>0</formula>
    </cfRule>
    <cfRule type="cellIs" dxfId="196" priority="103" operator="greaterThan">
      <formula>0</formula>
    </cfRule>
  </conditionalFormatting>
  <conditionalFormatting sqref="G52:G57">
    <cfRule type="cellIs" dxfId="195" priority="129" operator="greaterThan">
      <formula>0</formula>
    </cfRule>
    <cfRule type="cellIs" dxfId="194" priority="131" operator="greaterThan">
      <formula>0</formula>
    </cfRule>
  </conditionalFormatting>
  <conditionalFormatting sqref="G59:G64">
    <cfRule type="cellIs" dxfId="193" priority="241" operator="greaterThan">
      <formula>0</formula>
    </cfRule>
    <cfRule type="cellIs" dxfId="192" priority="243" operator="greaterThan">
      <formula>0</formula>
    </cfRule>
  </conditionalFormatting>
  <conditionalFormatting sqref="G66:G71">
    <cfRule type="cellIs" dxfId="191" priority="353" operator="greaterThan">
      <formula>0</formula>
    </cfRule>
    <cfRule type="cellIs" dxfId="190" priority="355" operator="greaterThan">
      <formula>0</formula>
    </cfRule>
  </conditionalFormatting>
  <conditionalFormatting sqref="G73:G78">
    <cfRule type="cellIs" dxfId="189" priority="73" operator="greaterThan">
      <formula>0</formula>
    </cfRule>
    <cfRule type="cellIs" dxfId="188" priority="75" operator="greaterThan">
      <formula>0</formula>
    </cfRule>
  </conditionalFormatting>
  <conditionalFormatting sqref="G80:G85">
    <cfRule type="cellIs" dxfId="187" priority="17" operator="greaterThan">
      <formula>0</formula>
    </cfRule>
    <cfRule type="cellIs" dxfId="186" priority="19" operator="greaterThan">
      <formula>0</formula>
    </cfRule>
  </conditionalFormatting>
  <conditionalFormatting sqref="G87:G92">
    <cfRule type="cellIs" dxfId="185" priority="297" operator="greaterThan">
      <formula>0</formula>
    </cfRule>
    <cfRule type="cellIs" dxfId="184" priority="299" operator="greaterThan">
      <formula>0</formula>
    </cfRule>
  </conditionalFormatting>
  <conditionalFormatting sqref="H6:H35">
    <cfRule type="cellIs" dxfId="183" priority="410" operator="greaterThan">
      <formula>0</formula>
    </cfRule>
  </conditionalFormatting>
  <conditionalFormatting sqref="H45:H50">
    <cfRule type="cellIs" dxfId="182" priority="102" operator="greaterThan">
      <formula>0</formula>
    </cfRule>
  </conditionalFormatting>
  <conditionalFormatting sqref="H52:H57">
    <cfRule type="cellIs" dxfId="181" priority="130" operator="greaterThan">
      <formula>0</formula>
    </cfRule>
  </conditionalFormatting>
  <conditionalFormatting sqref="H59:H64">
    <cfRule type="cellIs" dxfId="180" priority="242" operator="greaterThan">
      <formula>0</formula>
    </cfRule>
  </conditionalFormatting>
  <conditionalFormatting sqref="H66:H71">
    <cfRule type="cellIs" dxfId="179" priority="354" operator="greaterThan">
      <formula>0</formula>
    </cfRule>
  </conditionalFormatting>
  <conditionalFormatting sqref="H73:H78">
    <cfRule type="cellIs" dxfId="178" priority="74" operator="greaterThan">
      <formula>0</formula>
    </cfRule>
  </conditionalFormatting>
  <conditionalFormatting sqref="H80:H85">
    <cfRule type="cellIs" dxfId="177" priority="18" operator="greaterThan">
      <formula>0</formula>
    </cfRule>
  </conditionalFormatting>
  <conditionalFormatting sqref="H87:H92">
    <cfRule type="cellIs" dxfId="176" priority="298" operator="greaterThan">
      <formula>0</formula>
    </cfRule>
  </conditionalFormatting>
  <conditionalFormatting sqref="I6:I35">
    <cfRule type="cellIs" dxfId="175" priority="406" operator="greaterThan">
      <formula>0</formula>
    </cfRule>
    <cfRule type="cellIs" dxfId="174" priority="408" operator="greaterThan">
      <formula>0</formula>
    </cfRule>
  </conditionalFormatting>
  <conditionalFormatting sqref="I45:I50">
    <cfRule type="cellIs" dxfId="173" priority="98" operator="greaterThan">
      <formula>0</formula>
    </cfRule>
    <cfRule type="cellIs" dxfId="172" priority="100" operator="greaterThan">
      <formula>0</formula>
    </cfRule>
  </conditionalFormatting>
  <conditionalFormatting sqref="I52:I57">
    <cfRule type="cellIs" dxfId="171" priority="126" operator="greaterThan">
      <formula>0</formula>
    </cfRule>
    <cfRule type="cellIs" dxfId="170" priority="128" operator="greaterThan">
      <formula>0</formula>
    </cfRule>
  </conditionalFormatting>
  <conditionalFormatting sqref="I59:I64">
    <cfRule type="cellIs" dxfId="169" priority="238" operator="greaterThan">
      <formula>0</formula>
    </cfRule>
    <cfRule type="cellIs" dxfId="168" priority="240" operator="greaterThan">
      <formula>0</formula>
    </cfRule>
  </conditionalFormatting>
  <conditionalFormatting sqref="I66:I71">
    <cfRule type="cellIs" dxfId="167" priority="350" operator="greaterThan">
      <formula>0</formula>
    </cfRule>
    <cfRule type="cellIs" dxfId="166" priority="352" operator="greaterThan">
      <formula>0</formula>
    </cfRule>
  </conditionalFormatting>
  <conditionalFormatting sqref="I73:I78">
    <cfRule type="cellIs" dxfId="165" priority="70" operator="greaterThan">
      <formula>0</formula>
    </cfRule>
    <cfRule type="cellIs" dxfId="164" priority="72" operator="greaterThan">
      <formula>0</formula>
    </cfRule>
  </conditionalFormatting>
  <conditionalFormatting sqref="I80:I85">
    <cfRule type="cellIs" dxfId="163" priority="14" operator="greaterThan">
      <formula>0</formula>
    </cfRule>
    <cfRule type="cellIs" dxfId="162" priority="16" operator="greaterThan">
      <formula>0</formula>
    </cfRule>
  </conditionalFormatting>
  <conditionalFormatting sqref="I87:I92">
    <cfRule type="cellIs" dxfId="161" priority="294" operator="greaterThan">
      <formula>0</formula>
    </cfRule>
    <cfRule type="cellIs" dxfId="160" priority="296" operator="greaterThan">
      <formula>0</formula>
    </cfRule>
  </conditionalFormatting>
  <conditionalFormatting sqref="J6:J35">
    <cfRule type="cellIs" dxfId="159" priority="407" operator="greaterThan">
      <formula>0</formula>
    </cfRule>
  </conditionalFormatting>
  <conditionalFormatting sqref="J45:J50">
    <cfRule type="cellIs" dxfId="158" priority="99" operator="greaterThan">
      <formula>0</formula>
    </cfRule>
  </conditionalFormatting>
  <conditionalFormatting sqref="J52:J57">
    <cfRule type="cellIs" dxfId="157" priority="127" operator="greaterThan">
      <formula>0</formula>
    </cfRule>
  </conditionalFormatting>
  <conditionalFormatting sqref="J59:J64">
    <cfRule type="cellIs" dxfId="156" priority="239" operator="greaterThan">
      <formula>0</formula>
    </cfRule>
  </conditionalFormatting>
  <conditionalFormatting sqref="J66:J71">
    <cfRule type="cellIs" dxfId="155" priority="351" operator="greaterThan">
      <formula>0</formula>
    </cfRule>
  </conditionalFormatting>
  <conditionalFormatting sqref="J73:J78">
    <cfRule type="cellIs" dxfId="154" priority="71" operator="greaterThan">
      <formula>0</formula>
    </cfRule>
  </conditionalFormatting>
  <conditionalFormatting sqref="J80:J85">
    <cfRule type="cellIs" dxfId="153" priority="15" operator="greaterThan">
      <formula>0</formula>
    </cfRule>
  </conditionalFormatting>
  <conditionalFormatting sqref="J87:J92">
    <cfRule type="cellIs" dxfId="152" priority="295" operator="greaterThan">
      <formula>0</formula>
    </cfRule>
  </conditionalFormatting>
  <conditionalFormatting sqref="K6:K35">
    <cfRule type="cellIs" dxfId="151" priority="403" operator="greaterThan">
      <formula>0</formula>
    </cfRule>
    <cfRule type="cellIs" dxfId="150" priority="405" operator="greaterThan">
      <formula>0</formula>
    </cfRule>
  </conditionalFormatting>
  <conditionalFormatting sqref="K45:K50">
    <cfRule type="cellIs" dxfId="149" priority="95" operator="greaterThan">
      <formula>0</formula>
    </cfRule>
    <cfRule type="cellIs" dxfId="148" priority="97" operator="greaterThan">
      <formula>0</formula>
    </cfRule>
  </conditionalFormatting>
  <conditionalFormatting sqref="K52:K57">
    <cfRule type="cellIs" dxfId="147" priority="123" operator="greaterThan">
      <formula>0</formula>
    </cfRule>
    <cfRule type="cellIs" dxfId="146" priority="125" operator="greaterThan">
      <formula>0</formula>
    </cfRule>
  </conditionalFormatting>
  <conditionalFormatting sqref="K59:K64">
    <cfRule type="cellIs" dxfId="145" priority="235" operator="greaterThan">
      <formula>0</formula>
    </cfRule>
    <cfRule type="cellIs" dxfId="144" priority="237" operator="greaterThan">
      <formula>0</formula>
    </cfRule>
  </conditionalFormatting>
  <conditionalFormatting sqref="K66:K71">
    <cfRule type="cellIs" dxfId="143" priority="347" operator="greaterThan">
      <formula>0</formula>
    </cfRule>
    <cfRule type="cellIs" dxfId="142" priority="349" operator="greaterThan">
      <formula>0</formula>
    </cfRule>
  </conditionalFormatting>
  <conditionalFormatting sqref="K73:K78">
    <cfRule type="cellIs" dxfId="141" priority="67" operator="greaterThan">
      <formula>0</formula>
    </cfRule>
    <cfRule type="cellIs" dxfId="140" priority="69" operator="greaterThan">
      <formula>0</formula>
    </cfRule>
  </conditionalFormatting>
  <conditionalFormatting sqref="K80:K85">
    <cfRule type="cellIs" dxfId="139" priority="11" operator="greaterThan">
      <formula>0</formula>
    </cfRule>
    <cfRule type="cellIs" dxfId="138" priority="13" operator="greaterThan">
      <formula>0</formula>
    </cfRule>
  </conditionalFormatting>
  <conditionalFormatting sqref="K87:K92">
    <cfRule type="cellIs" dxfId="137" priority="291" operator="greaterThan">
      <formula>0</formula>
    </cfRule>
    <cfRule type="cellIs" dxfId="136" priority="293" operator="greaterThan">
      <formula>0</formula>
    </cfRule>
  </conditionalFormatting>
  <conditionalFormatting sqref="L6:L35">
    <cfRule type="cellIs" dxfId="135" priority="404" operator="greaterThan">
      <formula>0</formula>
    </cfRule>
  </conditionalFormatting>
  <conditionalFormatting sqref="L45:L50">
    <cfRule type="cellIs" dxfId="134" priority="96" operator="greaterThan">
      <formula>0</formula>
    </cfRule>
  </conditionalFormatting>
  <conditionalFormatting sqref="L52:L57">
    <cfRule type="cellIs" dxfId="133" priority="124" operator="greaterThan">
      <formula>0</formula>
    </cfRule>
  </conditionalFormatting>
  <conditionalFormatting sqref="L59:L64">
    <cfRule type="cellIs" dxfId="132" priority="236" operator="greaterThan">
      <formula>0</formula>
    </cfRule>
  </conditionalFormatting>
  <conditionalFormatting sqref="L66:L71">
    <cfRule type="cellIs" dxfId="131" priority="348" operator="greaterThan">
      <formula>0</formula>
    </cfRule>
  </conditionalFormatting>
  <conditionalFormatting sqref="L73:L78">
    <cfRule type="cellIs" dxfId="130" priority="68" operator="greaterThan">
      <formula>0</formula>
    </cfRule>
  </conditionalFormatting>
  <conditionalFormatting sqref="L80:L85">
    <cfRule type="cellIs" dxfId="129" priority="12" operator="greaterThan">
      <formula>0</formula>
    </cfRule>
  </conditionalFormatting>
  <conditionalFormatting sqref="L87:L92">
    <cfRule type="cellIs" dxfId="128" priority="292" operator="greaterThan">
      <formula>0</formula>
    </cfRule>
  </conditionalFormatting>
  <conditionalFormatting sqref="M6:M35">
    <cfRule type="cellIs" dxfId="127" priority="400" operator="greaterThan">
      <formula>0</formula>
    </cfRule>
    <cfRule type="cellIs" dxfId="126" priority="402" operator="greaterThan">
      <formula>0</formula>
    </cfRule>
  </conditionalFormatting>
  <conditionalFormatting sqref="M45:M50">
    <cfRule type="cellIs" dxfId="125" priority="92" operator="greaterThan">
      <formula>0</formula>
    </cfRule>
    <cfRule type="cellIs" dxfId="124" priority="94" operator="greaterThan">
      <formula>0</formula>
    </cfRule>
  </conditionalFormatting>
  <conditionalFormatting sqref="M52:M57">
    <cfRule type="cellIs" dxfId="123" priority="120" operator="greaterThan">
      <formula>0</formula>
    </cfRule>
    <cfRule type="cellIs" dxfId="122" priority="122" operator="greaterThan">
      <formula>0</formula>
    </cfRule>
  </conditionalFormatting>
  <conditionalFormatting sqref="M59:M64">
    <cfRule type="cellIs" dxfId="121" priority="232" operator="greaterThan">
      <formula>0</formula>
    </cfRule>
    <cfRule type="cellIs" dxfId="120" priority="234" operator="greaterThan">
      <formula>0</formula>
    </cfRule>
  </conditionalFormatting>
  <conditionalFormatting sqref="M66:M71">
    <cfRule type="cellIs" dxfId="119" priority="344" operator="greaterThan">
      <formula>0</formula>
    </cfRule>
    <cfRule type="cellIs" dxfId="118" priority="346" operator="greaterThan">
      <formula>0</formula>
    </cfRule>
  </conditionalFormatting>
  <conditionalFormatting sqref="M73:M78">
    <cfRule type="cellIs" dxfId="117" priority="64" operator="greaterThan">
      <formula>0</formula>
    </cfRule>
    <cfRule type="cellIs" dxfId="116" priority="66" operator="greaterThan">
      <formula>0</formula>
    </cfRule>
  </conditionalFormatting>
  <conditionalFormatting sqref="M80:M85">
    <cfRule type="cellIs" dxfId="115" priority="8" operator="greaterThan">
      <formula>0</formula>
    </cfRule>
    <cfRule type="cellIs" dxfId="114" priority="10" operator="greaterThan">
      <formula>0</formula>
    </cfRule>
  </conditionalFormatting>
  <conditionalFormatting sqref="M87:M92">
    <cfRule type="cellIs" dxfId="113" priority="288" operator="greaterThan">
      <formula>0</formula>
    </cfRule>
    <cfRule type="cellIs" dxfId="112" priority="290" operator="greaterThan">
      <formula>0</formula>
    </cfRule>
  </conditionalFormatting>
  <conditionalFormatting sqref="N6:N35">
    <cfRule type="cellIs" dxfId="111" priority="401" operator="greaterThan">
      <formula>0</formula>
    </cfRule>
  </conditionalFormatting>
  <conditionalFormatting sqref="N45:N50">
    <cfRule type="cellIs" dxfId="110" priority="93" operator="greaterThan">
      <formula>0</formula>
    </cfRule>
  </conditionalFormatting>
  <conditionalFormatting sqref="N52:N57">
    <cfRule type="cellIs" dxfId="109" priority="121" operator="greaterThan">
      <formula>0</formula>
    </cfRule>
  </conditionalFormatting>
  <conditionalFormatting sqref="N59:N64">
    <cfRule type="cellIs" dxfId="108" priority="233" operator="greaterThan">
      <formula>0</formula>
    </cfRule>
  </conditionalFormatting>
  <conditionalFormatting sqref="N66:N71">
    <cfRule type="cellIs" dxfId="107" priority="345" operator="greaterThan">
      <formula>0</formula>
    </cfRule>
  </conditionalFormatting>
  <conditionalFormatting sqref="N73:N78">
    <cfRule type="cellIs" dxfId="106" priority="65" operator="greaterThan">
      <formula>0</formula>
    </cfRule>
  </conditionalFormatting>
  <conditionalFormatting sqref="N80:N85">
    <cfRule type="cellIs" dxfId="105" priority="9" operator="greaterThan">
      <formula>0</formula>
    </cfRule>
  </conditionalFormatting>
  <conditionalFormatting sqref="N87:N92">
    <cfRule type="cellIs" dxfId="104" priority="289" operator="greaterThan">
      <formula>0</formula>
    </cfRule>
  </conditionalFormatting>
  <conditionalFormatting sqref="O6:O35">
    <cfRule type="cellIs" dxfId="103" priority="397" operator="greaterThan">
      <formula>0</formula>
    </cfRule>
    <cfRule type="cellIs" dxfId="102" priority="399" operator="greaterThan">
      <formula>0</formula>
    </cfRule>
  </conditionalFormatting>
  <conditionalFormatting sqref="O45:O50">
    <cfRule type="cellIs" dxfId="101" priority="89" operator="greaterThan">
      <formula>0</formula>
    </cfRule>
    <cfRule type="cellIs" dxfId="100" priority="91" operator="greaterThan">
      <formula>0</formula>
    </cfRule>
  </conditionalFormatting>
  <conditionalFormatting sqref="O52:O57">
    <cfRule type="cellIs" dxfId="99" priority="117" operator="greaterThan">
      <formula>0</formula>
    </cfRule>
    <cfRule type="cellIs" dxfId="98" priority="119" operator="greaterThan">
      <formula>0</formula>
    </cfRule>
  </conditionalFormatting>
  <conditionalFormatting sqref="O59:O64">
    <cfRule type="cellIs" dxfId="97" priority="229" operator="greaterThan">
      <formula>0</formula>
    </cfRule>
    <cfRule type="cellIs" dxfId="96" priority="231" operator="greaterThan">
      <formula>0</formula>
    </cfRule>
  </conditionalFormatting>
  <conditionalFormatting sqref="O66:O71">
    <cfRule type="cellIs" dxfId="95" priority="341" operator="greaterThan">
      <formula>0</formula>
    </cfRule>
    <cfRule type="cellIs" dxfId="94" priority="343" operator="greaterThan">
      <formula>0</formula>
    </cfRule>
  </conditionalFormatting>
  <conditionalFormatting sqref="O73:O78">
    <cfRule type="cellIs" dxfId="93" priority="61" operator="greaterThan">
      <formula>0</formula>
    </cfRule>
    <cfRule type="cellIs" dxfId="92" priority="63" operator="greaterThan">
      <formula>0</formula>
    </cfRule>
  </conditionalFormatting>
  <conditionalFormatting sqref="O80:O85">
    <cfRule type="cellIs" dxfId="91" priority="5" operator="greaterThan">
      <formula>0</formula>
    </cfRule>
    <cfRule type="cellIs" dxfId="90" priority="7" operator="greaterThan">
      <formula>0</formula>
    </cfRule>
  </conditionalFormatting>
  <conditionalFormatting sqref="O87:O92">
    <cfRule type="cellIs" dxfId="89" priority="285" operator="greaterThan">
      <formula>0</formula>
    </cfRule>
    <cfRule type="cellIs" dxfId="88" priority="287" operator="greaterThan">
      <formula>0</formula>
    </cfRule>
  </conditionalFormatting>
  <conditionalFormatting sqref="P6:P35">
    <cfRule type="cellIs" dxfId="87" priority="398" operator="greaterThan">
      <formula>0</formula>
    </cfRule>
  </conditionalFormatting>
  <conditionalFormatting sqref="P45:P50">
    <cfRule type="cellIs" dxfId="86" priority="90" operator="greaterThan">
      <formula>0</formula>
    </cfRule>
  </conditionalFormatting>
  <conditionalFormatting sqref="P52:P57">
    <cfRule type="cellIs" dxfId="85" priority="118" operator="greaterThan">
      <formula>0</formula>
    </cfRule>
  </conditionalFormatting>
  <conditionalFormatting sqref="P59:P64">
    <cfRule type="cellIs" dxfId="84" priority="230" operator="greaterThan">
      <formula>0</formula>
    </cfRule>
  </conditionalFormatting>
  <conditionalFormatting sqref="P66:P71">
    <cfRule type="cellIs" dxfId="83" priority="342" operator="greaterThan">
      <formula>0</formula>
    </cfRule>
  </conditionalFormatting>
  <conditionalFormatting sqref="P73:P78">
    <cfRule type="cellIs" dxfId="82" priority="62" operator="greaterThan">
      <formula>0</formula>
    </cfRule>
  </conditionalFormatting>
  <conditionalFormatting sqref="P80:P85">
    <cfRule type="cellIs" dxfId="81" priority="6" operator="greaterThan">
      <formula>0</formula>
    </cfRule>
  </conditionalFormatting>
  <conditionalFormatting sqref="P87:P92">
    <cfRule type="cellIs" dxfId="80" priority="286" operator="greaterThan">
      <formula>0</formula>
    </cfRule>
  </conditionalFormatting>
  <conditionalFormatting sqref="Q6:Q35">
    <cfRule type="cellIs" dxfId="79" priority="394" operator="greaterThan">
      <formula>0</formula>
    </cfRule>
    <cfRule type="cellIs" dxfId="78" priority="396" operator="greaterThan">
      <formula>0</formula>
    </cfRule>
  </conditionalFormatting>
  <conditionalFormatting sqref="Q45:Q50">
    <cfRule type="cellIs" dxfId="77" priority="86" operator="greaterThan">
      <formula>0</formula>
    </cfRule>
    <cfRule type="cellIs" dxfId="76" priority="88" operator="greaterThan">
      <formula>0</formula>
    </cfRule>
  </conditionalFormatting>
  <conditionalFormatting sqref="Q52:Q57">
    <cfRule type="cellIs" dxfId="75" priority="114" operator="greaterThan">
      <formula>0</formula>
    </cfRule>
    <cfRule type="cellIs" dxfId="74" priority="116" operator="greaterThan">
      <formula>0</formula>
    </cfRule>
  </conditionalFormatting>
  <conditionalFormatting sqref="Q59:Q64">
    <cfRule type="cellIs" dxfId="73" priority="226" operator="greaterThan">
      <formula>0</formula>
    </cfRule>
    <cfRule type="cellIs" dxfId="72" priority="228" operator="greaterThan">
      <formula>0</formula>
    </cfRule>
  </conditionalFormatting>
  <conditionalFormatting sqref="Q66:Q71">
    <cfRule type="cellIs" dxfId="71" priority="338" operator="greaterThan">
      <formula>0</formula>
    </cfRule>
    <cfRule type="cellIs" dxfId="70" priority="340" operator="greaterThan">
      <formula>0</formula>
    </cfRule>
  </conditionalFormatting>
  <conditionalFormatting sqref="Q73:Q78">
    <cfRule type="cellIs" dxfId="69" priority="58" operator="greaterThan">
      <formula>0</formula>
    </cfRule>
    <cfRule type="cellIs" dxfId="68" priority="60" operator="greaterThan">
      <formula>0</formula>
    </cfRule>
  </conditionalFormatting>
  <conditionalFormatting sqref="Q80:Q85">
    <cfRule type="cellIs" dxfId="67" priority="2" operator="greaterThan">
      <formula>0</formula>
    </cfRule>
    <cfRule type="cellIs" dxfId="66" priority="4" operator="greaterThan">
      <formula>0</formula>
    </cfRule>
  </conditionalFormatting>
  <conditionalFormatting sqref="Q87:Q92">
    <cfRule type="cellIs" dxfId="65" priority="282" operator="greaterThan">
      <formula>0</formula>
    </cfRule>
    <cfRule type="cellIs" dxfId="64" priority="284" operator="greaterThan">
      <formula>0</formula>
    </cfRule>
  </conditionalFormatting>
  <conditionalFormatting sqref="R6:R35">
    <cfRule type="cellIs" dxfId="63" priority="395" operator="greaterThan">
      <formula>0</formula>
    </cfRule>
  </conditionalFormatting>
  <conditionalFormatting sqref="R45:R50">
    <cfRule type="cellIs" dxfId="62" priority="87" operator="greaterThan">
      <formula>0</formula>
    </cfRule>
  </conditionalFormatting>
  <conditionalFormatting sqref="R52:R57">
    <cfRule type="cellIs" dxfId="61" priority="115" operator="greaterThan">
      <formula>0</formula>
    </cfRule>
  </conditionalFormatting>
  <conditionalFormatting sqref="R59:R64">
    <cfRule type="cellIs" dxfId="60" priority="227" operator="greaterThan">
      <formula>0</formula>
    </cfRule>
  </conditionalFormatting>
  <conditionalFormatting sqref="R66:R71">
    <cfRule type="cellIs" dxfId="59" priority="339" operator="greaterThan">
      <formula>0</formula>
    </cfRule>
  </conditionalFormatting>
  <conditionalFormatting sqref="R73:R78">
    <cfRule type="cellIs" dxfId="58" priority="59" operator="greaterThan">
      <formula>0</formula>
    </cfRule>
  </conditionalFormatting>
  <conditionalFormatting sqref="R80:R85">
    <cfRule type="cellIs" dxfId="57" priority="3" operator="greaterThan">
      <formula>0</formula>
    </cfRule>
  </conditionalFormatting>
  <conditionalFormatting sqref="R87:R92">
    <cfRule type="cellIs" dxfId="56" priority="283" operator="greaterThan">
      <formula>0</formula>
    </cfRule>
  </conditionalFormatting>
  <conditionalFormatting sqref="S6:S35">
    <cfRule type="cellIs" dxfId="55" priority="413" operator="greaterThan">
      <formula>0</formula>
    </cfRule>
    <cfRule type="cellIs" dxfId="54" priority="415" operator="greaterThan">
      <formula>0</formula>
    </cfRule>
  </conditionalFormatting>
  <conditionalFormatting sqref="S45:S50">
    <cfRule type="cellIs" dxfId="53" priority="105" operator="greaterThan">
      <formula>0</formula>
    </cfRule>
    <cfRule type="cellIs" dxfId="52" priority="107" operator="greaterThan">
      <formula>0</formula>
    </cfRule>
  </conditionalFormatting>
  <conditionalFormatting sqref="S52:S57">
    <cfRule type="cellIs" dxfId="51" priority="133" operator="greaterThan">
      <formula>0</formula>
    </cfRule>
    <cfRule type="cellIs" dxfId="50" priority="135" operator="greaterThan">
      <formula>0</formula>
    </cfRule>
  </conditionalFormatting>
  <conditionalFormatting sqref="S59:S64">
    <cfRule type="cellIs" dxfId="49" priority="245" operator="greaterThan">
      <formula>0</formula>
    </cfRule>
    <cfRule type="cellIs" dxfId="48" priority="247" operator="greaterThan">
      <formula>0</formula>
    </cfRule>
  </conditionalFormatting>
  <conditionalFormatting sqref="S66:S71">
    <cfRule type="cellIs" dxfId="47" priority="357" operator="greaterThan">
      <formula>0</formula>
    </cfRule>
    <cfRule type="cellIs" dxfId="46" priority="359" operator="greaterThan">
      <formula>0</formula>
    </cfRule>
  </conditionalFormatting>
  <conditionalFormatting sqref="S73:S78">
    <cfRule type="cellIs" dxfId="45" priority="77" operator="greaterThan">
      <formula>0</formula>
    </cfRule>
    <cfRule type="cellIs" dxfId="44" priority="79" operator="greaterThan">
      <formula>0</formula>
    </cfRule>
  </conditionalFormatting>
  <conditionalFormatting sqref="S80:S85">
    <cfRule type="cellIs" dxfId="43" priority="21" operator="greaterThan">
      <formula>0</formula>
    </cfRule>
    <cfRule type="cellIs" dxfId="42" priority="23" operator="greaterThan">
      <formula>0</formula>
    </cfRule>
  </conditionalFormatting>
  <conditionalFormatting sqref="S87:S92">
    <cfRule type="cellIs" dxfId="41" priority="301" operator="greaterThan">
      <formula>0</formula>
    </cfRule>
    <cfRule type="cellIs" dxfId="40" priority="303" operator="greaterThan">
      <formula>0</formula>
    </cfRule>
  </conditionalFormatting>
  <conditionalFormatting sqref="T6:U35">
    <cfRule type="cellIs" dxfId="39" priority="412" operator="greaterThan">
      <formula>0</formula>
    </cfRule>
  </conditionalFormatting>
  <conditionalFormatting sqref="T45:U50">
    <cfRule type="cellIs" dxfId="38" priority="104" operator="greaterThan">
      <formula>0</formula>
    </cfRule>
  </conditionalFormatting>
  <conditionalFormatting sqref="T52:U57">
    <cfRule type="cellIs" dxfId="37" priority="132" operator="greaterThan">
      <formula>0</formula>
    </cfRule>
  </conditionalFormatting>
  <conditionalFormatting sqref="T59:U64">
    <cfRule type="cellIs" dxfId="36" priority="244" operator="greaterThan">
      <formula>0</formula>
    </cfRule>
  </conditionalFormatting>
  <conditionalFormatting sqref="T66:U71">
    <cfRule type="cellIs" dxfId="35" priority="356" operator="greaterThan">
      <formula>0</formula>
    </cfRule>
  </conditionalFormatting>
  <conditionalFormatting sqref="T73:U78">
    <cfRule type="cellIs" dxfId="34" priority="76" operator="greaterThan">
      <formula>0</formula>
    </cfRule>
  </conditionalFormatting>
  <conditionalFormatting sqref="T80:U85">
    <cfRule type="cellIs" dxfId="33" priority="20" operator="greaterThan">
      <formula>0</formula>
    </cfRule>
  </conditionalFormatting>
  <conditionalFormatting sqref="T87:U92">
    <cfRule type="cellIs" dxfId="32" priority="300" operator="greaterThan">
      <formula>0</formula>
    </cfRule>
  </conditionalFormatting>
  <printOptions horizontalCentered="1"/>
  <pageMargins left="0.2" right="0.2" top="0.25" bottom="0.25" header="0.3" footer="0.3"/>
  <pageSetup paperSize="9" scale="65" orientation="landscape" r:id="rId1"/>
  <rowBreaks count="1" manualBreakCount="1">
    <brk id="41"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50"/>
  <sheetViews>
    <sheetView zoomScale="115" zoomScaleNormal="115" workbookViewId="0">
      <selection activeCell="A16" sqref="A16"/>
    </sheetView>
  </sheetViews>
  <sheetFormatPr defaultColWidth="9" defaultRowHeight="14.4"/>
  <cols>
    <col min="1" max="1" width="14.88671875" customWidth="1"/>
    <col min="2" max="2" width="8.44140625" customWidth="1"/>
    <col min="3" max="19" width="7.44140625" customWidth="1"/>
    <col min="20" max="20" width="7.6640625" customWidth="1"/>
  </cols>
  <sheetData>
    <row r="1" spans="1:20">
      <c r="A1" s="1095" t="s">
        <v>3100</v>
      </c>
      <c r="B1" s="1095"/>
      <c r="C1" s="1095"/>
      <c r="D1" s="1095"/>
      <c r="E1" s="1095"/>
      <c r="F1" s="1095"/>
      <c r="G1" s="1095"/>
      <c r="H1" s="1095"/>
      <c r="I1" s="1095"/>
      <c r="J1" s="1095"/>
      <c r="K1" s="1095"/>
      <c r="L1" s="1095"/>
      <c r="M1" s="1095"/>
      <c r="N1" s="1095"/>
      <c r="O1" s="1095"/>
      <c r="P1" s="1095"/>
      <c r="Q1" s="1095"/>
      <c r="R1" s="1095"/>
      <c r="S1" s="1095"/>
      <c r="T1" s="1095"/>
    </row>
    <row r="2" spans="1:20" s="160" customFormat="1" ht="14.25" customHeight="1">
      <c r="A2" s="1095"/>
      <c r="B2" s="1095"/>
      <c r="C2" s="1095"/>
      <c r="D2" s="1095"/>
      <c r="E2" s="1095"/>
      <c r="F2" s="1095"/>
      <c r="G2" s="1095"/>
      <c r="H2" s="1095"/>
      <c r="I2" s="1095"/>
      <c r="J2" s="1095"/>
      <c r="K2" s="1095"/>
      <c r="L2" s="1095"/>
      <c r="M2" s="1095"/>
      <c r="N2" s="1095"/>
      <c r="O2" s="1095"/>
      <c r="P2" s="1095"/>
      <c r="Q2" s="1095"/>
      <c r="R2" s="1095"/>
      <c r="S2" s="1095"/>
      <c r="T2" s="1095"/>
    </row>
    <row r="3" spans="1:20" s="160" customFormat="1" ht="18">
      <c r="A3" s="1096" t="s">
        <v>3101</v>
      </c>
      <c r="B3" s="1096"/>
      <c r="C3" s="1096"/>
      <c r="D3" s="1096"/>
      <c r="E3" s="1096"/>
      <c r="F3" s="1096"/>
      <c r="G3" s="1096"/>
      <c r="H3" s="1096"/>
      <c r="I3" s="1096"/>
      <c r="J3" s="1096"/>
      <c r="K3" s="1096"/>
      <c r="L3" s="1096"/>
      <c r="M3" s="1096"/>
      <c r="N3" s="1096"/>
      <c r="O3" s="1096"/>
      <c r="P3" s="1096"/>
      <c r="Q3" s="1096"/>
      <c r="R3" s="1096"/>
      <c r="S3" s="1096"/>
      <c r="T3" s="1096"/>
    </row>
    <row r="4" spans="1:20" s="160" customFormat="1" ht="14.25" customHeight="1">
      <c r="A4" s="1097" t="str">
        <f ca="1">CONCATENATE("As of ",TEXT(NOW(),"MMMM DD, YYYY"))</f>
        <v>As of March 24, 2026</v>
      </c>
      <c r="B4" s="1097"/>
      <c r="C4" s="1097"/>
      <c r="D4" s="1097"/>
      <c r="E4" s="1097"/>
      <c r="F4" s="1097"/>
      <c r="G4" s="1097"/>
      <c r="H4" s="1097"/>
      <c r="I4" s="1097"/>
      <c r="J4" s="1097"/>
      <c r="K4" s="1097"/>
      <c r="L4" s="1097"/>
      <c r="M4" s="1097"/>
      <c r="N4" s="1097"/>
      <c r="O4" s="1097"/>
      <c r="P4" s="1097"/>
      <c r="Q4" s="1097"/>
      <c r="R4" s="1097"/>
      <c r="S4" s="1097"/>
      <c r="T4" s="1097"/>
    </row>
    <row r="5" spans="1:20" s="160" customFormat="1" ht="14.25" customHeight="1">
      <c r="A5" s="163"/>
      <c r="B5" s="163"/>
      <c r="C5" s="163"/>
      <c r="D5" s="163"/>
      <c r="E5" s="163"/>
      <c r="F5" s="163"/>
      <c r="G5" s="163"/>
      <c r="H5" s="163"/>
      <c r="I5" s="163"/>
      <c r="J5" s="163"/>
      <c r="K5" s="163"/>
      <c r="L5" s="163"/>
      <c r="M5" s="163"/>
      <c r="N5" s="163"/>
      <c r="O5" s="163"/>
      <c r="P5" s="163"/>
      <c r="Q5" s="163"/>
      <c r="R5" s="163"/>
      <c r="S5" s="163"/>
      <c r="T5" s="163"/>
    </row>
    <row r="7" spans="1:20" ht="18">
      <c r="A7" s="160" t="s">
        <v>1495</v>
      </c>
    </row>
    <row r="8" spans="1:20">
      <c r="A8" t="s">
        <v>3102</v>
      </c>
    </row>
    <row r="10" spans="1:20" s="161" customFormat="1" ht="30.75" customHeight="1">
      <c r="A10" s="164" t="s">
        <v>2719</v>
      </c>
      <c r="B10" s="1098" t="s">
        <v>1531</v>
      </c>
      <c r="C10" s="1099"/>
      <c r="D10" s="1100" t="s">
        <v>408</v>
      </c>
      <c r="E10" s="1099"/>
      <c r="F10" s="1100" t="s">
        <v>181</v>
      </c>
      <c r="G10" s="1099"/>
      <c r="H10" s="1100" t="s">
        <v>1542</v>
      </c>
      <c r="I10" s="1099"/>
      <c r="J10" s="1100" t="s">
        <v>167</v>
      </c>
      <c r="K10" s="1099"/>
      <c r="L10" s="1100" t="s">
        <v>174</v>
      </c>
      <c r="M10" s="1099"/>
      <c r="N10" s="1100" t="s">
        <v>211</v>
      </c>
      <c r="O10" s="1099"/>
      <c r="P10" s="1100" t="s">
        <v>3103</v>
      </c>
      <c r="Q10" s="1099"/>
      <c r="R10" s="1101" t="s">
        <v>2188</v>
      </c>
      <c r="S10" s="1102"/>
      <c r="T10" s="178"/>
    </row>
    <row r="11" spans="1:20" s="162" customFormat="1" ht="23.25" customHeight="1">
      <c r="A11" s="164" t="s">
        <v>3104</v>
      </c>
      <c r="B11" s="165" t="s">
        <v>62</v>
      </c>
      <c r="C11" s="166" t="s">
        <v>100</v>
      </c>
      <c r="D11" s="165" t="s">
        <v>62</v>
      </c>
      <c r="E11" s="166" t="s">
        <v>100</v>
      </c>
      <c r="F11" s="165" t="s">
        <v>62</v>
      </c>
      <c r="G11" s="166" t="s">
        <v>100</v>
      </c>
      <c r="H11" s="165" t="s">
        <v>62</v>
      </c>
      <c r="I11" s="166" t="s">
        <v>100</v>
      </c>
      <c r="J11" s="165" t="s">
        <v>62</v>
      </c>
      <c r="K11" s="166" t="s">
        <v>100</v>
      </c>
      <c r="L11" s="165" t="s">
        <v>62</v>
      </c>
      <c r="M11" s="166" t="s">
        <v>100</v>
      </c>
      <c r="N11" s="165" t="s">
        <v>62</v>
      </c>
      <c r="O11" s="166" t="s">
        <v>100</v>
      </c>
      <c r="P11" s="165" t="s">
        <v>62</v>
      </c>
      <c r="Q11" s="166" t="s">
        <v>100</v>
      </c>
      <c r="R11" s="165" t="s">
        <v>62</v>
      </c>
      <c r="S11" s="166" t="s">
        <v>100</v>
      </c>
      <c r="T11" s="178" t="s">
        <v>2188</v>
      </c>
    </row>
    <row r="12" spans="1:20" s="15" customFormat="1" ht="25.5" customHeight="1">
      <c r="A12" s="167" t="s">
        <v>3095</v>
      </c>
      <c r="B12" s="168">
        <f ca="1">COUNTIF(genderagegroupstation,"RAM")</f>
        <v>1</v>
      </c>
      <c r="C12" s="168">
        <f ca="1">COUNTIF(genderagegroupstation,"RAF")</f>
        <v>0</v>
      </c>
      <c r="D12" s="168">
        <f ca="1">COUNTIF(genderagegroupstation,"AbAM")</f>
        <v>0</v>
      </c>
      <c r="E12" s="168">
        <f ca="1">COUNTIF(genderagegroupstation,"AbAF")</f>
        <v>0</v>
      </c>
      <c r="F12" s="168">
        <f ca="1">COUNTIF(genderagegroupstation,"ApAM")</f>
        <v>0</v>
      </c>
      <c r="G12" s="168">
        <f ca="1">COUNTIF(genderagegroupstation,"ApAF")</f>
        <v>0</v>
      </c>
      <c r="H12" s="168">
        <f ca="1">COUNTIF(genderagegroupstation,"BCAM")</f>
        <v>0</v>
      </c>
      <c r="I12" s="168">
        <f ca="1">COUNTIF(genderagegroupstation,"BCAF")</f>
        <v>0</v>
      </c>
      <c r="J12" s="168">
        <f ca="1">COUNTIF(genderagegroupstation,"BAM")</f>
        <v>0</v>
      </c>
      <c r="K12" s="168">
        <f ca="1">COUNTIF(genderagegroupstation,"BAF")</f>
        <v>0</v>
      </c>
      <c r="L12" s="168">
        <f ca="1">COUNTIF(genderagegroupstation,"IAM")</f>
        <v>0</v>
      </c>
      <c r="M12" s="168">
        <f ca="1">COUNTIF(genderagegroupstation,"IAF")</f>
        <v>0</v>
      </c>
      <c r="N12" s="168">
        <f ca="1">COUNTIF(genderagegroupstation,"KAM")</f>
        <v>0</v>
      </c>
      <c r="O12" s="168">
        <f ca="1">COUNTIF(genderagegroupstation,"KAF")</f>
        <v>0</v>
      </c>
      <c r="P12" s="168">
        <f ca="1">COUNTIF(genderagegroupstation,"MPAM")</f>
        <v>0</v>
      </c>
      <c r="Q12" s="168">
        <f ca="1">COUNTIF(genderagegroupstation,"MPAF")</f>
        <v>0</v>
      </c>
      <c r="R12" s="179">
        <f t="shared" ref="R12:S17" ca="1" si="0">+B12+D12+F12+H12+J12+L12+N12+P12</f>
        <v>1</v>
      </c>
      <c r="S12" s="180">
        <f t="shared" ca="1" si="0"/>
        <v>0</v>
      </c>
      <c r="T12" s="181">
        <f t="shared" ref="T12:T17" ca="1" si="1">SUM(R12:S12)</f>
        <v>1</v>
      </c>
    </row>
    <row r="13" spans="1:20" s="15" customFormat="1" ht="25.5" customHeight="1">
      <c r="A13" s="169" t="s">
        <v>3105</v>
      </c>
      <c r="B13" s="170">
        <f ca="1">COUNTIF(genderagegroupstation,"RBM")</f>
        <v>2</v>
      </c>
      <c r="C13" s="170">
        <f ca="1">COUNTIF(genderagegroupstation,"RBF")</f>
        <v>2</v>
      </c>
      <c r="D13" s="170">
        <f ca="1">COUNTIF(genderagegroupstation,"AbBM")</f>
        <v>3</v>
      </c>
      <c r="E13" s="170">
        <f ca="1">COUNTIF(genderagegroupstation,"AbBF")</f>
        <v>5</v>
      </c>
      <c r="F13" s="170">
        <f ca="1">COUNTIF(genderagegroupstation,"ApBM")</f>
        <v>2</v>
      </c>
      <c r="G13" s="170">
        <f ca="1">COUNTIF(genderagegroupstation,"ApBF")</f>
        <v>3</v>
      </c>
      <c r="H13" s="170">
        <f ca="1">COUNTIF(genderagegroupstation,"BCBM")</f>
        <v>1</v>
      </c>
      <c r="I13" s="170">
        <f ca="1">COUNTIF(genderagegroupstation,"BCBF")</f>
        <v>1</v>
      </c>
      <c r="J13" s="170">
        <f ca="1">COUNTIF(genderagegroupstation,"BBM")</f>
        <v>1</v>
      </c>
      <c r="K13" s="170">
        <f ca="1">COUNTIF(genderagegroupstation,"BBF")</f>
        <v>1</v>
      </c>
      <c r="L13" s="170">
        <f ca="1">COUNTIF(genderagegroupstation,"IBM")</f>
        <v>3</v>
      </c>
      <c r="M13" s="170">
        <f ca="1">COUNTIF(genderagegroupstation,"IBF")</f>
        <v>1</v>
      </c>
      <c r="N13" s="170">
        <f ca="1">COUNTIF(genderagegroupstation,"KBM")</f>
        <v>0</v>
      </c>
      <c r="O13" s="170">
        <f ca="1">COUNTIF(genderagegroupstation,"KBF")</f>
        <v>4</v>
      </c>
      <c r="P13" s="170">
        <f ca="1">COUNTIF(genderagegroupstation,"MPBM")</f>
        <v>0</v>
      </c>
      <c r="Q13" s="170">
        <f ca="1">COUNTIF(genderagegroupstation,"MPBF")</f>
        <v>5</v>
      </c>
      <c r="R13" s="182">
        <f t="shared" ca="1" si="0"/>
        <v>12</v>
      </c>
      <c r="S13" s="183">
        <f t="shared" ca="1" si="0"/>
        <v>22</v>
      </c>
      <c r="T13" s="184">
        <f t="shared" ca="1" si="1"/>
        <v>34</v>
      </c>
    </row>
    <row r="14" spans="1:20" s="15" customFormat="1" ht="25.5" customHeight="1">
      <c r="A14" s="169" t="s">
        <v>3106</v>
      </c>
      <c r="B14" s="170">
        <f ca="1">COUNTIF(genderagegroupstation,"RCM")</f>
        <v>7</v>
      </c>
      <c r="C14" s="170">
        <f ca="1">COUNTIF(genderagegroupstation,"RCF")</f>
        <v>10</v>
      </c>
      <c r="D14" s="170">
        <f ca="1">COUNTIF(genderagegroupstation,"AbCM")</f>
        <v>4</v>
      </c>
      <c r="E14" s="170">
        <f ca="1">COUNTIF(genderagegroupstation,"AbCF")</f>
        <v>3</v>
      </c>
      <c r="F14" s="170">
        <f ca="1">COUNTIF(genderagegroupstation,"ApCM")</f>
        <v>4</v>
      </c>
      <c r="G14" s="170">
        <f ca="1">COUNTIF(genderagegroupstation,"ApCF")</f>
        <v>3</v>
      </c>
      <c r="H14" s="170">
        <f ca="1">COUNTIF(genderagegroupstation,"BCCM")</f>
        <v>1</v>
      </c>
      <c r="I14" s="170">
        <f ca="1">COUNTIF(genderagegroupstation,"BCCF")</f>
        <v>1</v>
      </c>
      <c r="J14" s="170">
        <f ca="1">COUNTIF(genderagegroupstation,"BCM")</f>
        <v>2</v>
      </c>
      <c r="K14" s="170">
        <f ca="1">COUNTIF(genderagegroupstation,"BCF")</f>
        <v>1</v>
      </c>
      <c r="L14" s="170">
        <f ca="1">COUNTIF(genderagegroupstation,"ICM")</f>
        <v>1</v>
      </c>
      <c r="M14" s="170">
        <f ca="1">COUNTIF(genderagegroupstation,"ICF")</f>
        <v>3</v>
      </c>
      <c r="N14" s="170">
        <f ca="1">COUNTIF(genderagegroupstation,"KCM")</f>
        <v>4</v>
      </c>
      <c r="O14" s="170">
        <f ca="1">COUNTIF(genderagegroupstation,"KCF")</f>
        <v>2</v>
      </c>
      <c r="P14" s="170">
        <f ca="1">COUNTIF(genderagegroupstation,"MPCM")</f>
        <v>5</v>
      </c>
      <c r="Q14" s="170">
        <f ca="1">COUNTIF(genderagegroupstation,"MPCF")</f>
        <v>2</v>
      </c>
      <c r="R14" s="182">
        <f t="shared" ca="1" si="0"/>
        <v>28</v>
      </c>
      <c r="S14" s="183">
        <f t="shared" ca="1" si="0"/>
        <v>25</v>
      </c>
      <c r="T14" s="184">
        <f t="shared" ca="1" si="1"/>
        <v>53</v>
      </c>
    </row>
    <row r="15" spans="1:20" s="15" customFormat="1" ht="25.5" customHeight="1">
      <c r="A15" s="169" t="s">
        <v>3107</v>
      </c>
      <c r="B15" s="170">
        <f ca="1">COUNTIF(genderagegroupstation,"RDM")</f>
        <v>8</v>
      </c>
      <c r="C15" s="170">
        <f ca="1">COUNTIF(genderagegroupstation,"RDF")</f>
        <v>7</v>
      </c>
      <c r="D15" s="170">
        <f ca="1">COUNTIF(genderagegroupstation,"AbDM")</f>
        <v>6</v>
      </c>
      <c r="E15" s="170">
        <f ca="1">COUNTIF(genderagegroupstation,"AbDF")</f>
        <v>8</v>
      </c>
      <c r="F15" s="170">
        <f ca="1">COUNTIF(genderagegroupstation,"ApDM")</f>
        <v>2</v>
      </c>
      <c r="G15" s="170">
        <f ca="1">COUNTIF(genderagegroupstation,"ApDF")</f>
        <v>1</v>
      </c>
      <c r="H15" s="170">
        <f ca="1">COUNTIF(genderagegroupstation,"BCDM")</f>
        <v>0</v>
      </c>
      <c r="I15" s="170">
        <f ca="1">COUNTIF(genderagegroupstation,"BCDF")</f>
        <v>1</v>
      </c>
      <c r="J15" s="170">
        <f ca="1">COUNTIF(genderagegroupstation,"BDM")</f>
        <v>4</v>
      </c>
      <c r="K15" s="170">
        <f ca="1">COUNTIF(genderagegroupstation,"BDF")</f>
        <v>9</v>
      </c>
      <c r="L15" s="170">
        <f ca="1">COUNTIF(genderagegroupstation,"IDM")</f>
        <v>3</v>
      </c>
      <c r="M15" s="170">
        <f ca="1">COUNTIF(genderagegroupstation,"IDF")</f>
        <v>3</v>
      </c>
      <c r="N15" s="170">
        <f ca="1">COUNTIF(genderagegroupstation,"KDM")</f>
        <v>2</v>
      </c>
      <c r="O15" s="170">
        <f ca="1">COUNTIF(genderagegroupstation,"KDF")</f>
        <v>2</v>
      </c>
      <c r="P15" s="170">
        <f ca="1">COUNTIF(genderagegroupstation,"MPDM")</f>
        <v>3</v>
      </c>
      <c r="Q15" s="170">
        <f ca="1">COUNTIF(genderagegroupstation,"MPDF")</f>
        <v>5</v>
      </c>
      <c r="R15" s="182">
        <f t="shared" ca="1" si="0"/>
        <v>28</v>
      </c>
      <c r="S15" s="183">
        <f t="shared" ca="1" si="0"/>
        <v>36</v>
      </c>
      <c r="T15" s="184">
        <f t="shared" ca="1" si="1"/>
        <v>64</v>
      </c>
    </row>
    <row r="16" spans="1:20" s="15" customFormat="1" ht="25.5" customHeight="1">
      <c r="A16" s="171" t="s">
        <v>3108</v>
      </c>
      <c r="B16" s="172">
        <f ca="1">COUNTIF(genderagegroupstation,"REM")</f>
        <v>1</v>
      </c>
      <c r="C16" s="172">
        <f ca="1">COUNTIF(genderagegroupstation,"REF")</f>
        <v>3</v>
      </c>
      <c r="D16" s="172">
        <f ca="1">COUNTIF(genderagegroupstation,"AbEM")</f>
        <v>3</v>
      </c>
      <c r="E16" s="172">
        <f ca="1">COUNTIF(genderagegroupstation,"AbEF")</f>
        <v>4</v>
      </c>
      <c r="F16" s="172">
        <f ca="1">COUNTIF(genderagegroupstation,"ApEM")</f>
        <v>1</v>
      </c>
      <c r="G16" s="172">
        <f ca="1">COUNTIF(genderagegroupstation,"ApEF")</f>
        <v>2</v>
      </c>
      <c r="H16" s="172">
        <f ca="1">COUNTIF(genderagegroupstation,"BCEM")</f>
        <v>0</v>
      </c>
      <c r="I16" s="172">
        <f ca="1">COUNTIF(genderagegroupstation,"BCEF")</f>
        <v>0</v>
      </c>
      <c r="J16" s="172">
        <f ca="1">COUNTIF(genderagegroupstation,"BEM")</f>
        <v>1</v>
      </c>
      <c r="K16" s="172">
        <f ca="1">COUNTIF(genderagegroupstation,"BEF")</f>
        <v>4</v>
      </c>
      <c r="L16" s="172">
        <f ca="1">COUNTIF(genderagegroupstation,"IEM")</f>
        <v>4</v>
      </c>
      <c r="M16" s="172">
        <f ca="1">COUNTIF(genderagegroupstation,"IEF")</f>
        <v>1</v>
      </c>
      <c r="N16" s="172">
        <f ca="1">COUNTIF(genderagegroupstation,"KEM")</f>
        <v>2</v>
      </c>
      <c r="O16" s="172">
        <f ca="1">COUNTIF(genderagegroupstation,"KEF")</f>
        <v>2</v>
      </c>
      <c r="P16" s="172">
        <f ca="1">COUNTIF(genderagegroupstation,"MPEM")</f>
        <v>0</v>
      </c>
      <c r="Q16" s="172">
        <f ca="1">COUNTIF(genderagegroupstation,"MPEF")</f>
        <v>2</v>
      </c>
      <c r="R16" s="185">
        <f t="shared" ca="1" si="0"/>
        <v>12</v>
      </c>
      <c r="S16" s="186">
        <f t="shared" ca="1" si="0"/>
        <v>18</v>
      </c>
      <c r="T16" s="187">
        <f t="shared" ca="1" si="1"/>
        <v>30</v>
      </c>
    </row>
    <row r="17" spans="1:20" s="15" customFormat="1" ht="25.5" customHeight="1">
      <c r="A17" s="173" t="s">
        <v>2198</v>
      </c>
      <c r="B17" s="174">
        <f ca="1">SUM(B12:B16)</f>
        <v>19</v>
      </c>
      <c r="C17" s="175">
        <f t="shared" ref="C17:Q17" ca="1" si="2">SUM(C12:C16)</f>
        <v>22</v>
      </c>
      <c r="D17" s="174">
        <f t="shared" ca="1" si="2"/>
        <v>16</v>
      </c>
      <c r="E17" s="175">
        <f t="shared" ca="1" si="2"/>
        <v>20</v>
      </c>
      <c r="F17" s="174">
        <f t="shared" ca="1" si="2"/>
        <v>9</v>
      </c>
      <c r="G17" s="175">
        <f t="shared" ca="1" si="2"/>
        <v>9</v>
      </c>
      <c r="H17" s="174">
        <f t="shared" ca="1" si="2"/>
        <v>2</v>
      </c>
      <c r="I17" s="175">
        <f t="shared" ca="1" si="2"/>
        <v>3</v>
      </c>
      <c r="J17" s="174">
        <f t="shared" ca="1" si="2"/>
        <v>8</v>
      </c>
      <c r="K17" s="175">
        <f t="shared" ca="1" si="2"/>
        <v>15</v>
      </c>
      <c r="L17" s="174">
        <f t="shared" ca="1" si="2"/>
        <v>11</v>
      </c>
      <c r="M17" s="175">
        <f t="shared" ca="1" si="2"/>
        <v>8</v>
      </c>
      <c r="N17" s="174">
        <f t="shared" ca="1" si="2"/>
        <v>8</v>
      </c>
      <c r="O17" s="175">
        <f t="shared" ca="1" si="2"/>
        <v>10</v>
      </c>
      <c r="P17" s="174">
        <f t="shared" ca="1" si="2"/>
        <v>8</v>
      </c>
      <c r="Q17" s="175">
        <f t="shared" ca="1" si="2"/>
        <v>14</v>
      </c>
      <c r="R17" s="188">
        <f t="shared" ca="1" si="0"/>
        <v>81</v>
      </c>
      <c r="S17" s="189">
        <f t="shared" ca="1" si="0"/>
        <v>101</v>
      </c>
      <c r="T17" s="190">
        <f t="shared" ca="1" si="1"/>
        <v>182</v>
      </c>
    </row>
    <row r="20" spans="1:20">
      <c r="A20" t="s">
        <v>1739</v>
      </c>
      <c r="C20" s="1072"/>
      <c r="D20" s="1072"/>
      <c r="E20" s="1072"/>
    </row>
    <row r="23" spans="1:20">
      <c r="A23" s="1094" t="s">
        <v>1383</v>
      </c>
      <c r="B23" s="1094"/>
      <c r="C23" s="1094"/>
      <c r="D23" s="1094"/>
    </row>
    <row r="24" spans="1:20">
      <c r="A24" s="1072" t="s">
        <v>3109</v>
      </c>
      <c r="B24" s="1072"/>
      <c r="C24" s="1072"/>
      <c r="D24" s="1072"/>
    </row>
    <row r="26" spans="1:20">
      <c r="A26" s="177"/>
    </row>
    <row r="50" spans="6:6">
      <c r="F50" t="s">
        <v>3110</v>
      </c>
    </row>
  </sheetData>
  <sheetProtection selectLockedCells="1" selectUnlockedCells="1"/>
  <mergeCells count="15">
    <mergeCell ref="C20:E20"/>
    <mergeCell ref="A23:D23"/>
    <mergeCell ref="A24:D24"/>
    <mergeCell ref="A1:T2"/>
    <mergeCell ref="A3:T3"/>
    <mergeCell ref="A4:T4"/>
    <mergeCell ref="B10:C10"/>
    <mergeCell ref="D10:E10"/>
    <mergeCell ref="F10:G10"/>
    <mergeCell ref="H10:I10"/>
    <mergeCell ref="J10:K10"/>
    <mergeCell ref="L10:M10"/>
    <mergeCell ref="N10:O10"/>
    <mergeCell ref="P10:Q10"/>
    <mergeCell ref="R10:S10"/>
  </mergeCells>
  <conditionalFormatting sqref="B12:T17">
    <cfRule type="cellIs" dxfId="31" priority="1" operator="between">
      <formula>0.01</formula>
      <formula>-0.01</formula>
    </cfRule>
  </conditionalFormatting>
  <pageMargins left="0.2" right="1.2" top="0.75" bottom="0.75" header="0.3" footer="0.3"/>
  <pageSetup paperSize="5"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52"/>
  <sheetViews>
    <sheetView topLeftCell="A137" workbookViewId="0">
      <selection activeCell="A157" sqref="A157:B188"/>
    </sheetView>
  </sheetViews>
  <sheetFormatPr defaultColWidth="9" defaultRowHeight="14.4"/>
  <sheetData>
    <row r="1" spans="1:6" ht="28.8">
      <c r="A1" s="156" t="s">
        <v>3111</v>
      </c>
      <c r="B1" s="156" t="s">
        <v>3112</v>
      </c>
      <c r="C1" s="156" t="s">
        <v>3113</v>
      </c>
    </row>
    <row r="2" spans="1:6">
      <c r="A2" s="157">
        <v>0.45700000000000002</v>
      </c>
      <c r="B2" s="157">
        <v>3.55</v>
      </c>
      <c r="C2" s="157">
        <v>500</v>
      </c>
    </row>
    <row r="3" spans="1:6">
      <c r="A3" s="157">
        <v>0.52500000000000002</v>
      </c>
      <c r="B3" s="157">
        <v>3.25</v>
      </c>
      <c r="C3" s="157">
        <v>400</v>
      </c>
    </row>
    <row r="4" spans="1:6">
      <c r="A4" s="157">
        <v>0.61599999999999999</v>
      </c>
      <c r="B4" s="157">
        <v>2.93</v>
      </c>
      <c r="C4" s="157">
        <v>300</v>
      </c>
    </row>
    <row r="5" spans="1:6">
      <c r="A5" s="157">
        <v>0.67500000000000004</v>
      </c>
      <c r="B5" s="157">
        <v>2.75</v>
      </c>
      <c r="C5" s="157">
        <v>250</v>
      </c>
    </row>
    <row r="6" spans="1:6">
      <c r="A6" s="157">
        <v>0.746</v>
      </c>
      <c r="B6" s="157">
        <v>2.57</v>
      </c>
      <c r="C6" s="157">
        <v>200</v>
      </c>
    </row>
    <row r="7" spans="1:6">
      <c r="A7" s="157">
        <v>0.83499999999999996</v>
      </c>
      <c r="B7" s="157">
        <v>2.38</v>
      </c>
      <c r="C7" s="157">
        <v>150</v>
      </c>
      <c r="E7">
        <f>VLOOKUP(1,A2:C10,3,TRUE)</f>
        <v>100</v>
      </c>
    </row>
    <row r="8" spans="1:6">
      <c r="A8" s="157">
        <v>0.94599999999999995</v>
      </c>
      <c r="B8" s="157">
        <v>2.17</v>
      </c>
      <c r="C8" s="157">
        <v>100</v>
      </c>
    </row>
    <row r="9" spans="1:6">
      <c r="A9" s="157">
        <v>1.0900000000000001</v>
      </c>
      <c r="B9" s="157">
        <v>1.95</v>
      </c>
      <c r="C9" s="157">
        <v>50</v>
      </c>
      <c r="E9">
        <f>VLOOKUP(1,A2:C10,2)</f>
        <v>2.17</v>
      </c>
    </row>
    <row r="10" spans="1:6">
      <c r="A10" s="157">
        <v>1.29</v>
      </c>
      <c r="B10" s="157">
        <v>1.71</v>
      </c>
      <c r="C10" s="157">
        <v>0</v>
      </c>
      <c r="E10" t="e">
        <f>VLOOKUP(0.7,A2:C10,3,FALSE)</f>
        <v>#N/A</v>
      </c>
    </row>
    <row r="14" spans="1:6">
      <c r="A14" s="156" t="s">
        <v>3114</v>
      </c>
      <c r="B14" s="156" t="s">
        <v>3114</v>
      </c>
      <c r="F14" s="127" t="e">
        <f>SUMPRODUCT((B3:B13=C16)*(C3:C13=C17)*(E3:E13=C18)*(D3:D13))</f>
        <v>#N/A</v>
      </c>
    </row>
    <row r="15" spans="1:6">
      <c r="A15" s="157" t="s">
        <v>3115</v>
      </c>
      <c r="B15" s="157" t="s">
        <v>3116</v>
      </c>
      <c r="D15" t="str">
        <f>CHOOSE(2,A15,A16,A17,A18)</f>
        <v>2nd</v>
      </c>
    </row>
    <row r="16" spans="1:6">
      <c r="A16" s="157" t="s">
        <v>3117</v>
      </c>
      <c r="B16" s="157" t="s">
        <v>3118</v>
      </c>
      <c r="D16" t="str">
        <f>CHOOSE(4,B15,B16,B17,B18)</f>
        <v>Bolts</v>
      </c>
      <c r="F16" s="127" t="e">
        <f>INDEX(C3:C13,SUMPRODUCT((B3:B13=C16)*(D3:D13=C18)*(E3:E13=C18)*ROW(C3:C13)),0)</f>
        <v>#N/A</v>
      </c>
    </row>
    <row r="17" spans="1:6">
      <c r="A17" s="157" t="s">
        <v>3119</v>
      </c>
      <c r="B17" s="157" t="s">
        <v>3120</v>
      </c>
    </row>
    <row r="18" spans="1:6">
      <c r="A18" s="157" t="s">
        <v>3121</v>
      </c>
      <c r="B18" s="157" t="s">
        <v>3122</v>
      </c>
      <c r="F18" s="127">
        <f>LOOKUP(2,1/(B3:B13=C16)/(D3:D13=C18)/(E3:E13=C18),(C3:C13))</f>
        <v>0</v>
      </c>
    </row>
    <row r="20" spans="1:6">
      <c r="F20" s="127" t="s">
        <v>3123</v>
      </c>
    </row>
    <row r="27" spans="1:6">
      <c r="A27" s="127" t="s">
        <v>3124</v>
      </c>
    </row>
    <row r="28" spans="1:6">
      <c r="A28" t="s">
        <v>3125</v>
      </c>
    </row>
    <row r="29" spans="1:6">
      <c r="A29" t="s">
        <v>3126</v>
      </c>
    </row>
    <row r="31" spans="1:6">
      <c r="A31" s="158" t="s">
        <v>3127</v>
      </c>
    </row>
    <row r="32" spans="1:6">
      <c r="A32" t="s">
        <v>3128</v>
      </c>
    </row>
    <row r="33" spans="1:1">
      <c r="A33" t="s">
        <v>3129</v>
      </c>
    </row>
    <row r="34" spans="1:1">
      <c r="A34" t="s">
        <v>3130</v>
      </c>
    </row>
    <row r="36" spans="1:1">
      <c r="A36" s="158" t="s">
        <v>3131</v>
      </c>
    </row>
    <row r="37" spans="1:1">
      <c r="A37" t="s">
        <v>3132</v>
      </c>
    </row>
    <row r="38" spans="1:1">
      <c r="A38" t="s">
        <v>3133</v>
      </c>
    </row>
    <row r="39" spans="1:1">
      <c r="A39" s="159" t="s">
        <v>3134</v>
      </c>
    </row>
    <row r="41" spans="1:1">
      <c r="A41" t="s">
        <v>3135</v>
      </c>
    </row>
    <row r="42" spans="1:1">
      <c r="A42" t="s">
        <v>3136</v>
      </c>
    </row>
    <row r="43" spans="1:1">
      <c r="A43" t="s">
        <v>3137</v>
      </c>
    </row>
    <row r="44" spans="1:1">
      <c r="A44" t="s">
        <v>3138</v>
      </c>
    </row>
    <row r="46" spans="1:1">
      <c r="A46" t="s">
        <v>3139</v>
      </c>
    </row>
    <row r="48" spans="1:1">
      <c r="A48" s="159" t="s">
        <v>3140</v>
      </c>
    </row>
    <row r="49" spans="1:1">
      <c r="A49" t="s">
        <v>3141</v>
      </c>
    </row>
    <row r="50" spans="1:1">
      <c r="A50" t="s">
        <v>3142</v>
      </c>
    </row>
    <row r="52" spans="1:1">
      <c r="A52" t="s">
        <v>3143</v>
      </c>
    </row>
    <row r="53" spans="1:1">
      <c r="A53" t="s">
        <v>3144</v>
      </c>
    </row>
    <row r="55" spans="1:1">
      <c r="A55" t="s">
        <v>3145</v>
      </c>
    </row>
    <row r="56" spans="1:1">
      <c r="A56" t="s">
        <v>3146</v>
      </c>
    </row>
    <row r="57" spans="1:1">
      <c r="A57" t="s">
        <v>3147</v>
      </c>
    </row>
    <row r="58" spans="1:1">
      <c r="A58" t="s">
        <v>3148</v>
      </c>
    </row>
    <row r="59" spans="1:1">
      <c r="A59" t="s">
        <v>3149</v>
      </c>
    </row>
    <row r="60" spans="1:1">
      <c r="A60" t="s">
        <v>3150</v>
      </c>
    </row>
    <row r="61" spans="1:1">
      <c r="A61" t="s">
        <v>3151</v>
      </c>
    </row>
    <row r="62" spans="1:1">
      <c r="A62" t="s">
        <v>3138</v>
      </c>
    </row>
    <row r="64" spans="1:1">
      <c r="A64" t="s">
        <v>3152</v>
      </c>
    </row>
    <row r="65" spans="1:1">
      <c r="A65" t="s">
        <v>3153</v>
      </c>
    </row>
    <row r="66" spans="1:1">
      <c r="A66" t="s">
        <v>3154</v>
      </c>
    </row>
    <row r="67" spans="1:1">
      <c r="A67" t="s">
        <v>3138</v>
      </c>
    </row>
    <row r="68" spans="1:1">
      <c r="A68" t="s">
        <v>3155</v>
      </c>
    </row>
    <row r="69" spans="1:1">
      <c r="A69" t="s">
        <v>3156</v>
      </c>
    </row>
    <row r="71" spans="1:1">
      <c r="A71" t="s">
        <v>3138</v>
      </c>
    </row>
    <row r="72" spans="1:1">
      <c r="A72" t="s">
        <v>3157</v>
      </c>
    </row>
    <row r="74" spans="1:1">
      <c r="A74" t="s">
        <v>3158</v>
      </c>
    </row>
    <row r="76" spans="1:1">
      <c r="A76" s="159" t="s">
        <v>3159</v>
      </c>
    </row>
    <row r="77" spans="1:1">
      <c r="A77" t="s">
        <v>3160</v>
      </c>
    </row>
    <row r="78" spans="1:1">
      <c r="A78" t="s">
        <v>3161</v>
      </c>
    </row>
    <row r="79" spans="1:1">
      <c r="A79" t="s">
        <v>3162</v>
      </c>
    </row>
    <row r="80" spans="1:1">
      <c r="A80" t="s">
        <v>3163</v>
      </c>
    </row>
    <row r="81" spans="1:1">
      <c r="A81" t="s">
        <v>3164</v>
      </c>
    </row>
    <row r="82" spans="1:1">
      <c r="A82" t="s">
        <v>3165</v>
      </c>
    </row>
    <row r="83" spans="1:1">
      <c r="A83" t="s">
        <v>3166</v>
      </c>
    </row>
    <row r="84" spans="1:1">
      <c r="A84" t="s">
        <v>3167</v>
      </c>
    </row>
    <row r="85" spans="1:1">
      <c r="A85" t="s">
        <v>3138</v>
      </c>
    </row>
    <row r="87" spans="1:1">
      <c r="A87" t="s">
        <v>3168</v>
      </c>
    </row>
    <row r="88" spans="1:1">
      <c r="A88" t="s">
        <v>3169</v>
      </c>
    </row>
    <row r="89" spans="1:1">
      <c r="A89" t="s">
        <v>3138</v>
      </c>
    </row>
    <row r="90" spans="1:1">
      <c r="A90" t="s">
        <v>3170</v>
      </c>
    </row>
    <row r="92" spans="1:1">
      <c r="A92" s="158" t="s">
        <v>3171</v>
      </c>
    </row>
    <row r="93" spans="1:1">
      <c r="A93" s="159" t="s">
        <v>3172</v>
      </c>
    </row>
    <row r="94" spans="1:1">
      <c r="A94" t="s">
        <v>3173</v>
      </c>
    </row>
    <row r="95" spans="1:1">
      <c r="A95" t="s">
        <v>3174</v>
      </c>
    </row>
    <row r="96" spans="1:1">
      <c r="A96" t="s">
        <v>3150</v>
      </c>
    </row>
    <row r="97" spans="1:1">
      <c r="A97" t="s">
        <v>3175</v>
      </c>
    </row>
    <row r="98" spans="1:1">
      <c r="A98" t="s">
        <v>3176</v>
      </c>
    </row>
    <row r="99" spans="1:1">
      <c r="A99" t="s">
        <v>3177</v>
      </c>
    </row>
    <row r="100" spans="1:1">
      <c r="A100" t="s">
        <v>3138</v>
      </c>
    </row>
    <row r="101" spans="1:1">
      <c r="A101" t="s">
        <v>3170</v>
      </c>
    </row>
    <row r="106" spans="1:1">
      <c r="A106" t="s">
        <v>3178</v>
      </c>
    </row>
    <row r="108" spans="1:1">
      <c r="A108" t="s">
        <v>3179</v>
      </c>
    </row>
    <row r="109" spans="1:1">
      <c r="A109" t="s">
        <v>3180</v>
      </c>
    </row>
    <row r="110" spans="1:1">
      <c r="A110" t="s">
        <v>3181</v>
      </c>
    </row>
    <row r="112" spans="1:1">
      <c r="A112" t="s">
        <v>3182</v>
      </c>
    </row>
    <row r="113" spans="1:1">
      <c r="A113" t="s">
        <v>3183</v>
      </c>
    </row>
    <row r="115" spans="1:1">
      <c r="A115" t="s">
        <v>3184</v>
      </c>
    </row>
    <row r="116" spans="1:1">
      <c r="A116" t="s">
        <v>3185</v>
      </c>
    </row>
    <row r="118" spans="1:1">
      <c r="A118" t="s">
        <v>3186</v>
      </c>
    </row>
    <row r="119" spans="1:1">
      <c r="A119" t="s">
        <v>3187</v>
      </c>
    </row>
    <row r="120" spans="1:1">
      <c r="A120" t="s">
        <v>3188</v>
      </c>
    </row>
    <row r="121" spans="1:1">
      <c r="A121" t="s">
        <v>3189</v>
      </c>
    </row>
    <row r="122" spans="1:1">
      <c r="A122" t="s">
        <v>3190</v>
      </c>
    </row>
    <row r="123" spans="1:1">
      <c r="A123" t="s">
        <v>3191</v>
      </c>
    </row>
    <row r="124" spans="1:1">
      <c r="A124" t="s">
        <v>3192</v>
      </c>
    </row>
    <row r="125" spans="1:1">
      <c r="A125" t="s">
        <v>3193</v>
      </c>
    </row>
    <row r="126" spans="1:1">
      <c r="A126" t="s">
        <v>3194</v>
      </c>
    </row>
    <row r="127" spans="1:1">
      <c r="A127" t="s">
        <v>3195</v>
      </c>
    </row>
    <row r="129" spans="1:1">
      <c r="A129" t="s">
        <v>3196</v>
      </c>
    </row>
    <row r="130" spans="1:1">
      <c r="A130" t="s">
        <v>3197</v>
      </c>
    </row>
    <row r="131" spans="1:1">
      <c r="A131" t="s">
        <v>3198</v>
      </c>
    </row>
    <row r="132" spans="1:1">
      <c r="A132" t="s">
        <v>3199</v>
      </c>
    </row>
    <row r="134" spans="1:1">
      <c r="A134" t="s">
        <v>3200</v>
      </c>
    </row>
    <row r="135" spans="1:1">
      <c r="A135" t="s">
        <v>3201</v>
      </c>
    </row>
    <row r="137" spans="1:1">
      <c r="A137" t="s">
        <v>3202</v>
      </c>
    </row>
    <row r="138" spans="1:1">
      <c r="A138" t="s">
        <v>3203</v>
      </c>
    </row>
    <row r="139" spans="1:1">
      <c r="A139" t="s">
        <v>3204</v>
      </c>
    </row>
    <row r="141" spans="1:1">
      <c r="A141" t="s">
        <v>3205</v>
      </c>
    </row>
    <row r="142" spans="1:1">
      <c r="A142" t="s">
        <v>3206</v>
      </c>
    </row>
    <row r="143" spans="1:1">
      <c r="A143" t="s">
        <v>3207</v>
      </c>
    </row>
    <row r="144" spans="1:1">
      <c r="A144" t="s">
        <v>3208</v>
      </c>
    </row>
    <row r="145" spans="1:1">
      <c r="A145" t="s">
        <v>3209</v>
      </c>
    </row>
    <row r="146" spans="1:1">
      <c r="A146" t="s">
        <v>3210</v>
      </c>
    </row>
    <row r="147" spans="1:1">
      <c r="A147" t="s">
        <v>3204</v>
      </c>
    </row>
    <row r="148" spans="1:1">
      <c r="A148" t="s">
        <v>3211</v>
      </c>
    </row>
    <row r="149" spans="1:1">
      <c r="A149" t="s">
        <v>3212</v>
      </c>
    </row>
    <row r="150" spans="1:1">
      <c r="A150" t="s">
        <v>3213</v>
      </c>
    </row>
    <row r="152" spans="1:1">
      <c r="A152" t="s">
        <v>3170</v>
      </c>
    </row>
  </sheetData>
  <sheetProtection password="DDCD" sheet="1" objects="1" scenarios="1"/>
  <pageMargins left="0.69930555555555596" right="0.69930555555555596" top="0.75" bottom="0.75" header="0.3" footer="0.3"/>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filterMode="1"/>
  <dimension ref="A1:Y310"/>
  <sheetViews>
    <sheetView topLeftCell="C1" zoomScale="115" zoomScaleNormal="115" workbookViewId="0">
      <selection activeCell="W29" sqref="W29"/>
    </sheetView>
  </sheetViews>
  <sheetFormatPr defaultColWidth="9" defaultRowHeight="14.4"/>
  <cols>
    <col min="3" max="3" width="13.109375" customWidth="1"/>
    <col min="4" max="4" width="27.109375" customWidth="1"/>
    <col min="5" max="5" width="36.88671875" customWidth="1"/>
    <col min="6" max="6" width="3.88671875" customWidth="1"/>
    <col min="7" max="8" width="13.109375" customWidth="1"/>
    <col min="9" max="9" width="6.109375" customWidth="1"/>
    <col min="10" max="13" width="13.109375" customWidth="1"/>
    <col min="14" max="14" width="4.33203125" customWidth="1"/>
    <col min="15" max="15" width="11.109375" customWidth="1"/>
    <col min="16" max="16" width="11.44140625" customWidth="1"/>
    <col min="17" max="17" width="11.109375" customWidth="1"/>
    <col min="18" max="18" width="13.109375" customWidth="1"/>
    <col min="19" max="19" width="15.33203125" customWidth="1"/>
  </cols>
  <sheetData>
    <row r="1" spans="1:25">
      <c r="A1" t="s">
        <v>2765</v>
      </c>
      <c r="B1" t="s">
        <v>2765</v>
      </c>
      <c r="C1" s="138" t="s">
        <v>18</v>
      </c>
      <c r="D1" s="139" t="s">
        <v>2204</v>
      </c>
      <c r="E1" s="140" t="s">
        <v>7</v>
      </c>
      <c r="F1" s="141" t="s">
        <v>8</v>
      </c>
      <c r="G1" s="142" t="s">
        <v>2810</v>
      </c>
      <c r="H1" s="142" t="s">
        <v>2811</v>
      </c>
      <c r="I1" s="143" t="s">
        <v>10</v>
      </c>
      <c r="J1" s="143" t="s">
        <v>2201</v>
      </c>
      <c r="K1" s="144" t="s">
        <v>2806</v>
      </c>
      <c r="L1" s="144" t="s">
        <v>2805</v>
      </c>
      <c r="M1" s="139" t="s">
        <v>2216</v>
      </c>
      <c r="N1" s="143" t="s">
        <v>2202</v>
      </c>
      <c r="O1" s="141" t="s">
        <v>3214</v>
      </c>
      <c r="P1" s="141" t="s">
        <v>2807</v>
      </c>
      <c r="Q1" s="141" t="s">
        <v>2809</v>
      </c>
      <c r="R1" s="146" t="s">
        <v>21</v>
      </c>
    </row>
    <row r="2" spans="1:25" ht="18.75" customHeight="1">
      <c r="A2" t="s">
        <v>2765</v>
      </c>
      <c r="B2" t="s">
        <v>2765</v>
      </c>
      <c r="C2" s="138" t="s">
        <v>18</v>
      </c>
      <c r="D2" s="139" t="s">
        <v>2204</v>
      </c>
      <c r="E2" s="140" t="s">
        <v>7</v>
      </c>
      <c r="F2" s="141" t="s">
        <v>8</v>
      </c>
      <c r="G2" s="142" t="s">
        <v>2810</v>
      </c>
      <c r="H2" s="142" t="s">
        <v>2811</v>
      </c>
      <c r="I2" s="143" t="s">
        <v>10</v>
      </c>
      <c r="J2" s="143" t="s">
        <v>2201</v>
      </c>
      <c r="K2" s="144" t="s">
        <v>2806</v>
      </c>
      <c r="L2" s="144" t="s">
        <v>2805</v>
      </c>
      <c r="M2" s="139" t="s">
        <v>2216</v>
      </c>
      <c r="N2" s="143" t="s">
        <v>2202</v>
      </c>
      <c r="O2" s="141" t="s">
        <v>2813</v>
      </c>
      <c r="P2" s="141" t="s">
        <v>2812</v>
      </c>
      <c r="Q2" s="141" t="s">
        <v>2809</v>
      </c>
      <c r="R2" s="146" t="s">
        <v>21</v>
      </c>
      <c r="S2" s="147"/>
      <c r="T2" s="148"/>
      <c r="U2" s="148"/>
      <c r="V2" s="148"/>
      <c r="W2" s="148"/>
      <c r="X2" s="148"/>
      <c r="Y2" s="149"/>
    </row>
    <row r="3" spans="1:25">
      <c r="A3">
        <v>2015</v>
      </c>
      <c r="B3">
        <f>(YEAR(C3))</f>
        <v>2018</v>
      </c>
      <c r="C3">
        <f>+'staffing plan'!BK12</f>
        <v>43146</v>
      </c>
      <c r="D3" t="str">
        <f>'staffing plan'!A12</f>
        <v>OSEC-DILGB-DIR4-18-1998</v>
      </c>
      <c r="E3" t="str">
        <f>+'staffing plan'!B12</f>
        <v>Director IV</v>
      </c>
      <c r="F3">
        <f>+'staffing plan'!C12</f>
        <v>28</v>
      </c>
      <c r="G3" s="131">
        <f>+'staffing plan'!AH12</f>
        <v>1646340</v>
      </c>
      <c r="H3" s="131">
        <f>+'staffing plan'!AI12</f>
        <v>1673208</v>
      </c>
      <c r="I3" s="131">
        <f>+'staffing plan'!AJ12</f>
        <v>2</v>
      </c>
      <c r="J3" t="str">
        <f>+'staffing plan'!AW12</f>
        <v>IRINGAN, Marlo Lingan</v>
      </c>
      <c r="K3" t="e">
        <f>+'staffing plan'!#REF!</f>
        <v>#REF!</v>
      </c>
      <c r="L3" t="e">
        <f>+'staffing plan'!#REF!</f>
        <v>#REF!</v>
      </c>
      <c r="M3" t="str">
        <f>+'staffing plan'!AX12</f>
        <v>Regional Office</v>
      </c>
      <c r="N3" t="str">
        <f>+'staffing plan'!AY12</f>
        <v>M</v>
      </c>
      <c r="O3" s="145" t="e">
        <f>+'staffing plan'!#REF!</f>
        <v>#REF!</v>
      </c>
      <c r="P3" s="145" t="e">
        <f>+'staffing plan'!#REF!</f>
        <v>#REF!</v>
      </c>
      <c r="Q3" s="145" t="e">
        <f>+'staffing plan'!#REF!</f>
        <v>#REF!</v>
      </c>
      <c r="R3">
        <f>+'staffing plan'!BP12</f>
        <v>0</v>
      </c>
      <c r="S3">
        <v>1</v>
      </c>
    </row>
    <row r="4" spans="1:25" hidden="1">
      <c r="A4">
        <f t="shared" ref="A4:A10" si="0">+A3-3</f>
        <v>2012</v>
      </c>
      <c r="B4">
        <f t="shared" ref="B4:B68" si="1">(YEAR(C4))</f>
        <v>2019</v>
      </c>
      <c r="C4">
        <f>+'staffing plan'!BK13</f>
        <v>43549</v>
      </c>
      <c r="D4" t="str">
        <f>'staffing plan'!A13</f>
        <v>OSEC-DILGB-DIR3-4-1998</v>
      </c>
      <c r="E4" t="str">
        <f>+'staffing plan'!B13</f>
        <v>Director III</v>
      </c>
      <c r="F4">
        <f>+'staffing plan'!C13</f>
        <v>27</v>
      </c>
      <c r="G4" s="131">
        <f>+'staffing plan'!AH13</f>
        <v>1456932</v>
      </c>
      <c r="H4" s="131">
        <f>+'staffing plan'!AI13</f>
        <v>1480716</v>
      </c>
      <c r="I4" s="131">
        <f>+'staffing plan'!AJ13</f>
        <v>2</v>
      </c>
      <c r="J4" t="str">
        <f>+'staffing plan'!AW13</f>
        <v>SAN JOSE, Araceli Arruejo</v>
      </c>
      <c r="K4" t="e">
        <f>+'staffing plan'!#REF!</f>
        <v>#REF!</v>
      </c>
      <c r="L4" t="e">
        <f>+'staffing plan'!#REF!</f>
        <v>#REF!</v>
      </c>
      <c r="M4" t="str">
        <f>+'staffing plan'!AX13</f>
        <v>Regional Office</v>
      </c>
      <c r="N4" t="str">
        <f>+'staffing plan'!AY13</f>
        <v>F</v>
      </c>
      <c r="O4" s="145" t="e">
        <f>+'staffing plan'!#REF!</f>
        <v>#REF!</v>
      </c>
      <c r="P4" s="145" t="e">
        <f>+'staffing plan'!#REF!</f>
        <v>#REF!</v>
      </c>
      <c r="Q4" s="145" t="e">
        <f>+'staffing plan'!#REF!</f>
        <v>#REF!</v>
      </c>
      <c r="R4">
        <f>+'staffing plan'!BP13</f>
        <v>0</v>
      </c>
      <c r="S4">
        <v>2</v>
      </c>
    </row>
    <row r="5" spans="1:25" hidden="1">
      <c r="A5">
        <f t="shared" si="0"/>
        <v>2009</v>
      </c>
      <c r="B5">
        <f t="shared" si="1"/>
        <v>2018</v>
      </c>
      <c r="C5">
        <f>+'staffing plan'!BK14</f>
        <v>43360</v>
      </c>
      <c r="D5" t="str">
        <f>'staffing plan'!A14</f>
        <v>OSEC-DILGB-ATTY4-9-1998</v>
      </c>
      <c r="E5" t="str">
        <f>+'staffing plan'!B14</f>
        <v>Attorney IV</v>
      </c>
      <c r="F5">
        <f>+'staffing plan'!C14</f>
        <v>23</v>
      </c>
      <c r="G5" s="131">
        <f>+'staffing plan'!AH14</f>
        <v>885732</v>
      </c>
      <c r="H5" s="131">
        <f>+'staffing plan'!AI14</f>
        <v>885732</v>
      </c>
      <c r="I5" s="131">
        <f>+'staffing plan'!AJ14</f>
        <v>1</v>
      </c>
      <c r="J5" t="str">
        <f>+'staffing plan'!AW14</f>
        <v>SHONTOGAN, Genevieve Miguel</v>
      </c>
      <c r="K5" t="e">
        <f>+'staffing plan'!#REF!</f>
        <v>#REF!</v>
      </c>
      <c r="L5" t="e">
        <f>+'staffing plan'!#REF!</f>
        <v>#REF!</v>
      </c>
      <c r="M5" t="str">
        <f>+'staffing plan'!AX14</f>
        <v>Regional Office</v>
      </c>
      <c r="N5" t="str">
        <f>+'staffing plan'!AY14</f>
        <v>F</v>
      </c>
      <c r="O5" s="145" t="e">
        <f>+'staffing plan'!#REF!</f>
        <v>#REF!</v>
      </c>
      <c r="P5" s="145" t="e">
        <f>+'staffing plan'!#REF!</f>
        <v>#REF!</v>
      </c>
      <c r="Q5" s="145" t="e">
        <f>+'staffing plan'!#REF!</f>
        <v>#REF!</v>
      </c>
      <c r="R5">
        <f>+'staffing plan'!BP14</f>
        <v>0</v>
      </c>
      <c r="S5">
        <v>3</v>
      </c>
    </row>
    <row r="6" spans="1:25">
      <c r="A6">
        <f t="shared" si="0"/>
        <v>2006</v>
      </c>
      <c r="B6">
        <f t="shared" si="1"/>
        <v>2012</v>
      </c>
      <c r="C6">
        <f>+'staffing plan'!BK15</f>
        <v>40969</v>
      </c>
      <c r="D6" t="str">
        <f>'staffing plan'!A15</f>
        <v>OSEC-DILGB-ITO1-2-2010</v>
      </c>
      <c r="E6" t="str">
        <f>+'staffing plan'!B15</f>
        <v>Information Technology Officer I</v>
      </c>
      <c r="F6">
        <f>+'staffing plan'!C15</f>
        <v>19</v>
      </c>
      <c r="G6" s="131">
        <f>+'staffing plan'!AH15</f>
        <v>543228</v>
      </c>
      <c r="H6" s="131">
        <f>+'staffing plan'!AI15</f>
        <v>561108</v>
      </c>
      <c r="I6" s="131">
        <f>+'staffing plan'!AJ15</f>
        <v>3</v>
      </c>
      <c r="J6" t="str">
        <f>+'staffing plan'!AW15</f>
        <v>PAPAT-IW, Zaldy Bugtong</v>
      </c>
      <c r="K6" t="e">
        <f>+'staffing plan'!#REF!</f>
        <v>#REF!</v>
      </c>
      <c r="L6" t="e">
        <f>+'staffing plan'!#REF!</f>
        <v>#REF!</v>
      </c>
      <c r="M6" t="str">
        <f>+'staffing plan'!AX15</f>
        <v>Regional Office</v>
      </c>
      <c r="N6" t="str">
        <f>+'staffing plan'!AY15</f>
        <v>M</v>
      </c>
      <c r="O6" s="145" t="e">
        <f>+'staffing plan'!#REF!</f>
        <v>#REF!</v>
      </c>
      <c r="P6" s="145" t="e">
        <f>+'staffing plan'!#REF!</f>
        <v>#REF!</v>
      </c>
      <c r="Q6" s="145" t="e">
        <f>+'staffing plan'!#REF!</f>
        <v>#REF!</v>
      </c>
      <c r="R6">
        <f>+'staffing plan'!BP15</f>
        <v>0</v>
      </c>
      <c r="S6">
        <v>4</v>
      </c>
    </row>
    <row r="7" spans="1:25" hidden="1">
      <c r="A7">
        <f t="shared" si="0"/>
        <v>2003</v>
      </c>
      <c r="B7">
        <f t="shared" si="1"/>
        <v>2016</v>
      </c>
      <c r="C7">
        <f>+'staffing plan'!BK16</f>
        <v>42653</v>
      </c>
      <c r="D7" t="str">
        <f>'staffing plan'!A16</f>
        <v>OSEC-DILGB-PLO3-93-2010</v>
      </c>
      <c r="E7" t="str">
        <f>+'staffing plan'!B16</f>
        <v>Planning Officer III</v>
      </c>
      <c r="F7">
        <f>+'staffing plan'!C16</f>
        <v>18</v>
      </c>
      <c r="G7" s="131">
        <f>+'staffing plan'!AH16</f>
        <v>487644</v>
      </c>
      <c r="H7" s="131">
        <f>+'staffing plan'!AI16</f>
        <v>487644</v>
      </c>
      <c r="I7" s="131">
        <f>+'staffing plan'!AJ16</f>
        <v>1</v>
      </c>
      <c r="J7" t="str">
        <f>+'staffing plan'!AW16</f>
        <v>BINAY-AN, Fe Suerte</v>
      </c>
      <c r="K7" t="e">
        <f>+'staffing plan'!#REF!</f>
        <v>#REF!</v>
      </c>
      <c r="L7" t="e">
        <f>+'staffing plan'!#REF!</f>
        <v>#REF!</v>
      </c>
      <c r="M7" t="str">
        <f>+'staffing plan'!AX16</f>
        <v>Regional Office</v>
      </c>
      <c r="N7" t="str">
        <f>+'staffing plan'!AY16</f>
        <v>F</v>
      </c>
      <c r="O7" s="145" t="e">
        <f>+'staffing plan'!#REF!</f>
        <v>#REF!</v>
      </c>
      <c r="P7" s="145" t="e">
        <f>+'staffing plan'!#REF!</f>
        <v>#REF!</v>
      </c>
      <c r="Q7" s="145" t="e">
        <f>+'staffing plan'!#REF!</f>
        <v>#REF!</v>
      </c>
      <c r="R7">
        <f>+'staffing plan'!BP16</f>
        <v>0</v>
      </c>
      <c r="S7">
        <v>5</v>
      </c>
    </row>
    <row r="8" spans="1:25" hidden="1">
      <c r="A8">
        <f t="shared" si="0"/>
        <v>2000</v>
      </c>
      <c r="B8">
        <f t="shared" si="1"/>
        <v>1998</v>
      </c>
      <c r="C8">
        <f>+'staffing plan'!BK17</f>
        <v>36069</v>
      </c>
      <c r="D8" t="str">
        <f>'staffing plan'!A17</f>
        <v>OSEC-DILGB-ADAS3-64-2005</v>
      </c>
      <c r="E8" t="str">
        <f>+'staffing plan'!B17</f>
        <v>Administrative Assistant III</v>
      </c>
      <c r="F8">
        <f>+'staffing plan'!C17</f>
        <v>9</v>
      </c>
      <c r="G8" s="131">
        <f>+'staffing plan'!AH17</f>
        <v>215700</v>
      </c>
      <c r="H8" s="131">
        <f>+'staffing plan'!AI17</f>
        <v>226752</v>
      </c>
      <c r="I8" s="131">
        <f>+'staffing plan'!AJ17</f>
        <v>7</v>
      </c>
      <c r="J8" t="str">
        <f>+'staffing plan'!AW17</f>
        <v>DAOAS, Marian Pait Bigsang</v>
      </c>
      <c r="K8" t="e">
        <f>+'staffing plan'!#REF!</f>
        <v>#REF!</v>
      </c>
      <c r="L8" t="e">
        <f>+'staffing plan'!#REF!</f>
        <v>#REF!</v>
      </c>
      <c r="M8" t="str">
        <f>+'staffing plan'!AX17</f>
        <v>Regional Office</v>
      </c>
      <c r="N8" t="str">
        <f>+'staffing plan'!AY17</f>
        <v>F</v>
      </c>
      <c r="O8" s="145" t="e">
        <f>+'staffing plan'!#REF!</f>
        <v>#REF!</v>
      </c>
      <c r="P8" s="145" t="e">
        <f>+'staffing plan'!#REF!</f>
        <v>#REF!</v>
      </c>
      <c r="Q8" s="145" t="e">
        <f>+'staffing plan'!#REF!</f>
        <v>#REF!</v>
      </c>
      <c r="R8">
        <f>+'staffing plan'!BP17</f>
        <v>0</v>
      </c>
      <c r="S8">
        <v>6</v>
      </c>
    </row>
    <row r="9" spans="1:25" hidden="1">
      <c r="A9">
        <f t="shared" si="0"/>
        <v>1997</v>
      </c>
      <c r="B9">
        <f t="shared" si="1"/>
        <v>2017</v>
      </c>
      <c r="C9">
        <f>+'staffing plan'!BK18</f>
        <v>42891</v>
      </c>
      <c r="D9" t="str">
        <f>'staffing plan'!A18</f>
        <v>OSEC-DILGB-ADA4-83-2005</v>
      </c>
      <c r="E9" t="str">
        <f>+'staffing plan'!B18</f>
        <v>Administrative Aide IV (Driver II)</v>
      </c>
      <c r="F9">
        <f>+'staffing plan'!C18</f>
        <v>4</v>
      </c>
      <c r="G9" s="131">
        <f>+'staffing plan'!AH18</f>
        <v>158568</v>
      </c>
      <c r="H9" s="131">
        <f>+'staffing plan'!AI18</f>
        <v>158568</v>
      </c>
      <c r="I9" s="131">
        <f>+'staffing plan'!AJ18</f>
        <v>1</v>
      </c>
      <c r="J9" t="str">
        <f>+'staffing plan'!AW18</f>
        <v>PULTZ, El-wood Duane  Lingbawan</v>
      </c>
      <c r="K9" t="e">
        <f>+'staffing plan'!#REF!</f>
        <v>#REF!</v>
      </c>
      <c r="L9" t="e">
        <f>+'staffing plan'!#REF!</f>
        <v>#REF!</v>
      </c>
      <c r="M9" t="str">
        <f>+'staffing plan'!AX18</f>
        <v>Regional Office</v>
      </c>
      <c r="N9" t="str">
        <f>+'staffing plan'!AY18</f>
        <v>M</v>
      </c>
      <c r="O9" s="145" t="e">
        <f>+'staffing plan'!#REF!</f>
        <v>#REF!</v>
      </c>
      <c r="P9" s="145" t="e">
        <f>+'staffing plan'!#REF!</f>
        <v>#REF!</v>
      </c>
      <c r="Q9" s="145" t="e">
        <f>+'staffing plan'!#REF!</f>
        <v>#REF!</v>
      </c>
      <c r="R9">
        <f>+'staffing plan'!BP18</f>
        <v>0</v>
      </c>
      <c r="S9">
        <v>7</v>
      </c>
    </row>
    <row r="10" spans="1:25" hidden="1">
      <c r="A10">
        <f t="shared" si="0"/>
        <v>1994</v>
      </c>
      <c r="B10">
        <f t="shared" si="1"/>
        <v>1900</v>
      </c>
      <c r="C10">
        <f>+'staffing plan'!BK19</f>
        <v>0</v>
      </c>
      <c r="D10" t="str">
        <f>'staffing plan'!A19</f>
        <v>Sub-Total</v>
      </c>
      <c r="E10">
        <f>+'staffing plan'!B19</f>
        <v>0</v>
      </c>
      <c r="F10">
        <f>+'staffing plan'!C19</f>
        <v>0</v>
      </c>
      <c r="G10" s="131">
        <f>+'staffing plan'!AH19</f>
        <v>0</v>
      </c>
      <c r="H10" s="131">
        <f>+'staffing plan'!AI19</f>
        <v>0</v>
      </c>
      <c r="I10" s="131">
        <f>+'staffing plan'!AJ19</f>
        <v>7</v>
      </c>
      <c r="J10">
        <f>+'staffing plan'!AW19</f>
        <v>0</v>
      </c>
      <c r="K10" t="e">
        <f>+'staffing plan'!#REF!</f>
        <v>#REF!</v>
      </c>
      <c r="L10" t="e">
        <f>+'staffing plan'!#REF!</f>
        <v>#REF!</v>
      </c>
      <c r="M10">
        <f>+'staffing plan'!AX19</f>
        <v>0</v>
      </c>
      <c r="N10">
        <f>+'staffing plan'!AY19</f>
        <v>0</v>
      </c>
      <c r="O10" s="145" t="e">
        <f>+'staffing plan'!#REF!</f>
        <v>#REF!</v>
      </c>
      <c r="P10" s="145" t="e">
        <f>+'staffing plan'!#REF!</f>
        <v>#REF!</v>
      </c>
      <c r="Q10" s="145" t="e">
        <f>+'staffing plan'!#REF!</f>
        <v>#REF!</v>
      </c>
      <c r="R10">
        <f>+'staffing plan'!BP19</f>
        <v>0</v>
      </c>
      <c r="S10">
        <v>8</v>
      </c>
    </row>
    <row r="11" spans="1:25" hidden="1">
      <c r="B11">
        <f t="shared" si="1"/>
        <v>1900</v>
      </c>
      <c r="C11">
        <f>+'staffing plan'!BK20</f>
        <v>0</v>
      </c>
      <c r="D11" t="str">
        <f>'staffing plan'!A20</f>
        <v>62,000          Capability Development Division</v>
      </c>
      <c r="E11">
        <f>+'staffing plan'!B20</f>
        <v>0</v>
      </c>
      <c r="F11">
        <f>+'staffing plan'!C20</f>
        <v>0</v>
      </c>
      <c r="G11" s="131">
        <f>+'staffing plan'!AH20</f>
        <v>0</v>
      </c>
      <c r="H11" s="131">
        <f>+'staffing plan'!AI20</f>
        <v>0</v>
      </c>
      <c r="I11" s="131">
        <f>+'staffing plan'!AJ20</f>
        <v>0</v>
      </c>
      <c r="J11">
        <f>+'staffing plan'!AW20</f>
        <v>0</v>
      </c>
      <c r="K11" t="e">
        <f>+'staffing plan'!#REF!</f>
        <v>#REF!</v>
      </c>
      <c r="L11" t="e">
        <f>+'staffing plan'!#REF!</f>
        <v>#REF!</v>
      </c>
      <c r="M11">
        <f>+'staffing plan'!AX20</f>
        <v>0</v>
      </c>
      <c r="N11">
        <f>+'staffing plan'!AY20</f>
        <v>0</v>
      </c>
      <c r="O11" s="145" t="e">
        <f>+'staffing plan'!#REF!</f>
        <v>#REF!</v>
      </c>
      <c r="P11" s="145" t="e">
        <f>+'staffing plan'!#REF!</f>
        <v>#REF!</v>
      </c>
      <c r="Q11" s="145" t="e">
        <f>+'staffing plan'!#REF!</f>
        <v>#REF!</v>
      </c>
      <c r="R11">
        <f>+'staffing plan'!BP20</f>
        <v>0</v>
      </c>
      <c r="S11">
        <v>9</v>
      </c>
    </row>
    <row r="12" spans="1:25" hidden="1">
      <c r="B12">
        <f t="shared" si="1"/>
        <v>2016</v>
      </c>
      <c r="C12">
        <f>+'staffing plan'!BK21</f>
        <v>42569</v>
      </c>
      <c r="D12" t="str">
        <f>'staffing plan'!A21</f>
        <v>OSEC-DILGB-LGOO7-37-1998</v>
      </c>
      <c r="E12" t="str">
        <f>+'staffing plan'!B21</f>
        <v>Local Government Operations Officer VII</v>
      </c>
      <c r="F12">
        <f>+'staffing plan'!C21</f>
        <v>24</v>
      </c>
      <c r="G12" s="131">
        <f>+'staffing plan'!AH21</f>
        <v>1000872</v>
      </c>
      <c r="H12" s="131">
        <f>+'staffing plan'!AI21</f>
        <v>1000872</v>
      </c>
      <c r="I12" s="131">
        <f>+'staffing plan'!AJ21</f>
        <v>1</v>
      </c>
      <c r="J12" t="str">
        <f>+'staffing plan'!AW21</f>
        <v>PAYANG, Daisy Amoy</v>
      </c>
      <c r="K12" t="e">
        <f>+'staffing plan'!#REF!</f>
        <v>#REF!</v>
      </c>
      <c r="L12" t="e">
        <f>+'staffing plan'!#REF!</f>
        <v>#REF!</v>
      </c>
      <c r="M12" t="str">
        <f>+'staffing plan'!AX21</f>
        <v>Regional Office</v>
      </c>
      <c r="N12" t="str">
        <f>+'staffing plan'!AY21</f>
        <v>F</v>
      </c>
      <c r="O12" s="145" t="e">
        <f>+'staffing plan'!#REF!</f>
        <v>#REF!</v>
      </c>
      <c r="P12" s="145" t="e">
        <f>+'staffing plan'!#REF!</f>
        <v>#REF!</v>
      </c>
      <c r="Q12" s="145" t="e">
        <f>+'staffing plan'!#REF!</f>
        <v>#REF!</v>
      </c>
      <c r="R12">
        <f>+'staffing plan'!BP21</f>
        <v>0</v>
      </c>
      <c r="S12">
        <v>10</v>
      </c>
    </row>
    <row r="13" spans="1:25" hidden="1">
      <c r="A13">
        <f t="shared" ref="A13:A20" si="2">+A3-1</f>
        <v>2014</v>
      </c>
      <c r="B13">
        <f t="shared" si="1"/>
        <v>2008</v>
      </c>
      <c r="C13">
        <f>+'staffing plan'!BK22</f>
        <v>39510</v>
      </c>
      <c r="D13" t="str">
        <f>'staffing plan'!A22</f>
        <v>OSEC-DILGB-LGOO6-12-1998</v>
      </c>
      <c r="E13" t="str">
        <f>+'staffing plan'!B22</f>
        <v>Local Government Operations Officer VI</v>
      </c>
      <c r="F13">
        <f>+'staffing plan'!C22</f>
        <v>22</v>
      </c>
      <c r="G13" s="131">
        <f>+'staffing plan'!AH22</f>
        <v>783828</v>
      </c>
      <c r="H13" s="131">
        <f>+'staffing plan'!AI22</f>
        <v>822840</v>
      </c>
      <c r="I13" s="131">
        <f>+'staffing plan'!AJ22</f>
        <v>4</v>
      </c>
      <c r="J13" t="str">
        <f>+'staffing plan'!AW22</f>
        <v>CLAUDIO, Ofelia Linggon</v>
      </c>
      <c r="K13" t="e">
        <f>+'staffing plan'!#REF!</f>
        <v>#REF!</v>
      </c>
      <c r="L13" t="e">
        <f>+'staffing plan'!#REF!</f>
        <v>#REF!</v>
      </c>
      <c r="M13" t="str">
        <f>+'staffing plan'!AX22</f>
        <v>Benguet</v>
      </c>
      <c r="N13" t="str">
        <f>+'staffing plan'!AY22</f>
        <v>F</v>
      </c>
      <c r="O13" s="145" t="e">
        <f>+'staffing plan'!#REF!</f>
        <v>#REF!</v>
      </c>
      <c r="P13" s="145" t="e">
        <f>+'staffing plan'!#REF!</f>
        <v>#REF!</v>
      </c>
      <c r="Q13" s="145" t="e">
        <f>+'staffing plan'!#REF!</f>
        <v>#REF!</v>
      </c>
      <c r="R13">
        <f>+'staffing plan'!BP22</f>
        <v>0</v>
      </c>
      <c r="S13">
        <v>11</v>
      </c>
    </row>
    <row r="14" spans="1:25" hidden="1">
      <c r="A14">
        <f t="shared" si="2"/>
        <v>2011</v>
      </c>
      <c r="B14">
        <f t="shared" si="1"/>
        <v>2005</v>
      </c>
      <c r="C14">
        <f>+'staffing plan'!BK23</f>
        <v>38607</v>
      </c>
      <c r="D14" t="str">
        <f>'staffing plan'!A23</f>
        <v>OSEC-DILGB-LGOO5-791-1998</v>
      </c>
      <c r="E14" t="str">
        <f>+'staffing plan'!B23</f>
        <v>Local Government Operations Officer V</v>
      </c>
      <c r="F14">
        <f>+'staffing plan'!C23</f>
        <v>20</v>
      </c>
      <c r="G14" s="131">
        <f>+'staffing plan'!AH23</f>
        <v>613860</v>
      </c>
      <c r="H14" s="131">
        <f>+'staffing plan'!AI23</f>
        <v>654924</v>
      </c>
      <c r="I14" s="131">
        <f>+'staffing plan'!AJ23</f>
        <v>5</v>
      </c>
      <c r="J14" t="str">
        <f>+'staffing plan'!AW23</f>
        <v>GONZALES, Rolando Ronquillo</v>
      </c>
      <c r="K14" t="e">
        <f>+'staffing plan'!#REF!</f>
        <v>#REF!</v>
      </c>
      <c r="L14" t="e">
        <f>+'staffing plan'!#REF!</f>
        <v>#REF!</v>
      </c>
      <c r="M14" t="str">
        <f>+'staffing plan'!AX23</f>
        <v>Regional Office</v>
      </c>
      <c r="N14" t="str">
        <f>+'staffing plan'!AY23</f>
        <v>M</v>
      </c>
      <c r="O14" s="145" t="e">
        <f>+'staffing plan'!#REF!</f>
        <v>#REF!</v>
      </c>
      <c r="P14" s="145" t="e">
        <f>+'staffing plan'!#REF!</f>
        <v>#REF!</v>
      </c>
      <c r="Q14" s="145" t="e">
        <f>+'staffing plan'!#REF!</f>
        <v>#REF!</v>
      </c>
      <c r="R14" t="str">
        <f>+'staffing plan'!BP23</f>
        <v>Shifting</v>
      </c>
      <c r="S14">
        <v>12</v>
      </c>
    </row>
    <row r="15" spans="1:25" hidden="1">
      <c r="A15">
        <f t="shared" si="2"/>
        <v>2008</v>
      </c>
      <c r="B15">
        <f t="shared" si="1"/>
        <v>2002</v>
      </c>
      <c r="C15">
        <f>+'staffing plan'!BK24</f>
        <v>37355</v>
      </c>
      <c r="D15" t="str">
        <f>'staffing plan'!A24</f>
        <v>OSEC-DILGB-LGOO5-802-1998</v>
      </c>
      <c r="E15" t="str">
        <f>+'staffing plan'!B24</f>
        <v>Local Government Operations Officer V</v>
      </c>
      <c r="F15">
        <f>+'staffing plan'!C24</f>
        <v>20</v>
      </c>
      <c r="G15" s="131">
        <f>+'staffing plan'!AH24</f>
        <v>613860</v>
      </c>
      <c r="H15" s="131">
        <f>+'staffing plan'!AI24</f>
        <v>665616</v>
      </c>
      <c r="I15" s="131">
        <f>+'staffing plan'!AJ24</f>
        <v>6</v>
      </c>
      <c r="J15" t="str">
        <f>+'staffing plan'!AW24</f>
        <v>MAUTING, Johnny Laayon</v>
      </c>
      <c r="K15" t="e">
        <f>+'staffing plan'!#REF!</f>
        <v>#REF!</v>
      </c>
      <c r="L15" t="e">
        <f>+'staffing plan'!#REF!</f>
        <v>#REF!</v>
      </c>
      <c r="M15" t="str">
        <f>+'staffing plan'!AX24</f>
        <v>Regional Office</v>
      </c>
      <c r="N15" t="str">
        <f>+'staffing plan'!AY24</f>
        <v>M</v>
      </c>
      <c r="O15" s="145" t="e">
        <f>+'staffing plan'!#REF!</f>
        <v>#REF!</v>
      </c>
      <c r="P15" s="145" t="e">
        <f>+'staffing plan'!#REF!</f>
        <v>#REF!</v>
      </c>
      <c r="Q15" s="145" t="e">
        <f>+'staffing plan'!#REF!</f>
        <v>#REF!</v>
      </c>
      <c r="R15" t="str">
        <f>+'staffing plan'!BP24</f>
        <v>Shifting</v>
      </c>
      <c r="S15">
        <v>13</v>
      </c>
    </row>
    <row r="16" spans="1:25" hidden="1">
      <c r="A16">
        <f t="shared" si="2"/>
        <v>2005</v>
      </c>
      <c r="B16">
        <f t="shared" si="1"/>
        <v>1900</v>
      </c>
      <c r="C16">
        <f>+'staffing plan'!BK25</f>
        <v>0</v>
      </c>
      <c r="D16" t="str">
        <f>'staffing plan'!A25</f>
        <v>OSEC-DILGB-LGOO5-813-1998</v>
      </c>
      <c r="E16" t="str">
        <f>+'staffing plan'!B25</f>
        <v>Local Government Operations Officer V</v>
      </c>
      <c r="F16">
        <f>+'staffing plan'!C25</f>
        <v>20</v>
      </c>
      <c r="G16" s="131">
        <f>+'staffing plan'!AH25</f>
        <v>613860</v>
      </c>
      <c r="H16" s="131">
        <f>+'staffing plan'!AI25</f>
        <v>0</v>
      </c>
      <c r="I16" s="131">
        <f>+'staffing plan'!AJ25</f>
        <v>0</v>
      </c>
      <c r="J16" t="str">
        <f>+'staffing plan'!AW25</f>
        <v xml:space="preserve">Vacant GRIBA,  </v>
      </c>
      <c r="K16" t="e">
        <f>+'staffing plan'!#REF!</f>
        <v>#REF!</v>
      </c>
      <c r="L16" t="e">
        <f>+'staffing plan'!#REF!</f>
        <v>#REF!</v>
      </c>
      <c r="M16">
        <f>+'staffing plan'!AX25</f>
        <v>0</v>
      </c>
      <c r="N16">
        <f>+'staffing plan'!AY25</f>
        <v>0</v>
      </c>
      <c r="O16" s="145" t="e">
        <f>+'staffing plan'!#REF!</f>
        <v>#REF!</v>
      </c>
      <c r="P16" s="145" t="e">
        <f>+'staffing plan'!#REF!</f>
        <v>#REF!</v>
      </c>
      <c r="Q16" s="145" t="e">
        <f>+'staffing plan'!#REF!</f>
        <v>#REF!</v>
      </c>
      <c r="R16">
        <f>+'staffing plan'!BP25</f>
        <v>0</v>
      </c>
      <c r="S16">
        <v>14</v>
      </c>
    </row>
    <row r="17" spans="1:19" hidden="1">
      <c r="A17">
        <f t="shared" si="2"/>
        <v>2002</v>
      </c>
      <c r="B17">
        <f t="shared" si="1"/>
        <v>2018</v>
      </c>
      <c r="C17">
        <f>+'staffing plan'!BK26</f>
        <v>43129</v>
      </c>
      <c r="D17" t="str">
        <f>'staffing plan'!A26</f>
        <v>OSEC-DILGB-LGOO4-161-1998</v>
      </c>
      <c r="E17" t="str">
        <f>+'staffing plan'!B26</f>
        <v>Local Government Operations Officer IV</v>
      </c>
      <c r="F17">
        <f>+'staffing plan'!C26</f>
        <v>18</v>
      </c>
      <c r="G17" s="131">
        <f>+'staffing plan'!AH26</f>
        <v>487644</v>
      </c>
      <c r="H17" s="131">
        <f>+'staffing plan'!AI26</f>
        <v>487644</v>
      </c>
      <c r="I17" s="131">
        <f>+'staffing plan'!AJ26</f>
        <v>1</v>
      </c>
      <c r="J17" t="str">
        <f>+'staffing plan'!AW26</f>
        <v>DAEP, Sherwin Ray Ochoco</v>
      </c>
      <c r="K17" t="e">
        <f>+'staffing plan'!#REF!</f>
        <v>#REF!</v>
      </c>
      <c r="L17" t="e">
        <f>+'staffing plan'!#REF!</f>
        <v>#REF!</v>
      </c>
      <c r="M17" t="str">
        <f>+'staffing plan'!AX26</f>
        <v>Regional Office</v>
      </c>
      <c r="N17" t="str">
        <f>+'staffing plan'!AY26</f>
        <v>M</v>
      </c>
      <c r="O17" s="145" t="e">
        <f>+'staffing plan'!#REF!</f>
        <v>#REF!</v>
      </c>
      <c r="P17" s="145" t="e">
        <f>+'staffing plan'!#REF!</f>
        <v>#REF!</v>
      </c>
      <c r="Q17" s="145" t="e">
        <f>+'staffing plan'!#REF!</f>
        <v>#REF!</v>
      </c>
      <c r="R17" t="str">
        <f>+'staffing plan'!BP26</f>
        <v>Region</v>
      </c>
      <c r="S17">
        <v>15</v>
      </c>
    </row>
    <row r="18" spans="1:19" hidden="1">
      <c r="A18">
        <f t="shared" si="2"/>
        <v>1999</v>
      </c>
      <c r="B18">
        <f t="shared" si="1"/>
        <v>2018</v>
      </c>
      <c r="C18">
        <f>+'staffing plan'!BK27</f>
        <v>43283</v>
      </c>
      <c r="D18" t="str">
        <f>'staffing plan'!A27</f>
        <v>OSEC-DILGB-LGOO4-164-1998</v>
      </c>
      <c r="E18" t="str">
        <f>+'staffing plan'!B27</f>
        <v>Local Government Operations Officer IV</v>
      </c>
      <c r="F18">
        <f>+'staffing plan'!C27</f>
        <v>18</v>
      </c>
      <c r="G18" s="131">
        <f>+'staffing plan'!AH27</f>
        <v>487644</v>
      </c>
      <c r="H18" s="131">
        <f>+'staffing plan'!AI27</f>
        <v>487644</v>
      </c>
      <c r="I18" s="131">
        <f>+'staffing plan'!AJ27</f>
        <v>1</v>
      </c>
      <c r="J18" t="str">
        <f>+'staffing plan'!AW27</f>
        <v>BRETT, Ralph Kevin Bacagan</v>
      </c>
      <c r="K18" t="e">
        <f>+'staffing plan'!#REF!</f>
        <v>#REF!</v>
      </c>
      <c r="L18" t="e">
        <f>+'staffing plan'!#REF!</f>
        <v>#REF!</v>
      </c>
      <c r="M18" t="str">
        <f>+'staffing plan'!AX27</f>
        <v>Regional Office</v>
      </c>
      <c r="N18" t="str">
        <f>+'staffing plan'!AY27</f>
        <v>M</v>
      </c>
      <c r="O18" s="145" t="e">
        <f>+'staffing plan'!#REF!</f>
        <v>#REF!</v>
      </c>
      <c r="P18" s="145" t="e">
        <f>+'staffing plan'!#REF!</f>
        <v>#REF!</v>
      </c>
      <c r="Q18" s="145" t="e">
        <f>+'staffing plan'!#REF!</f>
        <v>#REF!</v>
      </c>
      <c r="R18">
        <f>+'staffing plan'!BP27</f>
        <v>0</v>
      </c>
      <c r="S18">
        <v>16</v>
      </c>
    </row>
    <row r="19" spans="1:19" hidden="1">
      <c r="A19">
        <f t="shared" si="2"/>
        <v>1996</v>
      </c>
      <c r="B19">
        <f t="shared" si="1"/>
        <v>1900</v>
      </c>
      <c r="C19">
        <f>+'staffing plan'!BK28</f>
        <v>0</v>
      </c>
      <c r="D19" t="str">
        <f>'staffing plan'!A28</f>
        <v>OSEC-DILGB-ADA6-97-2005</v>
      </c>
      <c r="E19" t="str">
        <f>+'staffing plan'!B28</f>
        <v>Administrative Aide VI</v>
      </c>
      <c r="F19">
        <f>+'staffing plan'!C28</f>
        <v>6</v>
      </c>
      <c r="G19" s="131">
        <f>+'staffing plan'!AH28</f>
        <v>178164</v>
      </c>
      <c r="H19" s="131">
        <f>+'staffing plan'!AI28</f>
        <v>0</v>
      </c>
      <c r="I19" s="131">
        <f>+'staffing plan'!AJ28</f>
        <v>0</v>
      </c>
      <c r="J19" t="str">
        <f>+'staffing plan'!AW28</f>
        <v xml:space="preserve">Vacant MAGO,  </v>
      </c>
      <c r="K19" t="e">
        <f>+'staffing plan'!#REF!</f>
        <v>#REF!</v>
      </c>
      <c r="L19" t="e">
        <f>+'staffing plan'!#REF!</f>
        <v>#REF!</v>
      </c>
      <c r="M19">
        <f>+'staffing plan'!AX28</f>
        <v>0</v>
      </c>
      <c r="N19">
        <f>+'staffing plan'!AY28</f>
        <v>0</v>
      </c>
      <c r="O19" s="145" t="e">
        <f>+'staffing plan'!#REF!</f>
        <v>#REF!</v>
      </c>
      <c r="P19" s="145" t="e">
        <f>+'staffing plan'!#REF!</f>
        <v>#REF!</v>
      </c>
      <c r="Q19" s="145" t="e">
        <f>+'staffing plan'!#REF!</f>
        <v>#REF!</v>
      </c>
      <c r="R19">
        <f>+'staffing plan'!BP28</f>
        <v>0</v>
      </c>
      <c r="S19">
        <v>17</v>
      </c>
    </row>
    <row r="20" spans="1:19" hidden="1">
      <c r="A20">
        <f t="shared" si="2"/>
        <v>1993</v>
      </c>
      <c r="B20">
        <f t="shared" si="1"/>
        <v>1900</v>
      </c>
      <c r="C20">
        <f>+'staffing plan'!BK29</f>
        <v>0</v>
      </c>
      <c r="D20" t="str">
        <f>'staffing plan'!A29</f>
        <v>Sub-Total</v>
      </c>
      <c r="E20">
        <f>+'staffing plan'!B29</f>
        <v>0</v>
      </c>
      <c r="F20">
        <f>+'staffing plan'!C29</f>
        <v>0</v>
      </c>
      <c r="G20" s="131">
        <f>+'staffing plan'!AH29</f>
        <v>0</v>
      </c>
      <c r="H20" s="131">
        <f>+'staffing plan'!AI29</f>
        <v>0</v>
      </c>
      <c r="I20" s="131">
        <f>+'staffing plan'!AJ29</f>
        <v>8</v>
      </c>
      <c r="J20">
        <f>+'staffing plan'!AW29</f>
        <v>0</v>
      </c>
      <c r="K20" t="e">
        <f>+'staffing plan'!#REF!</f>
        <v>#REF!</v>
      </c>
      <c r="L20" t="e">
        <f>+'staffing plan'!#REF!</f>
        <v>#REF!</v>
      </c>
      <c r="M20">
        <f>+'staffing plan'!AX29</f>
        <v>0</v>
      </c>
      <c r="N20">
        <f>+'staffing plan'!AY29</f>
        <v>0</v>
      </c>
      <c r="O20" s="145" t="e">
        <f>+'staffing plan'!#REF!</f>
        <v>#REF!</v>
      </c>
      <c r="P20" s="145" t="e">
        <f>+'staffing plan'!#REF!</f>
        <v>#REF!</v>
      </c>
      <c r="Q20" s="145" t="e">
        <f>+'staffing plan'!#REF!</f>
        <v>#REF!</v>
      </c>
      <c r="R20">
        <f>+'staffing plan'!BP29</f>
        <v>0</v>
      </c>
      <c r="S20">
        <v>18</v>
      </c>
    </row>
    <row r="21" spans="1:19" hidden="1">
      <c r="B21">
        <f t="shared" si="1"/>
        <v>1900</v>
      </c>
      <c r="C21">
        <f>+'staffing plan'!BK30</f>
        <v>0</v>
      </c>
      <c r="D21" t="str">
        <f>'staffing plan'!A30</f>
        <v>63,000          Monitoring and Evaluation Division</v>
      </c>
      <c r="E21">
        <f>+'staffing plan'!B30</f>
        <v>0</v>
      </c>
      <c r="F21">
        <f>+'staffing plan'!C30</f>
        <v>0</v>
      </c>
      <c r="G21" s="131">
        <f>+'staffing plan'!AH30</f>
        <v>0</v>
      </c>
      <c r="H21" s="131">
        <f>+'staffing plan'!AI30</f>
        <v>0</v>
      </c>
      <c r="I21" s="131">
        <f>+'staffing plan'!AJ30</f>
        <v>0</v>
      </c>
      <c r="J21">
        <f>+'staffing plan'!AW30</f>
        <v>0</v>
      </c>
      <c r="K21" t="e">
        <f>+'staffing plan'!#REF!</f>
        <v>#REF!</v>
      </c>
      <c r="L21" t="e">
        <f>+'staffing plan'!#REF!</f>
        <v>#REF!</v>
      </c>
      <c r="M21">
        <f>+'staffing plan'!AX30</f>
        <v>0</v>
      </c>
      <c r="N21">
        <f>+'staffing plan'!AY30</f>
        <v>0</v>
      </c>
      <c r="O21" s="145" t="e">
        <f>+'staffing plan'!#REF!</f>
        <v>#REF!</v>
      </c>
      <c r="P21" s="145" t="e">
        <f>+'staffing plan'!#REF!</f>
        <v>#REF!</v>
      </c>
      <c r="Q21" s="145" t="e">
        <f>+'staffing plan'!#REF!</f>
        <v>#REF!</v>
      </c>
      <c r="R21">
        <f>+'staffing plan'!BP30</f>
        <v>0</v>
      </c>
      <c r="S21">
        <v>19</v>
      </c>
    </row>
    <row r="22" spans="1:19">
      <c r="B22">
        <f t="shared" si="1"/>
        <v>2018</v>
      </c>
      <c r="C22">
        <f>+'staffing plan'!BK31</f>
        <v>43132</v>
      </c>
      <c r="D22" t="str">
        <f>'staffing plan'!A31</f>
        <v>OSEC-DILGB-LGOO7-38-1998</v>
      </c>
      <c r="E22" t="str">
        <f>+'staffing plan'!B31</f>
        <v>Local Government Operations Officer VII</v>
      </c>
      <c r="F22">
        <f>+'staffing plan'!C31</f>
        <v>24</v>
      </c>
      <c r="G22" s="131">
        <f>+'staffing plan'!AH31</f>
        <v>1000872</v>
      </c>
      <c r="H22" s="131">
        <f>+'staffing plan'!AI31</f>
        <v>1000872</v>
      </c>
      <c r="I22" s="131">
        <f>+'staffing plan'!AJ31</f>
        <v>1</v>
      </c>
      <c r="J22" t="str">
        <f>+'staffing plan'!AW31</f>
        <v>GUERZON, Marleen Montano</v>
      </c>
      <c r="K22" t="e">
        <f>+'staffing plan'!#REF!</f>
        <v>#REF!</v>
      </c>
      <c r="L22" t="e">
        <f>+'staffing plan'!#REF!</f>
        <v>#REF!</v>
      </c>
      <c r="M22" t="str">
        <f>+'staffing plan'!AX31</f>
        <v>Regional Office</v>
      </c>
      <c r="N22" t="str">
        <f>+'staffing plan'!AY31</f>
        <v>F</v>
      </c>
      <c r="O22" s="145" t="e">
        <f>+'staffing plan'!#REF!</f>
        <v>#REF!</v>
      </c>
      <c r="P22" s="145" t="e">
        <f>+'staffing plan'!#REF!</f>
        <v>#REF!</v>
      </c>
      <c r="Q22" s="145" t="e">
        <f>+'staffing plan'!#REF!</f>
        <v>#REF!</v>
      </c>
      <c r="R22" t="str">
        <f>+'staffing plan'!BP31</f>
        <v>transfer from PO - CH Benguet feb 2019</v>
      </c>
      <c r="S22">
        <v>20</v>
      </c>
    </row>
    <row r="23" spans="1:19" hidden="1">
      <c r="A23">
        <f t="shared" ref="A23:A30" si="3">+A13-1</f>
        <v>2013</v>
      </c>
      <c r="B23">
        <f t="shared" si="1"/>
        <v>2010</v>
      </c>
      <c r="C23">
        <f>+'staffing plan'!BK32</f>
        <v>40262</v>
      </c>
      <c r="D23" t="str">
        <f>'staffing plan'!A32</f>
        <v>OSEC-DILGB-LGOO6-14-1998</v>
      </c>
      <c r="E23" t="str">
        <f>+'staffing plan'!B32</f>
        <v>Local Government Operations Officer VI</v>
      </c>
      <c r="F23">
        <f>+'staffing plan'!C32</f>
        <v>22</v>
      </c>
      <c r="G23" s="131">
        <f>+'staffing plan'!AH32</f>
        <v>783828</v>
      </c>
      <c r="H23" s="131">
        <f>+'staffing plan'!AI32</f>
        <v>809628</v>
      </c>
      <c r="I23" s="131">
        <f>+'staffing plan'!AJ32</f>
        <v>3</v>
      </c>
      <c r="J23" t="str">
        <f>+'staffing plan'!AW32</f>
        <v>ADNOL, Bable Ged-ang</v>
      </c>
      <c r="K23" t="e">
        <f>+'staffing plan'!#REF!</f>
        <v>#REF!</v>
      </c>
      <c r="L23" t="e">
        <f>+'staffing plan'!#REF!</f>
        <v>#REF!</v>
      </c>
      <c r="M23" t="str">
        <f>+'staffing plan'!AX32</f>
        <v>Regional Office</v>
      </c>
      <c r="N23" t="str">
        <f>+'staffing plan'!AY32</f>
        <v>F</v>
      </c>
      <c r="O23" s="145" t="e">
        <f>+'staffing plan'!#REF!</f>
        <v>#REF!</v>
      </c>
      <c r="P23" s="145" t="e">
        <f>+'staffing plan'!#REF!</f>
        <v>#REF!</v>
      </c>
      <c r="Q23" s="145" t="e">
        <f>+'staffing plan'!#REF!</f>
        <v>#REF!</v>
      </c>
      <c r="R23">
        <f>+'staffing plan'!BP32</f>
        <v>0</v>
      </c>
      <c r="S23">
        <v>21</v>
      </c>
    </row>
    <row r="24" spans="1:19" hidden="1">
      <c r="A24">
        <f t="shared" si="3"/>
        <v>2010</v>
      </c>
      <c r="B24">
        <f t="shared" si="1"/>
        <v>2013</v>
      </c>
      <c r="C24">
        <f>+'staffing plan'!BK33</f>
        <v>41526</v>
      </c>
      <c r="D24" t="str">
        <f>'staffing plan'!A33</f>
        <v>OSEC-DILGB-LGOO5-99-2010</v>
      </c>
      <c r="E24" t="str">
        <f>+'staffing plan'!B33</f>
        <v>Local Government Operations Officer V</v>
      </c>
      <c r="F24">
        <f>+'staffing plan'!C33</f>
        <v>20</v>
      </c>
      <c r="G24" s="131">
        <f>+'staffing plan'!AH33</f>
        <v>613860</v>
      </c>
      <c r="H24" s="131">
        <f>+'staffing plan'!AI33</f>
        <v>623868</v>
      </c>
      <c r="I24" s="131">
        <f>+'staffing plan'!AJ33</f>
        <v>2</v>
      </c>
      <c r="J24" t="str">
        <f>+'staffing plan'!AW33</f>
        <v>RIMANDO, Marie Cris Lim</v>
      </c>
      <c r="K24" t="e">
        <f>+'staffing plan'!#REF!</f>
        <v>#REF!</v>
      </c>
      <c r="L24" t="e">
        <f>+'staffing plan'!#REF!</f>
        <v>#REF!</v>
      </c>
      <c r="M24" t="str">
        <f>+'staffing plan'!AX33</f>
        <v>Regional Office</v>
      </c>
      <c r="N24" t="str">
        <f>+'staffing plan'!AY33</f>
        <v>F</v>
      </c>
      <c r="O24" s="145" t="e">
        <f>+'staffing plan'!#REF!</f>
        <v>#REF!</v>
      </c>
      <c r="P24" s="145" t="e">
        <f>+'staffing plan'!#REF!</f>
        <v>#REF!</v>
      </c>
      <c r="Q24" s="145" t="e">
        <f>+'staffing plan'!#REF!</f>
        <v>#REF!</v>
      </c>
      <c r="R24" t="str">
        <f>+'staffing plan'!BP33</f>
        <v>Shifting</v>
      </c>
      <c r="S24">
        <v>22</v>
      </c>
    </row>
    <row r="25" spans="1:19">
      <c r="A25">
        <f t="shared" si="3"/>
        <v>2007</v>
      </c>
      <c r="B25">
        <f t="shared" si="1"/>
        <v>2012</v>
      </c>
      <c r="C25">
        <f>+'staffing plan'!BK34</f>
        <v>41149</v>
      </c>
      <c r="D25" t="str">
        <f>'staffing plan'!A34</f>
        <v>OSEC-DILGB-LGOO5-824-1998</v>
      </c>
      <c r="E25" t="str">
        <f>+'staffing plan'!B34</f>
        <v>Local Government Operations Officer V</v>
      </c>
      <c r="F25">
        <f>+'staffing plan'!C34</f>
        <v>20</v>
      </c>
      <c r="G25" s="131">
        <f>+'staffing plan'!AH34</f>
        <v>613860</v>
      </c>
      <c r="H25" s="131">
        <f>+'staffing plan'!AI34</f>
        <v>634056</v>
      </c>
      <c r="I25" s="131">
        <f>+'staffing plan'!AJ34</f>
        <v>3</v>
      </c>
      <c r="J25" t="str">
        <f>+'staffing plan'!AW34</f>
        <v>GARCIA, Florinda Manuyag</v>
      </c>
      <c r="K25" t="e">
        <f>+'staffing plan'!#REF!</f>
        <v>#REF!</v>
      </c>
      <c r="L25" t="e">
        <f>+'staffing plan'!#REF!</f>
        <v>#REF!</v>
      </c>
      <c r="M25" t="str">
        <f>+'staffing plan'!AX34</f>
        <v>Regional Office</v>
      </c>
      <c r="N25" t="str">
        <f>+'staffing plan'!AY34</f>
        <v>F</v>
      </c>
      <c r="O25" s="145" t="e">
        <f>+'staffing plan'!#REF!</f>
        <v>#REF!</v>
      </c>
      <c r="P25" s="145" t="e">
        <f>+'staffing plan'!#REF!</f>
        <v>#REF!</v>
      </c>
      <c r="Q25" s="145" t="e">
        <f>+'staffing plan'!#REF!</f>
        <v>#REF!</v>
      </c>
      <c r="R25" t="str">
        <f>+'staffing plan'!BP34</f>
        <v>Shifting</v>
      </c>
      <c r="S25">
        <v>23</v>
      </c>
    </row>
    <row r="26" spans="1:19">
      <c r="A26">
        <f t="shared" si="3"/>
        <v>2004</v>
      </c>
      <c r="B26">
        <f t="shared" si="1"/>
        <v>2018</v>
      </c>
      <c r="C26">
        <f>+'staffing plan'!BK35</f>
        <v>43168</v>
      </c>
      <c r="D26" t="str">
        <f>'staffing plan'!A35</f>
        <v>OSEC-DILGB-LGOO5-835-1998</v>
      </c>
      <c r="E26" t="str">
        <f>+'staffing plan'!B35</f>
        <v>Local Government Operations Officer V</v>
      </c>
      <c r="F26">
        <f>+'staffing plan'!C35</f>
        <v>20</v>
      </c>
      <c r="G26" s="131">
        <f>+'staffing plan'!AH35</f>
        <v>613860</v>
      </c>
      <c r="H26" s="131">
        <f>+'staffing plan'!AI35</f>
        <v>613860</v>
      </c>
      <c r="I26" s="131">
        <f>+'staffing plan'!AJ35</f>
        <v>1</v>
      </c>
      <c r="J26" t="str">
        <f>+'staffing plan'!AW35</f>
        <v>TINDUNGAN, Kenneth Cuyapi</v>
      </c>
      <c r="K26" t="e">
        <f>+'staffing plan'!#REF!</f>
        <v>#REF!</v>
      </c>
      <c r="L26" t="e">
        <f>+'staffing plan'!#REF!</f>
        <v>#REF!</v>
      </c>
      <c r="M26" t="str">
        <f>+'staffing plan'!AX35</f>
        <v>Regional Office</v>
      </c>
      <c r="N26" t="str">
        <f>+'staffing plan'!AY35</f>
        <v>M</v>
      </c>
      <c r="O26" s="145" t="e">
        <f>+'staffing plan'!#REF!</f>
        <v>#REF!</v>
      </c>
      <c r="P26" s="145" t="e">
        <f>+'staffing plan'!#REF!</f>
        <v>#REF!</v>
      </c>
      <c r="Q26" s="145" t="e">
        <f>+'staffing plan'!#REF!</f>
        <v>#REF!</v>
      </c>
      <c r="R26">
        <f>+'staffing plan'!BP35</f>
        <v>0</v>
      </c>
      <c r="S26">
        <v>24</v>
      </c>
    </row>
    <row r="27" spans="1:19" hidden="1">
      <c r="A27">
        <f t="shared" si="3"/>
        <v>2001</v>
      </c>
      <c r="B27">
        <f t="shared" si="1"/>
        <v>2018</v>
      </c>
      <c r="C27">
        <f>+'staffing plan'!BK36</f>
        <v>43129</v>
      </c>
      <c r="D27" t="str">
        <f>'staffing plan'!A36</f>
        <v>OSEC-DILGB-LGOO4-166-1998</v>
      </c>
      <c r="E27" t="str">
        <f>+'staffing plan'!B36</f>
        <v>Local Government Operations Officer IV</v>
      </c>
      <c r="F27">
        <f>+'staffing plan'!C36</f>
        <v>18</v>
      </c>
      <c r="G27" s="131">
        <f>+'staffing plan'!AH36</f>
        <v>487644</v>
      </c>
      <c r="H27" s="131">
        <f>+'staffing plan'!AI36</f>
        <v>487644</v>
      </c>
      <c r="I27" s="131">
        <f>+'staffing plan'!AJ36</f>
        <v>1</v>
      </c>
      <c r="J27" t="str">
        <f>+'staffing plan'!AW36</f>
        <v>CANULLAS, Mary Jheama Rachine  Esperanzate</v>
      </c>
      <c r="K27" t="e">
        <f>+'staffing plan'!#REF!</f>
        <v>#REF!</v>
      </c>
      <c r="L27" t="e">
        <f>+'staffing plan'!#REF!</f>
        <v>#REF!</v>
      </c>
      <c r="M27" t="str">
        <f>+'staffing plan'!AX36</f>
        <v>Regional Office</v>
      </c>
      <c r="N27" t="str">
        <f>+'staffing plan'!AY36</f>
        <v>F</v>
      </c>
      <c r="O27" s="145" t="e">
        <f>+'staffing plan'!#REF!</f>
        <v>#REF!</v>
      </c>
      <c r="P27" s="145" t="e">
        <f>+'staffing plan'!#REF!</f>
        <v>#REF!</v>
      </c>
      <c r="Q27" s="145" t="e">
        <f>+'staffing plan'!#REF!</f>
        <v>#REF!</v>
      </c>
      <c r="R27" t="str">
        <f>+'staffing plan'!BP36</f>
        <v>Region</v>
      </c>
      <c r="S27">
        <v>25</v>
      </c>
    </row>
    <row r="28" spans="1:19">
      <c r="A28">
        <f t="shared" si="3"/>
        <v>1998</v>
      </c>
      <c r="B28">
        <f t="shared" si="1"/>
        <v>2012</v>
      </c>
      <c r="C28">
        <f>+'staffing plan'!BK37</f>
        <v>41254</v>
      </c>
      <c r="D28" t="str">
        <f>'staffing plan'!A37</f>
        <v>OSEC-DILGB-LGOO4-167-1998</v>
      </c>
      <c r="E28" t="str">
        <f>+'staffing plan'!B37</f>
        <v>Local Government Operations Officer IV</v>
      </c>
      <c r="F28">
        <f>+'staffing plan'!C37</f>
        <v>18</v>
      </c>
      <c r="G28" s="131">
        <f>+'staffing plan'!AH37</f>
        <v>487644</v>
      </c>
      <c r="H28" s="131">
        <f>+'staffing plan'!AI37</f>
        <v>499800</v>
      </c>
      <c r="I28" s="131">
        <f>+'staffing plan'!AJ37</f>
        <v>3</v>
      </c>
      <c r="J28" t="str">
        <f>+'staffing plan'!AW37</f>
        <v>BUENA, Maria Consolacion Salibad</v>
      </c>
      <c r="K28" t="e">
        <f>+'staffing plan'!#REF!</f>
        <v>#REF!</v>
      </c>
      <c r="L28" t="e">
        <f>+'staffing plan'!#REF!</f>
        <v>#REF!</v>
      </c>
      <c r="M28" t="str">
        <f>+'staffing plan'!AX37</f>
        <v>Regional Office</v>
      </c>
      <c r="N28" t="str">
        <f>+'staffing plan'!AY37</f>
        <v>F</v>
      </c>
      <c r="O28" s="145" t="e">
        <f>+'staffing plan'!#REF!</f>
        <v>#REF!</v>
      </c>
      <c r="P28" s="145" t="e">
        <f>+'staffing plan'!#REF!</f>
        <v>#REF!</v>
      </c>
      <c r="Q28" s="145" t="e">
        <f>+'staffing plan'!#REF!</f>
        <v>#REF!</v>
      </c>
      <c r="R28" t="str">
        <f>+'staffing plan'!BP37</f>
        <v>06/08/16 transfer frm PLO</v>
      </c>
      <c r="S28">
        <v>26</v>
      </c>
    </row>
    <row r="29" spans="1:19" hidden="1">
      <c r="A29">
        <f t="shared" si="3"/>
        <v>1995</v>
      </c>
      <c r="B29">
        <f t="shared" si="1"/>
        <v>2017</v>
      </c>
      <c r="C29">
        <f>+'staffing plan'!BK38</f>
        <v>42835</v>
      </c>
      <c r="D29" t="str">
        <f>'staffing plan'!A38</f>
        <v>OSEC-DILGB-STAT2-101-2010</v>
      </c>
      <c r="E29" t="str">
        <f>+'staffing plan'!B38</f>
        <v>Statistician II</v>
      </c>
      <c r="F29">
        <f>+'staffing plan'!C38</f>
        <v>15</v>
      </c>
      <c r="G29" s="131">
        <f>+'staffing plan'!AH38</f>
        <v>366372</v>
      </c>
      <c r="H29" s="131">
        <f>+'staffing plan'!AI38</f>
        <v>366372</v>
      </c>
      <c r="I29" s="131">
        <f>+'staffing plan'!AJ38</f>
        <v>1</v>
      </c>
      <c r="J29" t="str">
        <f>+'staffing plan'!AW38</f>
        <v>AZARCON, Danilo Jr Estrella</v>
      </c>
      <c r="K29" t="e">
        <f>+'staffing plan'!#REF!</f>
        <v>#REF!</v>
      </c>
      <c r="L29" t="e">
        <f>+'staffing plan'!#REF!</f>
        <v>#REF!</v>
      </c>
      <c r="M29" t="str">
        <f>+'staffing plan'!AX38</f>
        <v>Regional Office</v>
      </c>
      <c r="N29" t="str">
        <f>+'staffing plan'!AY38</f>
        <v>M</v>
      </c>
      <c r="O29" s="145" t="e">
        <f>+'staffing plan'!#REF!</f>
        <v>#REF!</v>
      </c>
      <c r="P29" s="145" t="e">
        <f>+'staffing plan'!#REF!</f>
        <v>#REF!</v>
      </c>
      <c r="Q29" s="145" t="e">
        <f>+'staffing plan'!#REF!</f>
        <v>#REF!</v>
      </c>
      <c r="R29">
        <f>+'staffing plan'!BP38</f>
        <v>0</v>
      </c>
      <c r="S29">
        <v>27</v>
      </c>
    </row>
    <row r="30" spans="1:19" hidden="1">
      <c r="A30">
        <f t="shared" si="3"/>
        <v>1992</v>
      </c>
      <c r="B30">
        <f t="shared" si="1"/>
        <v>2014</v>
      </c>
      <c r="C30">
        <f>+'staffing plan'!BK39</f>
        <v>41967</v>
      </c>
      <c r="D30" t="str">
        <f>'staffing plan'!A39</f>
        <v>OSEC-DILGB-STAT1-3-1998</v>
      </c>
      <c r="E30" t="str">
        <f>+'staffing plan'!B39</f>
        <v>Statistician I</v>
      </c>
      <c r="F30">
        <f>+'staffing plan'!C39</f>
        <v>11</v>
      </c>
      <c r="G30" s="131">
        <f>+'staffing plan'!AH39</f>
        <v>249048</v>
      </c>
      <c r="H30" s="131">
        <f>+'staffing plan'!AI39</f>
        <v>252456</v>
      </c>
      <c r="I30" s="131">
        <f>+'staffing plan'!AJ39</f>
        <v>2</v>
      </c>
      <c r="J30" t="str">
        <f>+'staffing plan'!AW39</f>
        <v>LOPEZ, Sesvir Castañeda</v>
      </c>
      <c r="K30" t="e">
        <f>+'staffing plan'!#REF!</f>
        <v>#REF!</v>
      </c>
      <c r="L30" t="e">
        <f>+'staffing plan'!#REF!</f>
        <v>#REF!</v>
      </c>
      <c r="M30" t="str">
        <f>+'staffing plan'!AX39</f>
        <v>Regional Office</v>
      </c>
      <c r="N30" t="str">
        <f>+'staffing plan'!AY39</f>
        <v>F</v>
      </c>
      <c r="O30" s="145" t="e">
        <f>+'staffing plan'!#REF!</f>
        <v>#REF!</v>
      </c>
      <c r="P30" s="145" t="e">
        <f>+'staffing plan'!#REF!</f>
        <v>#REF!</v>
      </c>
      <c r="Q30" s="145" t="e">
        <f>+'staffing plan'!#REF!</f>
        <v>#REF!</v>
      </c>
      <c r="R30">
        <f>+'staffing plan'!BP39</f>
        <v>0</v>
      </c>
      <c r="S30">
        <v>28</v>
      </c>
    </row>
    <row r="31" spans="1:19">
      <c r="B31">
        <f t="shared" si="1"/>
        <v>2015</v>
      </c>
      <c r="C31">
        <f>+'staffing plan'!BK40</f>
        <v>42186</v>
      </c>
      <c r="D31" t="str">
        <f>'staffing plan'!A40</f>
        <v>OSEC-DILGB-ADA6-88-2010</v>
      </c>
      <c r="E31" t="str">
        <f>+'staffing plan'!B40</f>
        <v>Administrative Aide VI</v>
      </c>
      <c r="F31">
        <f>+'staffing plan'!C40</f>
        <v>6</v>
      </c>
      <c r="G31" s="131">
        <f>+'staffing plan'!AH40</f>
        <v>178164</v>
      </c>
      <c r="H31" s="131">
        <f>+'staffing plan'!AI40</f>
        <v>179532</v>
      </c>
      <c r="I31" s="131">
        <f>+'staffing plan'!AJ40</f>
        <v>2</v>
      </c>
      <c r="J31" t="str">
        <f>+'staffing plan'!AW40</f>
        <v>MAGCIANO, Juden Beth Uybaan</v>
      </c>
      <c r="K31" t="e">
        <f>+'staffing plan'!#REF!</f>
        <v>#REF!</v>
      </c>
      <c r="L31" t="e">
        <f>+'staffing plan'!#REF!</f>
        <v>#REF!</v>
      </c>
      <c r="M31" t="str">
        <f>+'staffing plan'!AX40</f>
        <v>Ifugao</v>
      </c>
      <c r="N31" t="str">
        <f>+'staffing plan'!AY40</f>
        <v>F</v>
      </c>
      <c r="O31" s="145" t="e">
        <f>+'staffing plan'!#REF!</f>
        <v>#REF!</v>
      </c>
      <c r="P31" s="145" t="e">
        <f>+'staffing plan'!#REF!</f>
        <v>#REF!</v>
      </c>
      <c r="Q31" s="145" t="e">
        <f>+'staffing plan'!#REF!</f>
        <v>#REF!</v>
      </c>
      <c r="R31">
        <f>+'staffing plan'!BP40</f>
        <v>0</v>
      </c>
      <c r="S31">
        <v>29</v>
      </c>
    </row>
    <row r="32" spans="1:19" hidden="1">
      <c r="B32">
        <f t="shared" si="1"/>
        <v>1900</v>
      </c>
      <c r="C32">
        <f>+'staffing plan'!BK41</f>
        <v>0</v>
      </c>
      <c r="D32" t="str">
        <f>'staffing plan'!A41</f>
        <v>Sub-Total</v>
      </c>
      <c r="E32">
        <f>+'staffing plan'!B41</f>
        <v>0</v>
      </c>
      <c r="F32">
        <f>+'staffing plan'!C41</f>
        <v>0</v>
      </c>
      <c r="G32" s="131">
        <f>+'staffing plan'!AH41</f>
        <v>0</v>
      </c>
      <c r="H32" s="131">
        <f>+'staffing plan'!AI41</f>
        <v>0</v>
      </c>
      <c r="I32" s="131">
        <f>+'staffing plan'!AJ41</f>
        <v>10</v>
      </c>
      <c r="J32">
        <f>+'staffing plan'!AW41</f>
        <v>0</v>
      </c>
      <c r="K32" t="e">
        <f>+'staffing plan'!#REF!</f>
        <v>#REF!</v>
      </c>
      <c r="L32" t="e">
        <f>+'staffing plan'!#REF!</f>
        <v>#REF!</v>
      </c>
      <c r="M32">
        <f>+'staffing plan'!AX41</f>
        <v>0</v>
      </c>
      <c r="N32">
        <f>+'staffing plan'!AY41</f>
        <v>0</v>
      </c>
      <c r="O32" s="145" t="e">
        <f>+'staffing plan'!#REF!</f>
        <v>#REF!</v>
      </c>
      <c r="P32" s="145" t="e">
        <f>+'staffing plan'!#REF!</f>
        <v>#REF!</v>
      </c>
      <c r="Q32" s="145" t="e">
        <f>+'staffing plan'!#REF!</f>
        <v>#REF!</v>
      </c>
      <c r="R32">
        <f>+'staffing plan'!BP41</f>
        <v>0</v>
      </c>
      <c r="S32">
        <v>30</v>
      </c>
    </row>
    <row r="33" spans="2:19" hidden="1">
      <c r="B33">
        <f t="shared" si="1"/>
        <v>1900</v>
      </c>
      <c r="C33">
        <f>+'staffing plan'!BK42</f>
        <v>0</v>
      </c>
      <c r="D33" t="str">
        <f>'staffing plan'!A42</f>
        <v>64,000          Finance and Administrative Division</v>
      </c>
      <c r="E33">
        <f>+'staffing plan'!B42</f>
        <v>0</v>
      </c>
      <c r="F33">
        <f>+'staffing plan'!C42</f>
        <v>0</v>
      </c>
      <c r="G33" s="131">
        <f>+'staffing plan'!AH42</f>
        <v>0</v>
      </c>
      <c r="H33" s="131">
        <f>+'staffing plan'!AI42</f>
        <v>0</v>
      </c>
      <c r="I33" s="131">
        <f>+'staffing plan'!AJ42</f>
        <v>0</v>
      </c>
      <c r="J33">
        <f>+'staffing plan'!AW42</f>
        <v>0</v>
      </c>
      <c r="K33" t="e">
        <f>+'staffing plan'!#REF!</f>
        <v>#REF!</v>
      </c>
      <c r="L33" t="e">
        <f>+'staffing plan'!#REF!</f>
        <v>#REF!</v>
      </c>
      <c r="M33">
        <f>+'staffing plan'!AX42</f>
        <v>0</v>
      </c>
      <c r="N33">
        <f>+'staffing plan'!AY42</f>
        <v>0</v>
      </c>
      <c r="O33" s="145" t="e">
        <f>+'staffing plan'!#REF!</f>
        <v>#REF!</v>
      </c>
      <c r="P33" s="145" t="e">
        <f>+'staffing plan'!#REF!</f>
        <v>#REF!</v>
      </c>
      <c r="Q33" s="145" t="e">
        <f>+'staffing plan'!#REF!</f>
        <v>#REF!</v>
      </c>
      <c r="R33">
        <f>+'staffing plan'!BP42</f>
        <v>0</v>
      </c>
      <c r="S33">
        <v>31</v>
      </c>
    </row>
    <row r="34" spans="2:19">
      <c r="B34">
        <f t="shared" si="1"/>
        <v>2012</v>
      </c>
      <c r="C34">
        <f>+'staffing plan'!BK43</f>
        <v>40924</v>
      </c>
      <c r="D34" t="str">
        <f>'staffing plan'!A43</f>
        <v>OSEC-DILGB-CADOF-19-2005</v>
      </c>
      <c r="E34" t="str">
        <f>+'staffing plan'!B43</f>
        <v>Chief Administrative Officer</v>
      </c>
      <c r="F34">
        <f>+'staffing plan'!C43</f>
        <v>24</v>
      </c>
      <c r="G34" s="131">
        <f>+'staffing plan'!AH43</f>
        <v>1000872</v>
      </c>
      <c r="H34" s="131">
        <f>+'staffing plan'!AI43</f>
        <v>1033812</v>
      </c>
      <c r="I34" s="131">
        <f>+'staffing plan'!AJ43</f>
        <v>3</v>
      </c>
      <c r="J34" t="str">
        <f>+'staffing plan'!AW43</f>
        <v>MON, Shirley Evangeline Vergara</v>
      </c>
      <c r="K34" t="e">
        <f>+'staffing plan'!#REF!</f>
        <v>#REF!</v>
      </c>
      <c r="L34" t="e">
        <f>+'staffing plan'!#REF!</f>
        <v>#REF!</v>
      </c>
      <c r="M34" t="str">
        <f>+'staffing plan'!AX43</f>
        <v>Regional Office</v>
      </c>
      <c r="N34" t="str">
        <f>+'staffing plan'!AY43</f>
        <v>F</v>
      </c>
      <c r="O34" s="145" t="e">
        <f>+'staffing plan'!#REF!</f>
        <v>#REF!</v>
      </c>
      <c r="P34" s="145" t="e">
        <f>+'staffing plan'!#REF!</f>
        <v>#REF!</v>
      </c>
      <c r="Q34" s="145" t="e">
        <f>+'staffing plan'!#REF!</f>
        <v>#REF!</v>
      </c>
      <c r="R34">
        <f>+'staffing plan'!BP43</f>
        <v>0</v>
      </c>
      <c r="S34">
        <v>32</v>
      </c>
    </row>
    <row r="35" spans="2:19">
      <c r="B35">
        <f t="shared" si="1"/>
        <v>2012</v>
      </c>
      <c r="C35">
        <f>+'staffing plan'!BK44</f>
        <v>41138</v>
      </c>
      <c r="D35" t="str">
        <f>'staffing plan'!A44</f>
        <v>OSEC-DILGB-SAD0F-34-2005</v>
      </c>
      <c r="E35" t="str">
        <f>+'staffing plan'!B44</f>
        <v>Supervising Administrative Officer</v>
      </c>
      <c r="F35">
        <f>+'staffing plan'!C44</f>
        <v>22</v>
      </c>
      <c r="G35" s="131">
        <f>+'staffing plan'!AH44</f>
        <v>783828</v>
      </c>
      <c r="H35" s="131">
        <f>+'staffing plan'!AI44</f>
        <v>809628</v>
      </c>
      <c r="I35" s="131">
        <f>+'staffing plan'!AJ44</f>
        <v>3</v>
      </c>
      <c r="J35" t="str">
        <f>+'staffing plan'!AW44</f>
        <v>BALANG, Gerry Cobcobo</v>
      </c>
      <c r="K35" t="e">
        <f>+'staffing plan'!#REF!</f>
        <v>#REF!</v>
      </c>
      <c r="L35" t="e">
        <f>+'staffing plan'!#REF!</f>
        <v>#REF!</v>
      </c>
      <c r="M35" t="str">
        <f>+'staffing plan'!AX44</f>
        <v>Regional Office</v>
      </c>
      <c r="N35" t="str">
        <f>+'staffing plan'!AY44</f>
        <v>M</v>
      </c>
      <c r="O35" s="145" t="e">
        <f>+'staffing plan'!#REF!</f>
        <v>#REF!</v>
      </c>
      <c r="P35" s="145" t="e">
        <f>+'staffing plan'!#REF!</f>
        <v>#REF!</v>
      </c>
      <c r="Q35" s="145" t="e">
        <f>+'staffing plan'!#REF!</f>
        <v>#REF!</v>
      </c>
      <c r="R35">
        <f>+'staffing plan'!BP44</f>
        <v>0</v>
      </c>
      <c r="S35">
        <v>33</v>
      </c>
    </row>
    <row r="36" spans="2:19" hidden="1">
      <c r="B36">
        <f t="shared" si="1"/>
        <v>2010</v>
      </c>
      <c r="C36">
        <f>+'staffing plan'!BK45</f>
        <v>40256</v>
      </c>
      <c r="D36" t="str">
        <f>'staffing plan'!A45</f>
        <v>OSEC-DILGB-A3-16-1998</v>
      </c>
      <c r="E36" t="str">
        <f>+'staffing plan'!B45</f>
        <v>Accountant III</v>
      </c>
      <c r="F36">
        <f>+'staffing plan'!C45</f>
        <v>19</v>
      </c>
      <c r="G36" s="131">
        <f>+'staffing plan'!AH45</f>
        <v>543228</v>
      </c>
      <c r="H36" s="131">
        <f>+'staffing plan'!AI45</f>
        <v>561108</v>
      </c>
      <c r="I36" s="131">
        <f>+'staffing plan'!AJ45</f>
        <v>3</v>
      </c>
      <c r="J36" t="str">
        <f>+'staffing plan'!AW45</f>
        <v>CHAOKAS, Jennifer Sokoken</v>
      </c>
      <c r="K36" t="e">
        <f>+'staffing plan'!#REF!</f>
        <v>#REF!</v>
      </c>
      <c r="L36" t="e">
        <f>+'staffing plan'!#REF!</f>
        <v>#REF!</v>
      </c>
      <c r="M36" t="str">
        <f>+'staffing plan'!AX45</f>
        <v>Regional Office</v>
      </c>
      <c r="N36" t="str">
        <f>+'staffing plan'!AY45</f>
        <v>F</v>
      </c>
      <c r="O36" s="145" t="e">
        <f>+'staffing plan'!#REF!</f>
        <v>#REF!</v>
      </c>
      <c r="P36" s="145" t="e">
        <f>+'staffing plan'!#REF!</f>
        <v>#REF!</v>
      </c>
      <c r="Q36" s="145" t="e">
        <f>+'staffing plan'!#REF!</f>
        <v>#REF!</v>
      </c>
      <c r="R36">
        <f>+'staffing plan'!BP45</f>
        <v>0</v>
      </c>
      <c r="S36">
        <v>34</v>
      </c>
    </row>
    <row r="37" spans="2:19">
      <c r="B37">
        <f t="shared" si="1"/>
        <v>2012</v>
      </c>
      <c r="C37">
        <f>+'staffing plan'!BK46</f>
        <v>41260</v>
      </c>
      <c r="D37" t="str">
        <f>'staffing plan'!A46</f>
        <v>OSEC-DILGB-ADOF5-52-2005</v>
      </c>
      <c r="E37" t="str">
        <f>+'staffing plan'!B46</f>
        <v xml:space="preserve">Administrative Officer V </v>
      </c>
      <c r="F37">
        <f>+'staffing plan'!C46</f>
        <v>18</v>
      </c>
      <c r="G37" s="131">
        <f>+'staffing plan'!AH46</f>
        <v>487644</v>
      </c>
      <c r="H37" s="131">
        <f>+'staffing plan'!AI46</f>
        <v>499800</v>
      </c>
      <c r="I37" s="131">
        <f>+'staffing plan'!AJ46</f>
        <v>3</v>
      </c>
      <c r="J37" t="str">
        <f>+'staffing plan'!AW46</f>
        <v>ESDEN, Iris Balabag</v>
      </c>
      <c r="K37" t="e">
        <f>+'staffing plan'!#REF!</f>
        <v>#REF!</v>
      </c>
      <c r="L37" t="e">
        <f>+'staffing plan'!#REF!</f>
        <v>#REF!</v>
      </c>
      <c r="M37" t="str">
        <f>+'staffing plan'!AX46</f>
        <v>Regional Office</v>
      </c>
      <c r="N37" t="str">
        <f>+'staffing plan'!AY46</f>
        <v>F</v>
      </c>
      <c r="O37" s="145" t="e">
        <f>+'staffing plan'!#REF!</f>
        <v>#REF!</v>
      </c>
      <c r="P37" s="145" t="e">
        <f>+'staffing plan'!#REF!</f>
        <v>#REF!</v>
      </c>
      <c r="Q37" s="145" t="e">
        <f>+'staffing plan'!#REF!</f>
        <v>#REF!</v>
      </c>
      <c r="R37">
        <f>+'staffing plan'!BP46</f>
        <v>0</v>
      </c>
      <c r="S37">
        <v>35</v>
      </c>
    </row>
    <row r="38" spans="2:19">
      <c r="B38">
        <f t="shared" si="1"/>
        <v>2015</v>
      </c>
      <c r="C38">
        <f>+'staffing plan'!BK47</f>
        <v>42184</v>
      </c>
      <c r="D38" t="str">
        <f>'staffing plan'!A47</f>
        <v>OSEC-DILGB-ADOF5-53-2005</v>
      </c>
      <c r="E38" t="str">
        <f>+'staffing plan'!B47</f>
        <v xml:space="preserve">Administrative Officer V </v>
      </c>
      <c r="F38">
        <f>+'staffing plan'!C47</f>
        <v>18</v>
      </c>
      <c r="G38" s="131">
        <f>+'staffing plan'!AH47</f>
        <v>487644</v>
      </c>
      <c r="H38" s="131">
        <f>+'staffing plan'!AI47</f>
        <v>493680</v>
      </c>
      <c r="I38" s="131">
        <f>+'staffing plan'!AJ47</f>
        <v>2</v>
      </c>
      <c r="J38" t="str">
        <f>+'staffing plan'!AW47</f>
        <v>MATIB, Louven Longbuan</v>
      </c>
      <c r="K38" t="e">
        <f>+'staffing plan'!#REF!</f>
        <v>#REF!</v>
      </c>
      <c r="L38" t="e">
        <f>+'staffing plan'!#REF!</f>
        <v>#REF!</v>
      </c>
      <c r="M38" t="str">
        <f>+'staffing plan'!AX47</f>
        <v>Regional Office</v>
      </c>
      <c r="N38" t="str">
        <f>+'staffing plan'!AY47</f>
        <v>M</v>
      </c>
      <c r="O38" s="145" t="e">
        <f>+'staffing plan'!#REF!</f>
        <v>#REF!</v>
      </c>
      <c r="P38" s="145" t="e">
        <f>+'staffing plan'!#REF!</f>
        <v>#REF!</v>
      </c>
      <c r="Q38" s="145" t="e">
        <f>+'staffing plan'!#REF!</f>
        <v>#REF!</v>
      </c>
      <c r="R38">
        <f>+'staffing plan'!BP47</f>
        <v>0</v>
      </c>
      <c r="S38">
        <v>36</v>
      </c>
    </row>
    <row r="39" spans="2:19">
      <c r="B39">
        <f t="shared" si="1"/>
        <v>2006</v>
      </c>
      <c r="C39">
        <f>+'staffing plan'!BK48</f>
        <v>38926</v>
      </c>
      <c r="D39" t="str">
        <f>'staffing plan'!A48</f>
        <v>OSEC-DILGB-ADOF5-54-2005</v>
      </c>
      <c r="E39" t="str">
        <f>+'staffing plan'!B48</f>
        <v xml:space="preserve">Administrative Officer V </v>
      </c>
      <c r="F39">
        <f>+'staffing plan'!C48</f>
        <v>18</v>
      </c>
      <c r="G39" s="131">
        <f>+'staffing plan'!AH48</f>
        <v>487644</v>
      </c>
      <c r="H39" s="131">
        <f>+'staffing plan'!AI48</f>
        <v>512256</v>
      </c>
      <c r="I39" s="131">
        <f>+'staffing plan'!AJ48</f>
        <v>5</v>
      </c>
      <c r="J39" t="str">
        <f>+'staffing plan'!AW48</f>
        <v>BARNACHEA, Norman Idica</v>
      </c>
      <c r="K39" t="e">
        <f>+'staffing plan'!#REF!</f>
        <v>#REF!</v>
      </c>
      <c r="L39" t="e">
        <f>+'staffing plan'!#REF!</f>
        <v>#REF!</v>
      </c>
      <c r="M39" t="str">
        <f>+'staffing plan'!AX48</f>
        <v>Regional Office</v>
      </c>
      <c r="N39" t="str">
        <f>+'staffing plan'!AY48</f>
        <v>M</v>
      </c>
      <c r="O39" s="145" t="e">
        <f>+'staffing plan'!#REF!</f>
        <v>#REF!</v>
      </c>
      <c r="P39" s="145" t="e">
        <f>+'staffing plan'!#REF!</f>
        <v>#REF!</v>
      </c>
      <c r="Q39" s="145" t="e">
        <f>+'staffing plan'!#REF!</f>
        <v>#REF!</v>
      </c>
      <c r="R39">
        <f>+'staffing plan'!BP48</f>
        <v>0</v>
      </c>
      <c r="S39">
        <v>37</v>
      </c>
    </row>
    <row r="40" spans="2:19" hidden="1">
      <c r="B40">
        <f t="shared" si="1"/>
        <v>2017</v>
      </c>
      <c r="C40">
        <f>+'staffing plan'!BK49</f>
        <v>42821</v>
      </c>
      <c r="D40" t="str">
        <f>'staffing plan'!A49</f>
        <v>OSEC-DILGB-A2-6-1998</v>
      </c>
      <c r="E40" t="str">
        <f>+'staffing plan'!B49</f>
        <v>Accountant II</v>
      </c>
      <c r="F40">
        <f>+'staffing plan'!C49</f>
        <v>16</v>
      </c>
      <c r="G40" s="131">
        <f>+'staffing plan'!AH49</f>
        <v>403008</v>
      </c>
      <c r="H40" s="131">
        <f>+'staffing plan'!AI49</f>
        <v>403008</v>
      </c>
      <c r="I40" s="131">
        <f>+'staffing plan'!AJ49</f>
        <v>1</v>
      </c>
      <c r="J40" t="str">
        <f>+'staffing plan'!AW49</f>
        <v>MACASIEB, Marlyn Pilot</v>
      </c>
      <c r="K40" t="e">
        <f>+'staffing plan'!#REF!</f>
        <v>#REF!</v>
      </c>
      <c r="L40" t="e">
        <f>+'staffing plan'!#REF!</f>
        <v>#REF!</v>
      </c>
      <c r="M40" t="str">
        <f>+'staffing plan'!AX49</f>
        <v>Regional Office</v>
      </c>
      <c r="N40" t="str">
        <f>+'staffing plan'!AY49</f>
        <v>F</v>
      </c>
      <c r="O40" s="145" t="e">
        <f>+'staffing plan'!#REF!</f>
        <v>#REF!</v>
      </c>
      <c r="P40" s="145" t="e">
        <f>+'staffing plan'!#REF!</f>
        <v>#REF!</v>
      </c>
      <c r="Q40" s="145" t="e">
        <f>+'staffing plan'!#REF!</f>
        <v>#REF!</v>
      </c>
      <c r="R40">
        <f>+'staffing plan'!BP49</f>
        <v>0</v>
      </c>
      <c r="S40">
        <v>38</v>
      </c>
    </row>
    <row r="41" spans="2:19">
      <c r="B41">
        <f t="shared" si="1"/>
        <v>2012</v>
      </c>
      <c r="C41">
        <f>+'staffing plan'!BK50</f>
        <v>41260</v>
      </c>
      <c r="D41" t="str">
        <f>'staffing plan'!A50</f>
        <v>OSEC-DILGB-ADOF4-70-2005</v>
      </c>
      <c r="E41" t="str">
        <f>+'staffing plan'!B50</f>
        <v xml:space="preserve">Administrative Officer IV </v>
      </c>
      <c r="F41">
        <f>+'staffing plan'!C50</f>
        <v>15</v>
      </c>
      <c r="G41" s="131">
        <f>+'staffing plan'!AH50</f>
        <v>366372</v>
      </c>
      <c r="H41" s="131">
        <f>+'staffing plan'!AI50</f>
        <v>375504</v>
      </c>
      <c r="I41" s="131">
        <f>+'staffing plan'!AJ50</f>
        <v>3</v>
      </c>
      <c r="J41" t="str">
        <f>+'staffing plan'!AW50</f>
        <v>WONG, Arlene Eustaquio</v>
      </c>
      <c r="K41" t="e">
        <f>+'staffing plan'!#REF!</f>
        <v>#REF!</v>
      </c>
      <c r="L41" t="e">
        <f>+'staffing plan'!#REF!</f>
        <v>#REF!</v>
      </c>
      <c r="M41" t="str">
        <f>+'staffing plan'!AX50</f>
        <v>Regional Office</v>
      </c>
      <c r="N41" t="str">
        <f>+'staffing plan'!AY50</f>
        <v>F</v>
      </c>
      <c r="O41" s="145" t="e">
        <f>+'staffing plan'!#REF!</f>
        <v>#REF!</v>
      </c>
      <c r="P41" s="145" t="e">
        <f>+'staffing plan'!#REF!</f>
        <v>#REF!</v>
      </c>
      <c r="Q41" s="145" t="e">
        <f>+'staffing plan'!#REF!</f>
        <v>#REF!</v>
      </c>
      <c r="R41">
        <f>+'staffing plan'!BP50</f>
        <v>0</v>
      </c>
      <c r="S41">
        <v>39</v>
      </c>
    </row>
    <row r="42" spans="2:19" hidden="1">
      <c r="B42">
        <f t="shared" si="1"/>
        <v>2011</v>
      </c>
      <c r="C42">
        <f>+'staffing plan'!BK51</f>
        <v>40893</v>
      </c>
      <c r="D42" t="str">
        <f>'staffing plan'!A51</f>
        <v>OSEC-DILGB-ADOF4-79-2005</v>
      </c>
      <c r="E42" t="str">
        <f>+'staffing plan'!B51</f>
        <v>Administrative Officer IV</v>
      </c>
      <c r="F42">
        <f>+'staffing plan'!C51</f>
        <v>15</v>
      </c>
      <c r="G42" s="131">
        <f>+'staffing plan'!AH51</f>
        <v>366372</v>
      </c>
      <c r="H42" s="131">
        <f>+'staffing plan'!AI51</f>
        <v>375504</v>
      </c>
      <c r="I42" s="131">
        <f>+'staffing plan'!AJ51</f>
        <v>3</v>
      </c>
      <c r="J42" t="str">
        <f>+'staffing plan'!AW51</f>
        <v>GED-ANG, Chrysantine Chan</v>
      </c>
      <c r="K42" t="e">
        <f>+'staffing plan'!#REF!</f>
        <v>#REF!</v>
      </c>
      <c r="L42" t="e">
        <f>+'staffing plan'!#REF!</f>
        <v>#REF!</v>
      </c>
      <c r="M42" t="str">
        <f>+'staffing plan'!AX51</f>
        <v>Regional Office</v>
      </c>
      <c r="N42" t="str">
        <f>+'staffing plan'!AY51</f>
        <v>F</v>
      </c>
      <c r="O42" s="145" t="e">
        <f>+'staffing plan'!#REF!</f>
        <v>#REF!</v>
      </c>
      <c r="P42" s="145" t="e">
        <f>+'staffing plan'!#REF!</f>
        <v>#REF!</v>
      </c>
      <c r="Q42" s="145" t="e">
        <f>+'staffing plan'!#REF!</f>
        <v>#REF!</v>
      </c>
      <c r="R42">
        <f>+'staffing plan'!BP51</f>
        <v>0</v>
      </c>
      <c r="S42">
        <v>40</v>
      </c>
    </row>
    <row r="43" spans="2:19" hidden="1">
      <c r="B43">
        <f t="shared" si="1"/>
        <v>2019</v>
      </c>
      <c r="C43">
        <f>+'staffing plan'!BK52</f>
        <v>43531</v>
      </c>
      <c r="D43" t="str">
        <f>'staffing plan'!A52</f>
        <v>OSEC-DILGB-ADOF3-43-2005</v>
      </c>
      <c r="E43" t="str">
        <f>+'staffing plan'!B52</f>
        <v xml:space="preserve">Administrative Officer III </v>
      </c>
      <c r="F43">
        <f>+'staffing plan'!C52</f>
        <v>14</v>
      </c>
      <c r="G43" s="131">
        <f>+'staffing plan'!AH52</f>
        <v>333060</v>
      </c>
      <c r="H43" s="131">
        <f>+'staffing plan'!AI52</f>
        <v>333060</v>
      </c>
      <c r="I43" s="131">
        <f>+'staffing plan'!AJ52</f>
        <v>1</v>
      </c>
      <c r="J43" t="str">
        <f>+'staffing plan'!AW52</f>
        <v>ESNARA, Myra Golingab</v>
      </c>
      <c r="K43" t="e">
        <f>+'staffing plan'!#REF!</f>
        <v>#REF!</v>
      </c>
      <c r="L43" t="e">
        <f>+'staffing plan'!#REF!</f>
        <v>#REF!</v>
      </c>
      <c r="M43" t="str">
        <f>+'staffing plan'!AX52</f>
        <v>Regional Office</v>
      </c>
      <c r="N43" t="str">
        <f>+'staffing plan'!AY52</f>
        <v>F</v>
      </c>
      <c r="O43" s="145" t="e">
        <f>+'staffing plan'!#REF!</f>
        <v>#REF!</v>
      </c>
      <c r="P43" s="145" t="e">
        <f>+'staffing plan'!#REF!</f>
        <v>#REF!</v>
      </c>
      <c r="Q43" s="145" t="e">
        <f>+'staffing plan'!#REF!</f>
        <v>#REF!</v>
      </c>
      <c r="R43">
        <f>+'staffing plan'!BP52</f>
        <v>0</v>
      </c>
      <c r="S43">
        <v>41</v>
      </c>
    </row>
    <row r="44" spans="2:19" hidden="1">
      <c r="B44">
        <f t="shared" si="1"/>
        <v>2014</v>
      </c>
      <c r="C44">
        <f>+'staffing plan'!BK53</f>
        <v>41946</v>
      </c>
      <c r="D44" t="str">
        <f>'staffing plan'!A53</f>
        <v>OSEC-DILGB-ADOF3-44-2005</v>
      </c>
      <c r="E44" t="str">
        <f>+'staffing plan'!B53</f>
        <v xml:space="preserve">Administrative Officer III </v>
      </c>
      <c r="F44">
        <f>+'staffing plan'!C53</f>
        <v>14</v>
      </c>
      <c r="G44" s="131">
        <f>+'staffing plan'!AH53</f>
        <v>333060</v>
      </c>
      <c r="H44" s="131">
        <f>+'staffing plan'!AI53</f>
        <v>337188</v>
      </c>
      <c r="I44" s="131">
        <f>+'staffing plan'!AJ53</f>
        <v>2</v>
      </c>
      <c r="J44" t="str">
        <f>+'staffing plan'!AW53</f>
        <v>RAMIREZ, Ronnel Fronda</v>
      </c>
      <c r="K44" t="e">
        <f>+'staffing plan'!#REF!</f>
        <v>#REF!</v>
      </c>
      <c r="L44" t="e">
        <f>+'staffing plan'!#REF!</f>
        <v>#REF!</v>
      </c>
      <c r="M44" t="str">
        <f>+'staffing plan'!AX53</f>
        <v>Regional Office</v>
      </c>
      <c r="N44" t="str">
        <f>+'staffing plan'!AY53</f>
        <v>M</v>
      </c>
      <c r="O44" s="145" t="e">
        <f>+'staffing plan'!#REF!</f>
        <v>#REF!</v>
      </c>
      <c r="P44" s="145" t="e">
        <f>+'staffing plan'!#REF!</f>
        <v>#REF!</v>
      </c>
      <c r="Q44" s="145" t="e">
        <f>+'staffing plan'!#REF!</f>
        <v>#REF!</v>
      </c>
      <c r="R44">
        <f>+'staffing plan'!BP53</f>
        <v>0</v>
      </c>
      <c r="S44">
        <v>42</v>
      </c>
    </row>
    <row r="45" spans="2:19">
      <c r="B45">
        <f t="shared" si="1"/>
        <v>2003</v>
      </c>
      <c r="C45">
        <f>+'staffing plan'!BK54</f>
        <v>37658</v>
      </c>
      <c r="D45" t="str">
        <f>'staffing plan'!A54</f>
        <v>OSEC-DILGB-ADAS3-65-2005</v>
      </c>
      <c r="E45" t="str">
        <f>+'staffing plan'!B54</f>
        <v xml:space="preserve">Administrative Assistant III </v>
      </c>
      <c r="F45">
        <f>+'staffing plan'!C54</f>
        <v>9</v>
      </c>
      <c r="G45" s="131">
        <f>+'staffing plan'!AH54</f>
        <v>215700</v>
      </c>
      <c r="H45" s="131">
        <f>+'staffing plan'!AI54</f>
        <v>224868</v>
      </c>
      <c r="I45" s="131">
        <f>+'staffing plan'!AJ54</f>
        <v>6</v>
      </c>
      <c r="J45" t="str">
        <f>+'staffing plan'!AW54</f>
        <v>CASTRO, Angelito Gaddi</v>
      </c>
      <c r="K45" t="e">
        <f>+'staffing plan'!#REF!</f>
        <v>#REF!</v>
      </c>
      <c r="L45" t="e">
        <f>+'staffing plan'!#REF!</f>
        <v>#REF!</v>
      </c>
      <c r="M45" t="str">
        <f>+'staffing plan'!AX54</f>
        <v>Regional Office</v>
      </c>
      <c r="N45" t="str">
        <f>+'staffing plan'!AY54</f>
        <v>M</v>
      </c>
      <c r="O45" s="145" t="e">
        <f>+'staffing plan'!#REF!</f>
        <v>#REF!</v>
      </c>
      <c r="P45" s="145" t="e">
        <f>+'staffing plan'!#REF!</f>
        <v>#REF!</v>
      </c>
      <c r="Q45" s="145" t="e">
        <f>+'staffing plan'!#REF!</f>
        <v>#REF!</v>
      </c>
      <c r="R45">
        <f>+'staffing plan'!BP54</f>
        <v>0</v>
      </c>
      <c r="S45">
        <v>43</v>
      </c>
    </row>
    <row r="46" spans="2:19">
      <c r="B46">
        <f t="shared" si="1"/>
        <v>2012</v>
      </c>
      <c r="C46">
        <f>+'staffing plan'!BK55</f>
        <v>41127</v>
      </c>
      <c r="D46" t="str">
        <f>'staffing plan'!A55</f>
        <v>OSEC-DILGB-ADAS3-109-2010</v>
      </c>
      <c r="E46" t="str">
        <f>+'staffing plan'!B55</f>
        <v>Administrative Assistant III</v>
      </c>
      <c r="F46">
        <f>+'staffing plan'!C55</f>
        <v>9</v>
      </c>
      <c r="G46" s="131">
        <f>+'staffing plan'!AH55</f>
        <v>215700</v>
      </c>
      <c r="H46" s="131">
        <f>+'staffing plan'!AI55</f>
        <v>219324</v>
      </c>
      <c r="I46" s="131">
        <f>+'staffing plan'!AJ55</f>
        <v>3</v>
      </c>
      <c r="J46" t="str">
        <f>+'staffing plan'!AW55</f>
        <v>LOPEZ, Jessica Kim Angeles</v>
      </c>
      <c r="K46" t="e">
        <f>+'staffing plan'!#REF!</f>
        <v>#REF!</v>
      </c>
      <c r="L46" t="e">
        <f>+'staffing plan'!#REF!</f>
        <v>#REF!</v>
      </c>
      <c r="M46" t="str">
        <f>+'staffing plan'!AX55</f>
        <v>Regional Office</v>
      </c>
      <c r="N46" t="str">
        <f>+'staffing plan'!AY55</f>
        <v>F</v>
      </c>
      <c r="O46" s="145" t="e">
        <f>+'staffing plan'!#REF!</f>
        <v>#REF!</v>
      </c>
      <c r="P46" s="145" t="e">
        <f>+'staffing plan'!#REF!</f>
        <v>#REF!</v>
      </c>
      <c r="Q46" s="145" t="e">
        <f>+'staffing plan'!#REF!</f>
        <v>#REF!</v>
      </c>
      <c r="R46">
        <f>+'staffing plan'!BP55</f>
        <v>0</v>
      </c>
      <c r="S46">
        <v>44</v>
      </c>
    </row>
    <row r="47" spans="2:19">
      <c r="B47">
        <f t="shared" si="1"/>
        <v>2018</v>
      </c>
      <c r="C47">
        <f>+'staffing plan'!BK56</f>
        <v>43193</v>
      </c>
      <c r="D47" t="str">
        <f>'staffing plan'!A56</f>
        <v>OSEC-DILGB-ADAS2-61-2005</v>
      </c>
      <c r="E47" t="str">
        <f>+'staffing plan'!B56</f>
        <v>Administrative Assistant II</v>
      </c>
      <c r="F47">
        <f>+'staffing plan'!C56</f>
        <v>8</v>
      </c>
      <c r="G47" s="131">
        <f>+'staffing plan'!AH56</f>
        <v>201096</v>
      </c>
      <c r="H47" s="131">
        <f>+'staffing plan'!AI56</f>
        <v>201096</v>
      </c>
      <c r="I47" s="131">
        <f>+'staffing plan'!AJ56</f>
        <v>1</v>
      </c>
      <c r="J47" t="str">
        <f>+'staffing plan'!AW56</f>
        <v>BOGNADON, Kylee Russel Rebollido</v>
      </c>
      <c r="K47" t="e">
        <f>+'staffing plan'!#REF!</f>
        <v>#REF!</v>
      </c>
      <c r="L47" t="e">
        <f>+'staffing plan'!#REF!</f>
        <v>#REF!</v>
      </c>
      <c r="M47" t="str">
        <f>+'staffing plan'!AX56</f>
        <v>Regional Office</v>
      </c>
      <c r="N47" t="str">
        <f>+'staffing plan'!AY56</f>
        <v>M</v>
      </c>
      <c r="O47" s="145" t="e">
        <f>+'staffing plan'!#REF!</f>
        <v>#REF!</v>
      </c>
      <c r="P47" s="145" t="e">
        <f>+'staffing plan'!#REF!</f>
        <v>#REF!</v>
      </c>
      <c r="Q47" s="145" t="e">
        <f>+'staffing plan'!#REF!</f>
        <v>#REF!</v>
      </c>
      <c r="R47" t="str">
        <f>+'staffing plan'!BP56</f>
        <v>change of item 1-25-18</v>
      </c>
      <c r="S47">
        <v>45</v>
      </c>
    </row>
    <row r="48" spans="2:19" hidden="1">
      <c r="B48">
        <f t="shared" si="1"/>
        <v>1900</v>
      </c>
      <c r="C48">
        <f>+'staffing plan'!BK57</f>
        <v>0</v>
      </c>
      <c r="D48" t="str">
        <f>'staffing plan'!A57</f>
        <v>OSEC-DILGB-ADAS2-64-2005</v>
      </c>
      <c r="E48" t="str">
        <f>+'staffing plan'!B57</f>
        <v>Administrative Assistant II</v>
      </c>
      <c r="F48">
        <f>+'staffing plan'!C57</f>
        <v>8</v>
      </c>
      <c r="G48" s="131">
        <f>+'staffing plan'!AH57</f>
        <v>201096</v>
      </c>
      <c r="H48" s="131">
        <f>+'staffing plan'!AI57</f>
        <v>0</v>
      </c>
      <c r="I48" s="131">
        <f>+'staffing plan'!AJ57</f>
        <v>0</v>
      </c>
      <c r="J48" t="str">
        <f>+'staffing plan'!AW57</f>
        <v xml:space="preserve">ESNARA, VacantMyra </v>
      </c>
      <c r="K48" t="e">
        <f>+'staffing plan'!#REF!</f>
        <v>#REF!</v>
      </c>
      <c r="L48" t="e">
        <f>+'staffing plan'!#REF!</f>
        <v>#REF!</v>
      </c>
      <c r="M48">
        <f>+'staffing plan'!AX57</f>
        <v>0</v>
      </c>
      <c r="N48">
        <f>+'staffing plan'!AY57</f>
        <v>0</v>
      </c>
      <c r="O48" s="145" t="e">
        <f>+'staffing plan'!#REF!</f>
        <v>#REF!</v>
      </c>
      <c r="P48" s="145" t="e">
        <f>+'staffing plan'!#REF!</f>
        <v>#REF!</v>
      </c>
      <c r="Q48" s="145" t="e">
        <f>+'staffing plan'!#REF!</f>
        <v>#REF!</v>
      </c>
      <c r="R48">
        <f>+'staffing plan'!BP57</f>
        <v>0</v>
      </c>
      <c r="S48">
        <v>46</v>
      </c>
    </row>
    <row r="49" spans="2:19" hidden="1">
      <c r="B49">
        <f t="shared" si="1"/>
        <v>2018</v>
      </c>
      <c r="C49">
        <f>+'staffing plan'!BK58</f>
        <v>43193</v>
      </c>
      <c r="D49" t="str">
        <f>'staffing plan'!A58</f>
        <v>OSEC-DILGB-ADA4-85-2005</v>
      </c>
      <c r="E49" t="str">
        <f>+'staffing plan'!B58</f>
        <v>Administrative Aide IV</v>
      </c>
      <c r="F49">
        <f>+'staffing plan'!C58</f>
        <v>4</v>
      </c>
      <c r="G49" s="131">
        <f>+'staffing plan'!AH58</f>
        <v>158568</v>
      </c>
      <c r="H49" s="131">
        <f>+'staffing plan'!AI58</f>
        <v>158568</v>
      </c>
      <c r="I49" s="131">
        <f>+'staffing plan'!AJ58</f>
        <v>1</v>
      </c>
      <c r="J49" t="str">
        <f>+'staffing plan'!AW58</f>
        <v>GERNALE, Joe Pablo Maculada</v>
      </c>
      <c r="K49" t="e">
        <f>+'staffing plan'!#REF!</f>
        <v>#REF!</v>
      </c>
      <c r="L49" t="e">
        <f>+'staffing plan'!#REF!</f>
        <v>#REF!</v>
      </c>
      <c r="M49" t="str">
        <f>+'staffing plan'!AX58</f>
        <v>Regional Office</v>
      </c>
      <c r="N49" t="str">
        <f>+'staffing plan'!AY58</f>
        <v>M</v>
      </c>
      <c r="O49" s="145" t="e">
        <f>+'staffing plan'!#REF!</f>
        <v>#REF!</v>
      </c>
      <c r="P49" s="145" t="e">
        <f>+'staffing plan'!#REF!</f>
        <v>#REF!</v>
      </c>
      <c r="Q49" s="145" t="e">
        <f>+'staffing plan'!#REF!</f>
        <v>#REF!</v>
      </c>
      <c r="R49">
        <f>+'staffing plan'!BP58</f>
        <v>0</v>
      </c>
      <c r="S49">
        <v>47</v>
      </c>
    </row>
    <row r="50" spans="2:19" hidden="1">
      <c r="B50">
        <f t="shared" si="1"/>
        <v>1900</v>
      </c>
      <c r="C50">
        <f>+'staffing plan'!BK59</f>
        <v>0</v>
      </c>
      <c r="D50" t="str">
        <f>'staffing plan'!A59</f>
        <v>OSEC-DILGB-ADA4-86-2005</v>
      </c>
      <c r="E50" t="str">
        <f>+'staffing plan'!B59</f>
        <v>Administrative Aide IV</v>
      </c>
      <c r="F50">
        <f>+'staffing plan'!C59</f>
        <v>4</v>
      </c>
      <c r="G50" s="131">
        <f>+'staffing plan'!AH59</f>
        <v>158568</v>
      </c>
      <c r="H50" s="131">
        <f>+'staffing plan'!AI59</f>
        <v>0</v>
      </c>
      <c r="I50" s="131">
        <f>+'staffing plan'!AJ59</f>
        <v>0</v>
      </c>
      <c r="J50" t="str">
        <f>+'staffing plan'!AW59</f>
        <v xml:space="preserve">Vacant ESCAD,  </v>
      </c>
      <c r="K50" t="e">
        <f>+'staffing plan'!#REF!</f>
        <v>#REF!</v>
      </c>
      <c r="L50" t="e">
        <f>+'staffing plan'!#REF!</f>
        <v>#REF!</v>
      </c>
      <c r="M50">
        <f>+'staffing plan'!AX59</f>
        <v>0</v>
      </c>
      <c r="N50">
        <f>+'staffing plan'!AY59</f>
        <v>0</v>
      </c>
      <c r="O50" s="145" t="e">
        <f>+'staffing plan'!#REF!</f>
        <v>#REF!</v>
      </c>
      <c r="P50" s="145" t="e">
        <f>+'staffing plan'!#REF!</f>
        <v>#REF!</v>
      </c>
      <c r="Q50" s="145" t="e">
        <f>+'staffing plan'!#REF!</f>
        <v>#REF!</v>
      </c>
      <c r="R50">
        <f>+'staffing plan'!BP59</f>
        <v>0</v>
      </c>
      <c r="S50">
        <v>48</v>
      </c>
    </row>
    <row r="51" spans="2:19" hidden="1">
      <c r="B51">
        <f t="shared" si="1"/>
        <v>2014</v>
      </c>
      <c r="C51">
        <f>+'staffing plan'!BK60</f>
        <v>41988</v>
      </c>
      <c r="D51" t="str">
        <f>'staffing plan'!A60</f>
        <v>OSEC-DILGB-ADA4-87-2005</v>
      </c>
      <c r="E51" t="str">
        <f>+'staffing plan'!B60</f>
        <v>Administrative Aide IV</v>
      </c>
      <c r="F51">
        <f>+'staffing plan'!C60</f>
        <v>4</v>
      </c>
      <c r="G51" s="131">
        <f>+'staffing plan'!AH60</f>
        <v>158568</v>
      </c>
      <c r="H51" s="131">
        <f>+'staffing plan'!AI60</f>
        <v>159792</v>
      </c>
      <c r="I51" s="131">
        <f>+'staffing plan'!AJ60</f>
        <v>2</v>
      </c>
      <c r="J51" t="str">
        <f>+'staffing plan'!AW60</f>
        <v>MONANG, Veronica Gadgad</v>
      </c>
      <c r="K51" t="e">
        <f>+'staffing plan'!#REF!</f>
        <v>#REF!</v>
      </c>
      <c r="L51" t="e">
        <f>+'staffing plan'!#REF!</f>
        <v>#REF!</v>
      </c>
      <c r="M51" t="str">
        <f>+'staffing plan'!AX60</f>
        <v>Regional Office</v>
      </c>
      <c r="N51" t="str">
        <f>+'staffing plan'!AY60</f>
        <v>F</v>
      </c>
      <c r="O51" s="145" t="e">
        <f>+'staffing plan'!#REF!</f>
        <v>#REF!</v>
      </c>
      <c r="P51" s="145" t="e">
        <f>+'staffing plan'!#REF!</f>
        <v>#REF!</v>
      </c>
      <c r="Q51" s="145" t="e">
        <f>+'staffing plan'!#REF!</f>
        <v>#REF!</v>
      </c>
      <c r="R51">
        <f>+'staffing plan'!BP60</f>
        <v>0</v>
      </c>
      <c r="S51">
        <v>49</v>
      </c>
    </row>
    <row r="52" spans="2:19" hidden="1">
      <c r="B52">
        <f t="shared" si="1"/>
        <v>2011</v>
      </c>
      <c r="C52">
        <f>+'staffing plan'!BK61</f>
        <v>40634</v>
      </c>
      <c r="D52" t="str">
        <f>'staffing plan'!A61</f>
        <v>OSEC-DILGB-ADA4-91-2010</v>
      </c>
      <c r="E52" t="str">
        <f>+'staffing plan'!B61</f>
        <v>Administrative Aide IV</v>
      </c>
      <c r="F52">
        <f>+'staffing plan'!C61</f>
        <v>4</v>
      </c>
      <c r="G52" s="131">
        <f>+'staffing plan'!AH61</f>
        <v>158568</v>
      </c>
      <c r="H52" s="131">
        <f>+'staffing plan'!AI61</f>
        <v>161016</v>
      </c>
      <c r="I52" s="131">
        <f>+'staffing plan'!AJ61</f>
        <v>3</v>
      </c>
      <c r="J52" t="str">
        <f>+'staffing plan'!AW61</f>
        <v>PASCUA, Diosdado Aquino</v>
      </c>
      <c r="K52" t="e">
        <f>+'staffing plan'!#REF!</f>
        <v>#REF!</v>
      </c>
      <c r="L52" t="e">
        <f>+'staffing plan'!#REF!</f>
        <v>#REF!</v>
      </c>
      <c r="M52" t="str">
        <f>+'staffing plan'!AX61</f>
        <v>Regional Office</v>
      </c>
      <c r="N52" t="str">
        <f>+'staffing plan'!AY61</f>
        <v>M</v>
      </c>
      <c r="O52" s="145" t="e">
        <f>+'staffing plan'!#REF!</f>
        <v>#REF!</v>
      </c>
      <c r="P52" s="145" t="e">
        <f>+'staffing plan'!#REF!</f>
        <v>#REF!</v>
      </c>
      <c r="Q52" s="145" t="e">
        <f>+'staffing plan'!#REF!</f>
        <v>#REF!</v>
      </c>
      <c r="R52">
        <f>+'staffing plan'!BP61</f>
        <v>0</v>
      </c>
      <c r="S52">
        <v>50</v>
      </c>
    </row>
    <row r="53" spans="2:19" hidden="1">
      <c r="B53">
        <f t="shared" si="1"/>
        <v>1998</v>
      </c>
      <c r="C53">
        <f>+'staffing plan'!BK62</f>
        <v>36054</v>
      </c>
      <c r="D53" t="str">
        <f>'staffing plan'!A62</f>
        <v>OSEC-DILGB-ADA3-61-2005</v>
      </c>
      <c r="E53" t="str">
        <f>+'staffing plan'!B62</f>
        <v>Administrative Aide III</v>
      </c>
      <c r="F53">
        <f>+'staffing plan'!C62</f>
        <v>3</v>
      </c>
      <c r="G53" s="131">
        <f>+'staffing plan'!AH62</f>
        <v>149592</v>
      </c>
      <c r="H53" s="131">
        <f>+'staffing plan'!AI62</f>
        <v>156624</v>
      </c>
      <c r="I53" s="131">
        <f>+'staffing plan'!AJ62</f>
        <v>7</v>
      </c>
      <c r="J53" t="str">
        <f>+'staffing plan'!AW62</f>
        <v>TAMONDONG, Jonathan Ambat</v>
      </c>
      <c r="K53" t="e">
        <f>+'staffing plan'!#REF!</f>
        <v>#REF!</v>
      </c>
      <c r="L53" t="e">
        <f>+'staffing plan'!#REF!</f>
        <v>#REF!</v>
      </c>
      <c r="M53" t="str">
        <f>+'staffing plan'!AX62</f>
        <v>Regional Office</v>
      </c>
      <c r="N53" t="str">
        <f>+'staffing plan'!AY62</f>
        <v>M</v>
      </c>
      <c r="O53" s="145" t="e">
        <f>+'staffing plan'!#REF!</f>
        <v>#REF!</v>
      </c>
      <c r="P53" s="145" t="e">
        <f>+'staffing plan'!#REF!</f>
        <v>#REF!</v>
      </c>
      <c r="Q53" s="145" t="e">
        <f>+'staffing plan'!#REF!</f>
        <v>#REF!</v>
      </c>
      <c r="R53">
        <f>+'staffing plan'!BP62</f>
        <v>0</v>
      </c>
      <c r="S53">
        <v>51</v>
      </c>
    </row>
    <row r="54" spans="2:19" hidden="1">
      <c r="B54">
        <f t="shared" si="1"/>
        <v>1988</v>
      </c>
      <c r="C54">
        <f>+'staffing plan'!BK63</f>
        <v>32371</v>
      </c>
      <c r="D54" t="str">
        <f>'staffing plan'!A63</f>
        <v>OSEC-DILGB-SECG1-8-1998</v>
      </c>
      <c r="E54" t="str">
        <f>+'staffing plan'!B63</f>
        <v>Security Guard I</v>
      </c>
      <c r="F54">
        <f>+'staffing plan'!C63</f>
        <v>3</v>
      </c>
      <c r="G54" s="131">
        <f>+'staffing plan'!AH63</f>
        <v>149592</v>
      </c>
      <c r="H54" s="131">
        <f>+'staffing plan'!AI63</f>
        <v>157824</v>
      </c>
      <c r="I54" s="131">
        <f>+'staffing plan'!AJ63</f>
        <v>8</v>
      </c>
      <c r="J54" t="str">
        <f>+'staffing plan'!AW63</f>
        <v>ROJO, Gerardo Rontos</v>
      </c>
      <c r="K54" t="e">
        <f>+'staffing plan'!#REF!</f>
        <v>#REF!</v>
      </c>
      <c r="L54" t="e">
        <f>+'staffing plan'!#REF!</f>
        <v>#REF!</v>
      </c>
      <c r="M54" t="str">
        <f>+'staffing plan'!AX63</f>
        <v>Regional Office</v>
      </c>
      <c r="N54" t="str">
        <f>+'staffing plan'!AY63</f>
        <v>M</v>
      </c>
      <c r="O54" s="145" t="e">
        <f>+'staffing plan'!#REF!</f>
        <v>#REF!</v>
      </c>
      <c r="P54" s="145" t="e">
        <f>+'staffing plan'!#REF!</f>
        <v>#REF!</v>
      </c>
      <c r="Q54" s="145" t="e">
        <f>+'staffing plan'!#REF!</f>
        <v>#REF!</v>
      </c>
      <c r="R54">
        <f>+'staffing plan'!BP63</f>
        <v>0</v>
      </c>
      <c r="S54">
        <v>52</v>
      </c>
    </row>
    <row r="55" spans="2:19" hidden="1">
      <c r="B55">
        <f t="shared" si="1"/>
        <v>2004</v>
      </c>
      <c r="C55">
        <f>+'staffing plan'!BK64</f>
        <v>38018</v>
      </c>
      <c r="D55" t="str">
        <f>'staffing plan'!A64</f>
        <v>OSEC-DILGB-SECG1-9-1998</v>
      </c>
      <c r="E55" t="str">
        <f>+'staffing plan'!B64</f>
        <v>Security Guard I</v>
      </c>
      <c r="F55">
        <f>+'staffing plan'!C64</f>
        <v>3</v>
      </c>
      <c r="G55" s="131">
        <f>+'staffing plan'!AH64</f>
        <v>149592</v>
      </c>
      <c r="H55" s="131">
        <f>+'staffing plan'!AI64</f>
        <v>154248</v>
      </c>
      <c r="I55" s="131">
        <f>+'staffing plan'!AJ64</f>
        <v>5</v>
      </c>
      <c r="J55" t="str">
        <f>+'staffing plan'!AW64</f>
        <v>PEREZ, Roberto Aquino</v>
      </c>
      <c r="K55" t="e">
        <f>+'staffing plan'!#REF!</f>
        <v>#REF!</v>
      </c>
      <c r="L55" t="e">
        <f>+'staffing plan'!#REF!</f>
        <v>#REF!</v>
      </c>
      <c r="M55" t="str">
        <f>+'staffing plan'!AX64</f>
        <v>Regional Office</v>
      </c>
      <c r="N55" t="str">
        <f>+'staffing plan'!AY64</f>
        <v>M</v>
      </c>
      <c r="O55" s="145" t="e">
        <f>+'staffing plan'!#REF!</f>
        <v>#REF!</v>
      </c>
      <c r="P55" s="145" t="e">
        <f>+'staffing plan'!#REF!</f>
        <v>#REF!</v>
      </c>
      <c r="Q55" s="145" t="e">
        <f>+'staffing plan'!#REF!</f>
        <v>#REF!</v>
      </c>
      <c r="R55">
        <f>+'staffing plan'!BP64</f>
        <v>0</v>
      </c>
      <c r="S55">
        <v>53</v>
      </c>
    </row>
    <row r="56" spans="2:19" hidden="1">
      <c r="B56">
        <f t="shared" si="1"/>
        <v>2001</v>
      </c>
      <c r="C56">
        <f>+'staffing plan'!BK65</f>
        <v>37173</v>
      </c>
      <c r="D56" t="str">
        <f>'staffing plan'!A65</f>
        <v>OSEC-DILGB-SEC1-10-1998</v>
      </c>
      <c r="E56" t="str">
        <f>+'staffing plan'!B65</f>
        <v>Security Guard I</v>
      </c>
      <c r="F56">
        <f>+'staffing plan'!C65</f>
        <v>3</v>
      </c>
      <c r="G56" s="131">
        <f>+'staffing plan'!AH65</f>
        <v>149592</v>
      </c>
      <c r="H56" s="131">
        <f>+'staffing plan'!AI65</f>
        <v>155424</v>
      </c>
      <c r="I56" s="131">
        <f>+'staffing plan'!AJ65</f>
        <v>6</v>
      </c>
      <c r="J56" t="str">
        <f>+'staffing plan'!AW65</f>
        <v>NONOG, Edward Bolda</v>
      </c>
      <c r="K56" t="e">
        <f>+'staffing plan'!#REF!</f>
        <v>#REF!</v>
      </c>
      <c r="L56" t="e">
        <f>+'staffing plan'!#REF!</f>
        <v>#REF!</v>
      </c>
      <c r="M56" t="str">
        <f>+'staffing plan'!AX65</f>
        <v>Regional Office</v>
      </c>
      <c r="N56" t="str">
        <f>+'staffing plan'!AY65</f>
        <v>M</v>
      </c>
      <c r="O56" s="145" t="e">
        <f>+'staffing plan'!#REF!</f>
        <v>#REF!</v>
      </c>
      <c r="P56" s="145" t="e">
        <f>+'staffing plan'!#REF!</f>
        <v>#REF!</v>
      </c>
      <c r="Q56" s="145" t="e">
        <f>+'staffing plan'!#REF!</f>
        <v>#REF!</v>
      </c>
      <c r="R56">
        <f>+'staffing plan'!BP65</f>
        <v>0</v>
      </c>
      <c r="S56">
        <v>54</v>
      </c>
    </row>
    <row r="57" spans="2:19" hidden="1">
      <c r="B57">
        <f t="shared" si="1"/>
        <v>1900</v>
      </c>
      <c r="C57">
        <f>+'staffing plan'!BK66</f>
        <v>0</v>
      </c>
      <c r="D57" t="str">
        <f>'staffing plan'!A66</f>
        <v>Sub-Total</v>
      </c>
      <c r="E57">
        <f>+'staffing plan'!B66</f>
        <v>0</v>
      </c>
      <c r="F57">
        <f>+'staffing plan'!C66</f>
        <v>0</v>
      </c>
      <c r="G57" s="131">
        <f>+'staffing plan'!AH66</f>
        <v>0</v>
      </c>
      <c r="H57" s="131">
        <f>+'staffing plan'!AI66</f>
        <v>0</v>
      </c>
      <c r="I57" s="131">
        <f>+'staffing plan'!AJ66</f>
        <v>23</v>
      </c>
      <c r="J57">
        <f>+'staffing plan'!AW66</f>
        <v>0</v>
      </c>
      <c r="K57" t="e">
        <f>+'staffing plan'!#REF!</f>
        <v>#REF!</v>
      </c>
      <c r="L57" t="e">
        <f>+'staffing plan'!#REF!</f>
        <v>#REF!</v>
      </c>
      <c r="M57">
        <f>+'staffing plan'!AX66</f>
        <v>0</v>
      </c>
      <c r="N57">
        <f>+'staffing plan'!AY66</f>
        <v>0</v>
      </c>
      <c r="O57" s="145" t="e">
        <f>+'staffing plan'!#REF!</f>
        <v>#REF!</v>
      </c>
      <c r="P57" s="145" t="e">
        <f>+'staffing plan'!#REF!</f>
        <v>#REF!</v>
      </c>
      <c r="Q57" s="145" t="e">
        <f>+'staffing plan'!#REF!</f>
        <v>#REF!</v>
      </c>
      <c r="R57">
        <f>+'staffing plan'!BP66</f>
        <v>0</v>
      </c>
      <c r="S57">
        <v>55</v>
      </c>
    </row>
    <row r="58" spans="2:19" hidden="1">
      <c r="B58">
        <f t="shared" si="1"/>
        <v>1900</v>
      </c>
      <c r="C58">
        <f>+'staffing plan'!BK67</f>
        <v>0</v>
      </c>
      <c r="D58" t="str">
        <f>'staffing plan'!A67</f>
        <v>65,000          Provincial / City Offices</v>
      </c>
      <c r="E58">
        <f>+'staffing plan'!B67</f>
        <v>0</v>
      </c>
      <c r="F58">
        <f>+'staffing plan'!C67</f>
        <v>0</v>
      </c>
      <c r="G58" s="131">
        <f>+'staffing plan'!AH67</f>
        <v>0</v>
      </c>
      <c r="H58" s="131">
        <f>+'staffing plan'!AI67</f>
        <v>0</v>
      </c>
      <c r="I58" s="131">
        <f>+'staffing plan'!AJ67</f>
        <v>0</v>
      </c>
      <c r="J58">
        <f>+'staffing plan'!AW67</f>
        <v>0</v>
      </c>
      <c r="K58" t="e">
        <f>+'staffing plan'!#REF!</f>
        <v>#REF!</v>
      </c>
      <c r="L58" t="e">
        <f>+'staffing plan'!#REF!</f>
        <v>#REF!</v>
      </c>
      <c r="M58">
        <f>+'staffing plan'!AX67</f>
        <v>0</v>
      </c>
      <c r="N58">
        <f>+'staffing plan'!AY67</f>
        <v>0</v>
      </c>
      <c r="O58" s="145" t="e">
        <f>+'staffing plan'!#REF!</f>
        <v>#REF!</v>
      </c>
      <c r="P58" s="145" t="e">
        <f>+'staffing plan'!#REF!</f>
        <v>#REF!</v>
      </c>
      <c r="Q58" s="145" t="e">
        <f>+'staffing plan'!#REF!</f>
        <v>#REF!</v>
      </c>
      <c r="R58">
        <f>+'staffing plan'!BP67</f>
        <v>0</v>
      </c>
      <c r="S58">
        <v>56</v>
      </c>
    </row>
    <row r="59" spans="2:19" hidden="1">
      <c r="B59">
        <f t="shared" si="1"/>
        <v>2016</v>
      </c>
      <c r="C59">
        <f>+'staffing plan'!BK68</f>
        <v>42391</v>
      </c>
      <c r="D59" t="str">
        <f>'staffing plan'!A68</f>
        <v>OSEC-DILGB-LGOO8-2-1998</v>
      </c>
      <c r="E59" t="str">
        <f>+'staffing plan'!B68</f>
        <v>Local Government Operations Officer VIII</v>
      </c>
      <c r="F59">
        <f>+'staffing plan'!C68</f>
        <v>26</v>
      </c>
      <c r="G59" s="131">
        <f>+'staffing plan'!AH68</f>
        <v>1289328</v>
      </c>
      <c r="H59" s="131">
        <f>+'staffing plan'!AI68</f>
        <v>1289328</v>
      </c>
      <c r="I59" s="131">
        <f>+'staffing plan'!AJ68</f>
        <v>1</v>
      </c>
      <c r="J59" t="str">
        <f>+'staffing plan'!AW68</f>
        <v>CARIÑO, Millicent Bamba</v>
      </c>
      <c r="K59" t="e">
        <f>+'staffing plan'!#REF!</f>
        <v>#REF!</v>
      </c>
      <c r="L59" t="e">
        <f>+'staffing plan'!#REF!</f>
        <v>#REF!</v>
      </c>
      <c r="M59" t="str">
        <f>+'staffing plan'!AX68</f>
        <v>Abra</v>
      </c>
      <c r="N59" t="str">
        <f>+'staffing plan'!AY68</f>
        <v>F</v>
      </c>
      <c r="O59" s="145" t="e">
        <f>+'staffing plan'!#REF!</f>
        <v>#REF!</v>
      </c>
      <c r="P59" s="145" t="e">
        <f>+'staffing plan'!#REF!</f>
        <v>#REF!</v>
      </c>
      <c r="Q59" s="145" t="e">
        <f>+'staffing plan'!#REF!</f>
        <v>#REF!</v>
      </c>
      <c r="R59">
        <f>+'staffing plan'!BP68</f>
        <v>0</v>
      </c>
      <c r="S59">
        <v>57</v>
      </c>
    </row>
    <row r="60" spans="2:19">
      <c r="B60">
        <f t="shared" si="1"/>
        <v>2012</v>
      </c>
      <c r="C60">
        <f>+'staffing plan'!BK69</f>
        <v>41165</v>
      </c>
      <c r="D60" t="str">
        <f>'staffing plan'!A69</f>
        <v>OSEC-DILGB-LGOO8-45-1998</v>
      </c>
      <c r="E60" t="str">
        <f>+'staffing plan'!B69</f>
        <v>Local Government Operations Officer VIII</v>
      </c>
      <c r="F60">
        <f>+'staffing plan'!C69</f>
        <v>26</v>
      </c>
      <c r="G60" s="131">
        <f>+'staffing plan'!AH69</f>
        <v>1289328</v>
      </c>
      <c r="H60" s="131">
        <f>+'staffing plan'!AI69</f>
        <v>1375584</v>
      </c>
      <c r="I60" s="131">
        <f>+'staffing plan'!AJ69</f>
        <v>5</v>
      </c>
      <c r="J60" t="str">
        <f>+'staffing plan'!AW69</f>
        <v>BALLUG, Anthony Manolo Ilacad</v>
      </c>
      <c r="K60" t="e">
        <f>+'staffing plan'!#REF!</f>
        <v>#REF!</v>
      </c>
      <c r="L60" t="e">
        <f>+'staffing plan'!#REF!</f>
        <v>#REF!</v>
      </c>
      <c r="M60" t="str">
        <f>+'staffing plan'!AX69</f>
        <v>Mt. Province</v>
      </c>
      <c r="N60" t="str">
        <f>+'staffing plan'!AY69</f>
        <v>M</v>
      </c>
      <c r="O60" s="145" t="e">
        <f>+'staffing plan'!#REF!</f>
        <v>#REF!</v>
      </c>
      <c r="P60" s="145" t="e">
        <f>+'staffing plan'!#REF!</f>
        <v>#REF!</v>
      </c>
      <c r="Q60" s="145" t="e">
        <f>+'staffing plan'!#REF!</f>
        <v>#REF!</v>
      </c>
      <c r="R60">
        <f>+'staffing plan'!BP69</f>
        <v>0</v>
      </c>
      <c r="S60">
        <v>58</v>
      </c>
    </row>
    <row r="61" spans="2:19" hidden="1">
      <c r="B61">
        <f t="shared" si="1"/>
        <v>2007</v>
      </c>
      <c r="C61">
        <f>+'staffing plan'!BK70</f>
        <v>39230</v>
      </c>
      <c r="D61" t="str">
        <f>'staffing plan'!A70</f>
        <v>OSEC-DILGB-LGOO8-56-1998</v>
      </c>
      <c r="E61" t="str">
        <f>+'staffing plan'!B70</f>
        <v>Local Government Operations Officer VIII</v>
      </c>
      <c r="F61">
        <f>+'staffing plan'!C70</f>
        <v>26</v>
      </c>
      <c r="G61" s="131">
        <f>+'staffing plan'!AH70</f>
        <v>1289328</v>
      </c>
      <c r="H61" s="131">
        <f>+'staffing plan'!AI70</f>
        <v>1375584</v>
      </c>
      <c r="I61" s="131">
        <f>+'staffing plan'!AJ70</f>
        <v>5</v>
      </c>
      <c r="J61" t="str">
        <f>+'staffing plan'!AW70</f>
        <v>FEGCAN, Rufina Talusig</v>
      </c>
      <c r="K61" t="e">
        <f>+'staffing plan'!#REF!</f>
        <v>#REF!</v>
      </c>
      <c r="L61" t="e">
        <f>+'staffing plan'!#REF!</f>
        <v>#REF!</v>
      </c>
      <c r="M61" t="str">
        <f>+'staffing plan'!AX70</f>
        <v>Benguet</v>
      </c>
      <c r="N61" t="str">
        <f>+'staffing plan'!AY70</f>
        <v>F</v>
      </c>
      <c r="O61" s="145" t="e">
        <f>+'staffing plan'!#REF!</f>
        <v>#REF!</v>
      </c>
      <c r="P61" s="145" t="e">
        <f>+'staffing plan'!#REF!</f>
        <v>#REF!</v>
      </c>
      <c r="Q61" s="145" t="e">
        <f>+'staffing plan'!#REF!</f>
        <v>#REF!</v>
      </c>
      <c r="R61">
        <f>+'staffing plan'!BP70</f>
        <v>0</v>
      </c>
      <c r="S61">
        <v>59</v>
      </c>
    </row>
    <row r="62" spans="2:19" hidden="1">
      <c r="B62">
        <f t="shared" si="1"/>
        <v>2011</v>
      </c>
      <c r="C62">
        <f>+'staffing plan'!BK71</f>
        <v>40603</v>
      </c>
      <c r="D62" t="str">
        <f>'staffing plan'!A71</f>
        <v>OSEC-DILGB-LGOO8-67-1998</v>
      </c>
      <c r="E62" t="str">
        <f>+'staffing plan'!B71</f>
        <v>Local Government Operations Officer VIII</v>
      </c>
      <c r="F62">
        <f>+'staffing plan'!C71</f>
        <v>26</v>
      </c>
      <c r="G62" s="131">
        <f>+'staffing plan'!AH71</f>
        <v>1289328</v>
      </c>
      <c r="H62" s="131">
        <f>+'staffing plan'!AI71</f>
        <v>1353492</v>
      </c>
      <c r="I62" s="131">
        <f>+'staffing plan'!AJ71</f>
        <v>4</v>
      </c>
      <c r="J62" t="str">
        <f>+'staffing plan'!AW71</f>
        <v>TRINIDAD, Evelyn Ballug</v>
      </c>
      <c r="K62" t="e">
        <f>+'staffing plan'!#REF!</f>
        <v>#REF!</v>
      </c>
      <c r="L62" t="e">
        <f>+'staffing plan'!#REF!</f>
        <v>#REF!</v>
      </c>
      <c r="M62" t="str">
        <f>+'staffing plan'!AX71</f>
        <v>Baguio City</v>
      </c>
      <c r="N62" t="str">
        <f>+'staffing plan'!AY71</f>
        <v>F</v>
      </c>
      <c r="O62" s="145" t="e">
        <f>+'staffing plan'!#REF!</f>
        <v>#REF!</v>
      </c>
      <c r="P62" s="145" t="e">
        <f>+'staffing plan'!#REF!</f>
        <v>#REF!</v>
      </c>
      <c r="Q62" s="145" t="e">
        <f>+'staffing plan'!#REF!</f>
        <v>#REF!</v>
      </c>
      <c r="R62" t="str">
        <f>+'staffing plan'!BP71</f>
        <v>Step 2</v>
      </c>
      <c r="S62">
        <v>60</v>
      </c>
    </row>
    <row r="63" spans="2:19" hidden="1">
      <c r="B63">
        <f t="shared" si="1"/>
        <v>2018</v>
      </c>
      <c r="C63">
        <f>+'staffing plan'!BK72</f>
        <v>43132</v>
      </c>
      <c r="D63" t="str">
        <f>'staffing plan'!A72</f>
        <v>OSEC-DILGB-LGOO8-79-1998</v>
      </c>
      <c r="E63" t="str">
        <f>+'staffing plan'!B72</f>
        <v>Local Government Operations Officer VIII</v>
      </c>
      <c r="F63">
        <f>+'staffing plan'!C72</f>
        <v>26</v>
      </c>
      <c r="G63" s="131">
        <f>+'staffing plan'!AH72</f>
        <v>1289328</v>
      </c>
      <c r="H63" s="131">
        <f>+'staffing plan'!AI72</f>
        <v>1289328</v>
      </c>
      <c r="I63" s="131">
        <f>+'staffing plan'!AJ72</f>
        <v>1</v>
      </c>
      <c r="J63" t="str">
        <f>+'staffing plan'!AW72</f>
        <v>MAMMAG, Regina Elizabeth Lingayo</v>
      </c>
      <c r="K63" t="e">
        <f>+'staffing plan'!#REF!</f>
        <v>#REF!</v>
      </c>
      <c r="L63" t="e">
        <f>+'staffing plan'!#REF!</f>
        <v>#REF!</v>
      </c>
      <c r="M63" t="str">
        <f>+'staffing plan'!AX72</f>
        <v>Ifugao</v>
      </c>
      <c r="N63" t="str">
        <f>+'staffing plan'!AY72</f>
        <v>F</v>
      </c>
      <c r="O63" s="145" t="e">
        <f>+'staffing plan'!#REF!</f>
        <v>#REF!</v>
      </c>
      <c r="P63" s="145" t="e">
        <f>+'staffing plan'!#REF!</f>
        <v>#REF!</v>
      </c>
      <c r="Q63" s="145" t="e">
        <f>+'staffing plan'!#REF!</f>
        <v>#REF!</v>
      </c>
      <c r="R63">
        <f>+'staffing plan'!BP72</f>
        <v>0</v>
      </c>
      <c r="S63">
        <v>61</v>
      </c>
    </row>
    <row r="64" spans="2:19" hidden="1">
      <c r="B64">
        <f t="shared" si="1"/>
        <v>2016</v>
      </c>
      <c r="C64">
        <f>+'staffing plan'!BK73</f>
        <v>42436</v>
      </c>
      <c r="D64" t="str">
        <f>'staffing plan'!A73</f>
        <v>OSEC-DILGB-LGOO8-91-1998</v>
      </c>
      <c r="E64" t="str">
        <f>+'staffing plan'!B73</f>
        <v>Local Government Operations Officer VIII</v>
      </c>
      <c r="F64">
        <f>+'staffing plan'!C73</f>
        <v>26</v>
      </c>
      <c r="G64" s="131">
        <f>+'staffing plan'!AH73</f>
        <v>1289328</v>
      </c>
      <c r="H64" s="131">
        <f>+'staffing plan'!AI73</f>
        <v>1310364</v>
      </c>
      <c r="I64" s="131">
        <f>+'staffing plan'!AJ73</f>
        <v>2</v>
      </c>
      <c r="J64" t="str">
        <f>+'staffing plan'!AW73</f>
        <v>BASQUEZ, Marvin Amanonce</v>
      </c>
      <c r="K64" t="e">
        <f>+'staffing plan'!#REF!</f>
        <v>#REF!</v>
      </c>
      <c r="L64" t="e">
        <f>+'staffing plan'!#REF!</f>
        <v>#REF!</v>
      </c>
      <c r="M64" t="str">
        <f>+'staffing plan'!AX73</f>
        <v>Apayao</v>
      </c>
      <c r="N64" t="str">
        <f>+'staffing plan'!AY73</f>
        <v>M</v>
      </c>
      <c r="O64" s="145" t="e">
        <f>+'staffing plan'!#REF!</f>
        <v>#REF!</v>
      </c>
      <c r="P64" s="145" t="e">
        <f>+'staffing plan'!#REF!</f>
        <v>#REF!</v>
      </c>
      <c r="Q64" s="145" t="e">
        <f>+'staffing plan'!#REF!</f>
        <v>#REF!</v>
      </c>
      <c r="R64" t="str">
        <f>+'staffing plan'!BP73</f>
        <v>CESO step 2</v>
      </c>
      <c r="S64">
        <v>62</v>
      </c>
    </row>
    <row r="65" spans="2:19" hidden="1">
      <c r="B65">
        <f t="shared" si="1"/>
        <v>2018</v>
      </c>
      <c r="C65">
        <f>+'staffing plan'!BK74</f>
        <v>43146</v>
      </c>
      <c r="D65" t="str">
        <f>'staffing plan'!A74</f>
        <v>OSEC-DILGB-LGOO8-98-1998</v>
      </c>
      <c r="E65" t="str">
        <f>+'staffing plan'!B74</f>
        <v>Local Government Operations Officer VIII</v>
      </c>
      <c r="F65">
        <f>+'staffing plan'!C74</f>
        <v>26</v>
      </c>
      <c r="G65" s="131">
        <f>+'staffing plan'!AH74</f>
        <v>1289328</v>
      </c>
      <c r="H65" s="131">
        <f>+'staffing plan'!AI74</f>
        <v>1289328</v>
      </c>
      <c r="I65" s="131">
        <f>+'staffing plan'!AJ74</f>
        <v>1</v>
      </c>
      <c r="J65" t="str">
        <f>+'staffing plan'!AW74</f>
        <v>ADONG, Mayer Max de Guzman</v>
      </c>
      <c r="K65" t="e">
        <f>+'staffing plan'!#REF!</f>
        <v>#REF!</v>
      </c>
      <c r="L65" t="e">
        <f>+'staffing plan'!#REF!</f>
        <v>#REF!</v>
      </c>
      <c r="M65" t="str">
        <f>+'staffing plan'!AX74</f>
        <v>Kalinga</v>
      </c>
      <c r="N65" t="str">
        <f>+'staffing plan'!AY74</f>
        <v>M</v>
      </c>
      <c r="O65" s="145" t="e">
        <f>+'staffing plan'!#REF!</f>
        <v>#REF!</v>
      </c>
      <c r="P65" s="145" t="e">
        <f>+'staffing plan'!#REF!</f>
        <v>#REF!</v>
      </c>
      <c r="Q65" s="145" t="e">
        <f>+'staffing plan'!#REF!</f>
        <v>#REF!</v>
      </c>
      <c r="R65">
        <f>+'staffing plan'!BP74</f>
        <v>0</v>
      </c>
      <c r="S65">
        <v>63</v>
      </c>
    </row>
    <row r="66" spans="2:19" hidden="1">
      <c r="B66">
        <f t="shared" si="1"/>
        <v>2019</v>
      </c>
      <c r="C66">
        <f>+'staffing plan'!BK76</f>
        <v>43531</v>
      </c>
      <c r="D66" t="str">
        <f>'staffing plan'!A76</f>
        <v>OSEC-DILGB-LGOO7-1444-2017</v>
      </c>
      <c r="E66" t="str">
        <f>+'staffing plan'!B76</f>
        <v>Local Government Operations Officer VII</v>
      </c>
      <c r="F66">
        <f>+'staffing plan'!C76</f>
        <v>24</v>
      </c>
      <c r="G66" s="131">
        <f>+'staffing plan'!AH76</f>
        <v>1000872</v>
      </c>
      <c r="H66" s="131">
        <f>+'staffing plan'!AI76</f>
        <v>1000872</v>
      </c>
      <c r="I66" s="131">
        <f>+'staffing plan'!AJ76</f>
        <v>1</v>
      </c>
      <c r="J66" t="str">
        <f>+'staffing plan'!AW76</f>
        <v>APPOY, Samson Benlangan</v>
      </c>
      <c r="K66" t="e">
        <f>+'staffing plan'!#REF!</f>
        <v>#REF!</v>
      </c>
      <c r="L66" t="e">
        <f>+'staffing plan'!#REF!</f>
        <v>#REF!</v>
      </c>
      <c r="M66" t="str">
        <f>+'staffing plan'!AX76</f>
        <v>Ifugao</v>
      </c>
      <c r="N66" t="str">
        <f>+'staffing plan'!AY76</f>
        <v>M</v>
      </c>
      <c r="O66" s="145" t="e">
        <f>+'staffing plan'!#REF!</f>
        <v>#REF!</v>
      </c>
      <c r="P66" s="145" t="e">
        <f>+'staffing plan'!#REF!</f>
        <v>#REF!</v>
      </c>
      <c r="Q66" s="145" t="e">
        <f>+'staffing plan'!#REF!</f>
        <v>#REF!</v>
      </c>
      <c r="R66">
        <f>+'staffing plan'!BP76</f>
        <v>0</v>
      </c>
      <c r="S66">
        <v>64</v>
      </c>
    </row>
    <row r="67" spans="2:19" hidden="1">
      <c r="B67" t="e">
        <f t="shared" si="1"/>
        <v>#REF!</v>
      </c>
      <c r="C67" t="e">
        <f>+'staffing plan'!#REF!</f>
        <v>#REF!</v>
      </c>
      <c r="D67" t="e">
        <f>'staffing plan'!#REF!</f>
        <v>#REF!</v>
      </c>
      <c r="E67" t="e">
        <f>+'staffing plan'!#REF!</f>
        <v>#REF!</v>
      </c>
      <c r="F67" t="e">
        <f>+'staffing plan'!#REF!</f>
        <v>#REF!</v>
      </c>
      <c r="G67" s="131" t="e">
        <f>+'staffing plan'!#REF!</f>
        <v>#REF!</v>
      </c>
      <c r="H67" s="131" t="e">
        <f>+'staffing plan'!#REF!</f>
        <v>#REF!</v>
      </c>
      <c r="I67" s="131" t="e">
        <f>+'staffing plan'!#REF!</f>
        <v>#REF!</v>
      </c>
      <c r="J67" t="e">
        <f>+'staffing plan'!#REF!</f>
        <v>#REF!</v>
      </c>
      <c r="K67" t="e">
        <f>+'staffing plan'!#REF!</f>
        <v>#REF!</v>
      </c>
      <c r="L67" t="e">
        <f>+'staffing plan'!#REF!</f>
        <v>#REF!</v>
      </c>
      <c r="M67" t="e">
        <f>+'staffing plan'!#REF!</f>
        <v>#REF!</v>
      </c>
      <c r="N67" t="e">
        <f>+'staffing plan'!#REF!</f>
        <v>#REF!</v>
      </c>
      <c r="O67" s="145" t="e">
        <f>+'staffing plan'!#REF!</f>
        <v>#REF!</v>
      </c>
      <c r="P67" s="145" t="e">
        <f>+'staffing plan'!#REF!</f>
        <v>#REF!</v>
      </c>
      <c r="Q67" s="145" t="e">
        <f>+'staffing plan'!#REF!</f>
        <v>#REF!</v>
      </c>
      <c r="R67" t="e">
        <f>+'staffing plan'!#REF!</f>
        <v>#REF!</v>
      </c>
      <c r="S67">
        <v>65</v>
      </c>
    </row>
    <row r="68" spans="2:19" hidden="1">
      <c r="B68">
        <f t="shared" si="1"/>
        <v>2018</v>
      </c>
      <c r="C68">
        <f>+'staffing plan'!BK77</f>
        <v>43132</v>
      </c>
      <c r="D68" t="str">
        <f>'staffing plan'!A77</f>
        <v>OSEC-DILGB-LGOO7-1445-2017</v>
      </c>
      <c r="E68" t="str">
        <f>+'staffing plan'!B77</f>
        <v>Local Government Operations Officer VII</v>
      </c>
      <c r="F68">
        <f>+'staffing plan'!C77</f>
        <v>24</v>
      </c>
      <c r="G68" s="131">
        <f>+'staffing plan'!AH77</f>
        <v>1000872</v>
      </c>
      <c r="H68" s="131">
        <f>+'staffing plan'!AI77</f>
        <v>1000872</v>
      </c>
      <c r="I68" s="131">
        <f>+'staffing plan'!AJ77</f>
        <v>1</v>
      </c>
      <c r="J68" t="str">
        <f>+'staffing plan'!AW77</f>
        <v>CARIÑO, Maritess  Malinay</v>
      </c>
      <c r="K68" t="e">
        <f>+'staffing plan'!#REF!</f>
        <v>#REF!</v>
      </c>
      <c r="L68" t="e">
        <f>+'staffing plan'!#REF!</f>
        <v>#REF!</v>
      </c>
      <c r="M68" t="str">
        <f>+'staffing plan'!AX77</f>
        <v>Mt. Province</v>
      </c>
      <c r="N68" t="str">
        <f>+'staffing plan'!AY77</f>
        <v>F</v>
      </c>
      <c r="O68" s="145" t="e">
        <f>+'staffing plan'!#REF!</f>
        <v>#REF!</v>
      </c>
      <c r="P68" s="145" t="e">
        <f>+'staffing plan'!#REF!</f>
        <v>#REF!</v>
      </c>
      <c r="Q68" s="145" t="e">
        <f>+'staffing plan'!#REF!</f>
        <v>#REF!</v>
      </c>
      <c r="R68">
        <f>+'staffing plan'!BP77</f>
        <v>0</v>
      </c>
      <c r="S68">
        <v>66</v>
      </c>
    </row>
    <row r="69" spans="2:19" hidden="1">
      <c r="B69">
        <f t="shared" ref="B69:B87" si="4">(YEAR(C69))</f>
        <v>2019</v>
      </c>
      <c r="C69">
        <f>+'staffing plan'!BK78</f>
        <v>43531</v>
      </c>
      <c r="D69" t="str">
        <f>'staffing plan'!A78</f>
        <v>OSEC-DILGB-LGOO7-1446-2017</v>
      </c>
      <c r="E69" t="str">
        <f>+'staffing plan'!B78</f>
        <v>Local Government Operations Officer VII</v>
      </c>
      <c r="F69">
        <f>+'staffing plan'!C78</f>
        <v>24</v>
      </c>
      <c r="G69" s="131">
        <f>+'staffing plan'!AH78</f>
        <v>1000872</v>
      </c>
      <c r="H69" s="131">
        <f>+'staffing plan'!AI78</f>
        <v>1000872</v>
      </c>
      <c r="I69" s="131">
        <f>+'staffing plan'!AJ78</f>
        <v>1</v>
      </c>
      <c r="J69" t="str">
        <f>+'staffing plan'!AW78</f>
        <v>ALIÑO, Mediatrix Rubio</v>
      </c>
      <c r="K69" t="e">
        <f>+'staffing plan'!#REF!</f>
        <v>#REF!</v>
      </c>
      <c r="L69" t="e">
        <f>+'staffing plan'!#REF!</f>
        <v>#REF!</v>
      </c>
      <c r="M69" t="str">
        <f>+'staffing plan'!AX78</f>
        <v>Kalinga</v>
      </c>
      <c r="N69" t="str">
        <f>+'staffing plan'!AY78</f>
        <v>F</v>
      </c>
      <c r="O69" s="145" t="e">
        <f>+'staffing plan'!#REF!</f>
        <v>#REF!</v>
      </c>
      <c r="P69" s="145" t="e">
        <f>+'staffing plan'!#REF!</f>
        <v>#REF!</v>
      </c>
      <c r="Q69" s="145" t="e">
        <f>+'staffing plan'!#REF!</f>
        <v>#REF!</v>
      </c>
      <c r="R69">
        <f>+'staffing plan'!BP78</f>
        <v>0</v>
      </c>
      <c r="S69">
        <v>67</v>
      </c>
    </row>
    <row r="70" spans="2:19">
      <c r="B70">
        <f t="shared" si="4"/>
        <v>1900</v>
      </c>
      <c r="C70">
        <f>+'staffing plan'!BK79</f>
        <v>0</v>
      </c>
      <c r="D70" t="str">
        <f>'staffing plan'!A79</f>
        <v>OSEC-DILGB-LGOO7-1447-2017</v>
      </c>
      <c r="E70" t="str">
        <f>+'staffing plan'!B79</f>
        <v>Local Government Operations Officer VII</v>
      </c>
      <c r="F70">
        <f>+'staffing plan'!C79</f>
        <v>24</v>
      </c>
      <c r="G70" s="131">
        <f>+'staffing plan'!AH79</f>
        <v>1000872</v>
      </c>
      <c r="H70" s="131">
        <f>+'staffing plan'!AI79</f>
        <v>0</v>
      </c>
      <c r="I70" s="131">
        <f>+'staffing plan'!AJ79</f>
        <v>0</v>
      </c>
      <c r="J70" t="str">
        <f>+'staffing plan'!AW79</f>
        <v xml:space="preserve">Vacant Guerzon,  </v>
      </c>
      <c r="K70" t="e">
        <f>+'staffing plan'!#REF!</f>
        <v>#REF!</v>
      </c>
      <c r="L70" t="e">
        <f>+'staffing plan'!#REF!</f>
        <v>#REF!</v>
      </c>
      <c r="M70">
        <f>+'staffing plan'!AX79</f>
        <v>0</v>
      </c>
      <c r="N70">
        <f>+'staffing plan'!AY79</f>
        <v>0</v>
      </c>
      <c r="O70" s="145" t="e">
        <f>+'staffing plan'!#REF!</f>
        <v>#REF!</v>
      </c>
      <c r="P70" s="145" t="e">
        <f>+'staffing plan'!#REF!</f>
        <v>#REF!</v>
      </c>
      <c r="Q70" s="145" t="e">
        <f>+'staffing plan'!#REF!</f>
        <v>#REF!</v>
      </c>
      <c r="R70">
        <f>+'staffing plan'!BP79</f>
        <v>0</v>
      </c>
      <c r="S70">
        <v>68</v>
      </c>
    </row>
    <row r="71" spans="2:19" hidden="1">
      <c r="B71">
        <f t="shared" si="4"/>
        <v>2019</v>
      </c>
      <c r="C71">
        <f>+'staffing plan'!BK80</f>
        <v>43531</v>
      </c>
      <c r="D71" t="str">
        <f>'staffing plan'!A80</f>
        <v>OSEC-DILGB-LGOO7-1448-2017</v>
      </c>
      <c r="E71" t="str">
        <f>+'staffing plan'!B80</f>
        <v>Local Government Operations Officer VII</v>
      </c>
      <c r="F71">
        <f>+'staffing plan'!C80</f>
        <v>24</v>
      </c>
      <c r="G71" s="131">
        <f>+'staffing plan'!AH80</f>
        <v>1000872</v>
      </c>
      <c r="H71" s="131">
        <f>+'staffing plan'!AI80</f>
        <v>1000872</v>
      </c>
      <c r="I71" s="131">
        <f>+'staffing plan'!AJ80</f>
        <v>1</v>
      </c>
      <c r="J71" t="str">
        <f>+'staffing plan'!AW80</f>
        <v>ABULENCIA, Emmanuel Pinlac</v>
      </c>
      <c r="K71" t="e">
        <f>+'staffing plan'!#REF!</f>
        <v>#REF!</v>
      </c>
      <c r="L71" t="e">
        <f>+'staffing plan'!#REF!</f>
        <v>#REF!</v>
      </c>
      <c r="M71" t="str">
        <f>+'staffing plan'!AX80</f>
        <v>Apayao</v>
      </c>
      <c r="N71" t="str">
        <f>+'staffing plan'!AY80</f>
        <v>M</v>
      </c>
      <c r="O71" s="145" t="e">
        <f>+'staffing plan'!#REF!</f>
        <v>#REF!</v>
      </c>
      <c r="P71" s="145" t="e">
        <f>+'staffing plan'!#REF!</f>
        <v>#REF!</v>
      </c>
      <c r="Q71" s="145" t="e">
        <f>+'staffing plan'!#REF!</f>
        <v>#REF!</v>
      </c>
      <c r="R71">
        <f>+'staffing plan'!BP80</f>
        <v>0</v>
      </c>
      <c r="S71">
        <v>69</v>
      </c>
    </row>
    <row r="72" spans="2:19" hidden="1">
      <c r="B72">
        <f t="shared" si="4"/>
        <v>1900</v>
      </c>
      <c r="C72">
        <f>+'staffing plan'!BK90</f>
        <v>0</v>
      </c>
      <c r="D72" t="str">
        <f>'staffing plan'!A90</f>
        <v>OSEC-DILGB-LGOO6-9-2013</v>
      </c>
      <c r="E72" t="str">
        <f>+'staffing plan'!B90</f>
        <v>Local Government Operations Officer VI</v>
      </c>
      <c r="F72">
        <f>+'staffing plan'!C90</f>
        <v>22</v>
      </c>
      <c r="G72" s="131">
        <f>+'staffing plan'!AH90</f>
        <v>783828</v>
      </c>
      <c r="H72" s="131">
        <f>+'staffing plan'!AI90</f>
        <v>0</v>
      </c>
      <c r="I72" s="131">
        <f>+'staffing plan'!AJ90</f>
        <v>0</v>
      </c>
      <c r="J72" t="str">
        <f>+'staffing plan'!AW90</f>
        <v xml:space="preserve">Vacant ALIÑO,  </v>
      </c>
      <c r="K72" t="e">
        <f>+'staffing plan'!#REF!</f>
        <v>#REF!</v>
      </c>
      <c r="L72" t="e">
        <f>+'staffing plan'!#REF!</f>
        <v>#REF!</v>
      </c>
      <c r="M72">
        <f>+'staffing plan'!AX90</f>
        <v>0</v>
      </c>
      <c r="N72">
        <f>+'staffing plan'!AY90</f>
        <v>0</v>
      </c>
      <c r="O72" s="145" t="e">
        <f>+'staffing plan'!#REF!</f>
        <v>#REF!</v>
      </c>
      <c r="P72" s="145" t="e">
        <f>+'staffing plan'!#REF!</f>
        <v>#REF!</v>
      </c>
      <c r="Q72" s="145" t="e">
        <f>+'staffing plan'!#REF!</f>
        <v>#REF!</v>
      </c>
      <c r="R72">
        <f>+'staffing plan'!BP90</f>
        <v>0</v>
      </c>
      <c r="S72">
        <v>70</v>
      </c>
    </row>
    <row r="73" spans="2:19" hidden="1">
      <c r="B73">
        <f t="shared" si="4"/>
        <v>1900</v>
      </c>
      <c r="C73">
        <f>+'staffing plan'!BK91</f>
        <v>0</v>
      </c>
      <c r="D73" t="str">
        <f>'staffing plan'!A91</f>
        <v>OSEC-DILGB-LGOO6-10-2010</v>
      </c>
      <c r="E73" t="str">
        <f>+'staffing plan'!B91</f>
        <v>Local Government Operations Officer VI</v>
      </c>
      <c r="F73">
        <f>+'staffing plan'!C91</f>
        <v>22</v>
      </c>
      <c r="G73" s="131">
        <f>+'staffing plan'!AH91</f>
        <v>783828</v>
      </c>
      <c r="H73" s="131">
        <f>+'staffing plan'!AI91</f>
        <v>0</v>
      </c>
      <c r="I73" s="131">
        <f>+'staffing plan'!AJ91</f>
        <v>0</v>
      </c>
      <c r="J73" t="str">
        <f>+'staffing plan'!AW91</f>
        <v xml:space="preserve">Vacant ABULENCIA,  </v>
      </c>
      <c r="K73" t="e">
        <f>+'staffing plan'!#REF!</f>
        <v>#REF!</v>
      </c>
      <c r="L73" t="e">
        <f>+'staffing plan'!#REF!</f>
        <v>#REF!</v>
      </c>
      <c r="M73">
        <f>+'staffing plan'!AX91</f>
        <v>0</v>
      </c>
      <c r="N73">
        <f>+'staffing plan'!AY91</f>
        <v>0</v>
      </c>
      <c r="O73" s="145" t="e">
        <f>+'staffing plan'!#REF!</f>
        <v>#REF!</v>
      </c>
      <c r="P73" s="145" t="e">
        <f>+'staffing plan'!#REF!</f>
        <v>#REF!</v>
      </c>
      <c r="Q73" s="145" t="e">
        <f>+'staffing plan'!#REF!</f>
        <v>#REF!</v>
      </c>
      <c r="R73">
        <f>+'staffing plan'!BP91</f>
        <v>0</v>
      </c>
      <c r="S73">
        <v>71</v>
      </c>
    </row>
    <row r="74" spans="2:19">
      <c r="B74">
        <f t="shared" si="4"/>
        <v>2014</v>
      </c>
      <c r="C74">
        <f>+'staffing plan'!BK94</f>
        <v>41711</v>
      </c>
      <c r="D74" t="str">
        <f>'staffing plan'!A94</f>
        <v>OSEC-DILGB-LGOO6-11-2010</v>
      </c>
      <c r="E74" t="str">
        <f>+'staffing plan'!B94</f>
        <v>Local Government Operations Officer VI</v>
      </c>
      <c r="F74">
        <f>+'staffing plan'!C94</f>
        <v>22</v>
      </c>
      <c r="G74" s="131">
        <f>+'staffing plan'!AH94</f>
        <v>783828</v>
      </c>
      <c r="H74" s="131">
        <f>+'staffing plan'!AI94</f>
        <v>796620</v>
      </c>
      <c r="I74" s="131">
        <f>+'staffing plan'!AJ94</f>
        <v>2</v>
      </c>
      <c r="J74" t="str">
        <f>+'staffing plan'!AW94</f>
        <v>CAMACHO, Anabelle  Laron</v>
      </c>
      <c r="K74" t="e">
        <f>+'staffing plan'!#REF!</f>
        <v>#REF!</v>
      </c>
      <c r="L74" t="e">
        <f>+'staffing plan'!#REF!</f>
        <v>#REF!</v>
      </c>
      <c r="M74" t="str">
        <f>+'staffing plan'!AX94</f>
        <v>Baguio City</v>
      </c>
      <c r="N74" t="str">
        <f>+'staffing plan'!AY94</f>
        <v>F</v>
      </c>
      <c r="O74" s="145" t="e">
        <f>+'staffing plan'!#REF!</f>
        <v>#REF!</v>
      </c>
      <c r="P74" s="145" t="e">
        <f>+'staffing plan'!#REF!</f>
        <v>#REF!</v>
      </c>
      <c r="Q74" s="145" t="e">
        <f>+'staffing plan'!#REF!</f>
        <v>#REF!</v>
      </c>
      <c r="R74">
        <f>+'staffing plan'!BP94</f>
        <v>0</v>
      </c>
      <c r="S74">
        <v>72</v>
      </c>
    </row>
    <row r="75" spans="2:19" hidden="1">
      <c r="B75">
        <f t="shared" si="4"/>
        <v>1900</v>
      </c>
      <c r="C75">
        <f>+'staffing plan'!BK97</f>
        <v>0</v>
      </c>
      <c r="D75" t="str">
        <f>'staffing plan'!A97</f>
        <v>OSEC-DILGB-LGOO6-13-2010</v>
      </c>
      <c r="E75" t="str">
        <f>+'staffing plan'!B97</f>
        <v>Local Government Operations Officer VI</v>
      </c>
      <c r="F75">
        <f>+'staffing plan'!C97</f>
        <v>22</v>
      </c>
      <c r="G75" s="131">
        <f>+'staffing plan'!AH97</f>
        <v>783828</v>
      </c>
      <c r="H75" s="131">
        <f>+'staffing plan'!AI97</f>
        <v>0</v>
      </c>
      <c r="I75" s="131">
        <f>+'staffing plan'!AJ97</f>
        <v>0</v>
      </c>
      <c r="J75" t="str">
        <f>+'staffing plan'!AW97</f>
        <v xml:space="preserve">Vacant APPOY,  </v>
      </c>
      <c r="K75" t="e">
        <f>+'staffing plan'!#REF!</f>
        <v>#REF!</v>
      </c>
      <c r="L75" t="e">
        <f>+'staffing plan'!#REF!</f>
        <v>#REF!</v>
      </c>
      <c r="M75">
        <f>+'staffing plan'!AX97</f>
        <v>0</v>
      </c>
      <c r="N75">
        <f>+'staffing plan'!AY97</f>
        <v>0</v>
      </c>
      <c r="O75" s="145" t="e">
        <f>+'staffing plan'!#REF!</f>
        <v>#REF!</v>
      </c>
      <c r="P75" s="145" t="e">
        <f>+'staffing plan'!#REF!</f>
        <v>#REF!</v>
      </c>
      <c r="Q75" s="145" t="e">
        <f>+'staffing plan'!#REF!</f>
        <v>#REF!</v>
      </c>
      <c r="R75">
        <f>+'staffing plan'!BP97</f>
        <v>0</v>
      </c>
      <c r="S75">
        <v>73</v>
      </c>
    </row>
    <row r="76" spans="2:19" hidden="1">
      <c r="B76">
        <f t="shared" si="4"/>
        <v>2015</v>
      </c>
      <c r="C76">
        <f>+'staffing plan'!BK159</f>
        <v>42354</v>
      </c>
      <c r="D76" t="str">
        <f>'staffing plan'!A159</f>
        <v>OSEC-DILGB-LGOO6-236-2010</v>
      </c>
      <c r="E76" t="str">
        <f>+'staffing plan'!B159</f>
        <v>Local Government Operations Officer VI</v>
      </c>
      <c r="F76">
        <f>+'staffing plan'!C159</f>
        <v>22</v>
      </c>
      <c r="G76" s="131">
        <f>+'staffing plan'!AH159</f>
        <v>783828</v>
      </c>
      <c r="H76" s="131">
        <f>+'staffing plan'!AI159</f>
        <v>796620</v>
      </c>
      <c r="I76" s="131">
        <f>+'staffing plan'!AJ159</f>
        <v>2</v>
      </c>
      <c r="J76" t="str">
        <f>+'staffing plan'!AW159</f>
        <v>ACERET, Wilnelia Martinez</v>
      </c>
      <c r="K76" t="e">
        <f>+'staffing plan'!#REF!</f>
        <v>#REF!</v>
      </c>
      <c r="L76" t="e">
        <f>+'staffing plan'!#REF!</f>
        <v>#REF!</v>
      </c>
      <c r="M76" t="str">
        <f>+'staffing plan'!AX159</f>
        <v>Apayao</v>
      </c>
      <c r="N76" t="str">
        <f>+'staffing plan'!AY159</f>
        <v>F</v>
      </c>
      <c r="O76" s="145" t="e">
        <f>+'staffing plan'!#REF!</f>
        <v>#REF!</v>
      </c>
      <c r="P76" s="145" t="e">
        <f>+'staffing plan'!#REF!</f>
        <v>#REF!</v>
      </c>
      <c r="Q76" s="145" t="e">
        <f>+'staffing plan'!#REF!</f>
        <v>#REF!</v>
      </c>
      <c r="R76">
        <f>+'staffing plan'!BP159</f>
        <v>0</v>
      </c>
      <c r="S76">
        <v>74</v>
      </c>
    </row>
    <row r="77" spans="2:19" hidden="1">
      <c r="B77">
        <f t="shared" si="4"/>
        <v>2018</v>
      </c>
      <c r="C77">
        <f>+'staffing plan'!BK160</f>
        <v>43129</v>
      </c>
      <c r="D77" t="str">
        <f>'staffing plan'!A160</f>
        <v>OSEC-DILGB-LGOO6-237-2010</v>
      </c>
      <c r="E77" t="str">
        <f>+'staffing plan'!B160</f>
        <v>Local Government Operations Officer VI</v>
      </c>
      <c r="F77">
        <f>+'staffing plan'!C160</f>
        <v>22</v>
      </c>
      <c r="G77" s="131">
        <f>+'staffing plan'!AH160</f>
        <v>783828</v>
      </c>
      <c r="H77" s="131">
        <f>+'staffing plan'!AI160</f>
        <v>783828</v>
      </c>
      <c r="I77" s="131">
        <f>+'staffing plan'!AJ160</f>
        <v>1</v>
      </c>
      <c r="J77" t="str">
        <f>+'staffing plan'!AW160</f>
        <v>BALLUG, Rene Vincent Ilacad</v>
      </c>
      <c r="K77" t="e">
        <f>+'staffing plan'!#REF!</f>
        <v>#REF!</v>
      </c>
      <c r="L77" t="e">
        <f>+'staffing plan'!#REF!</f>
        <v>#REF!</v>
      </c>
      <c r="M77" t="str">
        <f>+'staffing plan'!AX160</f>
        <v>Benguet</v>
      </c>
      <c r="N77" t="str">
        <f>+'staffing plan'!AY160</f>
        <v>M</v>
      </c>
      <c r="O77" s="145" t="e">
        <f>+'staffing plan'!#REF!</f>
        <v>#REF!</v>
      </c>
      <c r="P77" s="145" t="e">
        <f>+'staffing plan'!#REF!</f>
        <v>#REF!</v>
      </c>
      <c r="Q77" s="145" t="e">
        <f>+'staffing plan'!#REF!</f>
        <v>#REF!</v>
      </c>
      <c r="R77" t="str">
        <f>+'staffing plan'!BP160</f>
        <v>Benguet Transfer to MLGOO 1/3/18</v>
      </c>
      <c r="S77">
        <v>75</v>
      </c>
    </row>
    <row r="78" spans="2:19" hidden="1">
      <c r="B78">
        <f t="shared" si="4"/>
        <v>2019</v>
      </c>
      <c r="C78">
        <f>+'staffing plan'!BK161</f>
        <v>43497</v>
      </c>
      <c r="D78" t="str">
        <f>'staffing plan'!A161</f>
        <v>OSEC-DILGB-LGOO6-238-2010</v>
      </c>
      <c r="E78" t="str">
        <f>+'staffing plan'!B161</f>
        <v>Local Government Operations Officer VI</v>
      </c>
      <c r="F78">
        <f>+'staffing plan'!C161</f>
        <v>22</v>
      </c>
      <c r="G78" s="131">
        <f>+'staffing plan'!AH161</f>
        <v>783828</v>
      </c>
      <c r="H78" s="131">
        <f>+'staffing plan'!AI161</f>
        <v>783828</v>
      </c>
      <c r="I78" s="131">
        <f>+'staffing plan'!AJ161</f>
        <v>1</v>
      </c>
      <c r="J78" t="str">
        <f>+'staffing plan'!AW161</f>
        <v>GRIBA, Mary Ann Javier</v>
      </c>
      <c r="K78" t="e">
        <f>+'staffing plan'!#REF!</f>
        <v>#REF!</v>
      </c>
      <c r="L78" t="e">
        <f>+'staffing plan'!#REF!</f>
        <v>#REF!</v>
      </c>
      <c r="M78" t="str">
        <f>+'staffing plan'!AX161</f>
        <v>Mt. Province</v>
      </c>
      <c r="N78" t="str">
        <f>+'staffing plan'!AY161</f>
        <v>F</v>
      </c>
      <c r="O78" s="145" t="e">
        <f>+'staffing plan'!#REF!</f>
        <v>#REF!</v>
      </c>
      <c r="P78" s="145" t="e">
        <f>+'staffing plan'!#REF!</f>
        <v>#REF!</v>
      </c>
      <c r="Q78" s="145" t="e">
        <f>+'staffing plan'!#REF!</f>
        <v>#REF!</v>
      </c>
      <c r="R78">
        <f>+'staffing plan'!BP161</f>
        <v>0</v>
      </c>
      <c r="S78">
        <v>76</v>
      </c>
    </row>
    <row r="79" spans="2:19" hidden="1">
      <c r="B79">
        <f t="shared" si="4"/>
        <v>2019</v>
      </c>
      <c r="C79">
        <f>+'staffing plan'!BK162</f>
        <v>43518</v>
      </c>
      <c r="D79" t="str">
        <f>'staffing plan'!A162</f>
        <v>OSEC-DILGB-LGOO6-240-2010</v>
      </c>
      <c r="E79" t="str">
        <f>+'staffing plan'!B162</f>
        <v>Local Government Operations Officer VI</v>
      </c>
      <c r="F79">
        <f>+'staffing plan'!C162</f>
        <v>22</v>
      </c>
      <c r="G79" s="131">
        <f>+'staffing plan'!AH162</f>
        <v>783828</v>
      </c>
      <c r="H79" s="131">
        <f>+'staffing plan'!AI162</f>
        <v>783828</v>
      </c>
      <c r="I79" s="131">
        <f>+'staffing plan'!AJ162</f>
        <v>1</v>
      </c>
      <c r="J79" t="str">
        <f>+'staffing plan'!AW162</f>
        <v>CHUNANON, Kliene Pasaraba</v>
      </c>
      <c r="K79" t="e">
        <f>+'staffing plan'!#REF!</f>
        <v>#REF!</v>
      </c>
      <c r="L79" t="e">
        <f>+'staffing plan'!#REF!</f>
        <v>#REF!</v>
      </c>
      <c r="M79" t="str">
        <f>+'staffing plan'!AX162</f>
        <v>Kalinga</v>
      </c>
      <c r="N79" t="str">
        <f>+'staffing plan'!AY162</f>
        <v>M</v>
      </c>
      <c r="O79" s="145" t="e">
        <f>+'staffing plan'!#REF!</f>
        <v>#REF!</v>
      </c>
      <c r="P79" s="145" t="e">
        <f>+'staffing plan'!#REF!</f>
        <v>#REF!</v>
      </c>
      <c r="Q79" s="145" t="e">
        <f>+'staffing plan'!#REF!</f>
        <v>#REF!</v>
      </c>
      <c r="R79">
        <f>+'staffing plan'!BP162</f>
        <v>0</v>
      </c>
      <c r="S79">
        <v>77</v>
      </c>
    </row>
    <row r="80" spans="2:19" hidden="1">
      <c r="B80">
        <f t="shared" si="4"/>
        <v>2018</v>
      </c>
      <c r="C80">
        <f>+'staffing plan'!BK163</f>
        <v>43132</v>
      </c>
      <c r="D80" t="str">
        <f>'staffing plan'!A163</f>
        <v>OSEC-DILGB-LGOO6-1268-2017</v>
      </c>
      <c r="E80" t="str">
        <f>+'staffing plan'!B163</f>
        <v>Local Government Operations Officer VI</v>
      </c>
      <c r="F80">
        <f>+'staffing plan'!C163</f>
        <v>22</v>
      </c>
      <c r="G80" s="131">
        <f>+'staffing plan'!AH163</f>
        <v>783828</v>
      </c>
      <c r="H80" s="131">
        <f>+'staffing plan'!AI163</f>
        <v>783828</v>
      </c>
      <c r="I80" s="131">
        <f>+'staffing plan'!AJ163</f>
        <v>1</v>
      </c>
      <c r="J80" t="str">
        <f>+'staffing plan'!AW163</f>
        <v>MALIG, Julie Capiato</v>
      </c>
      <c r="K80" t="e">
        <f>+'staffing plan'!#REF!</f>
        <v>#REF!</v>
      </c>
      <c r="L80" t="e">
        <f>+'staffing plan'!#REF!</f>
        <v>#REF!</v>
      </c>
      <c r="M80" t="str">
        <f>+'staffing plan'!AX163</f>
        <v>Benguet</v>
      </c>
      <c r="N80" t="str">
        <f>+'staffing plan'!AY163</f>
        <v>F</v>
      </c>
      <c r="O80" s="145" t="e">
        <f>+'staffing plan'!#REF!</f>
        <v>#REF!</v>
      </c>
      <c r="P80" s="145" t="e">
        <f>+'staffing plan'!#REF!</f>
        <v>#REF!</v>
      </c>
      <c r="Q80" s="145" t="e">
        <f>+'staffing plan'!#REF!</f>
        <v>#REF!</v>
      </c>
      <c r="R80">
        <f>+'staffing plan'!BP163</f>
        <v>0</v>
      </c>
      <c r="S80">
        <v>78</v>
      </c>
    </row>
    <row r="81" spans="2:19" hidden="1">
      <c r="B81">
        <f t="shared" si="4"/>
        <v>2011</v>
      </c>
      <c r="C81">
        <f>+'staffing plan'!BK164</f>
        <v>40896</v>
      </c>
      <c r="D81" t="str">
        <f>'staffing plan'!A164</f>
        <v>OSEC-DILGB-LGOO5-101-2010</v>
      </c>
      <c r="E81" t="str">
        <f>+'staffing plan'!B164</f>
        <v>Local Government Operations Officer V</v>
      </c>
      <c r="F81">
        <f>+'staffing plan'!C164</f>
        <v>20</v>
      </c>
      <c r="G81" s="131">
        <f>+'staffing plan'!AH164</f>
        <v>613860</v>
      </c>
      <c r="H81" s="131">
        <f>+'staffing plan'!AI164</f>
        <v>634056</v>
      </c>
      <c r="I81" s="131">
        <f>+'staffing plan'!AJ164</f>
        <v>3</v>
      </c>
      <c r="J81" t="str">
        <f>+'staffing plan'!AW164</f>
        <v>MABIASAN, Domingo Gaw-i</v>
      </c>
      <c r="K81" t="e">
        <f>+'staffing plan'!#REF!</f>
        <v>#REF!</v>
      </c>
      <c r="L81" t="e">
        <f>+'staffing plan'!#REF!</f>
        <v>#REF!</v>
      </c>
      <c r="M81" t="str">
        <f>+'staffing plan'!AX164</f>
        <v>Mt. Province</v>
      </c>
      <c r="N81" t="str">
        <f>+'staffing plan'!AY164</f>
        <v>M</v>
      </c>
      <c r="O81" s="145" t="e">
        <f>+'staffing plan'!#REF!</f>
        <v>#REF!</v>
      </c>
      <c r="P81" s="145" t="e">
        <f>+'staffing plan'!#REF!</f>
        <v>#REF!</v>
      </c>
      <c r="Q81" s="145" t="e">
        <f>+'staffing plan'!#REF!</f>
        <v>#REF!</v>
      </c>
      <c r="R81">
        <f>+'staffing plan'!BP164</f>
        <v>0</v>
      </c>
      <c r="S81">
        <v>79</v>
      </c>
    </row>
    <row r="82" spans="2:19" hidden="1">
      <c r="B82">
        <f t="shared" si="4"/>
        <v>2019</v>
      </c>
      <c r="C82">
        <f>+'staffing plan'!BK155</f>
        <v>43518</v>
      </c>
      <c r="D82" t="str">
        <f>'staffing plan'!A155</f>
        <v>OSEC-DILGB-LGOO6-71-2017</v>
      </c>
      <c r="E82" t="str">
        <f>+'staffing plan'!B155</f>
        <v>Local Government Operations Officer VI</v>
      </c>
      <c r="F82">
        <f>+'staffing plan'!C155</f>
        <v>22</v>
      </c>
      <c r="G82" s="131">
        <f>+'staffing plan'!AH155</f>
        <v>783828</v>
      </c>
      <c r="H82" s="131">
        <f>+'staffing plan'!AI155</f>
        <v>783828</v>
      </c>
      <c r="I82" s="131">
        <f>+'staffing plan'!AJ155</f>
        <v>1</v>
      </c>
      <c r="J82" t="str">
        <f>+'staffing plan'!AW155</f>
        <v>GANO, Carol Guidangen</v>
      </c>
      <c r="K82" t="e">
        <f>+'staffing plan'!#REF!</f>
        <v>#REF!</v>
      </c>
      <c r="L82" t="e">
        <f>+'staffing plan'!#REF!</f>
        <v>#REF!</v>
      </c>
      <c r="M82" t="str">
        <f>+'staffing plan'!AX155</f>
        <v>Abra</v>
      </c>
      <c r="N82" t="str">
        <f>+'staffing plan'!AY155</f>
        <v>F</v>
      </c>
      <c r="O82" s="145" t="e">
        <f>+'staffing plan'!#REF!</f>
        <v>#REF!</v>
      </c>
      <c r="P82" s="145" t="e">
        <f>+'staffing plan'!#REF!</f>
        <v>#REF!</v>
      </c>
      <c r="Q82" s="145" t="e">
        <f>+'staffing plan'!#REF!</f>
        <v>#REF!</v>
      </c>
      <c r="R82">
        <f>+'staffing plan'!BP155</f>
        <v>0</v>
      </c>
      <c r="S82">
        <v>80</v>
      </c>
    </row>
    <row r="83" spans="2:19" hidden="1">
      <c r="B83">
        <f t="shared" si="4"/>
        <v>2017</v>
      </c>
      <c r="C83">
        <f>+'staffing plan'!BK154</f>
        <v>43070</v>
      </c>
      <c r="D83" t="str">
        <f>'staffing plan'!A154</f>
        <v>OSEC-DILGB-LGOO6-70-2017</v>
      </c>
      <c r="E83" t="str">
        <f>+'staffing plan'!B154</f>
        <v>Local Government Operations Officer VI</v>
      </c>
      <c r="F83">
        <f>+'staffing plan'!C154</f>
        <v>22</v>
      </c>
      <c r="G83" s="131">
        <f>+'staffing plan'!AH154</f>
        <v>783828</v>
      </c>
      <c r="H83" s="131">
        <f>+'staffing plan'!AI154</f>
        <v>783828</v>
      </c>
      <c r="I83" s="131">
        <f>+'staffing plan'!AJ154</f>
        <v>1</v>
      </c>
      <c r="J83" t="str">
        <f>+'staffing plan'!AW154</f>
        <v>BALDERAMA, Antonio Badere</v>
      </c>
      <c r="K83" t="e">
        <f>+'staffing plan'!#REF!</f>
        <v>#REF!</v>
      </c>
      <c r="L83" t="e">
        <f>+'staffing plan'!#REF!</f>
        <v>#REF!</v>
      </c>
      <c r="M83" t="str">
        <f>+'staffing plan'!AX154</f>
        <v>Abra</v>
      </c>
      <c r="N83" t="str">
        <f>+'staffing plan'!AY154</f>
        <v>M</v>
      </c>
      <c r="O83" s="145" t="e">
        <f>+'staffing plan'!#REF!</f>
        <v>#REF!</v>
      </c>
      <c r="P83" s="145" t="e">
        <f>+'staffing plan'!#REF!</f>
        <v>#REF!</v>
      </c>
      <c r="Q83" s="145" t="e">
        <f>+'staffing plan'!#REF!</f>
        <v>#REF!</v>
      </c>
      <c r="R83">
        <f>+'staffing plan'!BP154</f>
        <v>0</v>
      </c>
      <c r="S83">
        <v>81</v>
      </c>
    </row>
    <row r="84" spans="2:19" hidden="1">
      <c r="B84">
        <f t="shared" si="4"/>
        <v>2017</v>
      </c>
      <c r="C84">
        <f>+'staffing plan'!BK104</f>
        <v>43070</v>
      </c>
      <c r="D84" t="str">
        <f>'staffing plan'!A104</f>
        <v>OSEC-DILGB-LGOO6-20-2017</v>
      </c>
      <c r="E84" t="str">
        <f>+'staffing plan'!B104</f>
        <v>Local Government Operations Officer VI</v>
      </c>
      <c r="F84">
        <f>+'staffing plan'!C104</f>
        <v>22</v>
      </c>
      <c r="G84" s="131">
        <f>+'staffing plan'!AH104</f>
        <v>783828</v>
      </c>
      <c r="H84" s="131">
        <f>+'staffing plan'!AI104</f>
        <v>783828</v>
      </c>
      <c r="I84" s="131">
        <f>+'staffing plan'!AJ104</f>
        <v>1</v>
      </c>
      <c r="J84" t="str">
        <f>+'staffing plan'!AW104</f>
        <v>TON, Janice Cristine Barreras</v>
      </c>
      <c r="K84" t="e">
        <f>+'staffing plan'!#REF!</f>
        <v>#REF!</v>
      </c>
      <c r="L84" t="e">
        <f>+'staffing plan'!#REF!</f>
        <v>#REF!</v>
      </c>
      <c r="M84" t="str">
        <f>+'staffing plan'!AX104</f>
        <v>Abra</v>
      </c>
      <c r="N84" t="str">
        <f>+'staffing plan'!AY104</f>
        <v>F</v>
      </c>
      <c r="O84" s="145" t="e">
        <f>+'staffing plan'!#REF!</f>
        <v>#REF!</v>
      </c>
      <c r="P84" s="145" t="e">
        <f>+'staffing plan'!#REF!</f>
        <v>#REF!</v>
      </c>
      <c r="Q84" s="145" t="e">
        <f>+'staffing plan'!#REF!</f>
        <v>#REF!</v>
      </c>
      <c r="R84">
        <f>+'staffing plan'!BP104</f>
        <v>0</v>
      </c>
      <c r="S84">
        <v>82</v>
      </c>
    </row>
    <row r="85" spans="2:19" hidden="1">
      <c r="B85">
        <f t="shared" si="4"/>
        <v>2017</v>
      </c>
      <c r="C85">
        <f>+'staffing plan'!BK81</f>
        <v>43070</v>
      </c>
      <c r="D85" t="str">
        <f>'staffing plan'!A81</f>
        <v>OSEC-DILGB-LGOO6-1-2017</v>
      </c>
      <c r="E85" t="str">
        <f>+'staffing plan'!B81</f>
        <v>Local Government Operations Officer VI</v>
      </c>
      <c r="F85">
        <f>+'staffing plan'!C81</f>
        <v>22</v>
      </c>
      <c r="G85" s="131">
        <f>+'staffing plan'!AH81</f>
        <v>783828</v>
      </c>
      <c r="H85" s="131">
        <f>+'staffing plan'!AI81</f>
        <v>783828</v>
      </c>
      <c r="I85" s="131">
        <f>+'staffing plan'!AJ81</f>
        <v>1</v>
      </c>
      <c r="J85" t="str">
        <f>+'staffing plan'!AW81</f>
        <v>VILLAMOR, Juvenal Hufano</v>
      </c>
      <c r="K85" t="e">
        <f>+'staffing plan'!#REF!</f>
        <v>#REF!</v>
      </c>
      <c r="L85" t="e">
        <f>+'staffing plan'!#REF!</f>
        <v>#REF!</v>
      </c>
      <c r="M85" t="str">
        <f>+'staffing plan'!AX81</f>
        <v>Abra</v>
      </c>
      <c r="N85" t="str">
        <f>+'staffing plan'!AY81</f>
        <v>M</v>
      </c>
      <c r="O85" s="145" t="e">
        <f>+'staffing plan'!#REF!</f>
        <v>#REF!</v>
      </c>
      <c r="P85" s="145" t="e">
        <f>+'staffing plan'!#REF!</f>
        <v>#REF!</v>
      </c>
      <c r="Q85" s="145" t="e">
        <f>+'staffing plan'!#REF!</f>
        <v>#REF!</v>
      </c>
      <c r="R85">
        <f>+'staffing plan'!BP81</f>
        <v>0</v>
      </c>
      <c r="S85">
        <v>83</v>
      </c>
    </row>
    <row r="86" spans="2:19" hidden="1">
      <c r="B86">
        <f t="shared" si="4"/>
        <v>1900</v>
      </c>
      <c r="C86">
        <f>+'staffing plan'!BK165</f>
        <v>0</v>
      </c>
      <c r="D86" t="str">
        <f>'staffing plan'!A165</f>
        <v>OSEC-DILGB-LGOO5-877-1998</v>
      </c>
      <c r="E86" t="str">
        <f>+'staffing plan'!B165</f>
        <v>Local Government Operations Officer V</v>
      </c>
      <c r="F86">
        <f>+'staffing plan'!C165</f>
        <v>20</v>
      </c>
      <c r="G86" s="131">
        <f>+'staffing plan'!AH165</f>
        <v>613860</v>
      </c>
      <c r="H86" s="131">
        <f>+'staffing plan'!AI165</f>
        <v>0</v>
      </c>
      <c r="I86" s="131">
        <f>+'staffing plan'!AJ165</f>
        <v>0</v>
      </c>
      <c r="J86" t="str">
        <f>+'staffing plan'!AW165</f>
        <v xml:space="preserve">Vacant gano,  </v>
      </c>
      <c r="K86" t="e">
        <f>+'staffing plan'!#REF!</f>
        <v>#REF!</v>
      </c>
      <c r="L86" t="e">
        <f>+'staffing plan'!#REF!</f>
        <v>#REF!</v>
      </c>
      <c r="M86">
        <f>+'staffing plan'!AX165</f>
        <v>0</v>
      </c>
      <c r="N86">
        <f>+'staffing plan'!AY165</f>
        <v>0</v>
      </c>
      <c r="O86" s="145" t="e">
        <f>+'staffing plan'!#REF!</f>
        <v>#REF!</v>
      </c>
      <c r="P86" s="145" t="e">
        <f>+'staffing plan'!#REF!</f>
        <v>#REF!</v>
      </c>
      <c r="Q86" s="145" t="e">
        <f>+'staffing plan'!#REF!</f>
        <v>#REF!</v>
      </c>
      <c r="R86">
        <f>+'staffing plan'!BP165</f>
        <v>0</v>
      </c>
      <c r="S86">
        <v>84</v>
      </c>
    </row>
    <row r="87" spans="2:19" hidden="1">
      <c r="B87">
        <f t="shared" si="4"/>
        <v>2017</v>
      </c>
      <c r="C87">
        <f>+'staffing plan'!BK82</f>
        <v>43070</v>
      </c>
      <c r="D87" t="str">
        <f>'staffing plan'!A82</f>
        <v>OSEC-DILGB-LGOO6-2-2017</v>
      </c>
      <c r="E87" t="str">
        <f>+'staffing plan'!B82</f>
        <v>Local Government Operations Officer VI</v>
      </c>
      <c r="F87">
        <f>+'staffing plan'!C82</f>
        <v>22</v>
      </c>
      <c r="G87" s="131">
        <f>+'staffing plan'!AH82</f>
        <v>783828</v>
      </c>
      <c r="H87" s="131">
        <f>+'staffing plan'!AI82</f>
        <v>783828</v>
      </c>
      <c r="I87" s="131">
        <f>+'staffing plan'!AJ82</f>
        <v>1</v>
      </c>
      <c r="J87" t="str">
        <f>+'staffing plan'!AW82</f>
        <v>TURQUEZA, Emmanuel Astudillo</v>
      </c>
      <c r="K87" t="e">
        <f>+'staffing plan'!#REF!</f>
        <v>#REF!</v>
      </c>
      <c r="L87" t="e">
        <f>+'staffing plan'!#REF!</f>
        <v>#REF!</v>
      </c>
      <c r="M87" t="str">
        <f>+'staffing plan'!AX82</f>
        <v>Abra</v>
      </c>
      <c r="N87" t="str">
        <f>+'staffing plan'!AY82</f>
        <v>M</v>
      </c>
      <c r="O87" s="145" t="e">
        <f>+'staffing plan'!#REF!</f>
        <v>#REF!</v>
      </c>
      <c r="P87" s="145" t="e">
        <f>+'staffing plan'!#REF!</f>
        <v>#REF!</v>
      </c>
      <c r="Q87" s="145" t="e">
        <f>+'staffing plan'!#REF!</f>
        <v>#REF!</v>
      </c>
      <c r="R87">
        <f>+'staffing plan'!BP82</f>
        <v>0</v>
      </c>
      <c r="S87">
        <v>85</v>
      </c>
    </row>
    <row r="88" spans="2:19" hidden="1">
      <c r="B88">
        <f t="shared" ref="B88:B151" si="5">(YEAR(C88))</f>
        <v>2017</v>
      </c>
      <c r="C88">
        <f>+'staffing plan'!BK109</f>
        <v>43070</v>
      </c>
      <c r="D88" t="str">
        <f>'staffing plan'!A109</f>
        <v>OSEC-DILGB-LGOO6-25-2017</v>
      </c>
      <c r="E88" t="str">
        <f>+'staffing plan'!B109</f>
        <v>Local Government Operations Officer VI</v>
      </c>
      <c r="F88">
        <f>+'staffing plan'!C109</f>
        <v>22</v>
      </c>
      <c r="G88" s="131">
        <f>+'staffing plan'!AH109</f>
        <v>783828</v>
      </c>
      <c r="H88" s="131">
        <f>+'staffing plan'!AI109</f>
        <v>783828</v>
      </c>
      <c r="I88" s="131">
        <f>+'staffing plan'!AJ109</f>
        <v>1</v>
      </c>
      <c r="J88" t="str">
        <f>+'staffing plan'!AW109</f>
        <v>MICU, Mary Beth Agustin</v>
      </c>
      <c r="K88" t="e">
        <f>+'staffing plan'!#REF!</f>
        <v>#REF!</v>
      </c>
      <c r="L88" t="e">
        <f>+'staffing plan'!#REF!</f>
        <v>#REF!</v>
      </c>
      <c r="M88" t="str">
        <f>+'staffing plan'!AX109</f>
        <v>Apayao</v>
      </c>
      <c r="N88" t="str">
        <f>+'staffing plan'!AY109</f>
        <v>F</v>
      </c>
      <c r="O88" s="145" t="e">
        <f>+'staffing plan'!#REF!</f>
        <v>#REF!</v>
      </c>
      <c r="P88" s="145" t="e">
        <f>+'staffing plan'!#REF!</f>
        <v>#REF!</v>
      </c>
      <c r="Q88" s="145" t="e">
        <f>+'staffing plan'!#REF!</f>
        <v>#REF!</v>
      </c>
      <c r="R88">
        <f>+'staffing plan'!BP109</f>
        <v>0</v>
      </c>
      <c r="S88">
        <v>86</v>
      </c>
    </row>
    <row r="89" spans="2:19" hidden="1">
      <c r="B89">
        <f t="shared" si="5"/>
        <v>2017</v>
      </c>
      <c r="C89">
        <f>+'staffing plan'!BK110</f>
        <v>43089</v>
      </c>
      <c r="D89" t="str">
        <f>'staffing plan'!A110</f>
        <v>OSEC-DILGB-LGOO6-26-2017</v>
      </c>
      <c r="E89" t="str">
        <f>+'staffing plan'!B110</f>
        <v>Local Government Operations Officer VI</v>
      </c>
      <c r="F89">
        <f>+'staffing plan'!C110</f>
        <v>22</v>
      </c>
      <c r="G89" s="131">
        <f>+'staffing plan'!AH110</f>
        <v>783828</v>
      </c>
      <c r="H89" s="131">
        <f>+'staffing plan'!AI110</f>
        <v>783828</v>
      </c>
      <c r="I89" s="131">
        <f>+'staffing plan'!AJ110</f>
        <v>1</v>
      </c>
      <c r="J89" t="str">
        <f>+'staffing plan'!AW110</f>
        <v>GALVEZ, Filipinita Marigza</v>
      </c>
      <c r="K89" t="e">
        <f>+'staffing plan'!#REF!</f>
        <v>#REF!</v>
      </c>
      <c r="L89" t="e">
        <f>+'staffing plan'!#REF!</f>
        <v>#REF!</v>
      </c>
      <c r="M89" t="str">
        <f>+'staffing plan'!AX110</f>
        <v>Apayao</v>
      </c>
      <c r="N89" t="str">
        <f>+'staffing plan'!AY110</f>
        <v>F</v>
      </c>
      <c r="O89" s="145" t="e">
        <f>+'staffing plan'!#REF!</f>
        <v>#REF!</v>
      </c>
      <c r="P89" s="145" t="e">
        <f>+'staffing plan'!#REF!</f>
        <v>#REF!</v>
      </c>
      <c r="Q89" s="145" t="e">
        <f>+'staffing plan'!#REF!</f>
        <v>#REF!</v>
      </c>
      <c r="R89" t="str">
        <f>+'staffing plan'!BP110</f>
        <v>Shifting</v>
      </c>
      <c r="S89">
        <v>87</v>
      </c>
    </row>
    <row r="90" spans="2:19">
      <c r="B90">
        <f t="shared" si="5"/>
        <v>2015</v>
      </c>
      <c r="C90">
        <f>+'staffing plan'!BK166</f>
        <v>42289</v>
      </c>
      <c r="D90" t="str">
        <f>'staffing plan'!A166</f>
        <v>OSEC-DILGB-LGOO5-897-1998</v>
      </c>
      <c r="E90" t="str">
        <f>+'staffing plan'!B166</f>
        <v>Local Government Operations Officer V</v>
      </c>
      <c r="F90">
        <f>+'staffing plan'!C166</f>
        <v>20</v>
      </c>
      <c r="G90" s="131">
        <f>+'staffing plan'!AH166</f>
        <v>613860</v>
      </c>
      <c r="H90" s="131">
        <f>+'staffing plan'!AI166</f>
        <v>623868</v>
      </c>
      <c r="I90" s="131">
        <f>+'staffing plan'!AJ166</f>
        <v>2</v>
      </c>
      <c r="J90" t="str">
        <f>+'staffing plan'!AW166</f>
        <v>VALERA, Sharima  Tomas</v>
      </c>
      <c r="K90" t="e">
        <f>+'staffing plan'!#REF!</f>
        <v>#REF!</v>
      </c>
      <c r="L90" t="e">
        <f>+'staffing plan'!#REF!</f>
        <v>#REF!</v>
      </c>
      <c r="M90" t="str">
        <f>+'staffing plan'!AX166</f>
        <v>Abra</v>
      </c>
      <c r="N90" t="str">
        <f>+'staffing plan'!AY166</f>
        <v>F</v>
      </c>
      <c r="O90" s="145" t="e">
        <f>+'staffing plan'!#REF!</f>
        <v>#REF!</v>
      </c>
      <c r="P90" s="145" t="e">
        <f>+'staffing plan'!#REF!</f>
        <v>#REF!</v>
      </c>
      <c r="Q90" s="145" t="e">
        <f>+'staffing plan'!#REF!</f>
        <v>#REF!</v>
      </c>
      <c r="R90" t="str">
        <f>+'staffing plan'!BP166</f>
        <v>Shifting</v>
      </c>
      <c r="S90">
        <v>88</v>
      </c>
    </row>
    <row r="91" spans="2:19" hidden="1">
      <c r="B91">
        <f t="shared" si="5"/>
        <v>2017</v>
      </c>
      <c r="C91">
        <f>+'staffing plan'!BK83</f>
        <v>43070</v>
      </c>
      <c r="D91" t="str">
        <f>'staffing plan'!A83</f>
        <v>OSEC-DILGB-LGOO6-3-2017</v>
      </c>
      <c r="E91" t="str">
        <f>+'staffing plan'!B83</f>
        <v>Local Government Operations Officer VI</v>
      </c>
      <c r="F91">
        <f>+'staffing plan'!C83</f>
        <v>22</v>
      </c>
      <c r="G91" s="131">
        <f>+'staffing plan'!AH83</f>
        <v>783828</v>
      </c>
      <c r="H91" s="131">
        <f>+'staffing plan'!AI83</f>
        <v>783828</v>
      </c>
      <c r="I91" s="131">
        <f>+'staffing plan'!AJ83</f>
        <v>1</v>
      </c>
      <c r="J91" t="str">
        <f>+'staffing plan'!AW83</f>
        <v>TENEZA, Valentino Barbieto</v>
      </c>
      <c r="K91" t="e">
        <f>+'staffing plan'!#REF!</f>
        <v>#REF!</v>
      </c>
      <c r="L91" t="e">
        <f>+'staffing plan'!#REF!</f>
        <v>#REF!</v>
      </c>
      <c r="M91" t="str">
        <f>+'staffing plan'!AX83</f>
        <v>Abra</v>
      </c>
      <c r="N91" t="str">
        <f>+'staffing plan'!AY83</f>
        <v>M</v>
      </c>
      <c r="O91" s="145" t="e">
        <f>+'staffing plan'!#REF!</f>
        <v>#REF!</v>
      </c>
      <c r="P91" s="145" t="e">
        <f>+'staffing plan'!#REF!</f>
        <v>#REF!</v>
      </c>
      <c r="Q91" s="145" t="e">
        <f>+'staffing plan'!#REF!</f>
        <v>#REF!</v>
      </c>
      <c r="R91">
        <f>+'staffing plan'!BP83</f>
        <v>0</v>
      </c>
      <c r="S91">
        <v>89</v>
      </c>
    </row>
    <row r="92" spans="2:19" hidden="1">
      <c r="B92">
        <f t="shared" si="5"/>
        <v>2017</v>
      </c>
      <c r="C92">
        <f>+'staffing plan'!BK84</f>
        <v>43070</v>
      </c>
      <c r="D92" t="str">
        <f>'staffing plan'!A84</f>
        <v>OSEC-DILGB-LGOO6-4-2017</v>
      </c>
      <c r="E92" t="str">
        <f>+'staffing plan'!B84</f>
        <v>Local Government Operations Officer VI</v>
      </c>
      <c r="F92">
        <f>+'staffing plan'!C84</f>
        <v>22</v>
      </c>
      <c r="G92" s="131">
        <f>+'staffing plan'!AH84</f>
        <v>783828</v>
      </c>
      <c r="H92" s="131">
        <f>+'staffing plan'!AI84</f>
        <v>783828</v>
      </c>
      <c r="I92" s="131">
        <f>+'staffing plan'!AJ84</f>
        <v>1</v>
      </c>
      <c r="J92" t="str">
        <f>+'staffing plan'!AW84</f>
        <v>ABADEZA, Charisma Salimbay</v>
      </c>
      <c r="K92" t="e">
        <f>+'staffing plan'!#REF!</f>
        <v>#REF!</v>
      </c>
      <c r="L92" t="e">
        <f>+'staffing plan'!#REF!</f>
        <v>#REF!</v>
      </c>
      <c r="M92" t="str">
        <f>+'staffing plan'!AX84</f>
        <v>Abra</v>
      </c>
      <c r="N92" t="str">
        <f>+'staffing plan'!AY84</f>
        <v>F</v>
      </c>
      <c r="O92" s="145" t="e">
        <f>+'staffing plan'!#REF!</f>
        <v>#REF!</v>
      </c>
      <c r="P92" s="145" t="e">
        <f>+'staffing plan'!#REF!</f>
        <v>#REF!</v>
      </c>
      <c r="Q92" s="145" t="e">
        <f>+'staffing plan'!#REF!</f>
        <v>#REF!</v>
      </c>
      <c r="R92">
        <f>+'staffing plan'!BP84</f>
        <v>0</v>
      </c>
      <c r="S92">
        <v>90</v>
      </c>
    </row>
    <row r="93" spans="2:19" hidden="1">
      <c r="B93">
        <f t="shared" si="5"/>
        <v>2017</v>
      </c>
      <c r="C93">
        <f>+'staffing plan'!BK85</f>
        <v>43070</v>
      </c>
      <c r="D93" t="str">
        <f>'staffing plan'!A85</f>
        <v>OSEC-DILGB-LGOO6-5-2017</v>
      </c>
      <c r="E93" t="str">
        <f>+'staffing plan'!B85</f>
        <v>Local Government Operations Officer VI</v>
      </c>
      <c r="F93">
        <f>+'staffing plan'!C85</f>
        <v>22</v>
      </c>
      <c r="G93" s="131">
        <f>+'staffing plan'!AH85</f>
        <v>783828</v>
      </c>
      <c r="H93" s="131">
        <f>+'staffing plan'!AI85</f>
        <v>783828</v>
      </c>
      <c r="I93" s="131">
        <f>+'staffing plan'!AJ85</f>
        <v>1</v>
      </c>
      <c r="J93" t="str">
        <f>+'staffing plan'!AW85</f>
        <v>LAPASTORA, Ameurfina Castillo</v>
      </c>
      <c r="K93" t="e">
        <f>+'staffing plan'!#REF!</f>
        <v>#REF!</v>
      </c>
      <c r="L93" t="e">
        <f>+'staffing plan'!#REF!</f>
        <v>#REF!</v>
      </c>
      <c r="M93" t="str">
        <f>+'staffing plan'!AX85</f>
        <v>Abra</v>
      </c>
      <c r="N93" t="str">
        <f>+'staffing plan'!AY85</f>
        <v>F</v>
      </c>
      <c r="O93" s="145" t="e">
        <f>+'staffing plan'!#REF!</f>
        <v>#REF!</v>
      </c>
      <c r="P93" s="145" t="e">
        <f>+'staffing plan'!#REF!</f>
        <v>#REF!</v>
      </c>
      <c r="Q93" s="145" t="e">
        <f>+'staffing plan'!#REF!</f>
        <v>#REF!</v>
      </c>
      <c r="R93">
        <f>+'staffing plan'!BP85</f>
        <v>0</v>
      </c>
      <c r="S93">
        <v>91</v>
      </c>
    </row>
    <row r="94" spans="2:19" hidden="1">
      <c r="B94">
        <f t="shared" si="5"/>
        <v>2019</v>
      </c>
      <c r="C94">
        <f>+'staffing plan'!BK167</f>
        <v>43518</v>
      </c>
      <c r="D94" t="str">
        <f>'staffing plan'!A167</f>
        <v>OSEC-DILGB-LGOO5-903-1998</v>
      </c>
      <c r="E94" t="str">
        <f>+'staffing plan'!B167</f>
        <v>Local Government Operations Officer V</v>
      </c>
      <c r="F94">
        <f>+'staffing plan'!C167</f>
        <v>20</v>
      </c>
      <c r="G94" s="131">
        <f>+'staffing plan'!AH167</f>
        <v>613860</v>
      </c>
      <c r="H94" s="131">
        <f>+'staffing plan'!AI167</f>
        <v>613860</v>
      </c>
      <c r="I94" s="131">
        <f>+'staffing plan'!AJ167</f>
        <v>1</v>
      </c>
      <c r="J94" t="str">
        <f>+'staffing plan'!AW167</f>
        <v>SAGUIYOD, Rose-Ann Ballangan</v>
      </c>
      <c r="K94" t="e">
        <f>+'staffing plan'!#REF!</f>
        <v>#REF!</v>
      </c>
      <c r="L94" t="e">
        <f>+'staffing plan'!#REF!</f>
        <v>#REF!</v>
      </c>
      <c r="M94" t="str">
        <f>+'staffing plan'!AX167</f>
        <v>Abra</v>
      </c>
      <c r="N94" t="str">
        <f>+'staffing plan'!AY167</f>
        <v>F</v>
      </c>
      <c r="O94" s="145" t="e">
        <f>+'staffing plan'!#REF!</f>
        <v>#REF!</v>
      </c>
      <c r="P94" s="145" t="e">
        <f>+'staffing plan'!#REF!</f>
        <v>#REF!</v>
      </c>
      <c r="Q94" s="145" t="e">
        <f>+'staffing plan'!#REF!</f>
        <v>#REF!</v>
      </c>
      <c r="R94">
        <f>+'staffing plan'!BP167</f>
        <v>0</v>
      </c>
      <c r="S94">
        <v>92</v>
      </c>
    </row>
    <row r="95" spans="2:19" hidden="1">
      <c r="B95">
        <f t="shared" si="5"/>
        <v>2017</v>
      </c>
      <c r="C95">
        <f>+'staffing plan'!BK86</f>
        <v>43070</v>
      </c>
      <c r="D95" t="str">
        <f>'staffing plan'!A86</f>
        <v>OSEC-DILGB-LGOO6-6-2017</v>
      </c>
      <c r="E95" t="str">
        <f>+'staffing plan'!B86</f>
        <v>Local Government Operations Officer VI</v>
      </c>
      <c r="F95">
        <f>+'staffing plan'!C86</f>
        <v>22</v>
      </c>
      <c r="G95" s="131">
        <f>+'staffing plan'!AH86</f>
        <v>783828</v>
      </c>
      <c r="H95" s="131">
        <f>+'staffing plan'!AI86</f>
        <v>783828</v>
      </c>
      <c r="I95" s="131">
        <f>+'staffing plan'!AJ86</f>
        <v>1</v>
      </c>
      <c r="J95" t="str">
        <f>+'staffing plan'!AW86</f>
        <v>BERNARDEZ, Viva Ascension Zapata</v>
      </c>
      <c r="K95" t="e">
        <f>+'staffing plan'!#REF!</f>
        <v>#REF!</v>
      </c>
      <c r="L95" t="e">
        <f>+'staffing plan'!#REF!</f>
        <v>#REF!</v>
      </c>
      <c r="M95" t="str">
        <f>+'staffing plan'!AX86</f>
        <v>Abra</v>
      </c>
      <c r="N95" t="str">
        <f>+'staffing plan'!AY86</f>
        <v>F</v>
      </c>
      <c r="O95" s="145" t="e">
        <f>+'staffing plan'!#REF!</f>
        <v>#REF!</v>
      </c>
      <c r="P95" s="145" t="e">
        <f>+'staffing plan'!#REF!</f>
        <v>#REF!</v>
      </c>
      <c r="Q95" s="145" t="e">
        <f>+'staffing plan'!#REF!</f>
        <v>#REF!</v>
      </c>
      <c r="R95">
        <f>+'staffing plan'!BP86</f>
        <v>0</v>
      </c>
      <c r="S95">
        <v>93</v>
      </c>
    </row>
    <row r="96" spans="2:19" hidden="1">
      <c r="B96">
        <f t="shared" si="5"/>
        <v>2017</v>
      </c>
      <c r="C96">
        <f>+'staffing plan'!BK87</f>
        <v>43070</v>
      </c>
      <c r="D96" t="str">
        <f>'staffing plan'!A87</f>
        <v>OSEC-DILGB-LGOO6-7-2017</v>
      </c>
      <c r="E96" t="str">
        <f>+'staffing plan'!B87</f>
        <v>Local Government Operations Officer VI</v>
      </c>
      <c r="F96">
        <f>+'staffing plan'!C87</f>
        <v>22</v>
      </c>
      <c r="G96" s="131">
        <f>+'staffing plan'!AH87</f>
        <v>783828</v>
      </c>
      <c r="H96" s="131">
        <f>+'staffing plan'!AI87</f>
        <v>783828</v>
      </c>
      <c r="I96" s="131">
        <f>+'staffing plan'!AJ87</f>
        <v>1</v>
      </c>
      <c r="J96" t="str">
        <f>+'staffing plan'!AW87</f>
        <v>TURQUEZA, Ephraim Pascua</v>
      </c>
      <c r="K96" t="e">
        <f>+'staffing plan'!#REF!</f>
        <v>#REF!</v>
      </c>
      <c r="L96" t="e">
        <f>+'staffing plan'!#REF!</f>
        <v>#REF!</v>
      </c>
      <c r="M96" t="str">
        <f>+'staffing plan'!AX87</f>
        <v>Abra</v>
      </c>
      <c r="N96" t="str">
        <f>+'staffing plan'!AY87</f>
        <v>M</v>
      </c>
      <c r="O96" s="145" t="e">
        <f>+'staffing plan'!#REF!</f>
        <v>#REF!</v>
      </c>
      <c r="P96" s="145" t="e">
        <f>+'staffing plan'!#REF!</f>
        <v>#REF!</v>
      </c>
      <c r="Q96" s="145" t="e">
        <f>+'staffing plan'!#REF!</f>
        <v>#REF!</v>
      </c>
      <c r="R96">
        <f>+'staffing plan'!BP87</f>
        <v>0</v>
      </c>
      <c r="S96">
        <v>94</v>
      </c>
    </row>
    <row r="97" spans="2:19" hidden="1">
      <c r="B97">
        <f t="shared" si="5"/>
        <v>2017</v>
      </c>
      <c r="C97">
        <f>+'staffing plan'!BK156</f>
        <v>43070</v>
      </c>
      <c r="D97" t="str">
        <f>'staffing plan'!A156</f>
        <v>OSEC-DILGB-LGOO6-72-2017</v>
      </c>
      <c r="E97" t="str">
        <f>+'staffing plan'!B156</f>
        <v>Local Government Operations Officer VI</v>
      </c>
      <c r="F97">
        <f>+'staffing plan'!C156</f>
        <v>22</v>
      </c>
      <c r="G97" s="131">
        <f>+'staffing plan'!AH156</f>
        <v>783828</v>
      </c>
      <c r="H97" s="131">
        <f>+'staffing plan'!AI156</f>
        <v>783828</v>
      </c>
      <c r="I97" s="131">
        <f>+'staffing plan'!AJ156</f>
        <v>1</v>
      </c>
      <c r="J97" t="str">
        <f>+'staffing plan'!AW156</f>
        <v>MINA, Bramie Madarcos</v>
      </c>
      <c r="K97" t="e">
        <f>+'staffing plan'!#REF!</f>
        <v>#REF!</v>
      </c>
      <c r="L97" t="e">
        <f>+'staffing plan'!#REF!</f>
        <v>#REF!</v>
      </c>
      <c r="M97" t="str">
        <f>+'staffing plan'!AX156</f>
        <v>Abra</v>
      </c>
      <c r="N97" t="str">
        <f>+'staffing plan'!AY156</f>
        <v>M</v>
      </c>
      <c r="O97" s="145" t="e">
        <f>+'staffing plan'!#REF!</f>
        <v>#REF!</v>
      </c>
      <c r="P97" s="145" t="e">
        <f>+'staffing plan'!#REF!</f>
        <v>#REF!</v>
      </c>
      <c r="Q97" s="145" t="e">
        <f>+'staffing plan'!#REF!</f>
        <v>#REF!</v>
      </c>
      <c r="R97" t="str">
        <f>+'staffing plan'!BP156</f>
        <v>Shifting</v>
      </c>
      <c r="S97">
        <v>95</v>
      </c>
    </row>
    <row r="98" spans="2:19" hidden="1">
      <c r="B98">
        <f t="shared" si="5"/>
        <v>2017</v>
      </c>
      <c r="C98">
        <f>+'staffing plan'!BK88</f>
        <v>43070</v>
      </c>
      <c r="D98" t="str">
        <f>'staffing plan'!A88</f>
        <v>OSEC-DILGB-LGOO6-8-2017</v>
      </c>
      <c r="E98" t="str">
        <f>+'staffing plan'!B88</f>
        <v>Local Government Operations Officer VI</v>
      </c>
      <c r="F98">
        <f>+'staffing plan'!C88</f>
        <v>22</v>
      </c>
      <c r="G98" s="131">
        <f>+'staffing plan'!AH88</f>
        <v>783828</v>
      </c>
      <c r="H98" s="131">
        <f>+'staffing plan'!AI88</f>
        <v>783828</v>
      </c>
      <c r="I98" s="131">
        <f>+'staffing plan'!AJ88</f>
        <v>1</v>
      </c>
      <c r="J98" t="str">
        <f>+'staffing plan'!AW88</f>
        <v>LINGBAOAN, Joel Barbasa</v>
      </c>
      <c r="K98" t="e">
        <f>+'staffing plan'!#REF!</f>
        <v>#REF!</v>
      </c>
      <c r="L98" t="e">
        <f>+'staffing plan'!#REF!</f>
        <v>#REF!</v>
      </c>
      <c r="M98" t="str">
        <f>+'staffing plan'!AX88</f>
        <v>Abra</v>
      </c>
      <c r="N98" t="str">
        <f>+'staffing plan'!AY88</f>
        <v>M</v>
      </c>
      <c r="O98" s="145" t="e">
        <f>+'staffing plan'!#REF!</f>
        <v>#REF!</v>
      </c>
      <c r="P98" s="145" t="e">
        <f>+'staffing plan'!#REF!</f>
        <v>#REF!</v>
      </c>
      <c r="Q98" s="145" t="e">
        <f>+'staffing plan'!#REF!</f>
        <v>#REF!</v>
      </c>
      <c r="R98">
        <f>+'staffing plan'!BP88</f>
        <v>0</v>
      </c>
      <c r="S98">
        <v>96</v>
      </c>
    </row>
    <row r="99" spans="2:19" hidden="1">
      <c r="B99">
        <f t="shared" si="5"/>
        <v>2017</v>
      </c>
      <c r="C99">
        <f>+'staffing plan'!BK89</f>
        <v>43070</v>
      </c>
      <c r="D99" t="str">
        <f>'staffing plan'!A89</f>
        <v>OSEC-DILGB-LGOO6-9-2017</v>
      </c>
      <c r="E99" t="str">
        <f>+'staffing plan'!B89</f>
        <v>Local Government Operations Officer VI</v>
      </c>
      <c r="F99">
        <f>+'staffing plan'!C89</f>
        <v>22</v>
      </c>
      <c r="G99" s="131">
        <f>+'staffing plan'!AH89</f>
        <v>783828</v>
      </c>
      <c r="H99" s="131">
        <f>+'staffing plan'!AI89</f>
        <v>783828</v>
      </c>
      <c r="I99" s="131">
        <f>+'staffing plan'!AJ89</f>
        <v>1</v>
      </c>
      <c r="J99" t="str">
        <f>+'staffing plan'!AW89</f>
        <v>CASTILLO, Mila Benedito</v>
      </c>
      <c r="K99" t="e">
        <f>+'staffing plan'!#REF!</f>
        <v>#REF!</v>
      </c>
      <c r="L99" t="e">
        <f>+'staffing plan'!#REF!</f>
        <v>#REF!</v>
      </c>
      <c r="M99" t="str">
        <f>+'staffing plan'!AX89</f>
        <v>Abra</v>
      </c>
      <c r="N99" t="str">
        <f>+'staffing plan'!AY89</f>
        <v>F</v>
      </c>
      <c r="O99" s="145" t="e">
        <f>+'staffing plan'!#REF!</f>
        <v>#REF!</v>
      </c>
      <c r="P99" s="145" t="e">
        <f>+'staffing plan'!#REF!</f>
        <v>#REF!</v>
      </c>
      <c r="Q99" s="145" t="e">
        <f>+'staffing plan'!#REF!</f>
        <v>#REF!</v>
      </c>
      <c r="R99">
        <f>+'staffing plan'!BP89</f>
        <v>0</v>
      </c>
      <c r="S99">
        <v>97</v>
      </c>
    </row>
    <row r="100" spans="2:19" hidden="1">
      <c r="B100">
        <f t="shared" si="5"/>
        <v>2017</v>
      </c>
      <c r="C100">
        <f>+'staffing plan'!BK92</f>
        <v>43070</v>
      </c>
      <c r="D100" t="str">
        <f>'staffing plan'!A92</f>
        <v>OSEC-DILGB-LGOO6-10-2017</v>
      </c>
      <c r="E100" t="str">
        <f>+'staffing plan'!B92</f>
        <v>Local Government Operations Officer VI</v>
      </c>
      <c r="F100">
        <f>+'staffing plan'!C92</f>
        <v>22</v>
      </c>
      <c r="G100" s="131">
        <f>+'staffing plan'!AH92</f>
        <v>783828</v>
      </c>
      <c r="H100" s="131">
        <f>+'staffing plan'!AI92</f>
        <v>783828</v>
      </c>
      <c r="I100" s="131">
        <f>+'staffing plan'!AJ92</f>
        <v>1</v>
      </c>
      <c r="J100" t="str">
        <f>+'staffing plan'!AW92</f>
        <v>CALINA, Crescencio II Benauro</v>
      </c>
      <c r="K100" t="e">
        <f>+'staffing plan'!#REF!</f>
        <v>#REF!</v>
      </c>
      <c r="L100" t="e">
        <f>+'staffing plan'!#REF!</f>
        <v>#REF!</v>
      </c>
      <c r="M100" t="str">
        <f>+'staffing plan'!AX92</f>
        <v>Abra</v>
      </c>
      <c r="N100" t="str">
        <f>+'staffing plan'!AY92</f>
        <v>M</v>
      </c>
      <c r="O100" s="145" t="e">
        <f>+'staffing plan'!#REF!</f>
        <v>#REF!</v>
      </c>
      <c r="P100" s="145" t="e">
        <f>+'staffing plan'!#REF!</f>
        <v>#REF!</v>
      </c>
      <c r="Q100" s="145" t="e">
        <f>+'staffing plan'!#REF!</f>
        <v>#REF!</v>
      </c>
      <c r="R100">
        <f>+'staffing plan'!BP92</f>
        <v>0</v>
      </c>
      <c r="S100">
        <v>98</v>
      </c>
    </row>
    <row r="101" spans="2:19" hidden="1">
      <c r="B101">
        <f t="shared" si="5"/>
        <v>2017</v>
      </c>
      <c r="C101">
        <f>+'staffing plan'!BK93</f>
        <v>43070</v>
      </c>
      <c r="D101" t="str">
        <f>'staffing plan'!A93</f>
        <v>OSEC-DILGB-LGOO6-11-2017</v>
      </c>
      <c r="E101" t="str">
        <f>+'staffing plan'!B93</f>
        <v>Local Government Operations Officer VI</v>
      </c>
      <c r="F101">
        <f>+'staffing plan'!C93</f>
        <v>22</v>
      </c>
      <c r="G101" s="131">
        <f>+'staffing plan'!AH93</f>
        <v>783828</v>
      </c>
      <c r="H101" s="131">
        <f>+'staffing plan'!AI93</f>
        <v>783828</v>
      </c>
      <c r="I101" s="131">
        <f>+'staffing plan'!AJ93</f>
        <v>1</v>
      </c>
      <c r="J101" t="str">
        <f>+'staffing plan'!AW93</f>
        <v>CARIÑO, Erma Hernandez</v>
      </c>
      <c r="K101" t="e">
        <f>+'staffing plan'!#REF!</f>
        <v>#REF!</v>
      </c>
      <c r="L101" t="e">
        <f>+'staffing plan'!#REF!</f>
        <v>#REF!</v>
      </c>
      <c r="M101" t="str">
        <f>+'staffing plan'!AX93</f>
        <v>Abra</v>
      </c>
      <c r="N101" t="str">
        <f>+'staffing plan'!AY93</f>
        <v>F</v>
      </c>
      <c r="O101" s="145" t="e">
        <f>+'staffing plan'!#REF!</f>
        <v>#REF!</v>
      </c>
      <c r="P101" s="145" t="e">
        <f>+'staffing plan'!#REF!</f>
        <v>#REF!</v>
      </c>
      <c r="Q101" s="145" t="e">
        <f>+'staffing plan'!#REF!</f>
        <v>#REF!</v>
      </c>
      <c r="R101">
        <f>+'staffing plan'!BP93</f>
        <v>0</v>
      </c>
      <c r="S101">
        <v>99</v>
      </c>
    </row>
    <row r="102" spans="2:19" hidden="1">
      <c r="B102">
        <f t="shared" si="5"/>
        <v>2017</v>
      </c>
      <c r="C102">
        <f>+'staffing plan'!BK95</f>
        <v>43070</v>
      </c>
      <c r="D102" t="str">
        <f>'staffing plan'!A95</f>
        <v>OSEC-DILGB-LGOO6-12-2017</v>
      </c>
      <c r="E102" t="str">
        <f>+'staffing plan'!B95</f>
        <v>Local Government Operations Officer VI</v>
      </c>
      <c r="F102">
        <f>+'staffing plan'!C95</f>
        <v>22</v>
      </c>
      <c r="G102" s="131">
        <f>+'staffing plan'!AH95</f>
        <v>783828</v>
      </c>
      <c r="H102" s="131">
        <f>+'staffing plan'!AI95</f>
        <v>783828</v>
      </c>
      <c r="I102" s="131">
        <f>+'staffing plan'!AJ95</f>
        <v>1</v>
      </c>
      <c r="J102" t="str">
        <f>+'staffing plan'!AW95</f>
        <v>HERNANDEZ, Jean  Smith</v>
      </c>
      <c r="K102" t="e">
        <f>+'staffing plan'!#REF!</f>
        <v>#REF!</v>
      </c>
      <c r="L102" t="e">
        <f>+'staffing plan'!#REF!</f>
        <v>#REF!</v>
      </c>
      <c r="M102" t="str">
        <f>+'staffing plan'!AX95</f>
        <v>Abra</v>
      </c>
      <c r="N102" t="str">
        <f>+'staffing plan'!AY95</f>
        <v>F</v>
      </c>
      <c r="O102" s="145" t="e">
        <f>+'staffing plan'!#REF!</f>
        <v>#REF!</v>
      </c>
      <c r="P102" s="145" t="e">
        <f>+'staffing plan'!#REF!</f>
        <v>#REF!</v>
      </c>
      <c r="Q102" s="145" t="e">
        <f>+'staffing plan'!#REF!</f>
        <v>#REF!</v>
      </c>
      <c r="R102" t="str">
        <f>+'staffing plan'!BP95</f>
        <v>Shifting</v>
      </c>
      <c r="S102">
        <v>100</v>
      </c>
    </row>
    <row r="103" spans="2:19" hidden="1">
      <c r="B103">
        <f t="shared" si="5"/>
        <v>2017</v>
      </c>
      <c r="C103">
        <f>+'staffing plan'!BK96</f>
        <v>43070</v>
      </c>
      <c r="D103" t="str">
        <f>'staffing plan'!A96</f>
        <v>OSEC-DILGB-LGOO6-13-2017</v>
      </c>
      <c r="E103" t="str">
        <f>+'staffing plan'!B96</f>
        <v>Local Government Operations Officer VI</v>
      </c>
      <c r="F103">
        <f>+'staffing plan'!C96</f>
        <v>22</v>
      </c>
      <c r="G103" s="131">
        <f>+'staffing plan'!AH96</f>
        <v>783828</v>
      </c>
      <c r="H103" s="131">
        <f>+'staffing plan'!AI96</f>
        <v>783828</v>
      </c>
      <c r="I103" s="131">
        <f>+'staffing plan'!AJ96</f>
        <v>1</v>
      </c>
      <c r="J103" t="str">
        <f>+'staffing plan'!AW96</f>
        <v>TRINIDAD, Bernabe Bejarin</v>
      </c>
      <c r="K103" t="e">
        <f>+'staffing plan'!#REF!</f>
        <v>#REF!</v>
      </c>
      <c r="L103" t="e">
        <f>+'staffing plan'!#REF!</f>
        <v>#REF!</v>
      </c>
      <c r="M103" t="str">
        <f>+'staffing plan'!AX96</f>
        <v>Abra</v>
      </c>
      <c r="N103" t="str">
        <f>+'staffing plan'!AY96</f>
        <v>M</v>
      </c>
      <c r="O103" s="145" t="e">
        <f>+'staffing plan'!#REF!</f>
        <v>#REF!</v>
      </c>
      <c r="P103" s="145" t="e">
        <f>+'staffing plan'!#REF!</f>
        <v>#REF!</v>
      </c>
      <c r="Q103" s="145" t="e">
        <f>+'staffing plan'!#REF!</f>
        <v>#REF!</v>
      </c>
      <c r="R103">
        <f>+'staffing plan'!BP96</f>
        <v>0</v>
      </c>
      <c r="S103">
        <v>101</v>
      </c>
    </row>
    <row r="104" spans="2:19" hidden="1">
      <c r="B104">
        <f t="shared" si="5"/>
        <v>2017</v>
      </c>
      <c r="C104">
        <f>+'staffing plan'!BK98</f>
        <v>43070</v>
      </c>
      <c r="D104" t="str">
        <f>'staffing plan'!A98</f>
        <v>OSEC-DILGB-LGOO6-14-2017</v>
      </c>
      <c r="E104" t="str">
        <f>+'staffing plan'!B98</f>
        <v>Local Government Operations Officer VI</v>
      </c>
      <c r="F104">
        <f>+'staffing plan'!C98</f>
        <v>22</v>
      </c>
      <c r="G104" s="131">
        <f>+'staffing plan'!AH98</f>
        <v>783828</v>
      </c>
      <c r="H104" s="131">
        <f>+'staffing plan'!AI98</f>
        <v>783828</v>
      </c>
      <c r="I104" s="131">
        <f>+'staffing plan'!AJ98</f>
        <v>1</v>
      </c>
      <c r="J104" t="str">
        <f>+'staffing plan'!AW98</f>
        <v>ABANCE, Mary Jane Samonte</v>
      </c>
      <c r="K104" t="e">
        <f>+'staffing plan'!#REF!</f>
        <v>#REF!</v>
      </c>
      <c r="L104" t="e">
        <f>+'staffing plan'!#REF!</f>
        <v>#REF!</v>
      </c>
      <c r="M104" t="str">
        <f>+'staffing plan'!AX98</f>
        <v>Abra</v>
      </c>
      <c r="N104" t="str">
        <f>+'staffing plan'!AY98</f>
        <v>F</v>
      </c>
      <c r="O104" s="145" t="e">
        <f>+'staffing plan'!#REF!</f>
        <v>#REF!</v>
      </c>
      <c r="P104" s="145" t="e">
        <f>+'staffing plan'!#REF!</f>
        <v>#REF!</v>
      </c>
      <c r="Q104" s="145" t="e">
        <f>+'staffing plan'!#REF!</f>
        <v>#REF!</v>
      </c>
      <c r="R104">
        <f>+'staffing plan'!BP98</f>
        <v>0</v>
      </c>
      <c r="S104">
        <v>102</v>
      </c>
    </row>
    <row r="105" spans="2:19" hidden="1">
      <c r="B105">
        <f t="shared" si="5"/>
        <v>2017</v>
      </c>
      <c r="C105">
        <f>+'staffing plan'!BK99</f>
        <v>43087</v>
      </c>
      <c r="D105" t="str">
        <f>'staffing plan'!A99</f>
        <v>OSEC-DILGB-LGOO6-15-2017</v>
      </c>
      <c r="E105" t="str">
        <f>+'staffing plan'!B99</f>
        <v>Local Government Operations Officer VI</v>
      </c>
      <c r="F105">
        <f>+'staffing plan'!C99</f>
        <v>22</v>
      </c>
      <c r="G105" s="131">
        <f>+'staffing plan'!AH99</f>
        <v>783828</v>
      </c>
      <c r="H105" s="131">
        <f>+'staffing plan'!AI99</f>
        <v>783828</v>
      </c>
      <c r="I105" s="131">
        <f>+'staffing plan'!AJ99</f>
        <v>1</v>
      </c>
      <c r="J105" t="str">
        <f>+'staffing plan'!AW99</f>
        <v>WALANG, Marlon Silvada</v>
      </c>
      <c r="K105" t="e">
        <f>+'staffing plan'!#REF!</f>
        <v>#REF!</v>
      </c>
      <c r="L105" t="e">
        <f>+'staffing plan'!#REF!</f>
        <v>#REF!</v>
      </c>
      <c r="M105" t="str">
        <f>+'staffing plan'!AX99</f>
        <v>Abra</v>
      </c>
      <c r="N105" t="str">
        <f>+'staffing plan'!AY99</f>
        <v>M</v>
      </c>
      <c r="O105" s="145" t="e">
        <f>+'staffing plan'!#REF!</f>
        <v>#REF!</v>
      </c>
      <c r="P105" s="145" t="e">
        <f>+'staffing plan'!#REF!</f>
        <v>#REF!</v>
      </c>
      <c r="Q105" s="145" t="e">
        <f>+'staffing plan'!#REF!</f>
        <v>#REF!</v>
      </c>
      <c r="R105">
        <f>+'staffing plan'!BP99</f>
        <v>0</v>
      </c>
      <c r="S105">
        <v>103</v>
      </c>
    </row>
    <row r="106" spans="2:19" hidden="1">
      <c r="B106">
        <f t="shared" si="5"/>
        <v>2017</v>
      </c>
      <c r="C106">
        <f>+'staffing plan'!BK100</f>
        <v>43070</v>
      </c>
      <c r="D106" t="str">
        <f>'staffing plan'!A100</f>
        <v>OSEC-DILGB-LGOO6-16-2017</v>
      </c>
      <c r="E106" t="str">
        <f>+'staffing plan'!B100</f>
        <v>Local Government Operations Officer VI</v>
      </c>
      <c r="F106">
        <f>+'staffing plan'!C100</f>
        <v>22</v>
      </c>
      <c r="G106" s="131">
        <f>+'staffing plan'!AH100</f>
        <v>783828</v>
      </c>
      <c r="H106" s="131">
        <f>+'staffing plan'!AI100</f>
        <v>783828</v>
      </c>
      <c r="I106" s="131">
        <f>+'staffing plan'!AJ100</f>
        <v>1</v>
      </c>
      <c r="J106" t="str">
        <f>+'staffing plan'!AW100</f>
        <v>BARRERAS, Carlito Tejero</v>
      </c>
      <c r="K106" t="e">
        <f>+'staffing plan'!#REF!</f>
        <v>#REF!</v>
      </c>
      <c r="L106" t="e">
        <f>+'staffing plan'!#REF!</f>
        <v>#REF!</v>
      </c>
      <c r="M106" t="str">
        <f>+'staffing plan'!AX100</f>
        <v>Abra</v>
      </c>
      <c r="N106" t="str">
        <f>+'staffing plan'!AY100</f>
        <v>M</v>
      </c>
      <c r="O106" s="145" t="e">
        <f>+'staffing plan'!#REF!</f>
        <v>#REF!</v>
      </c>
      <c r="P106" s="145" t="e">
        <f>+'staffing plan'!#REF!</f>
        <v>#REF!</v>
      </c>
      <c r="Q106" s="145" t="e">
        <f>+'staffing plan'!#REF!</f>
        <v>#REF!</v>
      </c>
      <c r="R106">
        <f>+'staffing plan'!BP100</f>
        <v>0</v>
      </c>
      <c r="S106">
        <v>104</v>
      </c>
    </row>
    <row r="107" spans="2:19" hidden="1">
      <c r="B107">
        <f t="shared" si="5"/>
        <v>2017</v>
      </c>
      <c r="C107">
        <f>+'staffing plan'!BK101</f>
        <v>43070</v>
      </c>
      <c r="D107" t="str">
        <f>'staffing plan'!A101</f>
        <v>OSEC-DILGB-LGOO6-17-2017</v>
      </c>
      <c r="E107" t="str">
        <f>+'staffing plan'!B101</f>
        <v>Local Government Operations Officer VI</v>
      </c>
      <c r="F107">
        <f>+'staffing plan'!C101</f>
        <v>22</v>
      </c>
      <c r="G107" s="131">
        <f>+'staffing plan'!AH101</f>
        <v>783828</v>
      </c>
      <c r="H107" s="131">
        <f>+'staffing plan'!AI101</f>
        <v>783828</v>
      </c>
      <c r="I107" s="131">
        <f>+'staffing plan'!AJ101</f>
        <v>1</v>
      </c>
      <c r="J107" t="str">
        <f>+'staffing plan'!AW101</f>
        <v>VENUS, Nolito Domingo</v>
      </c>
      <c r="K107" t="e">
        <f>+'staffing plan'!#REF!</f>
        <v>#REF!</v>
      </c>
      <c r="L107" t="e">
        <f>+'staffing plan'!#REF!</f>
        <v>#REF!</v>
      </c>
      <c r="M107" t="str">
        <f>+'staffing plan'!AX101</f>
        <v>Abra</v>
      </c>
      <c r="N107" t="str">
        <f>+'staffing plan'!AY101</f>
        <v>M</v>
      </c>
      <c r="O107" s="145" t="e">
        <f>+'staffing plan'!#REF!</f>
        <v>#REF!</v>
      </c>
      <c r="P107" s="145" t="e">
        <f>+'staffing plan'!#REF!</f>
        <v>#REF!</v>
      </c>
      <c r="Q107" s="145" t="e">
        <f>+'staffing plan'!#REF!</f>
        <v>#REF!</v>
      </c>
      <c r="R107">
        <f>+'staffing plan'!BP101</f>
        <v>0</v>
      </c>
      <c r="S107">
        <v>105</v>
      </c>
    </row>
    <row r="108" spans="2:19" hidden="1">
      <c r="B108">
        <f t="shared" si="5"/>
        <v>2017</v>
      </c>
      <c r="C108">
        <f>+'staffing plan'!BK105</f>
        <v>43070</v>
      </c>
      <c r="D108" t="str">
        <f>'staffing plan'!A105</f>
        <v>OSEC-DILGB-LGOO6-21-2017</v>
      </c>
      <c r="E108" t="str">
        <f>+'staffing plan'!B105</f>
        <v>Local Government Operations Officer VI</v>
      </c>
      <c r="F108">
        <f>+'staffing plan'!C105</f>
        <v>22</v>
      </c>
      <c r="G108" s="131">
        <f>+'staffing plan'!AH105</f>
        <v>783828</v>
      </c>
      <c r="H108" s="131">
        <f>+'staffing plan'!AI105</f>
        <v>783828</v>
      </c>
      <c r="I108" s="131">
        <f>+'staffing plan'!AJ105</f>
        <v>1</v>
      </c>
      <c r="J108" t="str">
        <f>+'staffing plan'!AW105</f>
        <v>GARCIA, Evelyn Arizabal</v>
      </c>
      <c r="K108" t="e">
        <f>+'staffing plan'!#REF!</f>
        <v>#REF!</v>
      </c>
      <c r="L108" t="e">
        <f>+'staffing plan'!#REF!</f>
        <v>#REF!</v>
      </c>
      <c r="M108" t="str">
        <f>+'staffing plan'!AX105</f>
        <v>Abra</v>
      </c>
      <c r="N108" t="str">
        <f>+'staffing plan'!AY105</f>
        <v>F</v>
      </c>
      <c r="O108" s="145" t="e">
        <f>+'staffing plan'!#REF!</f>
        <v>#REF!</v>
      </c>
      <c r="P108" s="145" t="e">
        <f>+'staffing plan'!#REF!</f>
        <v>#REF!</v>
      </c>
      <c r="Q108" s="145" t="e">
        <f>+'staffing plan'!#REF!</f>
        <v>#REF!</v>
      </c>
      <c r="R108">
        <f>+'staffing plan'!BP105</f>
        <v>0</v>
      </c>
      <c r="S108">
        <v>106</v>
      </c>
    </row>
    <row r="109" spans="2:19" hidden="1">
      <c r="B109">
        <f t="shared" si="5"/>
        <v>2018</v>
      </c>
      <c r="C109">
        <f>+'staffing plan'!BK168</f>
        <v>43129</v>
      </c>
      <c r="D109" t="str">
        <f>'staffing plan'!A168</f>
        <v>OSEC-DILGB-LGOO5-921-1998</v>
      </c>
      <c r="E109" t="str">
        <f>+'staffing plan'!B168</f>
        <v>Local Government Operations Officer V</v>
      </c>
      <c r="F109">
        <f>+'staffing plan'!C168</f>
        <v>20</v>
      </c>
      <c r="G109" s="131">
        <f>+'staffing plan'!AH168</f>
        <v>613860</v>
      </c>
      <c r="H109" s="131">
        <f>+'staffing plan'!AI168</f>
        <v>613860</v>
      </c>
      <c r="I109" s="131">
        <f>+'staffing plan'!AJ168</f>
        <v>1</v>
      </c>
      <c r="J109" t="str">
        <f>+'staffing plan'!AW168</f>
        <v>TRINIDAD, Santos Beñas</v>
      </c>
      <c r="K109" t="e">
        <f>+'staffing plan'!#REF!</f>
        <v>#REF!</v>
      </c>
      <c r="L109" t="e">
        <f>+'staffing plan'!#REF!</f>
        <v>#REF!</v>
      </c>
      <c r="M109" t="str">
        <f>+'staffing plan'!AX168</f>
        <v>Abra</v>
      </c>
      <c r="N109" t="str">
        <f>+'staffing plan'!AY168</f>
        <v>M</v>
      </c>
      <c r="O109" s="145" t="e">
        <f>+'staffing plan'!#REF!</f>
        <v>#REF!</v>
      </c>
      <c r="P109" s="145" t="e">
        <f>+'staffing plan'!#REF!</f>
        <v>#REF!</v>
      </c>
      <c r="Q109" s="145" t="e">
        <f>+'staffing plan'!#REF!</f>
        <v>#REF!</v>
      </c>
      <c r="R109" t="str">
        <f>+'staffing plan'!BP168</f>
        <v>Abra</v>
      </c>
      <c r="S109">
        <v>107</v>
      </c>
    </row>
    <row r="110" spans="2:19" hidden="1">
      <c r="B110">
        <f t="shared" si="5"/>
        <v>2017</v>
      </c>
      <c r="C110">
        <f>+'staffing plan'!BK102</f>
        <v>43070</v>
      </c>
      <c r="D110" t="str">
        <f>'staffing plan'!A102</f>
        <v>OSEC-DILGB-LGOO6-18-2017</v>
      </c>
      <c r="E110" t="str">
        <f>+'staffing plan'!B102</f>
        <v>Local Government Operations Officer VI</v>
      </c>
      <c r="F110">
        <f>+'staffing plan'!C102</f>
        <v>22</v>
      </c>
      <c r="G110" s="131">
        <f>+'staffing plan'!AH102</f>
        <v>783828</v>
      </c>
      <c r="H110" s="131">
        <f>+'staffing plan'!AI102</f>
        <v>783828</v>
      </c>
      <c r="I110" s="131">
        <f>+'staffing plan'!AJ102</f>
        <v>1</v>
      </c>
      <c r="J110" t="str">
        <f>+'staffing plan'!AW102</f>
        <v>VENUS, Normita Cruz</v>
      </c>
      <c r="K110" t="e">
        <f>+'staffing plan'!#REF!</f>
        <v>#REF!</v>
      </c>
      <c r="L110" t="e">
        <f>+'staffing plan'!#REF!</f>
        <v>#REF!</v>
      </c>
      <c r="M110" t="str">
        <f>+'staffing plan'!AX102</f>
        <v>Abra</v>
      </c>
      <c r="N110" t="str">
        <f>+'staffing plan'!AY102</f>
        <v>F</v>
      </c>
      <c r="O110" s="145" t="e">
        <f>+'staffing plan'!#REF!</f>
        <v>#REF!</v>
      </c>
      <c r="P110" s="145" t="e">
        <f>+'staffing plan'!#REF!</f>
        <v>#REF!</v>
      </c>
      <c r="Q110" s="145" t="e">
        <f>+'staffing plan'!#REF!</f>
        <v>#REF!</v>
      </c>
      <c r="R110">
        <f>+'staffing plan'!BP102</f>
        <v>0</v>
      </c>
      <c r="S110">
        <v>108</v>
      </c>
    </row>
    <row r="111" spans="2:19" hidden="1">
      <c r="B111">
        <f t="shared" si="5"/>
        <v>2017</v>
      </c>
      <c r="C111">
        <f>+'staffing plan'!BK103</f>
        <v>43070</v>
      </c>
      <c r="D111" t="str">
        <f>'staffing plan'!A103</f>
        <v>OSEC-DILGB-LGOO6-19-2017</v>
      </c>
      <c r="E111" t="str">
        <f>+'staffing plan'!B103</f>
        <v>Local Government Operations Officer VI</v>
      </c>
      <c r="F111">
        <f>+'staffing plan'!C103</f>
        <v>22</v>
      </c>
      <c r="G111" s="131">
        <f>+'staffing plan'!AH103</f>
        <v>783828</v>
      </c>
      <c r="H111" s="131">
        <f>+'staffing plan'!AI103</f>
        <v>783828</v>
      </c>
      <c r="I111" s="131">
        <f>+'staffing plan'!AJ103</f>
        <v>1</v>
      </c>
      <c r="J111" t="str">
        <f>+'staffing plan'!AW103</f>
        <v>IDOS, Dexter Las-o</v>
      </c>
      <c r="K111" t="e">
        <f>+'staffing plan'!#REF!</f>
        <v>#REF!</v>
      </c>
      <c r="L111" t="e">
        <f>+'staffing plan'!#REF!</f>
        <v>#REF!</v>
      </c>
      <c r="M111" t="str">
        <f>+'staffing plan'!AX103</f>
        <v>Abra</v>
      </c>
      <c r="N111" t="str">
        <f>+'staffing plan'!AY103</f>
        <v>M</v>
      </c>
      <c r="O111" s="145" t="e">
        <f>+'staffing plan'!#REF!</f>
        <v>#REF!</v>
      </c>
      <c r="P111" s="145" t="e">
        <f>+'staffing plan'!#REF!</f>
        <v>#REF!</v>
      </c>
      <c r="Q111" s="145" t="e">
        <f>+'staffing plan'!#REF!</f>
        <v>#REF!</v>
      </c>
      <c r="R111" t="str">
        <f>+'staffing plan'!BP103</f>
        <v>Shifting</v>
      </c>
      <c r="S111">
        <v>109</v>
      </c>
    </row>
    <row r="112" spans="2:19" hidden="1">
      <c r="B112">
        <f t="shared" si="5"/>
        <v>2012</v>
      </c>
      <c r="C112">
        <f>+'staffing plan'!BK169</f>
        <v>41138</v>
      </c>
      <c r="D112" t="str">
        <f>'staffing plan'!A169</f>
        <v>OSEC-DILGB-LGOO5-925-1998</v>
      </c>
      <c r="E112" t="str">
        <f>+'staffing plan'!B169</f>
        <v>Local Government Operations Officer V</v>
      </c>
      <c r="F112">
        <f>+'staffing plan'!C169</f>
        <v>20</v>
      </c>
      <c r="G112" s="131">
        <f>+'staffing plan'!AH169</f>
        <v>613860</v>
      </c>
      <c r="H112" s="131">
        <f>+'staffing plan'!AI169</f>
        <v>634056</v>
      </c>
      <c r="I112" s="131">
        <f>+'staffing plan'!AJ169</f>
        <v>3</v>
      </c>
      <c r="J112" t="str">
        <f>+'staffing plan'!AW169</f>
        <v>MANGANGEY, Ma. Teresa Ancheta</v>
      </c>
      <c r="K112" t="e">
        <f>+'staffing plan'!#REF!</f>
        <v>#REF!</v>
      </c>
      <c r="L112" t="e">
        <f>+'staffing plan'!#REF!</f>
        <v>#REF!</v>
      </c>
      <c r="M112" t="str">
        <f>+'staffing plan'!AX169</f>
        <v>Benguet</v>
      </c>
      <c r="N112" t="str">
        <f>+'staffing plan'!AY169</f>
        <v>F</v>
      </c>
      <c r="O112" s="145" t="e">
        <f>+'staffing plan'!#REF!</f>
        <v>#REF!</v>
      </c>
      <c r="P112" s="145" t="e">
        <f>+'staffing plan'!#REF!</f>
        <v>#REF!</v>
      </c>
      <c r="Q112" s="145" t="e">
        <f>+'staffing plan'!#REF!</f>
        <v>#REF!</v>
      </c>
      <c r="R112">
        <f>+'staffing plan'!BP169</f>
        <v>0</v>
      </c>
      <c r="S112">
        <v>110</v>
      </c>
    </row>
    <row r="113" spans="2:19" hidden="1">
      <c r="B113">
        <f t="shared" si="5"/>
        <v>2016</v>
      </c>
      <c r="C113">
        <f>+'staffing plan'!BK157</f>
        <v>42597</v>
      </c>
      <c r="D113" t="str">
        <f>'staffing plan'!A157</f>
        <v>OSEC-DILGB-LGOO6-73-2017</v>
      </c>
      <c r="E113" t="str">
        <f>+'staffing plan'!B157</f>
        <v>Local Government Operations Officer VI</v>
      </c>
      <c r="F113">
        <f>+'staffing plan'!C157</f>
        <v>22</v>
      </c>
      <c r="G113" s="131">
        <f>+'staffing plan'!AH157</f>
        <v>783828</v>
      </c>
      <c r="H113" s="131">
        <f>+'staffing plan'!AI157</f>
        <v>783828</v>
      </c>
      <c r="I113" s="131">
        <f>+'staffing plan'!AJ157</f>
        <v>1</v>
      </c>
      <c r="J113" t="str">
        <f>+'staffing plan'!AW157</f>
        <v>WAGIAN, Cecilia Daupan</v>
      </c>
      <c r="K113" t="e">
        <f>+'staffing plan'!#REF!</f>
        <v>#REF!</v>
      </c>
      <c r="L113" t="e">
        <f>+'staffing plan'!#REF!</f>
        <v>#REF!</v>
      </c>
      <c r="M113" t="str">
        <f>+'staffing plan'!AX157</f>
        <v>Benguet</v>
      </c>
      <c r="N113" t="str">
        <f>+'staffing plan'!AY157</f>
        <v>F</v>
      </c>
      <c r="O113" s="145" t="e">
        <f>+'staffing plan'!#REF!</f>
        <v>#REF!</v>
      </c>
      <c r="P113" s="145" t="e">
        <f>+'staffing plan'!#REF!</f>
        <v>#REF!</v>
      </c>
      <c r="Q113" s="145" t="e">
        <f>+'staffing plan'!#REF!</f>
        <v>#REF!</v>
      </c>
      <c r="R113" t="str">
        <f>+'staffing plan'!BP157</f>
        <v>Transfer from PM 1/3/18</v>
      </c>
      <c r="S113">
        <v>111</v>
      </c>
    </row>
    <row r="114" spans="2:19" hidden="1">
      <c r="B114">
        <f t="shared" si="5"/>
        <v>2017</v>
      </c>
      <c r="C114">
        <f>+'staffing plan'!BK111</f>
        <v>43070</v>
      </c>
      <c r="D114" t="str">
        <f>'staffing plan'!A111</f>
        <v>OSEC-DILGB-LGOO6-27-2017</v>
      </c>
      <c r="E114" t="str">
        <f>+'staffing plan'!B111</f>
        <v>Local Government Operations Officer VI</v>
      </c>
      <c r="F114">
        <f>+'staffing plan'!C111</f>
        <v>22</v>
      </c>
      <c r="G114" s="131">
        <f>+'staffing plan'!AH111</f>
        <v>783828</v>
      </c>
      <c r="H114" s="131">
        <f>+'staffing plan'!AI111</f>
        <v>783828</v>
      </c>
      <c r="I114" s="131">
        <f>+'staffing plan'!AJ111</f>
        <v>1</v>
      </c>
      <c r="J114" t="str">
        <f>+'staffing plan'!AW111</f>
        <v>CHAN, Virginia Lucas</v>
      </c>
      <c r="K114" t="e">
        <f>+'staffing plan'!#REF!</f>
        <v>#REF!</v>
      </c>
      <c r="L114" t="e">
        <f>+'staffing plan'!#REF!</f>
        <v>#REF!</v>
      </c>
      <c r="M114" t="str">
        <f>+'staffing plan'!AX111</f>
        <v>Benguet</v>
      </c>
      <c r="N114" t="str">
        <f>+'staffing plan'!AY111</f>
        <v>F</v>
      </c>
      <c r="O114" s="145" t="e">
        <f>+'staffing plan'!#REF!</f>
        <v>#REF!</v>
      </c>
      <c r="P114" s="145" t="e">
        <f>+'staffing plan'!#REF!</f>
        <v>#REF!</v>
      </c>
      <c r="Q114" s="145" t="e">
        <f>+'staffing plan'!#REF!</f>
        <v>#REF!</v>
      </c>
      <c r="R114">
        <f>+'staffing plan'!BP111</f>
        <v>0</v>
      </c>
      <c r="S114">
        <v>112</v>
      </c>
    </row>
    <row r="115" spans="2:19" hidden="1">
      <c r="B115">
        <f t="shared" si="5"/>
        <v>2017</v>
      </c>
      <c r="C115">
        <f>+'staffing plan'!BK112</f>
        <v>43087</v>
      </c>
      <c r="D115" t="str">
        <f>'staffing plan'!A112</f>
        <v>OSEC-DILGB-LGOO6-28-2017</v>
      </c>
      <c r="E115" t="str">
        <f>+'staffing plan'!B112</f>
        <v>Local Government Operations Officer VI</v>
      </c>
      <c r="F115">
        <f>+'staffing plan'!C112</f>
        <v>22</v>
      </c>
      <c r="G115" s="131">
        <f>+'staffing plan'!AH112</f>
        <v>783828</v>
      </c>
      <c r="H115" s="131">
        <f>+'staffing plan'!AI112</f>
        <v>783828</v>
      </c>
      <c r="I115" s="131">
        <f>+'staffing plan'!AJ112</f>
        <v>1</v>
      </c>
      <c r="J115" t="str">
        <f>+'staffing plan'!AW112</f>
        <v>SAHOY, Jonilou Fukai</v>
      </c>
      <c r="K115" t="e">
        <f>+'staffing plan'!#REF!</f>
        <v>#REF!</v>
      </c>
      <c r="L115" t="e">
        <f>+'staffing plan'!#REF!</f>
        <v>#REF!</v>
      </c>
      <c r="M115" t="str">
        <f>+'staffing plan'!AX112</f>
        <v>Benguet</v>
      </c>
      <c r="N115" t="str">
        <f>+'staffing plan'!AY112</f>
        <v>F</v>
      </c>
      <c r="O115" s="145" t="e">
        <f>+'staffing plan'!#REF!</f>
        <v>#REF!</v>
      </c>
      <c r="P115" s="145" t="e">
        <f>+'staffing plan'!#REF!</f>
        <v>#REF!</v>
      </c>
      <c r="Q115" s="145" t="e">
        <f>+'staffing plan'!#REF!</f>
        <v>#REF!</v>
      </c>
      <c r="R115">
        <f>+'staffing plan'!BP112</f>
        <v>0</v>
      </c>
      <c r="S115">
        <v>113</v>
      </c>
    </row>
    <row r="116" spans="2:19" hidden="1">
      <c r="B116">
        <f t="shared" si="5"/>
        <v>2017</v>
      </c>
      <c r="C116">
        <f>+'staffing plan'!BK113</f>
        <v>43070</v>
      </c>
      <c r="D116" t="str">
        <f>'staffing plan'!A113</f>
        <v>OSEC-DILGB-LGOO6-29-2017</v>
      </c>
      <c r="E116" t="str">
        <f>+'staffing plan'!B113</f>
        <v>Local Government Operations Officer VI</v>
      </c>
      <c r="F116">
        <f>+'staffing plan'!C113</f>
        <v>22</v>
      </c>
      <c r="G116" s="131">
        <f>+'staffing plan'!AH113</f>
        <v>783828</v>
      </c>
      <c r="H116" s="131">
        <f>+'staffing plan'!AI113</f>
        <v>783828</v>
      </c>
      <c r="I116" s="131">
        <f>+'staffing plan'!AJ113</f>
        <v>1</v>
      </c>
      <c r="J116" t="str">
        <f>+'staffing plan'!AW113</f>
        <v>ATING, Janet Belingon</v>
      </c>
      <c r="K116" t="e">
        <f>+'staffing plan'!#REF!</f>
        <v>#REF!</v>
      </c>
      <c r="L116" t="e">
        <f>+'staffing plan'!#REF!</f>
        <v>#REF!</v>
      </c>
      <c r="M116" t="str">
        <f>+'staffing plan'!AX113</f>
        <v>Benguet</v>
      </c>
      <c r="N116" t="str">
        <f>+'staffing plan'!AY113</f>
        <v>F</v>
      </c>
      <c r="O116" s="145" t="e">
        <f>+'staffing plan'!#REF!</f>
        <v>#REF!</v>
      </c>
      <c r="P116" s="145" t="e">
        <f>+'staffing plan'!#REF!</f>
        <v>#REF!</v>
      </c>
      <c r="Q116" s="145" t="e">
        <f>+'staffing plan'!#REF!</f>
        <v>#REF!</v>
      </c>
      <c r="R116">
        <f>+'staffing plan'!BP113</f>
        <v>0</v>
      </c>
      <c r="S116">
        <v>114</v>
      </c>
    </row>
    <row r="117" spans="2:19" hidden="1">
      <c r="B117">
        <f t="shared" si="5"/>
        <v>2017</v>
      </c>
      <c r="C117">
        <f>+'staffing plan'!BK114</f>
        <v>43070</v>
      </c>
      <c r="D117" t="str">
        <f>'staffing plan'!A114</f>
        <v>OSEC-DILGB-LGOO6-30-2017</v>
      </c>
      <c r="E117" t="str">
        <f>+'staffing plan'!B114</f>
        <v>Local Government Operations Officer VI</v>
      </c>
      <c r="F117">
        <f>+'staffing plan'!C114</f>
        <v>22</v>
      </c>
      <c r="G117" s="131">
        <f>+'staffing plan'!AH114</f>
        <v>783828</v>
      </c>
      <c r="H117" s="131">
        <f>+'staffing plan'!AI114</f>
        <v>783828</v>
      </c>
      <c r="I117" s="131">
        <f>+'staffing plan'!AJ114</f>
        <v>1</v>
      </c>
      <c r="J117" t="str">
        <f>+'staffing plan'!AW114</f>
        <v>ULEP, Brigitte  Adeban</v>
      </c>
      <c r="K117" t="e">
        <f>+'staffing plan'!#REF!</f>
        <v>#REF!</v>
      </c>
      <c r="L117" t="e">
        <f>+'staffing plan'!#REF!</f>
        <v>#REF!</v>
      </c>
      <c r="M117" t="str">
        <f>+'staffing plan'!AX114</f>
        <v>Benguet</v>
      </c>
      <c r="N117" t="str">
        <f>+'staffing plan'!AY114</f>
        <v>F</v>
      </c>
      <c r="O117" s="145" t="e">
        <f>+'staffing plan'!#REF!</f>
        <v>#REF!</v>
      </c>
      <c r="P117" s="145" t="e">
        <f>+'staffing plan'!#REF!</f>
        <v>#REF!</v>
      </c>
      <c r="Q117" s="145" t="e">
        <f>+'staffing plan'!#REF!</f>
        <v>#REF!</v>
      </c>
      <c r="R117">
        <f>+'staffing plan'!BP114</f>
        <v>0</v>
      </c>
      <c r="S117">
        <v>115</v>
      </c>
    </row>
    <row r="118" spans="2:19" hidden="1">
      <c r="B118">
        <f t="shared" si="5"/>
        <v>2017</v>
      </c>
      <c r="C118">
        <f>+'staffing plan'!BK115</f>
        <v>43070</v>
      </c>
      <c r="D118" t="str">
        <f>'staffing plan'!A115</f>
        <v>OSEC-DILGB-LGOO6-31-2017</v>
      </c>
      <c r="E118" t="str">
        <f>+'staffing plan'!B115</f>
        <v>Local Government Operations Officer VI</v>
      </c>
      <c r="F118">
        <f>+'staffing plan'!C115</f>
        <v>22</v>
      </c>
      <c r="G118" s="131">
        <f>+'staffing plan'!AH115</f>
        <v>783828</v>
      </c>
      <c r="H118" s="131">
        <f>+'staffing plan'!AI115</f>
        <v>783828</v>
      </c>
      <c r="I118" s="131">
        <f>+'staffing plan'!AJ115</f>
        <v>1</v>
      </c>
      <c r="J118" t="str">
        <f>+'staffing plan'!AW115</f>
        <v>ATING, Cesar Uemura</v>
      </c>
      <c r="K118" t="e">
        <f>+'staffing plan'!#REF!</f>
        <v>#REF!</v>
      </c>
      <c r="L118" t="e">
        <f>+'staffing plan'!#REF!</f>
        <v>#REF!</v>
      </c>
      <c r="M118" t="str">
        <f>+'staffing plan'!AX115</f>
        <v>Benguet</v>
      </c>
      <c r="N118" t="str">
        <f>+'staffing plan'!AY115</f>
        <v>M</v>
      </c>
      <c r="O118" s="145" t="e">
        <f>+'staffing plan'!#REF!</f>
        <v>#REF!</v>
      </c>
      <c r="P118" s="145" t="e">
        <f>+'staffing plan'!#REF!</f>
        <v>#REF!</v>
      </c>
      <c r="Q118" s="145" t="e">
        <f>+'staffing plan'!#REF!</f>
        <v>#REF!</v>
      </c>
      <c r="R118" t="str">
        <f>+'staffing plan'!BP115</f>
        <v>Shifting</v>
      </c>
      <c r="S118">
        <v>116</v>
      </c>
    </row>
    <row r="119" spans="2:19" hidden="1">
      <c r="B119">
        <f t="shared" si="5"/>
        <v>2017</v>
      </c>
      <c r="C119">
        <f>+'staffing plan'!BK116</f>
        <v>43070</v>
      </c>
      <c r="D119" t="str">
        <f>'staffing plan'!A116</f>
        <v>OSEC-DILGB-LGOO6-32-2017</v>
      </c>
      <c r="E119" t="str">
        <f>+'staffing plan'!B116</f>
        <v>Local Government Operations Officer VI</v>
      </c>
      <c r="F119">
        <f>+'staffing plan'!C116</f>
        <v>22</v>
      </c>
      <c r="G119" s="131">
        <f>+'staffing plan'!AH116</f>
        <v>783828</v>
      </c>
      <c r="H119" s="131">
        <f>+'staffing plan'!AI116</f>
        <v>783828</v>
      </c>
      <c r="I119" s="131">
        <f>+'staffing plan'!AJ116</f>
        <v>1</v>
      </c>
      <c r="J119" t="str">
        <f>+'staffing plan'!AW116</f>
        <v>LUMA-ANG, Randy Thomas</v>
      </c>
      <c r="K119" t="e">
        <f>+'staffing plan'!#REF!</f>
        <v>#REF!</v>
      </c>
      <c r="L119" t="e">
        <f>+'staffing plan'!#REF!</f>
        <v>#REF!</v>
      </c>
      <c r="M119" t="str">
        <f>+'staffing plan'!AX116</f>
        <v>Benguet</v>
      </c>
      <c r="N119" t="str">
        <f>+'staffing plan'!AY116</f>
        <v>M</v>
      </c>
      <c r="O119" s="145" t="e">
        <f>+'staffing plan'!#REF!</f>
        <v>#REF!</v>
      </c>
      <c r="P119" s="145" t="e">
        <f>+'staffing plan'!#REF!</f>
        <v>#REF!</v>
      </c>
      <c r="Q119" s="145" t="e">
        <f>+'staffing plan'!#REF!</f>
        <v>#REF!</v>
      </c>
      <c r="R119">
        <f>+'staffing plan'!BP116</f>
        <v>0</v>
      </c>
      <c r="S119">
        <v>117</v>
      </c>
    </row>
    <row r="120" spans="2:19" hidden="1">
      <c r="B120">
        <f t="shared" si="5"/>
        <v>2002</v>
      </c>
      <c r="C120">
        <f>+'staffing plan'!BK170</f>
        <v>37453</v>
      </c>
      <c r="D120" t="str">
        <f>'staffing plan'!A170</f>
        <v>OSEC-DILGB-LGOO5-934-1998</v>
      </c>
      <c r="E120" t="str">
        <f>+'staffing plan'!B170</f>
        <v>Local Government Operations Officer V</v>
      </c>
      <c r="F120">
        <f>+'staffing plan'!C170</f>
        <v>20</v>
      </c>
      <c r="G120" s="131">
        <f>+'staffing plan'!AH170</f>
        <v>613860</v>
      </c>
      <c r="H120" s="131">
        <f>+'staffing plan'!AI170</f>
        <v>665616</v>
      </c>
      <c r="I120" s="131">
        <f>+'staffing plan'!AJ170</f>
        <v>6</v>
      </c>
      <c r="J120" t="str">
        <f>+'staffing plan'!AW170</f>
        <v>OLANGCAY, Elizabeth Saguid</v>
      </c>
      <c r="K120" t="e">
        <f>+'staffing plan'!#REF!</f>
        <v>#REF!</v>
      </c>
      <c r="L120" t="e">
        <f>+'staffing plan'!#REF!</f>
        <v>#REF!</v>
      </c>
      <c r="M120" t="str">
        <f>+'staffing plan'!AX170</f>
        <v>Benguet</v>
      </c>
      <c r="N120" t="str">
        <f>+'staffing plan'!AY170</f>
        <v>F</v>
      </c>
      <c r="O120" s="145" t="e">
        <f>+'staffing plan'!#REF!</f>
        <v>#REF!</v>
      </c>
      <c r="P120" s="145" t="e">
        <f>+'staffing plan'!#REF!</f>
        <v>#REF!</v>
      </c>
      <c r="Q120" s="145" t="e">
        <f>+'staffing plan'!#REF!</f>
        <v>#REF!</v>
      </c>
      <c r="R120" t="str">
        <f>+'staffing plan'!BP170</f>
        <v>Shifting</v>
      </c>
      <c r="S120">
        <v>118</v>
      </c>
    </row>
    <row r="121" spans="2:19" hidden="1">
      <c r="B121">
        <f t="shared" si="5"/>
        <v>2017</v>
      </c>
      <c r="C121">
        <f>+'staffing plan'!BK117</f>
        <v>43070</v>
      </c>
      <c r="D121" t="str">
        <f>'staffing plan'!A117</f>
        <v>OSEC-DILGB-LGOO6-33-2017</v>
      </c>
      <c r="E121" t="str">
        <f>+'staffing plan'!B117</f>
        <v>Local Government Operations Officer VI</v>
      </c>
      <c r="F121">
        <f>+'staffing plan'!C117</f>
        <v>22</v>
      </c>
      <c r="G121" s="131">
        <f>+'staffing plan'!AH117</f>
        <v>783828</v>
      </c>
      <c r="H121" s="131">
        <f>+'staffing plan'!AI117</f>
        <v>783828</v>
      </c>
      <c r="I121" s="131">
        <f>+'staffing plan'!AJ117</f>
        <v>1</v>
      </c>
      <c r="J121" t="str">
        <f>+'staffing plan'!AW117</f>
        <v>CAWIS, Odemar Mendoza</v>
      </c>
      <c r="K121" t="e">
        <f>+'staffing plan'!#REF!</f>
        <v>#REF!</v>
      </c>
      <c r="L121" t="e">
        <f>+'staffing plan'!#REF!</f>
        <v>#REF!</v>
      </c>
      <c r="M121" t="str">
        <f>+'staffing plan'!AX117</f>
        <v>Benguet</v>
      </c>
      <c r="N121" t="str">
        <f>+'staffing plan'!AY117</f>
        <v>M</v>
      </c>
      <c r="O121" s="145" t="e">
        <f>+'staffing plan'!#REF!</f>
        <v>#REF!</v>
      </c>
      <c r="P121" s="145" t="e">
        <f>+'staffing plan'!#REF!</f>
        <v>#REF!</v>
      </c>
      <c r="Q121" s="145" t="e">
        <f>+'staffing plan'!#REF!</f>
        <v>#REF!</v>
      </c>
      <c r="R121">
        <f>+'staffing plan'!BP117</f>
        <v>0</v>
      </c>
      <c r="S121">
        <v>119</v>
      </c>
    </row>
    <row r="122" spans="2:19" hidden="1">
      <c r="B122">
        <f t="shared" si="5"/>
        <v>2017</v>
      </c>
      <c r="C122">
        <f>+'staffing plan'!BK118</f>
        <v>43070</v>
      </c>
      <c r="D122" t="str">
        <f>'staffing plan'!A118</f>
        <v>OSEC-DILGB-LGOO6-34-2017</v>
      </c>
      <c r="E122" t="str">
        <f>+'staffing plan'!B118</f>
        <v>Local Government Operations Officer VI</v>
      </c>
      <c r="F122">
        <f>+'staffing plan'!C118</f>
        <v>22</v>
      </c>
      <c r="G122" s="131">
        <f>+'staffing plan'!AH118</f>
        <v>783828</v>
      </c>
      <c r="H122" s="131">
        <f>+'staffing plan'!AI118</f>
        <v>783828</v>
      </c>
      <c r="I122" s="131">
        <f>+'staffing plan'!AJ118</f>
        <v>1</v>
      </c>
      <c r="J122" t="str">
        <f>+'staffing plan'!AW118</f>
        <v>CARDENAS, Cheryl Rose Flores</v>
      </c>
      <c r="K122" t="e">
        <f>+'staffing plan'!#REF!</f>
        <v>#REF!</v>
      </c>
      <c r="L122" t="e">
        <f>+'staffing plan'!#REF!</f>
        <v>#REF!</v>
      </c>
      <c r="M122" t="str">
        <f>+'staffing plan'!AX118</f>
        <v>Benguet</v>
      </c>
      <c r="N122" t="str">
        <f>+'staffing plan'!AY118</f>
        <v>F</v>
      </c>
      <c r="O122" s="145" t="e">
        <f>+'staffing plan'!#REF!</f>
        <v>#REF!</v>
      </c>
      <c r="P122" s="145" t="e">
        <f>+'staffing plan'!#REF!</f>
        <v>#REF!</v>
      </c>
      <c r="Q122" s="145" t="e">
        <f>+'staffing plan'!#REF!</f>
        <v>#REF!</v>
      </c>
      <c r="R122" t="str">
        <f>+'staffing plan'!BP118</f>
        <v>Shifting</v>
      </c>
      <c r="S122">
        <v>120</v>
      </c>
    </row>
    <row r="123" spans="2:19" hidden="1">
      <c r="B123">
        <f t="shared" si="5"/>
        <v>2017</v>
      </c>
      <c r="C123">
        <f>+'staffing plan'!BK119</f>
        <v>43070</v>
      </c>
      <c r="D123" t="str">
        <f>'staffing plan'!A119</f>
        <v>OSEC-DILGB-LGOO6-35-2017</v>
      </c>
      <c r="E123" t="str">
        <f>+'staffing plan'!B119</f>
        <v>Local Government Operations Officer VI</v>
      </c>
      <c r="F123">
        <f>+'staffing plan'!C119</f>
        <v>22</v>
      </c>
      <c r="G123" s="131">
        <f>+'staffing plan'!AH119</f>
        <v>783828</v>
      </c>
      <c r="H123" s="131">
        <f>+'staffing plan'!AI119</f>
        <v>783828</v>
      </c>
      <c r="I123" s="131">
        <f>+'staffing plan'!AJ119</f>
        <v>1</v>
      </c>
      <c r="J123" t="str">
        <f>+'staffing plan'!AW119</f>
        <v>EBES, Linston Bolislis</v>
      </c>
      <c r="K123" t="e">
        <f>+'staffing plan'!#REF!</f>
        <v>#REF!</v>
      </c>
      <c r="L123" t="e">
        <f>+'staffing plan'!#REF!</f>
        <v>#REF!</v>
      </c>
      <c r="M123" t="str">
        <f>+'staffing plan'!AX119</f>
        <v>Benguet</v>
      </c>
      <c r="N123" t="str">
        <f>+'staffing plan'!AY119</f>
        <v>M</v>
      </c>
      <c r="O123" s="145" t="e">
        <f>+'staffing plan'!#REF!</f>
        <v>#REF!</v>
      </c>
      <c r="P123" s="145" t="e">
        <f>+'staffing plan'!#REF!</f>
        <v>#REF!</v>
      </c>
      <c r="Q123" s="145" t="e">
        <f>+'staffing plan'!#REF!</f>
        <v>#REF!</v>
      </c>
      <c r="R123">
        <f>+'staffing plan'!BP119</f>
        <v>0</v>
      </c>
      <c r="S123">
        <v>121</v>
      </c>
    </row>
    <row r="124" spans="2:19" hidden="1">
      <c r="B124">
        <f t="shared" si="5"/>
        <v>2017</v>
      </c>
      <c r="C124">
        <f>+'staffing plan'!BK145</f>
        <v>43070</v>
      </c>
      <c r="D124" t="str">
        <f>'staffing plan'!A145</f>
        <v>OSEC-DILGB-LGOO6-61-2017</v>
      </c>
      <c r="E124" t="str">
        <f>+'staffing plan'!B145</f>
        <v>Local Government Operations Officer VI</v>
      </c>
      <c r="F124">
        <f>+'staffing plan'!C145</f>
        <v>22</v>
      </c>
      <c r="G124" s="131">
        <f>+'staffing plan'!AH145</f>
        <v>783828</v>
      </c>
      <c r="H124" s="131">
        <f>+'staffing plan'!AI145</f>
        <v>783828</v>
      </c>
      <c r="I124" s="131">
        <f>+'staffing plan'!AJ145</f>
        <v>1</v>
      </c>
      <c r="J124" t="str">
        <f>+'staffing plan'!AW145</f>
        <v>PEEL, Lourdes Claire Fanusan</v>
      </c>
      <c r="K124" t="e">
        <f>+'staffing plan'!#REF!</f>
        <v>#REF!</v>
      </c>
      <c r="L124" t="e">
        <f>+'staffing plan'!#REF!</f>
        <v>#REF!</v>
      </c>
      <c r="M124" t="str">
        <f>+'staffing plan'!AX145</f>
        <v>Mt. Province</v>
      </c>
      <c r="N124" t="str">
        <f>+'staffing plan'!AY145</f>
        <v>F</v>
      </c>
      <c r="O124" s="145" t="e">
        <f>+'staffing plan'!#REF!</f>
        <v>#REF!</v>
      </c>
      <c r="P124" s="145" t="e">
        <f>+'staffing plan'!#REF!</f>
        <v>#REF!</v>
      </c>
      <c r="Q124" s="145" t="e">
        <f>+'staffing plan'!#REF!</f>
        <v>#REF!</v>
      </c>
      <c r="R124">
        <f>+'staffing plan'!BP145</f>
        <v>0</v>
      </c>
      <c r="S124">
        <v>122</v>
      </c>
    </row>
    <row r="125" spans="2:19" hidden="1">
      <c r="B125">
        <f t="shared" si="5"/>
        <v>2017</v>
      </c>
      <c r="C125">
        <f>+'staffing plan'!BK146</f>
        <v>43070</v>
      </c>
      <c r="D125" t="str">
        <f>'staffing plan'!A146</f>
        <v>OSEC-DILGB-LGOO6-62-2017</v>
      </c>
      <c r="E125" t="str">
        <f>+'staffing plan'!B146</f>
        <v>Local Government Operations Officer VI</v>
      </c>
      <c r="F125">
        <f>+'staffing plan'!C146</f>
        <v>22</v>
      </c>
      <c r="G125" s="131">
        <f>+'staffing plan'!AH146</f>
        <v>783828</v>
      </c>
      <c r="H125" s="131">
        <f>+'staffing plan'!AI146</f>
        <v>783828</v>
      </c>
      <c r="I125" s="131">
        <f>+'staffing plan'!AJ146</f>
        <v>1</v>
      </c>
      <c r="J125" t="str">
        <f>+'staffing plan'!AW146</f>
        <v>FEGCAN, Erwin Gerald Talusig</v>
      </c>
      <c r="K125" t="e">
        <f>+'staffing plan'!#REF!</f>
        <v>#REF!</v>
      </c>
      <c r="L125" t="e">
        <f>+'staffing plan'!#REF!</f>
        <v>#REF!</v>
      </c>
      <c r="M125" t="str">
        <f>+'staffing plan'!AX146</f>
        <v>Mt. Province</v>
      </c>
      <c r="N125" t="str">
        <f>+'staffing plan'!AY146</f>
        <v>M</v>
      </c>
      <c r="O125" s="145" t="e">
        <f>+'staffing plan'!#REF!</f>
        <v>#REF!</v>
      </c>
      <c r="P125" s="145" t="e">
        <f>+'staffing plan'!#REF!</f>
        <v>#REF!</v>
      </c>
      <c r="Q125" s="145" t="e">
        <f>+'staffing plan'!#REF!</f>
        <v>#REF!</v>
      </c>
      <c r="R125">
        <f>+'staffing plan'!BP146</f>
        <v>0</v>
      </c>
      <c r="S125">
        <v>123</v>
      </c>
    </row>
    <row r="126" spans="2:19" hidden="1">
      <c r="B126">
        <f t="shared" si="5"/>
        <v>2018</v>
      </c>
      <c r="C126">
        <f>+'staffing plan'!BK147</f>
        <v>43168</v>
      </c>
      <c r="D126" t="str">
        <f>'staffing plan'!A147</f>
        <v>OSEC-DILGB-LGOO6-63-2017</v>
      </c>
      <c r="E126" t="str">
        <f>+'staffing plan'!B147</f>
        <v>Local Government Operations Officer VI</v>
      </c>
      <c r="F126">
        <f>+'staffing plan'!C147</f>
        <v>22</v>
      </c>
      <c r="G126" s="131">
        <f>+'staffing plan'!AH147</f>
        <v>783828</v>
      </c>
      <c r="H126" s="131">
        <f>+'staffing plan'!AI147</f>
        <v>783828</v>
      </c>
      <c r="I126" s="131">
        <f>+'staffing plan'!AJ147</f>
        <v>1</v>
      </c>
      <c r="J126" t="str">
        <f>+'staffing plan'!AW147</f>
        <v>MANGANGEY, Robert Jr.  Palog</v>
      </c>
      <c r="K126" t="e">
        <f>+'staffing plan'!#REF!</f>
        <v>#REF!</v>
      </c>
      <c r="L126" t="e">
        <f>+'staffing plan'!#REF!</f>
        <v>#REF!</v>
      </c>
      <c r="M126" t="str">
        <f>+'staffing plan'!AX147</f>
        <v>Mt. Province</v>
      </c>
      <c r="N126" t="str">
        <f>+'staffing plan'!AY147</f>
        <v>M</v>
      </c>
      <c r="O126" s="145" t="e">
        <f>+'staffing plan'!#REF!</f>
        <v>#REF!</v>
      </c>
      <c r="P126" s="145" t="e">
        <f>+'staffing plan'!#REF!</f>
        <v>#REF!</v>
      </c>
      <c r="Q126" s="145" t="e">
        <f>+'staffing plan'!#REF!</f>
        <v>#REF!</v>
      </c>
      <c r="R126" t="str">
        <f>+'staffing plan'!BP147</f>
        <v>Shifting</v>
      </c>
      <c r="S126">
        <v>124</v>
      </c>
    </row>
    <row r="127" spans="2:19" hidden="1">
      <c r="B127">
        <f t="shared" si="5"/>
        <v>2018</v>
      </c>
      <c r="C127">
        <f>+'staffing plan'!BK171</f>
        <v>43283</v>
      </c>
      <c r="D127" t="str">
        <f>'staffing plan'!A171</f>
        <v>OSEC-DILGB-LGOO5-943-1998</v>
      </c>
      <c r="E127" t="str">
        <f>+'staffing plan'!B171</f>
        <v>Local Government Operations Officer V</v>
      </c>
      <c r="F127">
        <f>+'staffing plan'!C171</f>
        <v>20</v>
      </c>
      <c r="G127" s="131">
        <f>+'staffing plan'!AH171</f>
        <v>613860</v>
      </c>
      <c r="H127" s="131">
        <f>+'staffing plan'!AI171</f>
        <v>613860</v>
      </c>
      <c r="I127" s="131">
        <f>+'staffing plan'!AJ171</f>
        <v>1</v>
      </c>
      <c r="J127" t="str">
        <f>+'staffing plan'!AW171</f>
        <v>BACWADEN, Perry  Daoas</v>
      </c>
      <c r="K127" t="e">
        <f>+'staffing plan'!#REF!</f>
        <v>#REF!</v>
      </c>
      <c r="L127" t="e">
        <f>+'staffing plan'!#REF!</f>
        <v>#REF!</v>
      </c>
      <c r="M127" t="str">
        <f>+'staffing plan'!AX171</f>
        <v>Mt. Province</v>
      </c>
      <c r="N127" t="str">
        <f>+'staffing plan'!AY171</f>
        <v>M</v>
      </c>
      <c r="O127" s="145" t="e">
        <f>+'staffing plan'!#REF!</f>
        <v>#REF!</v>
      </c>
      <c r="P127" s="145" t="e">
        <f>+'staffing plan'!#REF!</f>
        <v>#REF!</v>
      </c>
      <c r="Q127" s="145" t="e">
        <f>+'staffing plan'!#REF!</f>
        <v>#REF!</v>
      </c>
      <c r="R127">
        <f>+'staffing plan'!BP171</f>
        <v>0</v>
      </c>
      <c r="S127">
        <v>125</v>
      </c>
    </row>
    <row r="128" spans="2:19" hidden="1">
      <c r="B128">
        <f t="shared" si="5"/>
        <v>2017</v>
      </c>
      <c r="C128">
        <f>+'staffing plan'!BK148</f>
        <v>43070</v>
      </c>
      <c r="D128" t="str">
        <f>'staffing plan'!A148</f>
        <v>OSEC-DILGB-LGOO6-64-2017</v>
      </c>
      <c r="E128" t="str">
        <f>+'staffing plan'!B148</f>
        <v>Local Government Operations Officer VI</v>
      </c>
      <c r="F128">
        <f>+'staffing plan'!C148</f>
        <v>22</v>
      </c>
      <c r="G128" s="131">
        <f>+'staffing plan'!AH148</f>
        <v>783828</v>
      </c>
      <c r="H128" s="131">
        <f>+'staffing plan'!AI148</f>
        <v>783828</v>
      </c>
      <c r="I128" s="131">
        <f>+'staffing plan'!AJ148</f>
        <v>1</v>
      </c>
      <c r="J128" t="str">
        <f>+'staffing plan'!AW148</f>
        <v>FA-ED, Jill  Fanged</v>
      </c>
      <c r="K128" t="e">
        <f>+'staffing plan'!#REF!</f>
        <v>#REF!</v>
      </c>
      <c r="L128" t="e">
        <f>+'staffing plan'!#REF!</f>
        <v>#REF!</v>
      </c>
      <c r="M128" t="str">
        <f>+'staffing plan'!AX148</f>
        <v>Mt. Province</v>
      </c>
      <c r="N128" t="str">
        <f>+'staffing plan'!AY148</f>
        <v>F</v>
      </c>
      <c r="O128" s="145" t="e">
        <f>+'staffing plan'!#REF!</f>
        <v>#REF!</v>
      </c>
      <c r="P128" s="145" t="e">
        <f>+'staffing plan'!#REF!</f>
        <v>#REF!</v>
      </c>
      <c r="Q128" s="145" t="e">
        <f>+'staffing plan'!#REF!</f>
        <v>#REF!</v>
      </c>
      <c r="R128">
        <f>+'staffing plan'!BP148</f>
        <v>0</v>
      </c>
      <c r="S128">
        <v>126</v>
      </c>
    </row>
    <row r="129" spans="2:19" hidden="1">
      <c r="B129">
        <f t="shared" si="5"/>
        <v>2017</v>
      </c>
      <c r="C129">
        <f>+'staffing plan'!BK149</f>
        <v>43087</v>
      </c>
      <c r="D129" t="str">
        <f>'staffing plan'!A149</f>
        <v>OSEC-DILGB-LGOO6-65-2017</v>
      </c>
      <c r="E129" t="str">
        <f>+'staffing plan'!B149</f>
        <v>Local Government Operations Officer VI</v>
      </c>
      <c r="F129">
        <f>+'staffing plan'!C149</f>
        <v>22</v>
      </c>
      <c r="G129" s="131">
        <f>+'staffing plan'!AH149</f>
        <v>783828</v>
      </c>
      <c r="H129" s="131">
        <f>+'staffing plan'!AI149</f>
        <v>783828</v>
      </c>
      <c r="I129" s="131">
        <f>+'staffing plan'!AJ149</f>
        <v>1</v>
      </c>
      <c r="J129" t="str">
        <f>+'staffing plan'!AW149</f>
        <v>BASCO, Raymundo Jacinto Pandoyos</v>
      </c>
      <c r="K129" t="e">
        <f>+'staffing plan'!#REF!</f>
        <v>#REF!</v>
      </c>
      <c r="L129" t="e">
        <f>+'staffing plan'!#REF!</f>
        <v>#REF!</v>
      </c>
      <c r="M129" t="str">
        <f>+'staffing plan'!AX149</f>
        <v>Mt. Province</v>
      </c>
      <c r="N129" t="str">
        <f>+'staffing plan'!AY149</f>
        <v>M</v>
      </c>
      <c r="O129" s="145" t="e">
        <f>+'staffing plan'!#REF!</f>
        <v>#REF!</v>
      </c>
      <c r="P129" s="145" t="e">
        <f>+'staffing plan'!#REF!</f>
        <v>#REF!</v>
      </c>
      <c r="Q129" s="145" t="e">
        <f>+'staffing plan'!#REF!</f>
        <v>#REF!</v>
      </c>
      <c r="R129">
        <f>+'staffing plan'!BP149</f>
        <v>0</v>
      </c>
      <c r="S129">
        <v>127</v>
      </c>
    </row>
    <row r="130" spans="2:19" hidden="1">
      <c r="B130">
        <f t="shared" si="5"/>
        <v>2017</v>
      </c>
      <c r="C130">
        <f>+'staffing plan'!BK150</f>
        <v>43070</v>
      </c>
      <c r="D130" t="str">
        <f>'staffing plan'!A150</f>
        <v>OSEC-DILGB-LGOO6-66-2017</v>
      </c>
      <c r="E130" t="str">
        <f>+'staffing plan'!B150</f>
        <v>Local Government Operations Officer VI</v>
      </c>
      <c r="F130">
        <f>+'staffing plan'!C150</f>
        <v>22</v>
      </c>
      <c r="G130" s="131">
        <f>+'staffing plan'!AH150</f>
        <v>783828</v>
      </c>
      <c r="H130" s="131">
        <f>+'staffing plan'!AI150</f>
        <v>783828</v>
      </c>
      <c r="I130" s="131">
        <f>+'staffing plan'!AJ150</f>
        <v>1</v>
      </c>
      <c r="J130" t="str">
        <f>+'staffing plan'!AW150</f>
        <v>PILUDEN, Judy Colabot</v>
      </c>
      <c r="K130" t="e">
        <f>+'staffing plan'!#REF!</f>
        <v>#REF!</v>
      </c>
      <c r="L130" t="e">
        <f>+'staffing plan'!#REF!</f>
        <v>#REF!</v>
      </c>
      <c r="M130" t="str">
        <f>+'staffing plan'!AX150</f>
        <v>Mt. Province</v>
      </c>
      <c r="N130" t="str">
        <f>+'staffing plan'!AY150</f>
        <v>F</v>
      </c>
      <c r="O130" s="145" t="e">
        <f>+'staffing plan'!#REF!</f>
        <v>#REF!</v>
      </c>
      <c r="P130" s="145" t="e">
        <f>+'staffing plan'!#REF!</f>
        <v>#REF!</v>
      </c>
      <c r="Q130" s="145" t="e">
        <f>+'staffing plan'!#REF!</f>
        <v>#REF!</v>
      </c>
      <c r="R130">
        <f>+'staffing plan'!BP150</f>
        <v>0</v>
      </c>
      <c r="S130">
        <v>128</v>
      </c>
    </row>
    <row r="131" spans="2:19" hidden="1">
      <c r="B131">
        <f t="shared" si="5"/>
        <v>2018</v>
      </c>
      <c r="C131">
        <f>+'staffing plan'!BK172</f>
        <v>43129</v>
      </c>
      <c r="D131" t="str">
        <f>'staffing plan'!A172</f>
        <v>OSEC-DILGB-LGOO5-947-1998</v>
      </c>
      <c r="E131" t="str">
        <f>+'staffing plan'!B172</f>
        <v>Local Government Operations Officer V</v>
      </c>
      <c r="F131">
        <f>+'staffing plan'!C172</f>
        <v>20</v>
      </c>
      <c r="G131" s="131">
        <f>+'staffing plan'!AH172</f>
        <v>613860</v>
      </c>
      <c r="H131" s="131">
        <f>+'staffing plan'!AI172</f>
        <v>613860</v>
      </c>
      <c r="I131" s="131">
        <f>+'staffing plan'!AJ172</f>
        <v>1</v>
      </c>
      <c r="J131" t="str">
        <f>+'staffing plan'!AW172</f>
        <v>LICYAYO, Jennifer Lablabong</v>
      </c>
      <c r="K131" t="e">
        <f>+'staffing plan'!#REF!</f>
        <v>#REF!</v>
      </c>
      <c r="L131" t="e">
        <f>+'staffing plan'!#REF!</f>
        <v>#REF!</v>
      </c>
      <c r="M131" t="str">
        <f>+'staffing plan'!AX172</f>
        <v>Mt. Province</v>
      </c>
      <c r="N131" t="str">
        <f>+'staffing plan'!AY172</f>
        <v>F</v>
      </c>
      <c r="O131" s="145" t="e">
        <f>+'staffing plan'!#REF!</f>
        <v>#REF!</v>
      </c>
      <c r="P131" s="145" t="e">
        <f>+'staffing plan'!#REF!</f>
        <v>#REF!</v>
      </c>
      <c r="Q131" s="145" t="e">
        <f>+'staffing plan'!#REF!</f>
        <v>#REF!</v>
      </c>
      <c r="R131" t="str">
        <f>+'staffing plan'!BP172</f>
        <v>MP Prov</v>
      </c>
      <c r="S131">
        <v>129</v>
      </c>
    </row>
    <row r="132" spans="2:19" hidden="1">
      <c r="B132">
        <f t="shared" si="5"/>
        <v>2017</v>
      </c>
      <c r="C132">
        <f>+'staffing plan'!BK151</f>
        <v>43089</v>
      </c>
      <c r="D132" t="str">
        <f>'staffing plan'!A151</f>
        <v>OSEC-DILGB-LGOO6-67-2017</v>
      </c>
      <c r="E132" t="str">
        <f>+'staffing plan'!B151</f>
        <v>Local Government Operations Officer VI</v>
      </c>
      <c r="F132">
        <f>+'staffing plan'!C151</f>
        <v>22</v>
      </c>
      <c r="G132" s="131">
        <f>+'staffing plan'!AH151</f>
        <v>783828</v>
      </c>
      <c r="H132" s="131">
        <f>+'staffing plan'!AI151</f>
        <v>783828</v>
      </c>
      <c r="I132" s="131">
        <f>+'staffing plan'!AJ151</f>
        <v>1</v>
      </c>
      <c r="J132" t="str">
        <f>+'staffing plan'!AW151</f>
        <v>MAYMAYA, Johnny Jr.  Mukay</v>
      </c>
      <c r="K132" t="e">
        <f>+'staffing plan'!#REF!</f>
        <v>#REF!</v>
      </c>
      <c r="L132" t="e">
        <f>+'staffing plan'!#REF!</f>
        <v>#REF!</v>
      </c>
      <c r="M132" t="str">
        <f>+'staffing plan'!AX151</f>
        <v>Mt. Province</v>
      </c>
      <c r="N132" t="str">
        <f>+'staffing plan'!AY151</f>
        <v>M</v>
      </c>
      <c r="O132" s="145" t="e">
        <f>+'staffing plan'!#REF!</f>
        <v>#REF!</v>
      </c>
      <c r="P132" s="145" t="e">
        <f>+'staffing plan'!#REF!</f>
        <v>#REF!</v>
      </c>
      <c r="Q132" s="145" t="e">
        <f>+'staffing plan'!#REF!</f>
        <v>#REF!</v>
      </c>
      <c r="R132" t="str">
        <f>+'staffing plan'!BP151</f>
        <v>Shifting</v>
      </c>
      <c r="S132">
        <v>130</v>
      </c>
    </row>
    <row r="133" spans="2:19" hidden="1">
      <c r="B133">
        <f t="shared" si="5"/>
        <v>2017</v>
      </c>
      <c r="C133">
        <f>+'staffing plan'!BK127</f>
        <v>43070</v>
      </c>
      <c r="D133" t="str">
        <f>'staffing plan'!A127</f>
        <v>OSEC-DILGB-LGOO6-43-2017</v>
      </c>
      <c r="E133" t="str">
        <f>+'staffing plan'!B127</f>
        <v>Local Government Operations OFFICER VI</v>
      </c>
      <c r="F133">
        <f>+'staffing plan'!C127</f>
        <v>22</v>
      </c>
      <c r="G133" s="131">
        <f>+'staffing plan'!AH127</f>
        <v>783828</v>
      </c>
      <c r="H133" s="131">
        <f>+'staffing plan'!AI127</f>
        <v>783828</v>
      </c>
      <c r="I133" s="131">
        <f>+'staffing plan'!AJ127</f>
        <v>1</v>
      </c>
      <c r="J133" t="str">
        <f>+'staffing plan'!AW127</f>
        <v>CABANAYAN, Carol Chulipa</v>
      </c>
      <c r="K133" t="e">
        <f>+'staffing plan'!#REF!</f>
        <v>#REF!</v>
      </c>
      <c r="L133" t="e">
        <f>+'staffing plan'!#REF!</f>
        <v>#REF!</v>
      </c>
      <c r="M133" t="str">
        <f>+'staffing plan'!AX127</f>
        <v>Ifugao</v>
      </c>
      <c r="N133" t="str">
        <f>+'staffing plan'!AY127</f>
        <v>F</v>
      </c>
      <c r="O133" s="145" t="e">
        <f>+'staffing plan'!#REF!</f>
        <v>#REF!</v>
      </c>
      <c r="P133" s="145" t="e">
        <f>+'staffing plan'!#REF!</f>
        <v>#REF!</v>
      </c>
      <c r="Q133" s="145" t="e">
        <f>+'staffing plan'!#REF!</f>
        <v>#REF!</v>
      </c>
      <c r="R133">
        <f>+'staffing plan'!BP127</f>
        <v>0</v>
      </c>
      <c r="S133">
        <v>131</v>
      </c>
    </row>
    <row r="134" spans="2:19" hidden="1">
      <c r="B134">
        <f t="shared" si="5"/>
        <v>2017</v>
      </c>
      <c r="C134">
        <f>+'staffing plan'!BK128</f>
        <v>43070</v>
      </c>
      <c r="D134" t="str">
        <f>'staffing plan'!A128</f>
        <v>OSEC-DILGB-LGOO6-44-2017</v>
      </c>
      <c r="E134" t="str">
        <f>+'staffing plan'!B128</f>
        <v>Local Government Operations OFFICER VI</v>
      </c>
      <c r="F134">
        <f>+'staffing plan'!C128</f>
        <v>22</v>
      </c>
      <c r="G134" s="131">
        <f>+'staffing plan'!AH128</f>
        <v>783828</v>
      </c>
      <c r="H134" s="131">
        <f>+'staffing plan'!AI128</f>
        <v>783828</v>
      </c>
      <c r="I134" s="131">
        <f>+'staffing plan'!AJ128</f>
        <v>1</v>
      </c>
      <c r="J134" t="str">
        <f>+'staffing plan'!AW128</f>
        <v>PAGADDUT, Jimmy Bantiyan</v>
      </c>
      <c r="K134" t="e">
        <f>+'staffing plan'!#REF!</f>
        <v>#REF!</v>
      </c>
      <c r="L134" t="e">
        <f>+'staffing plan'!#REF!</f>
        <v>#REF!</v>
      </c>
      <c r="M134" t="str">
        <f>+'staffing plan'!AX128</f>
        <v>Ifugao</v>
      </c>
      <c r="N134" t="str">
        <f>+'staffing plan'!AY128</f>
        <v>M</v>
      </c>
      <c r="O134" s="145" t="e">
        <f>+'staffing plan'!#REF!</f>
        <v>#REF!</v>
      </c>
      <c r="P134" s="145" t="e">
        <f>+'staffing plan'!#REF!</f>
        <v>#REF!</v>
      </c>
      <c r="Q134" s="145" t="e">
        <f>+'staffing plan'!#REF!</f>
        <v>#REF!</v>
      </c>
      <c r="R134" t="str">
        <f>+'staffing plan'!BP128</f>
        <v>Shifting</v>
      </c>
      <c r="S134">
        <v>132</v>
      </c>
    </row>
    <row r="135" spans="2:19" hidden="1">
      <c r="B135">
        <f t="shared" si="5"/>
        <v>2018</v>
      </c>
      <c r="C135">
        <f>+'staffing plan'!BK173</f>
        <v>43129</v>
      </c>
      <c r="D135" t="str">
        <f>'staffing plan'!A173</f>
        <v>OSEC-DILGB-LGOO5-952-1998</v>
      </c>
      <c r="E135" t="str">
        <f>+'staffing plan'!B173</f>
        <v>Local Government Operations Officer V</v>
      </c>
      <c r="F135">
        <f>+'staffing plan'!C173</f>
        <v>20</v>
      </c>
      <c r="G135" s="131">
        <f>+'staffing plan'!AH173</f>
        <v>613860</v>
      </c>
      <c r="H135" s="131">
        <f>+'staffing plan'!AI173</f>
        <v>613860</v>
      </c>
      <c r="I135" s="131">
        <f>+'staffing plan'!AJ173</f>
        <v>1</v>
      </c>
      <c r="J135" t="str">
        <f>+'staffing plan'!AW173</f>
        <v>ANGGADNA, Mario Jr. Domingo</v>
      </c>
      <c r="K135" t="e">
        <f>+'staffing plan'!#REF!</f>
        <v>#REF!</v>
      </c>
      <c r="L135" t="e">
        <f>+'staffing plan'!#REF!</f>
        <v>#REF!</v>
      </c>
      <c r="M135" t="str">
        <f>+'staffing plan'!AX173</f>
        <v>Ifugao</v>
      </c>
      <c r="N135" t="str">
        <f>+'staffing plan'!AY173</f>
        <v>M</v>
      </c>
      <c r="O135" s="145" t="e">
        <f>+'staffing plan'!#REF!</f>
        <v>#REF!</v>
      </c>
      <c r="P135" s="145" t="e">
        <f>+'staffing plan'!#REF!</f>
        <v>#REF!</v>
      </c>
      <c r="Q135" s="145" t="e">
        <f>+'staffing plan'!#REF!</f>
        <v>#REF!</v>
      </c>
      <c r="R135" t="str">
        <f>+'staffing plan'!BP173</f>
        <v>Shifting</v>
      </c>
      <c r="S135">
        <v>133</v>
      </c>
    </row>
    <row r="136" spans="2:19" hidden="1">
      <c r="B136">
        <f t="shared" si="5"/>
        <v>2017</v>
      </c>
      <c r="C136">
        <f>+'staffing plan'!BK129</f>
        <v>43070</v>
      </c>
      <c r="D136" t="str">
        <f>'staffing plan'!A129</f>
        <v>OSEC-DILGB-LGOO6-45-2017</v>
      </c>
      <c r="E136" t="str">
        <f>+'staffing plan'!B129</f>
        <v>Local Government Operations OFFICER VI</v>
      </c>
      <c r="F136">
        <f>+'staffing plan'!C129</f>
        <v>22</v>
      </c>
      <c r="G136" s="131">
        <f>+'staffing plan'!AH129</f>
        <v>783828</v>
      </c>
      <c r="H136" s="131">
        <f>+'staffing plan'!AI129</f>
        <v>783828</v>
      </c>
      <c r="I136" s="131">
        <f>+'staffing plan'!AJ129</f>
        <v>1</v>
      </c>
      <c r="J136" t="str">
        <f>+'staffing plan'!AW129</f>
        <v>BULAYUNGAN, Isabel Allaga</v>
      </c>
      <c r="K136" t="e">
        <f>+'staffing plan'!#REF!</f>
        <v>#REF!</v>
      </c>
      <c r="L136" t="e">
        <f>+'staffing plan'!#REF!</f>
        <v>#REF!</v>
      </c>
      <c r="M136" t="str">
        <f>+'staffing plan'!AX129</f>
        <v>Ifugao</v>
      </c>
      <c r="N136" t="str">
        <f>+'staffing plan'!AY129</f>
        <v>F</v>
      </c>
      <c r="O136" s="145" t="e">
        <f>+'staffing plan'!#REF!</f>
        <v>#REF!</v>
      </c>
      <c r="P136" s="145" t="e">
        <f>+'staffing plan'!#REF!</f>
        <v>#REF!</v>
      </c>
      <c r="Q136" s="145" t="e">
        <f>+'staffing plan'!#REF!</f>
        <v>#REF!</v>
      </c>
      <c r="R136">
        <f>+'staffing plan'!BP129</f>
        <v>0</v>
      </c>
      <c r="S136">
        <v>134</v>
      </c>
    </row>
    <row r="137" spans="2:19" hidden="1">
      <c r="B137">
        <f t="shared" si="5"/>
        <v>2017</v>
      </c>
      <c r="C137">
        <f>+'staffing plan'!BK130</f>
        <v>43070</v>
      </c>
      <c r="D137" t="str">
        <f>'staffing plan'!A130</f>
        <v>OSEC-DILGB-LGOO6-46-2017</v>
      </c>
      <c r="E137" t="str">
        <f>+'staffing plan'!B130</f>
        <v>Local Government Operations OFFICER VI</v>
      </c>
      <c r="F137">
        <f>+'staffing plan'!C130</f>
        <v>22</v>
      </c>
      <c r="G137" s="131">
        <f>+'staffing plan'!AH130</f>
        <v>783828</v>
      </c>
      <c r="H137" s="131">
        <f>+'staffing plan'!AI130</f>
        <v>783828</v>
      </c>
      <c r="I137" s="131">
        <f>+'staffing plan'!AJ130</f>
        <v>1</v>
      </c>
      <c r="J137" t="str">
        <f>+'staffing plan'!AW130</f>
        <v>MONAYAO, Jeda Paulha</v>
      </c>
      <c r="K137" t="e">
        <f>+'staffing plan'!#REF!</f>
        <v>#REF!</v>
      </c>
      <c r="L137" t="e">
        <f>+'staffing plan'!#REF!</f>
        <v>#REF!</v>
      </c>
      <c r="M137" t="str">
        <f>+'staffing plan'!AX130</f>
        <v>Ifugao</v>
      </c>
      <c r="N137" t="str">
        <f>+'staffing plan'!AY130</f>
        <v>F</v>
      </c>
      <c r="O137" s="145" t="e">
        <f>+'staffing plan'!#REF!</f>
        <v>#REF!</v>
      </c>
      <c r="P137" s="145" t="e">
        <f>+'staffing plan'!#REF!</f>
        <v>#REF!</v>
      </c>
      <c r="Q137" s="145" t="e">
        <f>+'staffing plan'!#REF!</f>
        <v>#REF!</v>
      </c>
      <c r="R137" t="str">
        <f>+'staffing plan'!BP130</f>
        <v>Shifting</v>
      </c>
      <c r="S137">
        <v>135</v>
      </c>
    </row>
    <row r="138" spans="2:19" hidden="1">
      <c r="B138">
        <f t="shared" si="5"/>
        <v>2017</v>
      </c>
      <c r="C138">
        <f>+'staffing plan'!BK131</f>
        <v>43070</v>
      </c>
      <c r="D138" t="str">
        <f>'staffing plan'!A131</f>
        <v>OSEC-DILGB-LGOO6-47-2017</v>
      </c>
      <c r="E138" t="str">
        <f>+'staffing plan'!B131</f>
        <v>Local Government Operations OFFICER VI</v>
      </c>
      <c r="F138">
        <f>+'staffing plan'!C131</f>
        <v>22</v>
      </c>
      <c r="G138" s="131">
        <f>+'staffing plan'!AH131</f>
        <v>783828</v>
      </c>
      <c r="H138" s="131">
        <f>+'staffing plan'!AI131</f>
        <v>783828</v>
      </c>
      <c r="I138" s="131">
        <f>+'staffing plan'!AJ131</f>
        <v>1</v>
      </c>
      <c r="J138" t="str">
        <f>+'staffing plan'!AW131</f>
        <v>DONG-E, Regina Tayaban</v>
      </c>
      <c r="K138" t="e">
        <f>+'staffing plan'!#REF!</f>
        <v>#REF!</v>
      </c>
      <c r="L138" t="e">
        <f>+'staffing plan'!#REF!</f>
        <v>#REF!</v>
      </c>
      <c r="M138" t="str">
        <f>+'staffing plan'!AX131</f>
        <v>Ifugao</v>
      </c>
      <c r="N138" t="str">
        <f>+'staffing plan'!AY131</f>
        <v>F</v>
      </c>
      <c r="O138" s="145" t="e">
        <f>+'staffing plan'!#REF!</f>
        <v>#REF!</v>
      </c>
      <c r="P138" s="145" t="e">
        <f>+'staffing plan'!#REF!</f>
        <v>#REF!</v>
      </c>
      <c r="Q138" s="145" t="e">
        <f>+'staffing plan'!#REF!</f>
        <v>#REF!</v>
      </c>
      <c r="R138" t="str">
        <f>+'staffing plan'!BP131</f>
        <v>Shifting</v>
      </c>
      <c r="S138">
        <v>136</v>
      </c>
    </row>
    <row r="139" spans="2:19" hidden="1">
      <c r="B139">
        <f t="shared" si="5"/>
        <v>2001</v>
      </c>
      <c r="C139">
        <f>+'staffing plan'!BK174</f>
        <v>36951</v>
      </c>
      <c r="D139" t="str">
        <f>'staffing plan'!A174</f>
        <v>OSEC-DILGB-LGOO5-957-1998</v>
      </c>
      <c r="E139" t="str">
        <f>+'staffing plan'!B174</f>
        <v>Local Government Operations Officer V</v>
      </c>
      <c r="F139">
        <f>+'staffing plan'!C174</f>
        <v>20</v>
      </c>
      <c r="G139" s="131">
        <f>+'staffing plan'!AH174</f>
        <v>613860</v>
      </c>
      <c r="H139" s="131">
        <f>+'staffing plan'!AI174</f>
        <v>665616</v>
      </c>
      <c r="I139" s="131">
        <f>+'staffing plan'!AJ174</f>
        <v>6</v>
      </c>
      <c r="J139" t="str">
        <f>+'staffing plan'!AW174</f>
        <v>NARCIZA, Florita Garcia</v>
      </c>
      <c r="K139" t="e">
        <f>+'staffing plan'!#REF!</f>
        <v>#REF!</v>
      </c>
      <c r="L139" t="e">
        <f>+'staffing plan'!#REF!</f>
        <v>#REF!</v>
      </c>
      <c r="M139" t="str">
        <f>+'staffing plan'!AX174</f>
        <v>Ifugao</v>
      </c>
      <c r="N139" t="str">
        <f>+'staffing plan'!AY174</f>
        <v>F</v>
      </c>
      <c r="O139" s="145" t="e">
        <f>+'staffing plan'!#REF!</f>
        <v>#REF!</v>
      </c>
      <c r="P139" s="145" t="e">
        <f>+'staffing plan'!#REF!</f>
        <v>#REF!</v>
      </c>
      <c r="Q139" s="145" t="e">
        <f>+'staffing plan'!#REF!</f>
        <v>#REF!</v>
      </c>
      <c r="R139" t="str">
        <f>+'staffing plan'!BP174</f>
        <v>Shifting</v>
      </c>
      <c r="S139">
        <v>137</v>
      </c>
    </row>
    <row r="140" spans="2:19" hidden="1">
      <c r="B140">
        <f t="shared" si="5"/>
        <v>2017</v>
      </c>
      <c r="C140">
        <f>+'staffing plan'!BK132</f>
        <v>43070</v>
      </c>
      <c r="D140" t="str">
        <f>'staffing plan'!A132</f>
        <v>OSEC-DILGB-LGOO6-48-2017</v>
      </c>
      <c r="E140" t="str">
        <f>+'staffing plan'!B132</f>
        <v>Local Government Operations OFFICER VI</v>
      </c>
      <c r="F140">
        <f>+'staffing plan'!C132</f>
        <v>22</v>
      </c>
      <c r="G140" s="131">
        <f>+'staffing plan'!AH132</f>
        <v>783828</v>
      </c>
      <c r="H140" s="131">
        <f>+'staffing plan'!AI132</f>
        <v>783828</v>
      </c>
      <c r="I140" s="131">
        <f>+'staffing plan'!AJ132</f>
        <v>1</v>
      </c>
      <c r="J140" t="str">
        <f>+'staffing plan'!AW132</f>
        <v>BANGO, Emmanuel Hiadan</v>
      </c>
      <c r="K140" t="e">
        <f>+'staffing plan'!#REF!</f>
        <v>#REF!</v>
      </c>
      <c r="L140" t="e">
        <f>+'staffing plan'!#REF!</f>
        <v>#REF!</v>
      </c>
      <c r="M140" t="str">
        <f>+'staffing plan'!AX132</f>
        <v>Ifugao</v>
      </c>
      <c r="N140" t="str">
        <f>+'staffing plan'!AY132</f>
        <v>M</v>
      </c>
      <c r="O140" s="145" t="e">
        <f>+'staffing plan'!#REF!</f>
        <v>#REF!</v>
      </c>
      <c r="P140" s="145" t="e">
        <f>+'staffing plan'!#REF!</f>
        <v>#REF!</v>
      </c>
      <c r="Q140" s="145" t="e">
        <f>+'staffing plan'!#REF!</f>
        <v>#REF!</v>
      </c>
      <c r="R140">
        <f>+'staffing plan'!BP132</f>
        <v>0</v>
      </c>
      <c r="S140">
        <v>138</v>
      </c>
    </row>
    <row r="141" spans="2:19" hidden="1">
      <c r="B141">
        <f t="shared" si="5"/>
        <v>2017</v>
      </c>
      <c r="C141">
        <f>+'staffing plan'!BK133</f>
        <v>43070</v>
      </c>
      <c r="D141" t="str">
        <f>'staffing plan'!A133</f>
        <v>OSEC-DILGB-LGOO6-49-2017</v>
      </c>
      <c r="E141" t="str">
        <f>+'staffing plan'!B133</f>
        <v>Local Government Operations OFFICER VI</v>
      </c>
      <c r="F141">
        <f>+'staffing plan'!C133</f>
        <v>22</v>
      </c>
      <c r="G141" s="131">
        <f>+'staffing plan'!AH133</f>
        <v>783828</v>
      </c>
      <c r="H141" s="131">
        <f>+'staffing plan'!AI133</f>
        <v>783828</v>
      </c>
      <c r="I141" s="131">
        <f>+'staffing plan'!AJ133</f>
        <v>1</v>
      </c>
      <c r="J141" t="str">
        <f>+'staffing plan'!AW133</f>
        <v>ADAWE, Guillaume Lebbet</v>
      </c>
      <c r="K141" t="e">
        <f>+'staffing plan'!#REF!</f>
        <v>#REF!</v>
      </c>
      <c r="L141" t="e">
        <f>+'staffing plan'!#REF!</f>
        <v>#REF!</v>
      </c>
      <c r="M141" t="str">
        <f>+'staffing plan'!AX133</f>
        <v>Ifugao</v>
      </c>
      <c r="N141" t="str">
        <f>+'staffing plan'!AY133</f>
        <v>M</v>
      </c>
      <c r="O141" s="145" t="e">
        <f>+'staffing plan'!#REF!</f>
        <v>#REF!</v>
      </c>
      <c r="P141" s="145" t="e">
        <f>+'staffing plan'!#REF!</f>
        <v>#REF!</v>
      </c>
      <c r="Q141" s="145" t="e">
        <f>+'staffing plan'!#REF!</f>
        <v>#REF!</v>
      </c>
      <c r="R141">
        <f>+'staffing plan'!BP133</f>
        <v>0</v>
      </c>
      <c r="S141">
        <v>139</v>
      </c>
    </row>
    <row r="142" spans="2:19" hidden="1">
      <c r="B142">
        <f t="shared" si="5"/>
        <v>2017</v>
      </c>
      <c r="C142">
        <f>+'staffing plan'!BK138</f>
        <v>43070</v>
      </c>
      <c r="D142" t="str">
        <f>'staffing plan'!A138</f>
        <v>OSEC-DILGB-LGOO6-54-2017</v>
      </c>
      <c r="E142" t="str">
        <f>+'staffing plan'!B138</f>
        <v>Local Government Operations OFFICER VI</v>
      </c>
      <c r="F142">
        <f>+'staffing plan'!C138</f>
        <v>22</v>
      </c>
      <c r="G142" s="131">
        <f>+'staffing plan'!AH138</f>
        <v>783828</v>
      </c>
      <c r="H142" s="131">
        <f>+'staffing plan'!AI138</f>
        <v>783828</v>
      </c>
      <c r="I142" s="131">
        <f>+'staffing plan'!AJ138</f>
        <v>1</v>
      </c>
      <c r="J142" t="str">
        <f>+'staffing plan'!AW138</f>
        <v>LUCAS, Chris Berana</v>
      </c>
      <c r="K142" t="e">
        <f>+'staffing plan'!#REF!</f>
        <v>#REF!</v>
      </c>
      <c r="L142" t="e">
        <f>+'staffing plan'!#REF!</f>
        <v>#REF!</v>
      </c>
      <c r="M142" t="str">
        <f>+'staffing plan'!AX138</f>
        <v>Kalinga</v>
      </c>
      <c r="N142" t="str">
        <f>+'staffing plan'!AY138</f>
        <v>M</v>
      </c>
      <c r="O142" s="145" t="e">
        <f>+'staffing plan'!#REF!</f>
        <v>#REF!</v>
      </c>
      <c r="P142" s="145" t="e">
        <f>+'staffing plan'!#REF!</f>
        <v>#REF!</v>
      </c>
      <c r="Q142" s="145" t="e">
        <f>+'staffing plan'!#REF!</f>
        <v>#REF!</v>
      </c>
      <c r="R142">
        <f>+'staffing plan'!BP138</f>
        <v>0</v>
      </c>
      <c r="S142">
        <v>140</v>
      </c>
    </row>
    <row r="143" spans="2:19" hidden="1">
      <c r="B143">
        <f t="shared" si="5"/>
        <v>2017</v>
      </c>
      <c r="C143">
        <f>+'staffing plan'!BK120</f>
        <v>43070</v>
      </c>
      <c r="D143" t="str">
        <f>'staffing plan'!A120</f>
        <v>OSEC-DILGB-LGOO6-36-2017</v>
      </c>
      <c r="E143" t="str">
        <f>+'staffing plan'!B120</f>
        <v>Local Government Operations Officer VI</v>
      </c>
      <c r="F143">
        <f>+'staffing plan'!C120</f>
        <v>22</v>
      </c>
      <c r="G143" s="131">
        <f>+'staffing plan'!AH120</f>
        <v>783828</v>
      </c>
      <c r="H143" s="131">
        <f>+'staffing plan'!AI120</f>
        <v>783828</v>
      </c>
      <c r="I143" s="131">
        <f>+'staffing plan'!AJ120</f>
        <v>1</v>
      </c>
      <c r="J143" t="str">
        <f>+'staffing plan'!AW120</f>
        <v>VENUS, Norman Domingo</v>
      </c>
      <c r="K143" t="e">
        <f>+'staffing plan'!#REF!</f>
        <v>#REF!</v>
      </c>
      <c r="L143" t="e">
        <f>+'staffing plan'!#REF!</f>
        <v>#REF!</v>
      </c>
      <c r="M143" t="str">
        <f>+'staffing plan'!AX120</f>
        <v>Apayao</v>
      </c>
      <c r="N143" t="str">
        <f>+'staffing plan'!AY120</f>
        <v>M</v>
      </c>
      <c r="O143" s="145" t="e">
        <f>+'staffing plan'!#REF!</f>
        <v>#REF!</v>
      </c>
      <c r="P143" s="145" t="e">
        <f>+'staffing plan'!#REF!</f>
        <v>#REF!</v>
      </c>
      <c r="Q143" s="145" t="e">
        <f>+'staffing plan'!#REF!</f>
        <v>#REF!</v>
      </c>
      <c r="R143">
        <f>+'staffing plan'!BP120</f>
        <v>0</v>
      </c>
      <c r="S143">
        <v>141</v>
      </c>
    </row>
    <row r="144" spans="2:19" hidden="1">
      <c r="B144">
        <f t="shared" si="5"/>
        <v>2017</v>
      </c>
      <c r="C144">
        <f>+'staffing plan'!BK121</f>
        <v>43087</v>
      </c>
      <c r="D144" t="str">
        <f>'staffing plan'!A121</f>
        <v>OSEC-DILGB-LGOO6-37-2017</v>
      </c>
      <c r="E144" t="str">
        <f>+'staffing plan'!B121</f>
        <v>Local Government Operations Officer VI</v>
      </c>
      <c r="F144">
        <f>+'staffing plan'!C121</f>
        <v>22</v>
      </c>
      <c r="G144" s="131">
        <f>+'staffing plan'!AH121</f>
        <v>783828</v>
      </c>
      <c r="H144" s="131">
        <f>+'staffing plan'!AI121</f>
        <v>783828</v>
      </c>
      <c r="I144" s="131">
        <f>+'staffing plan'!AJ121</f>
        <v>1</v>
      </c>
      <c r="J144" t="str">
        <f>+'staffing plan'!AW121</f>
        <v>VISITACION, Rhiener Cardenas</v>
      </c>
      <c r="K144" t="e">
        <f>+'staffing plan'!#REF!</f>
        <v>#REF!</v>
      </c>
      <c r="L144" t="e">
        <f>+'staffing plan'!#REF!</f>
        <v>#REF!</v>
      </c>
      <c r="M144" t="str">
        <f>+'staffing plan'!AX121</f>
        <v>Apayao</v>
      </c>
      <c r="N144" t="str">
        <f>+'staffing plan'!AY121</f>
        <v>M</v>
      </c>
      <c r="O144" s="145" t="e">
        <f>+'staffing plan'!#REF!</f>
        <v>#REF!</v>
      </c>
      <c r="P144" s="145" t="e">
        <f>+'staffing plan'!#REF!</f>
        <v>#REF!</v>
      </c>
      <c r="Q144" s="145" t="e">
        <f>+'staffing plan'!#REF!</f>
        <v>#REF!</v>
      </c>
      <c r="R144">
        <f>+'staffing plan'!BP121</f>
        <v>0</v>
      </c>
      <c r="S144">
        <v>142</v>
      </c>
    </row>
    <row r="145" spans="2:19" hidden="1">
      <c r="B145">
        <f t="shared" si="5"/>
        <v>2018</v>
      </c>
      <c r="C145">
        <f>+'staffing plan'!BK175</f>
        <v>43131</v>
      </c>
      <c r="D145" t="str">
        <f>'staffing plan'!A175</f>
        <v>OSEC-DILGB-LGOO5-965-1998</v>
      </c>
      <c r="E145" t="str">
        <f>+'staffing plan'!B175</f>
        <v>Local Government Operations Officer V</v>
      </c>
      <c r="F145">
        <f>+'staffing plan'!C175</f>
        <v>20</v>
      </c>
      <c r="G145" s="131">
        <f>+'staffing plan'!AH175</f>
        <v>613860</v>
      </c>
      <c r="H145" s="131">
        <f>+'staffing plan'!AI175</f>
        <v>613860</v>
      </c>
      <c r="I145" s="131">
        <f>+'staffing plan'!AJ175</f>
        <v>1</v>
      </c>
      <c r="J145" t="str">
        <f>+'staffing plan'!AW175</f>
        <v>ELVEÑA, Hanna Lynel Gullayan</v>
      </c>
      <c r="K145" t="e">
        <f>+'staffing plan'!#REF!</f>
        <v>#REF!</v>
      </c>
      <c r="L145" t="e">
        <f>+'staffing plan'!#REF!</f>
        <v>#REF!</v>
      </c>
      <c r="M145" t="str">
        <f>+'staffing plan'!AX175</f>
        <v>Kalinga</v>
      </c>
      <c r="N145" t="str">
        <f>+'staffing plan'!AY175</f>
        <v>F</v>
      </c>
      <c r="O145" s="145" t="e">
        <f>+'staffing plan'!#REF!</f>
        <v>#REF!</v>
      </c>
      <c r="P145" s="145" t="e">
        <f>+'staffing plan'!#REF!</f>
        <v>#REF!</v>
      </c>
      <c r="Q145" s="145" t="e">
        <f>+'staffing plan'!#REF!</f>
        <v>#REF!</v>
      </c>
      <c r="R145" t="str">
        <f>+'staffing plan'!BP175</f>
        <v>Kalinga</v>
      </c>
      <c r="S145">
        <v>143</v>
      </c>
    </row>
    <row r="146" spans="2:19" hidden="1">
      <c r="B146">
        <f t="shared" si="5"/>
        <v>2017</v>
      </c>
      <c r="C146">
        <f>+'staffing plan'!BK139</f>
        <v>43087</v>
      </c>
      <c r="D146" t="str">
        <f>'staffing plan'!A139</f>
        <v>OSEC-DILGB-LGOO6-55-2017</v>
      </c>
      <c r="E146" t="str">
        <f>+'staffing plan'!B139</f>
        <v>Local Government Operations OFFICER VI</v>
      </c>
      <c r="F146">
        <f>+'staffing plan'!C139</f>
        <v>22</v>
      </c>
      <c r="G146" s="131">
        <f>+'staffing plan'!AH139</f>
        <v>783828</v>
      </c>
      <c r="H146" s="131">
        <f>+'staffing plan'!AI139</f>
        <v>783828</v>
      </c>
      <c r="I146" s="131">
        <f>+'staffing plan'!AJ139</f>
        <v>1</v>
      </c>
      <c r="J146" t="str">
        <f>+'staffing plan'!AW139</f>
        <v>ACUAT, Alexander Gacuya</v>
      </c>
      <c r="K146" t="e">
        <f>+'staffing plan'!#REF!</f>
        <v>#REF!</v>
      </c>
      <c r="L146" t="e">
        <f>+'staffing plan'!#REF!</f>
        <v>#REF!</v>
      </c>
      <c r="M146" t="str">
        <f>+'staffing plan'!AX139</f>
        <v>Kalinga</v>
      </c>
      <c r="N146" t="str">
        <f>+'staffing plan'!AY139</f>
        <v>M</v>
      </c>
      <c r="O146" s="145" t="e">
        <f>+'staffing plan'!#REF!</f>
        <v>#REF!</v>
      </c>
      <c r="P146" s="145" t="e">
        <f>+'staffing plan'!#REF!</f>
        <v>#REF!</v>
      </c>
      <c r="Q146" s="145" t="e">
        <f>+'staffing plan'!#REF!</f>
        <v>#REF!</v>
      </c>
      <c r="R146">
        <f>+'staffing plan'!BP139</f>
        <v>0</v>
      </c>
      <c r="S146">
        <v>144</v>
      </c>
    </row>
    <row r="147" spans="2:19" hidden="1">
      <c r="B147">
        <f t="shared" si="5"/>
        <v>2017</v>
      </c>
      <c r="C147">
        <f>+'staffing plan'!BK140</f>
        <v>43070</v>
      </c>
      <c r="D147" t="str">
        <f>'staffing plan'!A140</f>
        <v>OSEC-DILGB-LGOO6-56-2017</v>
      </c>
      <c r="E147" t="str">
        <f>+'staffing plan'!B140</f>
        <v>Local Government Operations OFFICER VI</v>
      </c>
      <c r="F147">
        <f>+'staffing plan'!C140</f>
        <v>22</v>
      </c>
      <c r="G147" s="131">
        <f>+'staffing plan'!AH140</f>
        <v>783828</v>
      </c>
      <c r="H147" s="131">
        <f>+'staffing plan'!AI140</f>
        <v>783828</v>
      </c>
      <c r="I147" s="131">
        <f>+'staffing plan'!AJ140</f>
        <v>1</v>
      </c>
      <c r="J147" t="str">
        <f>+'staffing plan'!AW140</f>
        <v>LORENZO, Elizabeth Perpetua Baylon</v>
      </c>
      <c r="K147" t="e">
        <f>+'staffing plan'!#REF!</f>
        <v>#REF!</v>
      </c>
      <c r="L147" t="e">
        <f>+'staffing plan'!#REF!</f>
        <v>#REF!</v>
      </c>
      <c r="M147" t="str">
        <f>+'staffing plan'!AX140</f>
        <v>Kalinga</v>
      </c>
      <c r="N147" t="str">
        <f>+'staffing plan'!AY140</f>
        <v>F</v>
      </c>
      <c r="O147" s="145" t="e">
        <f>+'staffing plan'!#REF!</f>
        <v>#REF!</v>
      </c>
      <c r="P147" s="145" t="e">
        <f>+'staffing plan'!#REF!</f>
        <v>#REF!</v>
      </c>
      <c r="Q147" s="145" t="e">
        <f>+'staffing plan'!#REF!</f>
        <v>#REF!</v>
      </c>
      <c r="R147" t="str">
        <f>+'staffing plan'!BP140</f>
        <v>Shifting</v>
      </c>
      <c r="S147">
        <v>145</v>
      </c>
    </row>
    <row r="148" spans="2:19" hidden="1">
      <c r="B148">
        <f t="shared" si="5"/>
        <v>2017</v>
      </c>
      <c r="C148">
        <f>+'staffing plan'!BK141</f>
        <v>43087</v>
      </c>
      <c r="D148" t="str">
        <f>'staffing plan'!A141</f>
        <v>OSEC-DILGB-LGOO6-57-2017</v>
      </c>
      <c r="E148" t="str">
        <f>+'staffing plan'!B141</f>
        <v>Local Government Operations OFFICER VI</v>
      </c>
      <c r="F148">
        <f>+'staffing plan'!C141</f>
        <v>22</v>
      </c>
      <c r="G148" s="131">
        <f>+'staffing plan'!AH141</f>
        <v>783828</v>
      </c>
      <c r="H148" s="131">
        <f>+'staffing plan'!AI141</f>
        <v>783828</v>
      </c>
      <c r="I148" s="131">
        <f>+'staffing plan'!AJ141</f>
        <v>1</v>
      </c>
      <c r="J148" t="str">
        <f>+'staffing plan'!AW141</f>
        <v>LACUESTA, Helen Espita</v>
      </c>
      <c r="K148" t="e">
        <f>+'staffing plan'!#REF!</f>
        <v>#REF!</v>
      </c>
      <c r="L148" t="e">
        <f>+'staffing plan'!#REF!</f>
        <v>#REF!</v>
      </c>
      <c r="M148" t="str">
        <f>+'staffing plan'!AX141</f>
        <v>Kalinga</v>
      </c>
      <c r="N148" t="str">
        <f>+'staffing plan'!AY141</f>
        <v>F</v>
      </c>
      <c r="O148" s="145" t="e">
        <f>+'staffing plan'!#REF!</f>
        <v>#REF!</v>
      </c>
      <c r="P148" s="145" t="e">
        <f>+'staffing plan'!#REF!</f>
        <v>#REF!</v>
      </c>
      <c r="Q148" s="145" t="e">
        <f>+'staffing plan'!#REF!</f>
        <v>#REF!</v>
      </c>
      <c r="R148" t="str">
        <f>+'staffing plan'!BP141</f>
        <v>Shifting</v>
      </c>
      <c r="S148">
        <v>146</v>
      </c>
    </row>
    <row r="149" spans="2:19" hidden="1">
      <c r="B149">
        <f t="shared" si="5"/>
        <v>2017</v>
      </c>
      <c r="C149">
        <f>+'staffing plan'!BK142</f>
        <v>43070</v>
      </c>
      <c r="D149" t="str">
        <f>'staffing plan'!A142</f>
        <v>OSEC-DILGB-LGOO6-58-2017</v>
      </c>
      <c r="E149" t="str">
        <f>+'staffing plan'!B142</f>
        <v>Local Government Operations OFFICER VI</v>
      </c>
      <c r="F149">
        <f>+'staffing plan'!C142</f>
        <v>22</v>
      </c>
      <c r="G149" s="131">
        <f>+'staffing plan'!AH142</f>
        <v>783828</v>
      </c>
      <c r="H149" s="131">
        <f>+'staffing plan'!AI142</f>
        <v>783828</v>
      </c>
      <c r="I149" s="131">
        <f>+'staffing plan'!AJ142</f>
        <v>1</v>
      </c>
      <c r="J149" t="str">
        <f>+'staffing plan'!AW142</f>
        <v>ATING, Lucas Alsiyao</v>
      </c>
      <c r="K149" t="e">
        <f>+'staffing plan'!#REF!</f>
        <v>#REF!</v>
      </c>
      <c r="L149" t="e">
        <f>+'staffing plan'!#REF!</f>
        <v>#REF!</v>
      </c>
      <c r="M149" t="str">
        <f>+'staffing plan'!AX142</f>
        <v>Kalinga</v>
      </c>
      <c r="N149" t="str">
        <f>+'staffing plan'!AY142</f>
        <v>M</v>
      </c>
      <c r="O149" s="145" t="e">
        <f>+'staffing plan'!#REF!</f>
        <v>#REF!</v>
      </c>
      <c r="P149" s="145" t="e">
        <f>+'staffing plan'!#REF!</f>
        <v>#REF!</v>
      </c>
      <c r="Q149" s="145" t="e">
        <f>+'staffing plan'!#REF!</f>
        <v>#REF!</v>
      </c>
      <c r="R149">
        <f>+'staffing plan'!BP142</f>
        <v>0</v>
      </c>
      <c r="S149">
        <v>147</v>
      </c>
    </row>
    <row r="150" spans="2:19" hidden="1">
      <c r="B150">
        <f t="shared" si="5"/>
        <v>2017</v>
      </c>
      <c r="C150">
        <f>+'staffing plan'!BK122</f>
        <v>43070</v>
      </c>
      <c r="D150" t="str">
        <f>'staffing plan'!A122</f>
        <v>OSEC-DILGB-LGOO6-38-2017</v>
      </c>
      <c r="E150" t="str">
        <f>+'staffing plan'!B122</f>
        <v>Local Government Operations Officer VI</v>
      </c>
      <c r="F150">
        <f>+'staffing plan'!C122</f>
        <v>22</v>
      </c>
      <c r="G150" s="131">
        <f>+'staffing plan'!AH122</f>
        <v>783828</v>
      </c>
      <c r="H150" s="131">
        <f>+'staffing plan'!AI122</f>
        <v>783828</v>
      </c>
      <c r="I150" s="131">
        <f>+'staffing plan'!AJ122</f>
        <v>1</v>
      </c>
      <c r="J150" t="str">
        <f>+'staffing plan'!AW122</f>
        <v>EUGENIO, Cecile Cagurangan</v>
      </c>
      <c r="K150" t="e">
        <f>+'staffing plan'!#REF!</f>
        <v>#REF!</v>
      </c>
      <c r="L150" t="e">
        <f>+'staffing plan'!#REF!</f>
        <v>#REF!</v>
      </c>
      <c r="M150" t="str">
        <f>+'staffing plan'!AX122</f>
        <v>Apayao</v>
      </c>
      <c r="N150" t="str">
        <f>+'staffing plan'!AY122</f>
        <v>F</v>
      </c>
      <c r="O150" s="145" t="e">
        <f>+'staffing plan'!#REF!</f>
        <v>#REF!</v>
      </c>
      <c r="P150" s="145" t="e">
        <f>+'staffing plan'!#REF!</f>
        <v>#REF!</v>
      </c>
      <c r="Q150" s="145" t="e">
        <f>+'staffing plan'!#REF!</f>
        <v>#REF!</v>
      </c>
      <c r="R150">
        <f>+'staffing plan'!BP122</f>
        <v>0</v>
      </c>
      <c r="S150">
        <v>148</v>
      </c>
    </row>
    <row r="151" spans="2:19" hidden="1">
      <c r="B151">
        <f t="shared" si="5"/>
        <v>2017</v>
      </c>
      <c r="C151">
        <f>+'staffing plan'!BK143</f>
        <v>43070</v>
      </c>
      <c r="D151" t="str">
        <f>'staffing plan'!A143</f>
        <v>OSEC-DILGB-LGOO6-59-2017</v>
      </c>
      <c r="E151" t="str">
        <f>+'staffing plan'!B143</f>
        <v>Local Government Operations OFFICER VI</v>
      </c>
      <c r="F151">
        <f>+'staffing plan'!C143</f>
        <v>22</v>
      </c>
      <c r="G151" s="131">
        <f>+'staffing plan'!AH143</f>
        <v>783828</v>
      </c>
      <c r="H151" s="131">
        <f>+'staffing plan'!AI143</f>
        <v>783828</v>
      </c>
      <c r="I151" s="131">
        <f>+'staffing plan'!AJ143</f>
        <v>1</v>
      </c>
      <c r="J151" t="str">
        <f>+'staffing plan'!AW143</f>
        <v>BAWANTA, Gemma Oga-oy</v>
      </c>
      <c r="K151" t="e">
        <f>+'staffing plan'!#REF!</f>
        <v>#REF!</v>
      </c>
      <c r="L151" t="e">
        <f>+'staffing plan'!#REF!</f>
        <v>#REF!</v>
      </c>
      <c r="M151" t="str">
        <f>+'staffing plan'!AX143</f>
        <v>Kalinga</v>
      </c>
      <c r="N151" t="str">
        <f>+'staffing plan'!AY143</f>
        <v>F</v>
      </c>
      <c r="O151" s="145" t="e">
        <f>+'staffing plan'!#REF!</f>
        <v>#REF!</v>
      </c>
      <c r="P151" s="145" t="e">
        <f>+'staffing plan'!#REF!</f>
        <v>#REF!</v>
      </c>
      <c r="Q151" s="145" t="e">
        <f>+'staffing plan'!#REF!</f>
        <v>#REF!</v>
      </c>
      <c r="R151">
        <f>+'staffing plan'!BP143</f>
        <v>0</v>
      </c>
      <c r="S151">
        <v>149</v>
      </c>
    </row>
    <row r="152" spans="2:19" hidden="1">
      <c r="B152">
        <f t="shared" ref="B152:B215" si="6">(YEAR(C152))</f>
        <v>2016</v>
      </c>
      <c r="C152">
        <f>+'staffing plan'!BK176</f>
        <v>42430</v>
      </c>
      <c r="D152" t="str">
        <f>'staffing plan'!A176</f>
        <v>OSEC-DILGB-LGOO5-972-1998</v>
      </c>
      <c r="E152" t="str">
        <f>+'staffing plan'!B176</f>
        <v>Local Government Operations Officer V</v>
      </c>
      <c r="F152">
        <f>+'staffing plan'!C176</f>
        <v>20</v>
      </c>
      <c r="G152" s="131">
        <f>+'staffing plan'!AH176</f>
        <v>613860</v>
      </c>
      <c r="H152" s="131">
        <f>+'staffing plan'!AI176</f>
        <v>613860</v>
      </c>
      <c r="I152" s="131">
        <f>+'staffing plan'!AJ176</f>
        <v>1</v>
      </c>
      <c r="J152" t="str">
        <f>+'staffing plan'!AW176</f>
        <v>ESTELON, Juvy Jane Dumapay</v>
      </c>
      <c r="K152" t="e">
        <f>+'staffing plan'!#REF!</f>
        <v>#REF!</v>
      </c>
      <c r="L152" t="e">
        <f>+'staffing plan'!#REF!</f>
        <v>#REF!</v>
      </c>
      <c r="M152" t="str">
        <f>+'staffing plan'!AX176</f>
        <v>Apayao</v>
      </c>
      <c r="N152" t="str">
        <f>+'staffing plan'!AY176</f>
        <v>F</v>
      </c>
      <c r="O152" s="145" t="e">
        <f>+'staffing plan'!#REF!</f>
        <v>#REF!</v>
      </c>
      <c r="P152" s="145" t="e">
        <f>+'staffing plan'!#REF!</f>
        <v>#REF!</v>
      </c>
      <c r="Q152" s="145" t="e">
        <f>+'staffing plan'!#REF!</f>
        <v>#REF!</v>
      </c>
      <c r="R152" t="str">
        <f>+'staffing plan'!BP176</f>
        <v>Shifting</v>
      </c>
      <c r="S152">
        <v>150</v>
      </c>
    </row>
    <row r="153" spans="2:19" hidden="1">
      <c r="B153">
        <f t="shared" si="6"/>
        <v>2017</v>
      </c>
      <c r="C153">
        <f>+'staffing plan'!BK144</f>
        <v>43070</v>
      </c>
      <c r="D153" t="str">
        <f>'staffing plan'!A144</f>
        <v>OSEC-DILGB-LGOO6-60-2017</v>
      </c>
      <c r="E153" t="str">
        <f>+'staffing plan'!B144</f>
        <v>Local Government Operations OFFICER VI</v>
      </c>
      <c r="F153">
        <f>+'staffing plan'!C144</f>
        <v>22</v>
      </c>
      <c r="G153" s="131">
        <f>+'staffing plan'!AH144</f>
        <v>783828</v>
      </c>
      <c r="H153" s="131">
        <f>+'staffing plan'!AI144</f>
        <v>783828</v>
      </c>
      <c r="I153" s="131">
        <f>+'staffing plan'!AJ144</f>
        <v>1</v>
      </c>
      <c r="J153" t="str">
        <f>+'staffing plan'!AW144</f>
        <v>GAYUDAN, Franchita Lucob</v>
      </c>
      <c r="K153" t="e">
        <f>+'staffing plan'!#REF!</f>
        <v>#REF!</v>
      </c>
      <c r="L153" t="e">
        <f>+'staffing plan'!#REF!</f>
        <v>#REF!</v>
      </c>
      <c r="M153" t="str">
        <f>+'staffing plan'!AX144</f>
        <v>Kalinga</v>
      </c>
      <c r="N153" t="str">
        <f>+'staffing plan'!AY144</f>
        <v>F</v>
      </c>
      <c r="O153" s="145" t="e">
        <f>+'staffing plan'!#REF!</f>
        <v>#REF!</v>
      </c>
      <c r="P153" s="145" t="e">
        <f>+'staffing plan'!#REF!</f>
        <v>#REF!</v>
      </c>
      <c r="Q153" s="145" t="e">
        <f>+'staffing plan'!#REF!</f>
        <v>#REF!</v>
      </c>
      <c r="R153" t="str">
        <f>+'staffing plan'!BP144</f>
        <v>Shifting</v>
      </c>
      <c r="S153">
        <v>151</v>
      </c>
    </row>
    <row r="154" spans="2:19" hidden="1">
      <c r="B154">
        <f t="shared" si="6"/>
        <v>2017</v>
      </c>
      <c r="C154">
        <f>+'staffing plan'!BK123</f>
        <v>43070</v>
      </c>
      <c r="D154" t="str">
        <f>'staffing plan'!A123</f>
        <v>OSEC-DILGB-LGOO6-39-2017</v>
      </c>
      <c r="E154" t="str">
        <f>+'staffing plan'!B123</f>
        <v>Local Government Operations Officer VI</v>
      </c>
      <c r="F154">
        <f>+'staffing plan'!C123</f>
        <v>22</v>
      </c>
      <c r="G154" s="131">
        <f>+'staffing plan'!AH123</f>
        <v>783828</v>
      </c>
      <c r="H154" s="131">
        <f>+'staffing plan'!AI123</f>
        <v>783828</v>
      </c>
      <c r="I154" s="131">
        <f>+'staffing plan'!AJ123</f>
        <v>1</v>
      </c>
      <c r="J154" t="str">
        <f>+'staffing plan'!AW123</f>
        <v>BEGTANG, Roderick Domingo</v>
      </c>
      <c r="K154" t="e">
        <f>+'staffing plan'!#REF!</f>
        <v>#REF!</v>
      </c>
      <c r="L154" t="e">
        <f>+'staffing plan'!#REF!</f>
        <v>#REF!</v>
      </c>
      <c r="M154" t="str">
        <f>+'staffing plan'!AX123</f>
        <v>Apayao</v>
      </c>
      <c r="N154" t="str">
        <f>+'staffing plan'!AY123</f>
        <v>M</v>
      </c>
      <c r="O154" s="145" t="e">
        <f>+'staffing plan'!#REF!</f>
        <v>#REF!</v>
      </c>
      <c r="P154" s="145" t="e">
        <f>+'staffing plan'!#REF!</f>
        <v>#REF!</v>
      </c>
      <c r="Q154" s="145" t="e">
        <f>+'staffing plan'!#REF!</f>
        <v>#REF!</v>
      </c>
      <c r="R154" t="str">
        <f>+'staffing plan'!BP123</f>
        <v>Shifting</v>
      </c>
      <c r="S154">
        <v>152</v>
      </c>
    </row>
    <row r="155" spans="2:19" hidden="1">
      <c r="B155">
        <f t="shared" si="6"/>
        <v>2007</v>
      </c>
      <c r="C155">
        <f>+'staffing plan'!BK177</f>
        <v>39170</v>
      </c>
      <c r="D155" t="str">
        <f>'staffing plan'!A177</f>
        <v>OSEC-DILGB-LGOO5-976-1998</v>
      </c>
      <c r="E155" t="str">
        <f>+'staffing plan'!B177</f>
        <v>Local Government Operations Officer V</v>
      </c>
      <c r="F155">
        <f>+'staffing plan'!C177</f>
        <v>20</v>
      </c>
      <c r="G155" s="131">
        <f>+'staffing plan'!AH177</f>
        <v>613860</v>
      </c>
      <c r="H155" s="131">
        <f>+'staffing plan'!AI177</f>
        <v>644400</v>
      </c>
      <c r="I155" s="131">
        <f>+'staffing plan'!AJ177</f>
        <v>4</v>
      </c>
      <c r="J155" t="str">
        <f>+'staffing plan'!AW177</f>
        <v>NEHYEBAN, Arellano Lestino</v>
      </c>
      <c r="K155" t="e">
        <f>+'staffing plan'!#REF!</f>
        <v>#REF!</v>
      </c>
      <c r="L155" t="e">
        <f>+'staffing plan'!#REF!</f>
        <v>#REF!</v>
      </c>
      <c r="M155" t="str">
        <f>+'staffing plan'!AX177</f>
        <v>Ifugao</v>
      </c>
      <c r="N155" t="str">
        <f>+'staffing plan'!AY177</f>
        <v>M</v>
      </c>
      <c r="O155" s="145" t="e">
        <f>+'staffing plan'!#REF!</f>
        <v>#REF!</v>
      </c>
      <c r="P155" s="145" t="e">
        <f>+'staffing plan'!#REF!</f>
        <v>#REF!</v>
      </c>
      <c r="Q155" s="145" t="e">
        <f>+'staffing plan'!#REF!</f>
        <v>#REF!</v>
      </c>
      <c r="R155">
        <f>+'staffing plan'!BP177</f>
        <v>0</v>
      </c>
      <c r="S155">
        <v>153</v>
      </c>
    </row>
    <row r="156" spans="2:19" hidden="1">
      <c r="B156">
        <f t="shared" si="6"/>
        <v>2017</v>
      </c>
      <c r="C156">
        <f>+'staffing plan'!BK134</f>
        <v>43087</v>
      </c>
      <c r="D156" t="str">
        <f>'staffing plan'!A134</f>
        <v>OSEC-DILGB-LGOO6-50-2017</v>
      </c>
      <c r="E156" t="str">
        <f>+'staffing plan'!B134</f>
        <v>Local Government Operations OFFICER VI</v>
      </c>
      <c r="F156">
        <f>+'staffing plan'!C134</f>
        <v>22</v>
      </c>
      <c r="G156" s="131">
        <f>+'staffing plan'!AH134</f>
        <v>783828</v>
      </c>
      <c r="H156" s="131">
        <f>+'staffing plan'!AI134</f>
        <v>783828</v>
      </c>
      <c r="I156" s="131">
        <f>+'staffing plan'!AJ134</f>
        <v>1</v>
      </c>
      <c r="J156" t="str">
        <f>+'staffing plan'!AW134</f>
        <v>APLOSEN, Roselle Nanglegan</v>
      </c>
      <c r="K156" t="e">
        <f>+'staffing plan'!#REF!</f>
        <v>#REF!</v>
      </c>
      <c r="L156" t="e">
        <f>+'staffing plan'!#REF!</f>
        <v>#REF!</v>
      </c>
      <c r="M156" t="str">
        <f>+'staffing plan'!AX134</f>
        <v>Ifugao</v>
      </c>
      <c r="N156" t="str">
        <f>+'staffing plan'!AY134</f>
        <v>F</v>
      </c>
      <c r="O156" s="145" t="e">
        <f>+'staffing plan'!#REF!</f>
        <v>#REF!</v>
      </c>
      <c r="P156" s="145" t="e">
        <f>+'staffing plan'!#REF!</f>
        <v>#REF!</v>
      </c>
      <c r="Q156" s="145" t="e">
        <f>+'staffing plan'!#REF!</f>
        <v>#REF!</v>
      </c>
      <c r="R156">
        <f>+'staffing plan'!BP134</f>
        <v>0</v>
      </c>
      <c r="S156">
        <v>154</v>
      </c>
    </row>
    <row r="157" spans="2:19" hidden="1">
      <c r="B157">
        <f t="shared" si="6"/>
        <v>2017</v>
      </c>
      <c r="C157">
        <f>+'staffing plan'!BK106</f>
        <v>43070</v>
      </c>
      <c r="D157" t="str">
        <f>'staffing plan'!A106</f>
        <v>OSEC-DILGB-LGOO6-22-2017</v>
      </c>
      <c r="E157" t="str">
        <f>+'staffing plan'!B106</f>
        <v>Local Government Operations Officer VI</v>
      </c>
      <c r="F157">
        <f>+'staffing plan'!C106</f>
        <v>22</v>
      </c>
      <c r="G157" s="131">
        <f>+'staffing plan'!AH106</f>
        <v>783828</v>
      </c>
      <c r="H157" s="131">
        <f>+'staffing plan'!AI106</f>
        <v>783828</v>
      </c>
      <c r="I157" s="131">
        <f>+'staffing plan'!AJ106</f>
        <v>1</v>
      </c>
      <c r="J157" t="str">
        <f>+'staffing plan'!AW106</f>
        <v>RULLAN, Dan Joel Suaya</v>
      </c>
      <c r="K157" t="e">
        <f>+'staffing plan'!#REF!</f>
        <v>#REF!</v>
      </c>
      <c r="L157" t="e">
        <f>+'staffing plan'!#REF!</f>
        <v>#REF!</v>
      </c>
      <c r="M157" t="str">
        <f>+'staffing plan'!AX106</f>
        <v>Abra</v>
      </c>
      <c r="N157" t="str">
        <f>+'staffing plan'!AY106</f>
        <v>M</v>
      </c>
      <c r="O157" s="145" t="e">
        <f>+'staffing plan'!#REF!</f>
        <v>#REF!</v>
      </c>
      <c r="P157" s="145" t="e">
        <f>+'staffing plan'!#REF!</f>
        <v>#REF!</v>
      </c>
      <c r="Q157" s="145" t="e">
        <f>+'staffing plan'!#REF!</f>
        <v>#REF!</v>
      </c>
      <c r="R157">
        <f>+'staffing plan'!BP106</f>
        <v>0</v>
      </c>
      <c r="S157">
        <v>155</v>
      </c>
    </row>
    <row r="158" spans="2:19" hidden="1">
      <c r="B158">
        <f t="shared" si="6"/>
        <v>2017</v>
      </c>
      <c r="C158">
        <f>+'staffing plan'!BK107</f>
        <v>43070</v>
      </c>
      <c r="D158" t="str">
        <f>'staffing plan'!A107</f>
        <v>OSEC-DILGB-LGOO6-23-2017</v>
      </c>
      <c r="E158" t="str">
        <f>+'staffing plan'!B107</f>
        <v>Local Government Operations Officer VI</v>
      </c>
      <c r="F158">
        <f>+'staffing plan'!C107</f>
        <v>22</v>
      </c>
      <c r="G158" s="131">
        <f>+'staffing plan'!AH107</f>
        <v>783828</v>
      </c>
      <c r="H158" s="131">
        <f>+'staffing plan'!AI107</f>
        <v>783828</v>
      </c>
      <c r="I158" s="131">
        <f>+'staffing plan'!AJ107</f>
        <v>1</v>
      </c>
      <c r="J158" t="str">
        <f>+'staffing plan'!AW107</f>
        <v>WACNANG, Dayan Salimbay</v>
      </c>
      <c r="K158" t="e">
        <f>+'staffing plan'!#REF!</f>
        <v>#REF!</v>
      </c>
      <c r="L158" t="e">
        <f>+'staffing plan'!#REF!</f>
        <v>#REF!</v>
      </c>
      <c r="M158" t="str">
        <f>+'staffing plan'!AX107</f>
        <v>Abra</v>
      </c>
      <c r="N158" t="str">
        <f>+'staffing plan'!AY107</f>
        <v>M</v>
      </c>
      <c r="O158" s="145" t="e">
        <f>+'staffing plan'!#REF!</f>
        <v>#REF!</v>
      </c>
      <c r="P158" s="145" t="e">
        <f>+'staffing plan'!#REF!</f>
        <v>#REF!</v>
      </c>
      <c r="Q158" s="145" t="e">
        <f>+'staffing plan'!#REF!</f>
        <v>#REF!</v>
      </c>
      <c r="R158">
        <f>+'staffing plan'!BP107</f>
        <v>0</v>
      </c>
      <c r="S158">
        <v>156</v>
      </c>
    </row>
    <row r="159" spans="2:19" hidden="1">
      <c r="B159">
        <f t="shared" si="6"/>
        <v>2017</v>
      </c>
      <c r="C159">
        <f>+'staffing plan'!BK108</f>
        <v>43070</v>
      </c>
      <c r="D159" t="str">
        <f>'staffing plan'!A108</f>
        <v>OSEC-DILGB-LGOO6-24-2017</v>
      </c>
      <c r="E159" t="str">
        <f>+'staffing plan'!B108</f>
        <v>Local Government Operations Officer VI</v>
      </c>
      <c r="F159">
        <f>+'staffing plan'!C108</f>
        <v>22</v>
      </c>
      <c r="G159" s="131">
        <f>+'staffing plan'!AH108</f>
        <v>783828</v>
      </c>
      <c r="H159" s="131">
        <f>+'staffing plan'!AI108</f>
        <v>783828</v>
      </c>
      <c r="I159" s="131">
        <f>+'staffing plan'!AJ108</f>
        <v>1</v>
      </c>
      <c r="J159" t="str">
        <f>+'staffing plan'!AW108</f>
        <v>MONREAL, Prescila Alzate</v>
      </c>
      <c r="K159" t="e">
        <f>+'staffing plan'!#REF!</f>
        <v>#REF!</v>
      </c>
      <c r="L159" t="e">
        <f>+'staffing plan'!#REF!</f>
        <v>#REF!</v>
      </c>
      <c r="M159" t="str">
        <f>+'staffing plan'!AX108</f>
        <v>Abra</v>
      </c>
      <c r="N159" t="str">
        <f>+'staffing plan'!AY108</f>
        <v>F</v>
      </c>
      <c r="O159" s="145" t="e">
        <f>+'staffing plan'!#REF!</f>
        <v>#REF!</v>
      </c>
      <c r="P159" s="145" t="e">
        <f>+'staffing plan'!#REF!</f>
        <v>#REF!</v>
      </c>
      <c r="Q159" s="145" t="e">
        <f>+'staffing plan'!#REF!</f>
        <v>#REF!</v>
      </c>
      <c r="R159">
        <f>+'staffing plan'!BP108</f>
        <v>0</v>
      </c>
      <c r="S159">
        <v>157</v>
      </c>
    </row>
    <row r="160" spans="2:19" hidden="1">
      <c r="B160">
        <f t="shared" si="6"/>
        <v>2017</v>
      </c>
      <c r="C160">
        <f>+'staffing plan'!BK124</f>
        <v>43070</v>
      </c>
      <c r="D160" t="str">
        <f>'staffing plan'!A124</f>
        <v>OSEC-DILGB-LGOO6-40-2017</v>
      </c>
      <c r="E160" t="str">
        <f>+'staffing plan'!B124</f>
        <v>Local Government Operations Officer VI</v>
      </c>
      <c r="F160">
        <f>+'staffing plan'!C124</f>
        <v>22</v>
      </c>
      <c r="G160" s="131">
        <f>+'staffing plan'!AH124</f>
        <v>783828</v>
      </c>
      <c r="H160" s="131">
        <f>+'staffing plan'!AI124</f>
        <v>783828</v>
      </c>
      <c r="I160" s="131">
        <f>+'staffing plan'!AJ124</f>
        <v>1</v>
      </c>
      <c r="J160" t="str">
        <f>+'staffing plan'!AW124</f>
        <v>MANACNIS, Euchols Plazo</v>
      </c>
      <c r="K160" t="e">
        <f>+'staffing plan'!#REF!</f>
        <v>#REF!</v>
      </c>
      <c r="L160" t="e">
        <f>+'staffing plan'!#REF!</f>
        <v>#REF!</v>
      </c>
      <c r="M160" t="str">
        <f>+'staffing plan'!AX124</f>
        <v>Benguet</v>
      </c>
      <c r="N160" t="str">
        <f>+'staffing plan'!AY124</f>
        <v>M</v>
      </c>
      <c r="O160" s="145" t="e">
        <f>+'staffing plan'!#REF!</f>
        <v>#REF!</v>
      </c>
      <c r="P160" s="145" t="e">
        <f>+'staffing plan'!#REF!</f>
        <v>#REF!</v>
      </c>
      <c r="Q160" s="145" t="e">
        <f>+'staffing plan'!#REF!</f>
        <v>#REF!</v>
      </c>
      <c r="R160" t="str">
        <f>+'staffing plan'!BP124</f>
        <v>Shifting</v>
      </c>
      <c r="S160">
        <v>158</v>
      </c>
    </row>
    <row r="161" spans="2:19" hidden="1">
      <c r="B161">
        <f t="shared" si="6"/>
        <v>2017</v>
      </c>
      <c r="C161">
        <f>+'staffing plan'!BK125</f>
        <v>43089</v>
      </c>
      <c r="D161" t="str">
        <f>'staffing plan'!A125</f>
        <v>OSEC-DILGB-LGOO6-41-2017</v>
      </c>
      <c r="E161" t="str">
        <f>+'staffing plan'!B125</f>
        <v>Local Government Operations Officer VI</v>
      </c>
      <c r="F161">
        <f>+'staffing plan'!C125</f>
        <v>22</v>
      </c>
      <c r="G161" s="131">
        <f>+'staffing plan'!AH125</f>
        <v>783828</v>
      </c>
      <c r="H161" s="131">
        <f>+'staffing plan'!AI125</f>
        <v>783828</v>
      </c>
      <c r="I161" s="131">
        <f>+'staffing plan'!AJ125</f>
        <v>1</v>
      </c>
      <c r="J161" t="str">
        <f>+'staffing plan'!AW125</f>
        <v>SAINGAN, Evelyn Mensi</v>
      </c>
      <c r="K161" t="e">
        <f>+'staffing plan'!#REF!</f>
        <v>#REF!</v>
      </c>
      <c r="L161" t="e">
        <f>+'staffing plan'!#REF!</f>
        <v>#REF!</v>
      </c>
      <c r="M161" t="str">
        <f>+'staffing plan'!AX125</f>
        <v>Benguet</v>
      </c>
      <c r="N161" t="str">
        <f>+'staffing plan'!AY125</f>
        <v>F</v>
      </c>
      <c r="O161" s="145" t="e">
        <f>+'staffing plan'!#REF!</f>
        <v>#REF!</v>
      </c>
      <c r="P161" s="145" t="e">
        <f>+'staffing plan'!#REF!</f>
        <v>#REF!</v>
      </c>
      <c r="Q161" s="145" t="e">
        <f>+'staffing plan'!#REF!</f>
        <v>#REF!</v>
      </c>
      <c r="R161" t="str">
        <f>+'staffing plan'!BP125</f>
        <v>Shifting</v>
      </c>
      <c r="S161">
        <v>159</v>
      </c>
    </row>
    <row r="162" spans="2:19" hidden="1">
      <c r="B162">
        <f t="shared" si="6"/>
        <v>2013</v>
      </c>
      <c r="C162">
        <f>+'staffing plan'!BK178</f>
        <v>41487</v>
      </c>
      <c r="D162" t="str">
        <f>'staffing plan'!A178</f>
        <v>OSEC-DILGB-LGOO5-983-1998</v>
      </c>
      <c r="E162" t="str">
        <f>+'staffing plan'!B178</f>
        <v>Local Government Operations Officer V</v>
      </c>
      <c r="F162">
        <f>+'staffing plan'!C178</f>
        <v>20</v>
      </c>
      <c r="G162" s="131">
        <f>+'staffing plan'!AH178</f>
        <v>613860</v>
      </c>
      <c r="H162" s="131">
        <f>+'staffing plan'!AI178</f>
        <v>623868</v>
      </c>
      <c r="I162" s="131">
        <f>+'staffing plan'!AJ178</f>
        <v>2</v>
      </c>
      <c r="J162" t="str">
        <f>+'staffing plan'!AW178</f>
        <v>GUMANGAN, Juliet Bugagon</v>
      </c>
      <c r="K162" t="e">
        <f>+'staffing plan'!#REF!</f>
        <v>#REF!</v>
      </c>
      <c r="L162" t="e">
        <f>+'staffing plan'!#REF!</f>
        <v>#REF!</v>
      </c>
      <c r="M162" t="str">
        <f>+'staffing plan'!AX178</f>
        <v>Benguet</v>
      </c>
      <c r="N162" t="str">
        <f>+'staffing plan'!AY178</f>
        <v>F</v>
      </c>
      <c r="O162" s="145" t="e">
        <f>+'staffing plan'!#REF!</f>
        <v>#REF!</v>
      </c>
      <c r="P162" s="145" t="e">
        <f>+'staffing plan'!#REF!</f>
        <v>#REF!</v>
      </c>
      <c r="Q162" s="145" t="e">
        <f>+'staffing plan'!#REF!</f>
        <v>#REF!</v>
      </c>
      <c r="R162">
        <f>+'staffing plan'!BP178</f>
        <v>0</v>
      </c>
      <c r="S162">
        <v>160</v>
      </c>
    </row>
    <row r="163" spans="2:19" hidden="1">
      <c r="B163">
        <f t="shared" si="6"/>
        <v>2017</v>
      </c>
      <c r="C163">
        <f>+'staffing plan'!BK152</f>
        <v>43070</v>
      </c>
      <c r="D163" t="str">
        <f>'staffing plan'!A152</f>
        <v>OSEC-DILGB-LGOO6-68-2017</v>
      </c>
      <c r="E163" t="str">
        <f>+'staffing plan'!B152</f>
        <v>Local Government Operations Officer VI</v>
      </c>
      <c r="F163">
        <f>+'staffing plan'!C152</f>
        <v>22</v>
      </c>
      <c r="G163" s="131">
        <f>+'staffing plan'!AH152</f>
        <v>783828</v>
      </c>
      <c r="H163" s="131">
        <f>+'staffing plan'!AI152</f>
        <v>783828</v>
      </c>
      <c r="I163" s="131">
        <f>+'staffing plan'!AJ152</f>
        <v>1</v>
      </c>
      <c r="J163" t="str">
        <f>+'staffing plan'!AW152</f>
        <v>GUIAWAN, Maria Addalay</v>
      </c>
      <c r="K163" t="e">
        <f>+'staffing plan'!#REF!</f>
        <v>#REF!</v>
      </c>
      <c r="L163" t="e">
        <f>+'staffing plan'!#REF!</f>
        <v>#REF!</v>
      </c>
      <c r="M163" t="str">
        <f>+'staffing plan'!AX152</f>
        <v>Mt. Province</v>
      </c>
      <c r="N163" t="str">
        <f>+'staffing plan'!AY152</f>
        <v>F</v>
      </c>
      <c r="O163" s="145" t="e">
        <f>+'staffing plan'!#REF!</f>
        <v>#REF!</v>
      </c>
      <c r="P163" s="145" t="e">
        <f>+'staffing plan'!#REF!</f>
        <v>#REF!</v>
      </c>
      <c r="Q163" s="145" t="e">
        <f>+'staffing plan'!#REF!</f>
        <v>#REF!</v>
      </c>
      <c r="R163" t="str">
        <f>+'staffing plan'!BP152</f>
        <v>Shifting</v>
      </c>
      <c r="S163">
        <v>161</v>
      </c>
    </row>
    <row r="164" spans="2:19" hidden="1">
      <c r="B164">
        <f t="shared" si="6"/>
        <v>2018</v>
      </c>
      <c r="C164">
        <f>+'staffing plan'!BK158</f>
        <v>43109</v>
      </c>
      <c r="D164" t="str">
        <f>'staffing plan'!A158</f>
        <v>OSEC-DILGB-LGOO6-74-2017</v>
      </c>
      <c r="E164" t="str">
        <f>+'staffing plan'!B158</f>
        <v>Local Government Operations Officer VI</v>
      </c>
      <c r="F164">
        <f>+'staffing plan'!C158</f>
        <v>22</v>
      </c>
      <c r="G164" s="131">
        <f>+'staffing plan'!AH158</f>
        <v>783828</v>
      </c>
      <c r="H164" s="131">
        <f>+'staffing plan'!AI158</f>
        <v>783828</v>
      </c>
      <c r="I164" s="131">
        <f>+'staffing plan'!AJ158</f>
        <v>1</v>
      </c>
      <c r="J164" t="str">
        <f>+'staffing plan'!AW158</f>
        <v>FIAR-OD, Ray Bomas-ang</v>
      </c>
      <c r="K164" t="e">
        <f>+'staffing plan'!#REF!</f>
        <v>#REF!</v>
      </c>
      <c r="L164" t="e">
        <f>+'staffing plan'!#REF!</f>
        <v>#REF!</v>
      </c>
      <c r="M164" t="str">
        <f>+'staffing plan'!AX158</f>
        <v>Mt. Province</v>
      </c>
      <c r="N164" t="str">
        <f>+'staffing plan'!AY158</f>
        <v>M</v>
      </c>
      <c r="O164" s="145" t="e">
        <f>+'staffing plan'!#REF!</f>
        <v>#REF!</v>
      </c>
      <c r="P164" s="145" t="e">
        <f>+'staffing plan'!#REF!</f>
        <v>#REF!</v>
      </c>
      <c r="Q164" s="145" t="e">
        <f>+'staffing plan'!#REF!</f>
        <v>#REF!</v>
      </c>
      <c r="R164" t="str">
        <f>+'staffing plan'!BP158</f>
        <v>Promotion</v>
      </c>
      <c r="S164">
        <v>162</v>
      </c>
    </row>
    <row r="165" spans="2:19" hidden="1">
      <c r="B165">
        <f t="shared" si="6"/>
        <v>2017</v>
      </c>
      <c r="C165">
        <f>+'staffing plan'!BK153</f>
        <v>43070</v>
      </c>
      <c r="D165" t="str">
        <f>'staffing plan'!A153</f>
        <v>OSEC-DILGB-LGOO6-69-2017</v>
      </c>
      <c r="E165" t="str">
        <f>+'staffing plan'!B153</f>
        <v>Local Government Operations Officer VI</v>
      </c>
      <c r="F165">
        <f>+'staffing plan'!C153</f>
        <v>22</v>
      </c>
      <c r="G165" s="131">
        <f>+'staffing plan'!AH153</f>
        <v>783828</v>
      </c>
      <c r="H165" s="131">
        <f>+'staffing plan'!AI153</f>
        <v>783828</v>
      </c>
      <c r="I165" s="131">
        <f>+'staffing plan'!AJ153</f>
        <v>1</v>
      </c>
      <c r="J165" t="str">
        <f>+'staffing plan'!AW153</f>
        <v>BASILIO, Caridad  Ballang</v>
      </c>
      <c r="K165" t="e">
        <f>+'staffing plan'!#REF!</f>
        <v>#REF!</v>
      </c>
      <c r="L165" t="e">
        <f>+'staffing plan'!#REF!</f>
        <v>#REF!</v>
      </c>
      <c r="M165" t="str">
        <f>+'staffing plan'!AX153</f>
        <v>Mt. Province</v>
      </c>
      <c r="N165" t="str">
        <f>+'staffing plan'!AY153</f>
        <v>F</v>
      </c>
      <c r="O165" s="145" t="e">
        <f>+'staffing plan'!#REF!</f>
        <v>#REF!</v>
      </c>
      <c r="P165" s="145" t="e">
        <f>+'staffing plan'!#REF!</f>
        <v>#REF!</v>
      </c>
      <c r="Q165" s="145" t="e">
        <f>+'staffing plan'!#REF!</f>
        <v>#REF!</v>
      </c>
      <c r="R165">
        <f>+'staffing plan'!BP153</f>
        <v>0</v>
      </c>
      <c r="S165">
        <v>163</v>
      </c>
    </row>
    <row r="166" spans="2:19" hidden="1">
      <c r="B166">
        <f t="shared" si="6"/>
        <v>2017</v>
      </c>
      <c r="C166">
        <f>+'staffing plan'!BK135</f>
        <v>43070</v>
      </c>
      <c r="D166" t="str">
        <f>'staffing plan'!A135</f>
        <v>OSEC-DILGB-LGOO6-51-2017</v>
      </c>
      <c r="E166" t="str">
        <f>+'staffing plan'!B135</f>
        <v>Local Government Operations OFFICER VI</v>
      </c>
      <c r="F166">
        <f>+'staffing plan'!C135</f>
        <v>22</v>
      </c>
      <c r="G166" s="131">
        <f>+'staffing plan'!AH135</f>
        <v>783828</v>
      </c>
      <c r="H166" s="131">
        <f>+'staffing plan'!AI135</f>
        <v>783828</v>
      </c>
      <c r="I166" s="131">
        <f>+'staffing plan'!AJ135</f>
        <v>1</v>
      </c>
      <c r="J166" t="str">
        <f>+'staffing plan'!AW135</f>
        <v>UMALCO, Wilbert Mayam-o</v>
      </c>
      <c r="K166" t="e">
        <f>+'staffing plan'!#REF!</f>
        <v>#REF!</v>
      </c>
      <c r="L166" t="e">
        <f>+'staffing plan'!#REF!</f>
        <v>#REF!</v>
      </c>
      <c r="M166" t="str">
        <f>+'staffing plan'!AX135</f>
        <v>Ifugao</v>
      </c>
      <c r="N166" t="str">
        <f>+'staffing plan'!AY135</f>
        <v>M</v>
      </c>
      <c r="O166" s="145" t="e">
        <f>+'staffing plan'!#REF!</f>
        <v>#REF!</v>
      </c>
      <c r="P166" s="145" t="e">
        <f>+'staffing plan'!#REF!</f>
        <v>#REF!</v>
      </c>
      <c r="Q166" s="145" t="e">
        <f>+'staffing plan'!#REF!</f>
        <v>#REF!</v>
      </c>
      <c r="R166">
        <f>+'staffing plan'!BP135</f>
        <v>0</v>
      </c>
      <c r="S166">
        <v>164</v>
      </c>
    </row>
    <row r="167" spans="2:19" hidden="1">
      <c r="B167">
        <f t="shared" si="6"/>
        <v>2017</v>
      </c>
      <c r="C167">
        <f>+'staffing plan'!BK136</f>
        <v>43070</v>
      </c>
      <c r="D167" t="str">
        <f>'staffing plan'!A136</f>
        <v>OSEC-DILGB-LGOO6-52-2017</v>
      </c>
      <c r="E167" t="str">
        <f>+'staffing plan'!B136</f>
        <v>Local Government Operations OFFICER VI</v>
      </c>
      <c r="F167">
        <f>+'staffing plan'!C136</f>
        <v>22</v>
      </c>
      <c r="G167" s="131">
        <f>+'staffing plan'!AH136</f>
        <v>783828</v>
      </c>
      <c r="H167" s="131">
        <f>+'staffing plan'!AI136</f>
        <v>783828</v>
      </c>
      <c r="I167" s="131">
        <f>+'staffing plan'!AJ136</f>
        <v>1</v>
      </c>
      <c r="J167" t="str">
        <f>+'staffing plan'!AW136</f>
        <v>LINDAWAN, Gilbert Nayahangan</v>
      </c>
      <c r="K167" t="e">
        <f>+'staffing plan'!#REF!</f>
        <v>#REF!</v>
      </c>
      <c r="L167" t="e">
        <f>+'staffing plan'!#REF!</f>
        <v>#REF!</v>
      </c>
      <c r="M167" t="str">
        <f>+'staffing plan'!AX136</f>
        <v>Ifugao</v>
      </c>
      <c r="N167" t="str">
        <f>+'staffing plan'!AY136</f>
        <v>M</v>
      </c>
      <c r="O167" s="145" t="e">
        <f>+'staffing plan'!#REF!</f>
        <v>#REF!</v>
      </c>
      <c r="P167" s="145" t="e">
        <f>+'staffing plan'!#REF!</f>
        <v>#REF!</v>
      </c>
      <c r="Q167" s="145" t="e">
        <f>+'staffing plan'!#REF!</f>
        <v>#REF!</v>
      </c>
      <c r="R167">
        <f>+'staffing plan'!BP136</f>
        <v>0</v>
      </c>
      <c r="S167">
        <v>165</v>
      </c>
    </row>
    <row r="168" spans="2:19" hidden="1">
      <c r="B168">
        <f t="shared" si="6"/>
        <v>2017</v>
      </c>
      <c r="C168">
        <f>+'staffing plan'!BK137</f>
        <v>43070</v>
      </c>
      <c r="D168" t="str">
        <f>'staffing plan'!A137</f>
        <v>OSEC-DILGB-LGOO6-53-2017</v>
      </c>
      <c r="E168" t="str">
        <f>+'staffing plan'!B137</f>
        <v>Local Government Operations OFFICER VI</v>
      </c>
      <c r="F168">
        <f>+'staffing plan'!C137</f>
        <v>22</v>
      </c>
      <c r="G168" s="131">
        <f>+'staffing plan'!AH137</f>
        <v>783828</v>
      </c>
      <c r="H168" s="131">
        <f>+'staffing plan'!AI137</f>
        <v>783828</v>
      </c>
      <c r="I168" s="131">
        <f>+'staffing plan'!AJ137</f>
        <v>1</v>
      </c>
      <c r="J168" t="str">
        <f>+'staffing plan'!AW137</f>
        <v>MARCAIDA, Linda Himoldang</v>
      </c>
      <c r="K168" t="e">
        <f>+'staffing plan'!#REF!</f>
        <v>#REF!</v>
      </c>
      <c r="L168" t="e">
        <f>+'staffing plan'!#REF!</f>
        <v>#REF!</v>
      </c>
      <c r="M168" t="str">
        <f>+'staffing plan'!AX137</f>
        <v>Ifugao</v>
      </c>
      <c r="N168" t="str">
        <f>+'staffing plan'!AY137</f>
        <v>F</v>
      </c>
      <c r="O168" s="145" t="e">
        <f>+'staffing plan'!#REF!</f>
        <v>#REF!</v>
      </c>
      <c r="P168" s="145" t="e">
        <f>+'staffing plan'!#REF!</f>
        <v>#REF!</v>
      </c>
      <c r="Q168" s="145" t="e">
        <f>+'staffing plan'!#REF!</f>
        <v>#REF!</v>
      </c>
      <c r="R168">
        <f>+'staffing plan'!BP137</f>
        <v>0</v>
      </c>
      <c r="S168">
        <v>166</v>
      </c>
    </row>
    <row r="169" spans="2:19" hidden="1">
      <c r="B169" t="e">
        <f t="shared" si="6"/>
        <v>#REF!</v>
      </c>
      <c r="C169" t="e">
        <f>+'staffing plan'!#REF!</f>
        <v>#REF!</v>
      </c>
      <c r="D169" t="str">
        <f>'staffing plan'!A179</f>
        <v>OSEC-DILGB-LGOO5-991-1998</v>
      </c>
      <c r="E169" t="str">
        <f>+'staffing plan'!B179</f>
        <v>Local Government Operations Officer V</v>
      </c>
      <c r="F169">
        <f>+'staffing plan'!C179</f>
        <v>20</v>
      </c>
      <c r="G169" s="131">
        <f>+'staffing plan'!AH179</f>
        <v>613860</v>
      </c>
      <c r="H169" s="131">
        <f>+'staffing plan'!AI179</f>
        <v>0</v>
      </c>
      <c r="I169" s="131">
        <f>+'staffing plan'!AJ179</f>
        <v>0</v>
      </c>
      <c r="J169" t="str">
        <f>+'staffing plan'!AW179</f>
        <v xml:space="preserve">Vacant CHUNANON,  </v>
      </c>
      <c r="K169" t="e">
        <f>+'staffing plan'!#REF!</f>
        <v>#REF!</v>
      </c>
      <c r="L169" t="e">
        <f>+'staffing plan'!#REF!</f>
        <v>#REF!</v>
      </c>
      <c r="M169" t="e">
        <f>+'staffing plan'!#REF!</f>
        <v>#REF!</v>
      </c>
      <c r="N169" t="e">
        <f>+'staffing plan'!#REF!</f>
        <v>#REF!</v>
      </c>
      <c r="O169" s="145" t="e">
        <f>+'staffing plan'!#REF!</f>
        <v>#REF!</v>
      </c>
      <c r="P169" s="145" t="e">
        <f>+'staffing plan'!#REF!</f>
        <v>#REF!</v>
      </c>
      <c r="Q169" s="145" t="e">
        <f>+'staffing plan'!#REF!</f>
        <v>#REF!</v>
      </c>
      <c r="R169">
        <f>+'staffing plan'!BP179</f>
        <v>0</v>
      </c>
      <c r="S169">
        <v>167</v>
      </c>
    </row>
    <row r="170" spans="2:19" hidden="1">
      <c r="B170">
        <f t="shared" si="6"/>
        <v>2018</v>
      </c>
      <c r="C170">
        <f>+'staffing plan'!BK126</f>
        <v>43103</v>
      </c>
      <c r="D170" t="str">
        <f>'staffing plan'!A126</f>
        <v>OSEC-DILGB-LGOO6-42-2017</v>
      </c>
      <c r="E170" t="str">
        <f>+'staffing plan'!B126</f>
        <v>Local Government Operations Officer VI</v>
      </c>
      <c r="F170">
        <f>+'staffing plan'!C126</f>
        <v>22</v>
      </c>
      <c r="G170" s="131">
        <f>+'staffing plan'!AH126</f>
        <v>783828</v>
      </c>
      <c r="H170" s="131">
        <f>+'staffing plan'!AI126</f>
        <v>783828</v>
      </c>
      <c r="I170" s="131">
        <f>+'staffing plan'!AJ126</f>
        <v>1</v>
      </c>
      <c r="J170" t="str">
        <f>+'staffing plan'!AW126</f>
        <v>CENU, Merina Bagasol</v>
      </c>
      <c r="K170" t="e">
        <f>+'staffing plan'!#REF!</f>
        <v>#REF!</v>
      </c>
      <c r="L170" t="e">
        <f>+'staffing plan'!#REF!</f>
        <v>#REF!</v>
      </c>
      <c r="M170" t="str">
        <f>+'staffing plan'!AX126</f>
        <v>Apayao</v>
      </c>
      <c r="N170" t="str">
        <f>+'staffing plan'!AY126</f>
        <v>F</v>
      </c>
      <c r="O170" s="145" t="e">
        <f>+'staffing plan'!#REF!</f>
        <v>#REF!</v>
      </c>
      <c r="P170" s="145" t="e">
        <f>+'staffing plan'!#REF!</f>
        <v>#REF!</v>
      </c>
      <c r="Q170" s="145" t="e">
        <f>+'staffing plan'!#REF!</f>
        <v>#REF!</v>
      </c>
      <c r="R170" t="str">
        <f>+'staffing plan'!BP126</f>
        <v>Shifting</v>
      </c>
      <c r="S170">
        <v>168</v>
      </c>
    </row>
    <row r="171" spans="2:19" hidden="1">
      <c r="B171">
        <f t="shared" si="6"/>
        <v>2014</v>
      </c>
      <c r="C171">
        <f>+'staffing plan'!BK180</f>
        <v>41869</v>
      </c>
      <c r="D171" t="str">
        <f>'staffing plan'!A180</f>
        <v>OSEC-DILGB-LGOO5-993-1998</v>
      </c>
      <c r="E171" t="str">
        <f>+'staffing plan'!B180</f>
        <v>Local Government Operations Officer V</v>
      </c>
      <c r="F171">
        <f>+'staffing plan'!C180</f>
        <v>20</v>
      </c>
      <c r="G171" s="131">
        <f>+'staffing plan'!AH180</f>
        <v>613860</v>
      </c>
      <c r="H171" s="131">
        <f>+'staffing plan'!AI180</f>
        <v>623868</v>
      </c>
      <c r="I171" s="131">
        <f>+'staffing plan'!AJ180</f>
        <v>2</v>
      </c>
      <c r="J171" t="str">
        <f>+'staffing plan'!AW180</f>
        <v>ALVAREZ, Kristoffer Dave Rigonan</v>
      </c>
      <c r="K171" t="e">
        <f>+'staffing plan'!#REF!</f>
        <v>#REF!</v>
      </c>
      <c r="L171" t="e">
        <f>+'staffing plan'!#REF!</f>
        <v>#REF!</v>
      </c>
      <c r="M171" t="str">
        <f>+'staffing plan'!AX180</f>
        <v>Apayao</v>
      </c>
      <c r="N171" t="str">
        <f>+'staffing plan'!AY180</f>
        <v>M</v>
      </c>
      <c r="O171" s="145" t="e">
        <f>+'staffing plan'!#REF!</f>
        <v>#REF!</v>
      </c>
      <c r="P171" s="145" t="e">
        <f>+'staffing plan'!#REF!</f>
        <v>#REF!</v>
      </c>
      <c r="Q171" s="145" t="e">
        <f>+'staffing plan'!#REF!</f>
        <v>#REF!</v>
      </c>
      <c r="R171" t="str">
        <f>+'staffing plan'!BP180</f>
        <v>Shifting</v>
      </c>
      <c r="S171">
        <v>169</v>
      </c>
    </row>
    <row r="172" spans="2:19">
      <c r="B172">
        <f t="shared" si="6"/>
        <v>2018</v>
      </c>
      <c r="C172">
        <f>+'staffing plan'!BK181</f>
        <v>43168</v>
      </c>
      <c r="D172" t="str">
        <f>'staffing plan'!A181</f>
        <v>OSEC-DILGB-LGOO3-129-1998</v>
      </c>
      <c r="E172" t="str">
        <f>+'staffing plan'!B181</f>
        <v>Local Government Operations Officer III</v>
      </c>
      <c r="F172">
        <f>+'staffing plan'!C181</f>
        <v>15</v>
      </c>
      <c r="G172" s="131">
        <f>+'staffing plan'!AH181</f>
        <v>366372</v>
      </c>
      <c r="H172" s="131">
        <f>+'staffing plan'!AI181</f>
        <v>366372</v>
      </c>
      <c r="I172" s="131">
        <f>+'staffing plan'!AJ181</f>
        <v>1</v>
      </c>
      <c r="J172" t="str">
        <f>+'staffing plan'!AW181</f>
        <v>DUMALSIN, Joan-Ana Jacinto</v>
      </c>
      <c r="K172" t="e">
        <f>+'staffing plan'!#REF!</f>
        <v>#REF!</v>
      </c>
      <c r="L172" t="e">
        <f>+'staffing plan'!#REF!</f>
        <v>#REF!</v>
      </c>
      <c r="M172" t="str">
        <f>+'staffing plan'!AX181</f>
        <v>Baguio City</v>
      </c>
      <c r="N172" t="str">
        <f>+'staffing plan'!AY181</f>
        <v>F</v>
      </c>
      <c r="O172" s="145" t="e">
        <f>+'staffing plan'!#REF!</f>
        <v>#REF!</v>
      </c>
      <c r="P172" s="145" t="e">
        <f>+'staffing plan'!#REF!</f>
        <v>#REF!</v>
      </c>
      <c r="Q172" s="145" t="e">
        <f>+'staffing plan'!#REF!</f>
        <v>#REF!</v>
      </c>
      <c r="R172">
        <f>+'staffing plan'!BP181</f>
        <v>0</v>
      </c>
      <c r="S172">
        <v>170</v>
      </c>
    </row>
    <row r="173" spans="2:19">
      <c r="B173">
        <f t="shared" si="6"/>
        <v>2019</v>
      </c>
      <c r="C173">
        <f>+'staffing plan'!BK182</f>
        <v>43497</v>
      </c>
      <c r="D173" t="str">
        <f>'staffing plan'!A182</f>
        <v>OSEC-DILGB-LGOO3-130-1998</v>
      </c>
      <c r="E173" t="str">
        <f>+'staffing plan'!B182</f>
        <v>Local Government Operations Officer III</v>
      </c>
      <c r="F173">
        <f>+'staffing plan'!C182</f>
        <v>15</v>
      </c>
      <c r="G173" s="131">
        <f>+'staffing plan'!AH182</f>
        <v>366372</v>
      </c>
      <c r="H173" s="131">
        <f>+'staffing plan'!AI182</f>
        <v>366372</v>
      </c>
      <c r="I173" s="131">
        <f>+'staffing plan'!AJ182</f>
        <v>1</v>
      </c>
      <c r="J173" t="str">
        <f>+'staffing plan'!AW182</f>
        <v>GAYASO, Jereille Decoran</v>
      </c>
      <c r="K173" t="e">
        <f>+'staffing plan'!#REF!</f>
        <v>#REF!</v>
      </c>
      <c r="L173" t="e">
        <f>+'staffing plan'!#REF!</f>
        <v>#REF!</v>
      </c>
      <c r="M173" t="str">
        <f>+'staffing plan'!AX182</f>
        <v>Baguio City</v>
      </c>
      <c r="N173" t="str">
        <f>+'staffing plan'!AY182</f>
        <v>M</v>
      </c>
      <c r="O173" s="145" t="e">
        <f>+'staffing plan'!#REF!</f>
        <v>#REF!</v>
      </c>
      <c r="P173" s="145" t="e">
        <f>+'staffing plan'!#REF!</f>
        <v>#REF!</v>
      </c>
      <c r="Q173" s="145" t="e">
        <f>+'staffing plan'!#REF!</f>
        <v>#REF!</v>
      </c>
      <c r="R173">
        <f>+'staffing plan'!BP182</f>
        <v>0</v>
      </c>
      <c r="S173">
        <v>171</v>
      </c>
    </row>
    <row r="174" spans="2:19" hidden="1">
      <c r="B174">
        <f t="shared" si="6"/>
        <v>2019</v>
      </c>
      <c r="C174">
        <f>+'staffing plan'!BK183</f>
        <v>43515</v>
      </c>
      <c r="D174" t="str">
        <f>'staffing plan'!A183</f>
        <v>OSEC-DILGB-LGOO3-131-1998</v>
      </c>
      <c r="E174" t="str">
        <f>+'staffing plan'!B183</f>
        <v>Local Government Operations Officer III</v>
      </c>
      <c r="F174">
        <f>+'staffing plan'!C183</f>
        <v>15</v>
      </c>
      <c r="G174" s="131">
        <f>+'staffing plan'!AH183</f>
        <v>366372</v>
      </c>
      <c r="H174" s="131">
        <f>+'staffing plan'!AI183</f>
        <v>366372</v>
      </c>
      <c r="I174" s="131">
        <f>+'staffing plan'!AJ183</f>
        <v>1</v>
      </c>
      <c r="J174" t="str">
        <f>+'staffing plan'!AW183</f>
        <v>BURAGA, Shaquile Laniog</v>
      </c>
      <c r="K174" t="e">
        <f>+'staffing plan'!#REF!</f>
        <v>#REF!</v>
      </c>
      <c r="L174" t="e">
        <f>+'staffing plan'!#REF!</f>
        <v>#REF!</v>
      </c>
      <c r="M174" t="str">
        <f>+'staffing plan'!AX183</f>
        <v>Baguio City</v>
      </c>
      <c r="N174" t="str">
        <f>+'staffing plan'!AY183</f>
        <v>M</v>
      </c>
      <c r="O174" s="145" t="e">
        <f>+'staffing plan'!#REF!</f>
        <v>#REF!</v>
      </c>
      <c r="P174" s="145" t="e">
        <f>+'staffing plan'!#REF!</f>
        <v>#REF!</v>
      </c>
      <c r="Q174" s="145" t="e">
        <f>+'staffing plan'!#REF!</f>
        <v>#REF!</v>
      </c>
      <c r="R174">
        <f>+'staffing plan'!BP183</f>
        <v>0</v>
      </c>
      <c r="S174">
        <v>172</v>
      </c>
    </row>
    <row r="175" spans="2:19" hidden="1">
      <c r="B175">
        <f t="shared" si="6"/>
        <v>2018</v>
      </c>
      <c r="C175">
        <f>+'staffing plan'!BK184</f>
        <v>43168</v>
      </c>
      <c r="D175" t="str">
        <f>'staffing plan'!A184</f>
        <v>OSEC-DILGB-LGOO3-241-2010</v>
      </c>
      <c r="E175" t="str">
        <f>+'staffing plan'!B184</f>
        <v>Local Government Operations Officer III</v>
      </c>
      <c r="F175">
        <f>+'staffing plan'!C184</f>
        <v>15</v>
      </c>
      <c r="G175" s="131">
        <f>+'staffing plan'!AH184</f>
        <v>366372</v>
      </c>
      <c r="H175" s="131">
        <f>+'staffing plan'!AI184</f>
        <v>366372</v>
      </c>
      <c r="I175" s="131">
        <f>+'staffing plan'!AJ184</f>
        <v>1</v>
      </c>
      <c r="J175" t="str">
        <f>+'staffing plan'!AW184</f>
        <v>DOGUI-IS, Thyrza Shoey Leusen</v>
      </c>
      <c r="K175" t="e">
        <f>+'staffing plan'!#REF!</f>
        <v>#REF!</v>
      </c>
      <c r="L175" t="e">
        <f>+'staffing plan'!#REF!</f>
        <v>#REF!</v>
      </c>
      <c r="M175" t="str">
        <f>+'staffing plan'!AX184</f>
        <v>Kalinga</v>
      </c>
      <c r="N175" t="str">
        <f>+'staffing plan'!AY184</f>
        <v>F</v>
      </c>
      <c r="O175" s="145" t="e">
        <f>+'staffing plan'!#REF!</f>
        <v>#REF!</v>
      </c>
      <c r="P175" s="145" t="e">
        <f>+'staffing plan'!#REF!</f>
        <v>#REF!</v>
      </c>
      <c r="Q175" s="145" t="e">
        <f>+'staffing plan'!#REF!</f>
        <v>#REF!</v>
      </c>
      <c r="R175">
        <f>+'staffing plan'!BP184</f>
        <v>0</v>
      </c>
      <c r="S175">
        <v>173</v>
      </c>
    </row>
    <row r="176" spans="2:19" hidden="1">
      <c r="B176">
        <f t="shared" si="6"/>
        <v>2014</v>
      </c>
      <c r="C176">
        <f>+'staffing plan'!BK185</f>
        <v>41927</v>
      </c>
      <c r="D176" t="str">
        <f>'staffing plan'!A185</f>
        <v>OSEC-DILGB-LGOO2-6-1998</v>
      </c>
      <c r="E176" t="str">
        <f>+'staffing plan'!B185</f>
        <v>Local Government Operations Officer II</v>
      </c>
      <c r="F176">
        <f>+'staffing plan'!C185</f>
        <v>13</v>
      </c>
      <c r="G176" s="131">
        <f>+'staffing plan'!AH185</f>
        <v>302784</v>
      </c>
      <c r="H176" s="131">
        <f>+'staffing plan'!AI185</f>
        <v>306540</v>
      </c>
      <c r="I176" s="131">
        <f>+'staffing plan'!AJ185</f>
        <v>2</v>
      </c>
      <c r="J176" t="str">
        <f>+'staffing plan'!AW185</f>
        <v>LAYUGAN, Elizabeth Barros</v>
      </c>
      <c r="K176" t="e">
        <f>+'staffing plan'!#REF!</f>
        <v>#REF!</v>
      </c>
      <c r="L176" t="e">
        <f>+'staffing plan'!#REF!</f>
        <v>#REF!</v>
      </c>
      <c r="M176" t="str">
        <f>+'staffing plan'!AX185</f>
        <v>Abra</v>
      </c>
      <c r="N176" t="str">
        <f>+'staffing plan'!AY185</f>
        <v>F</v>
      </c>
      <c r="O176" s="145" t="e">
        <f>+'staffing plan'!#REF!</f>
        <v>#REF!</v>
      </c>
      <c r="P176" s="145" t="e">
        <f>+'staffing plan'!#REF!</f>
        <v>#REF!</v>
      </c>
      <c r="Q176" s="145" t="e">
        <f>+'staffing plan'!#REF!</f>
        <v>#REF!</v>
      </c>
      <c r="R176">
        <f>+'staffing plan'!BP185</f>
        <v>0</v>
      </c>
      <c r="S176">
        <v>174</v>
      </c>
    </row>
    <row r="177" spans="2:19" hidden="1">
      <c r="B177">
        <f t="shared" si="6"/>
        <v>2018</v>
      </c>
      <c r="C177">
        <f>+'staffing plan'!BK186</f>
        <v>43395</v>
      </c>
      <c r="D177" t="str">
        <f>'staffing plan'!A186</f>
        <v>OSEC-DILGB-LGOO2-7-1998</v>
      </c>
      <c r="E177" t="str">
        <f>+'staffing plan'!B186</f>
        <v>Local Government Operations Officer II</v>
      </c>
      <c r="F177">
        <f>+'staffing plan'!C186</f>
        <v>13</v>
      </c>
      <c r="G177" s="131">
        <f>+'staffing plan'!AH186</f>
        <v>302784</v>
      </c>
      <c r="H177" s="131">
        <f>+'staffing plan'!AI186</f>
        <v>302784</v>
      </c>
      <c r="I177" s="131">
        <f>+'staffing plan'!AJ186</f>
        <v>1</v>
      </c>
      <c r="J177" t="str">
        <f>+'staffing plan'!AW186</f>
        <v>ATUAN, Valentine Lugawe</v>
      </c>
      <c r="K177" t="e">
        <f>+'staffing plan'!#REF!</f>
        <v>#REF!</v>
      </c>
      <c r="L177" t="e">
        <f>+'staffing plan'!#REF!</f>
        <v>#REF!</v>
      </c>
      <c r="M177" t="str">
        <f>+'staffing plan'!AX186</f>
        <v>Ifugao</v>
      </c>
      <c r="N177" t="str">
        <f>+'staffing plan'!AY186</f>
        <v>M</v>
      </c>
      <c r="O177" s="145" t="e">
        <f>+'staffing plan'!#REF!</f>
        <v>#REF!</v>
      </c>
      <c r="P177" s="145" t="e">
        <f>+'staffing plan'!#REF!</f>
        <v>#REF!</v>
      </c>
      <c r="Q177" s="145" t="e">
        <f>+'staffing plan'!#REF!</f>
        <v>#REF!</v>
      </c>
      <c r="R177">
        <f>+'staffing plan'!BP186</f>
        <v>0</v>
      </c>
      <c r="S177">
        <v>175</v>
      </c>
    </row>
    <row r="178" spans="2:19">
      <c r="B178">
        <f t="shared" si="6"/>
        <v>2015</v>
      </c>
      <c r="C178">
        <f>+'staffing plan'!BK187</f>
        <v>42293</v>
      </c>
      <c r="D178" t="str">
        <f>'staffing plan'!A187</f>
        <v>OSEC-DILGB-LGOO2-10-1998</v>
      </c>
      <c r="E178" t="str">
        <f>+'staffing plan'!B187</f>
        <v>Local Government Operations Officer II</v>
      </c>
      <c r="F178">
        <f>+'staffing plan'!C187</f>
        <v>13</v>
      </c>
      <c r="G178" s="131">
        <f>+'staffing plan'!AH187</f>
        <v>302784</v>
      </c>
      <c r="H178" s="131">
        <f>+'staffing plan'!AI187</f>
        <v>306540</v>
      </c>
      <c r="I178" s="131">
        <f>+'staffing plan'!AJ187</f>
        <v>2</v>
      </c>
      <c r="J178" t="str">
        <f>+'staffing plan'!AW187</f>
        <v>TENEBRO, JR Adame</v>
      </c>
      <c r="K178" t="e">
        <f>+'staffing plan'!#REF!</f>
        <v>#REF!</v>
      </c>
      <c r="L178" t="e">
        <f>+'staffing plan'!#REF!</f>
        <v>#REF!</v>
      </c>
      <c r="M178" t="str">
        <f>+'staffing plan'!AX187</f>
        <v>Abra</v>
      </c>
      <c r="N178" t="str">
        <f>+'staffing plan'!AY187</f>
        <v>M</v>
      </c>
      <c r="O178" s="145" t="e">
        <f>+'staffing plan'!#REF!</f>
        <v>#REF!</v>
      </c>
      <c r="P178" s="145" t="e">
        <f>+'staffing plan'!#REF!</f>
        <v>#REF!</v>
      </c>
      <c r="Q178" s="145" t="e">
        <f>+'staffing plan'!#REF!</f>
        <v>#REF!</v>
      </c>
      <c r="R178">
        <f>+'staffing plan'!BP187</f>
        <v>0</v>
      </c>
      <c r="S178">
        <v>176</v>
      </c>
    </row>
    <row r="179" spans="2:19">
      <c r="B179">
        <f t="shared" si="6"/>
        <v>2015</v>
      </c>
      <c r="C179">
        <f>+'staffing plan'!BK188</f>
        <v>42186</v>
      </c>
      <c r="D179" t="str">
        <f>'staffing plan'!A188</f>
        <v>OSEC-DILGB-LGOO2-12-1998</v>
      </c>
      <c r="E179" t="str">
        <f>+'staffing plan'!B188</f>
        <v>Local Government Operations Officer II</v>
      </c>
      <c r="F179">
        <f>+'staffing plan'!C188</f>
        <v>13</v>
      </c>
      <c r="G179" s="131">
        <f>+'staffing plan'!AH188</f>
        <v>302784</v>
      </c>
      <c r="H179" s="131">
        <f>+'staffing plan'!AI188</f>
        <v>306540</v>
      </c>
      <c r="I179" s="131">
        <f>+'staffing plan'!AJ188</f>
        <v>2</v>
      </c>
      <c r="J179" t="str">
        <f>+'staffing plan'!AW188</f>
        <v>PARTIDO, Alfrainer Ferras</v>
      </c>
      <c r="K179" t="e">
        <f>+'staffing plan'!#REF!</f>
        <v>#REF!</v>
      </c>
      <c r="L179" t="e">
        <f>+'staffing plan'!#REF!</f>
        <v>#REF!</v>
      </c>
      <c r="M179" t="str">
        <f>+'staffing plan'!AX188</f>
        <v>Abra</v>
      </c>
      <c r="N179" t="str">
        <f>+'staffing plan'!AY188</f>
        <v>M</v>
      </c>
      <c r="O179" s="145" t="e">
        <f>+'staffing plan'!#REF!</f>
        <v>#REF!</v>
      </c>
      <c r="P179" s="145" t="e">
        <f>+'staffing plan'!#REF!</f>
        <v>#REF!</v>
      </c>
      <c r="Q179" s="145" t="e">
        <f>+'staffing plan'!#REF!</f>
        <v>#REF!</v>
      </c>
      <c r="R179">
        <f>+'staffing plan'!BP188</f>
        <v>0</v>
      </c>
      <c r="S179">
        <v>177</v>
      </c>
    </row>
    <row r="180" spans="2:19" hidden="1">
      <c r="B180">
        <f t="shared" si="6"/>
        <v>1900</v>
      </c>
      <c r="C180">
        <f>+'staffing plan'!BK189</f>
        <v>0</v>
      </c>
      <c r="D180" t="str">
        <f>'staffing plan'!A189</f>
        <v>OSEC-DILGB-LGOO2-14-1998</v>
      </c>
      <c r="E180" t="str">
        <f>+'staffing plan'!B189</f>
        <v>Local Government Operations Officer II</v>
      </c>
      <c r="F180">
        <f>+'staffing plan'!C189</f>
        <v>13</v>
      </c>
      <c r="G180" s="131">
        <f>+'staffing plan'!AH189</f>
        <v>302784</v>
      </c>
      <c r="H180" s="131">
        <f>+'staffing plan'!AI189</f>
        <v>0</v>
      </c>
      <c r="I180" s="131">
        <f>+'staffing plan'!AJ189</f>
        <v>0</v>
      </c>
      <c r="J180" t="str">
        <f>+'staffing plan'!AW189</f>
        <v xml:space="preserve">Vacant SAGUIYOD,  </v>
      </c>
      <c r="K180" t="e">
        <f>+'staffing plan'!#REF!</f>
        <v>#REF!</v>
      </c>
      <c r="L180" t="e">
        <f>+'staffing plan'!#REF!</f>
        <v>#REF!</v>
      </c>
      <c r="M180">
        <f>+'staffing plan'!AX189</f>
        <v>0</v>
      </c>
      <c r="N180">
        <f>+'staffing plan'!AY189</f>
        <v>0</v>
      </c>
      <c r="O180" s="145" t="e">
        <f>+'staffing plan'!#REF!</f>
        <v>#REF!</v>
      </c>
      <c r="P180" s="145" t="e">
        <f>+'staffing plan'!#REF!</f>
        <v>#REF!</v>
      </c>
      <c r="Q180" s="145" t="e">
        <f>+'staffing plan'!#REF!</f>
        <v>#REF!</v>
      </c>
      <c r="R180">
        <f>+'staffing plan'!BP189</f>
        <v>0</v>
      </c>
      <c r="S180">
        <v>178</v>
      </c>
    </row>
    <row r="181" spans="2:19" hidden="1">
      <c r="B181">
        <f t="shared" si="6"/>
        <v>2018</v>
      </c>
      <c r="C181">
        <f>+'staffing plan'!BK190</f>
        <v>43367</v>
      </c>
      <c r="D181" t="str">
        <f>'staffing plan'!A190</f>
        <v>OSEC-DILGB-LGOO2-15-1998</v>
      </c>
      <c r="E181" t="str">
        <f>+'staffing plan'!B190</f>
        <v>Local Government Operations Officer II</v>
      </c>
      <c r="F181">
        <f>+'staffing plan'!C190</f>
        <v>13</v>
      </c>
      <c r="G181" s="131">
        <f>+'staffing plan'!AH190</f>
        <v>302784</v>
      </c>
      <c r="H181" s="131">
        <f>+'staffing plan'!AI190</f>
        <v>302784</v>
      </c>
      <c r="I181" s="131">
        <f>+'staffing plan'!AJ190</f>
        <v>1</v>
      </c>
      <c r="J181" t="str">
        <f>+'staffing plan'!AW190</f>
        <v>ANUA, Rochelle Foronda</v>
      </c>
      <c r="K181" t="e">
        <f>+'staffing plan'!#REF!</f>
        <v>#REF!</v>
      </c>
      <c r="L181" t="e">
        <f>+'staffing plan'!#REF!</f>
        <v>#REF!</v>
      </c>
      <c r="M181" t="str">
        <f>+'staffing plan'!AX190</f>
        <v>Apayao</v>
      </c>
      <c r="N181" t="str">
        <f>+'staffing plan'!AY190</f>
        <v>F</v>
      </c>
      <c r="O181" s="145" t="e">
        <f>+'staffing plan'!#REF!</f>
        <v>#REF!</v>
      </c>
      <c r="P181" s="145" t="e">
        <f>+'staffing plan'!#REF!</f>
        <v>#REF!</v>
      </c>
      <c r="Q181" s="145" t="e">
        <f>+'staffing plan'!#REF!</f>
        <v>#REF!</v>
      </c>
      <c r="R181">
        <f>+'staffing plan'!BP190</f>
        <v>0</v>
      </c>
      <c r="S181">
        <v>179</v>
      </c>
    </row>
    <row r="182" spans="2:19" hidden="1">
      <c r="B182">
        <f t="shared" si="6"/>
        <v>2014</v>
      </c>
      <c r="C182">
        <f>+'staffing plan'!BK191</f>
        <v>41932</v>
      </c>
      <c r="D182" t="str">
        <f>'staffing plan'!A191</f>
        <v>OSEC-DILGB-LGOO2-17-1998</v>
      </c>
      <c r="E182" t="str">
        <f>+'staffing plan'!B191</f>
        <v>Local Government Operations Officer II</v>
      </c>
      <c r="F182">
        <f>+'staffing plan'!C191</f>
        <v>13</v>
      </c>
      <c r="G182" s="131">
        <f>+'staffing plan'!AH191</f>
        <v>302784</v>
      </c>
      <c r="H182" s="131">
        <f>+'staffing plan'!AI191</f>
        <v>306540</v>
      </c>
      <c r="I182" s="131">
        <f>+'staffing plan'!AJ191</f>
        <v>2</v>
      </c>
      <c r="J182" t="str">
        <f>+'staffing plan'!AW191</f>
        <v>DOGUP, Trisha Marie Alangsab</v>
      </c>
      <c r="K182" t="e">
        <f>+'staffing plan'!#REF!</f>
        <v>#REF!</v>
      </c>
      <c r="L182" t="e">
        <f>+'staffing plan'!#REF!</f>
        <v>#REF!</v>
      </c>
      <c r="M182" t="str">
        <f>+'staffing plan'!AX191</f>
        <v>Mt. Province</v>
      </c>
      <c r="N182" t="str">
        <f>+'staffing plan'!AY191</f>
        <v>F</v>
      </c>
      <c r="O182" s="145" t="e">
        <f>+'staffing plan'!#REF!</f>
        <v>#REF!</v>
      </c>
      <c r="P182" s="145" t="e">
        <f>+'staffing plan'!#REF!</f>
        <v>#REF!</v>
      </c>
      <c r="Q182" s="145" t="e">
        <f>+'staffing plan'!#REF!</f>
        <v>#REF!</v>
      </c>
      <c r="R182">
        <f>+'staffing plan'!BP191</f>
        <v>0</v>
      </c>
      <c r="S182">
        <v>180</v>
      </c>
    </row>
    <row r="183" spans="2:19" hidden="1">
      <c r="B183">
        <f t="shared" si="6"/>
        <v>2019</v>
      </c>
      <c r="C183">
        <f>+'staffing plan'!BK192</f>
        <v>43497</v>
      </c>
      <c r="D183" t="str">
        <f>'staffing plan'!A192</f>
        <v>OSEC-DILGB-LGOO2-18-1998</v>
      </c>
      <c r="E183" t="str">
        <f>+'staffing plan'!B192</f>
        <v>Local Government Operations Officer II</v>
      </c>
      <c r="F183">
        <f>+'staffing plan'!C192</f>
        <v>13</v>
      </c>
      <c r="G183" s="131">
        <f>+'staffing plan'!AH192</f>
        <v>302784</v>
      </c>
      <c r="H183" s="131">
        <f>+'staffing plan'!AI192</f>
        <v>302784</v>
      </c>
      <c r="I183" s="131">
        <f>+'staffing plan'!AJ192</f>
        <v>1</v>
      </c>
      <c r="J183" t="str">
        <f>+'staffing plan'!AW192</f>
        <v>ESCAD, Laura Valencia</v>
      </c>
      <c r="K183" t="e">
        <f>+'staffing plan'!#REF!</f>
        <v>#REF!</v>
      </c>
      <c r="L183" t="e">
        <f>+'staffing plan'!#REF!</f>
        <v>#REF!</v>
      </c>
      <c r="M183" t="str">
        <f>+'staffing plan'!AX192</f>
        <v>Benguet</v>
      </c>
      <c r="N183" t="str">
        <f>+'staffing plan'!AY192</f>
        <v>F</v>
      </c>
      <c r="O183" s="145" t="e">
        <f>+'staffing plan'!#REF!</f>
        <v>#REF!</v>
      </c>
      <c r="P183" s="145" t="e">
        <f>+'staffing plan'!#REF!</f>
        <v>#REF!</v>
      </c>
      <c r="Q183" s="145" t="e">
        <f>+'staffing plan'!#REF!</f>
        <v>#REF!</v>
      </c>
      <c r="R183">
        <f>+'staffing plan'!BP192</f>
        <v>0</v>
      </c>
      <c r="S183">
        <v>181</v>
      </c>
    </row>
    <row r="184" spans="2:19" hidden="1">
      <c r="B184">
        <f t="shared" si="6"/>
        <v>2018</v>
      </c>
      <c r="C184">
        <f>+'staffing plan'!BK193</f>
        <v>43367</v>
      </c>
      <c r="D184" t="str">
        <f>'staffing plan'!A193</f>
        <v>OSEC-DILGB-LGOO2-20-1998</v>
      </c>
      <c r="E184" t="str">
        <f>+'staffing plan'!B193</f>
        <v>Local Government Operations Officer II</v>
      </c>
      <c r="F184">
        <f>+'staffing plan'!C193</f>
        <v>13</v>
      </c>
      <c r="G184" s="131">
        <f>+'staffing plan'!AH193</f>
        <v>302784</v>
      </c>
      <c r="H184" s="131">
        <f>+'staffing plan'!AI193</f>
        <v>302784</v>
      </c>
      <c r="I184" s="131">
        <f>+'staffing plan'!AJ193</f>
        <v>1</v>
      </c>
      <c r="J184" t="str">
        <f>+'staffing plan'!AW193</f>
        <v>LADYONG, Faith Urbino</v>
      </c>
      <c r="K184" t="e">
        <f>+'staffing plan'!#REF!</f>
        <v>#REF!</v>
      </c>
      <c r="L184" t="e">
        <f>+'staffing plan'!#REF!</f>
        <v>#REF!</v>
      </c>
      <c r="M184" t="str">
        <f>+'staffing plan'!AX193</f>
        <v>Kalinga</v>
      </c>
      <c r="N184" t="str">
        <f>+'staffing plan'!AY193</f>
        <v>F</v>
      </c>
      <c r="O184" s="145" t="e">
        <f>+'staffing plan'!#REF!</f>
        <v>#REF!</v>
      </c>
      <c r="P184" s="145" t="e">
        <f>+'staffing plan'!#REF!</f>
        <v>#REF!</v>
      </c>
      <c r="Q184" s="145" t="e">
        <f>+'staffing plan'!#REF!</f>
        <v>#REF!</v>
      </c>
      <c r="R184">
        <f>+'staffing plan'!BP193</f>
        <v>0</v>
      </c>
      <c r="S184">
        <v>182</v>
      </c>
    </row>
    <row r="185" spans="2:19" hidden="1">
      <c r="B185">
        <f t="shared" si="6"/>
        <v>2016</v>
      </c>
      <c r="C185">
        <f>+'staffing plan'!BK194</f>
        <v>42452</v>
      </c>
      <c r="D185" t="str">
        <f>'staffing plan'!A194</f>
        <v>OSEC-DILGB-LGOO2-22-1998</v>
      </c>
      <c r="E185" t="str">
        <f>+'staffing plan'!B194</f>
        <v>Local Government Operations Officer II</v>
      </c>
      <c r="F185">
        <f>+'staffing plan'!C194</f>
        <v>13</v>
      </c>
      <c r="G185" s="131">
        <f>+'staffing plan'!AH194</f>
        <v>302784</v>
      </c>
      <c r="H185" s="131">
        <f>+'staffing plan'!AI194</f>
        <v>302784</v>
      </c>
      <c r="I185" s="131">
        <f>+'staffing plan'!AJ194</f>
        <v>1</v>
      </c>
      <c r="J185" t="str">
        <f>+'staffing plan'!AW194</f>
        <v>ANDANAN, Jaleemar Bosque</v>
      </c>
      <c r="K185" t="e">
        <f>+'staffing plan'!#REF!</f>
        <v>#REF!</v>
      </c>
      <c r="L185" t="e">
        <f>+'staffing plan'!#REF!</f>
        <v>#REF!</v>
      </c>
      <c r="M185" t="str">
        <f>+'staffing plan'!AX194</f>
        <v>Abra</v>
      </c>
      <c r="N185" t="str">
        <f>+'staffing plan'!AY194</f>
        <v>F</v>
      </c>
      <c r="O185" s="145" t="e">
        <f>+'staffing plan'!#REF!</f>
        <v>#REF!</v>
      </c>
      <c r="P185" s="145" t="e">
        <f>+'staffing plan'!#REF!</f>
        <v>#REF!</v>
      </c>
      <c r="Q185" s="145" t="e">
        <f>+'staffing plan'!#REF!</f>
        <v>#REF!</v>
      </c>
      <c r="R185">
        <f>+'staffing plan'!BP194</f>
        <v>0</v>
      </c>
      <c r="S185">
        <v>183</v>
      </c>
    </row>
    <row r="186" spans="2:19" hidden="1">
      <c r="B186">
        <f t="shared" si="6"/>
        <v>2014</v>
      </c>
      <c r="C186">
        <f>+'staffing plan'!BK195</f>
        <v>41913</v>
      </c>
      <c r="D186" t="str">
        <f>'staffing plan'!A195</f>
        <v>OSEC-DILGB-LGOO2-23-1998</v>
      </c>
      <c r="E186" t="str">
        <f>+'staffing plan'!B195</f>
        <v>Local Government Operations Officer II</v>
      </c>
      <c r="F186">
        <f>+'staffing plan'!C195</f>
        <v>13</v>
      </c>
      <c r="G186" s="131">
        <f>+'staffing plan'!AH195</f>
        <v>302784</v>
      </c>
      <c r="H186" s="131">
        <f>+'staffing plan'!AI195</f>
        <v>306540</v>
      </c>
      <c r="I186" s="131">
        <f>+'staffing plan'!AJ195</f>
        <v>2</v>
      </c>
      <c r="J186" t="str">
        <f>+'staffing plan'!AW195</f>
        <v>ALCANTARA, Joey Paul Bistayan</v>
      </c>
      <c r="K186" t="e">
        <f>+'staffing plan'!#REF!</f>
        <v>#REF!</v>
      </c>
      <c r="L186" t="e">
        <f>+'staffing plan'!#REF!</f>
        <v>#REF!</v>
      </c>
      <c r="M186" t="str">
        <f>+'staffing plan'!AX195</f>
        <v>Apayao</v>
      </c>
      <c r="N186" t="str">
        <f>+'staffing plan'!AY195</f>
        <v>M</v>
      </c>
      <c r="O186" s="145" t="e">
        <f>+'staffing plan'!#REF!</f>
        <v>#REF!</v>
      </c>
      <c r="P186" s="145" t="e">
        <f>+'staffing plan'!#REF!</f>
        <v>#REF!</v>
      </c>
      <c r="Q186" s="145" t="e">
        <f>+'staffing plan'!#REF!</f>
        <v>#REF!</v>
      </c>
      <c r="R186">
        <f>+'staffing plan'!BP195</f>
        <v>0</v>
      </c>
      <c r="S186">
        <v>184</v>
      </c>
    </row>
    <row r="187" spans="2:19" hidden="1">
      <c r="B187">
        <f t="shared" si="6"/>
        <v>1900</v>
      </c>
      <c r="C187">
        <f>+'staffing plan'!BK196</f>
        <v>0</v>
      </c>
      <c r="D187" t="str">
        <f>'staffing plan'!A196</f>
        <v>OSEC-DILGB-LGOO2-25-1998</v>
      </c>
      <c r="E187" t="str">
        <f>+'staffing plan'!B196</f>
        <v>Local Government Operations Officer II</v>
      </c>
      <c r="F187">
        <f>+'staffing plan'!C196</f>
        <v>13</v>
      </c>
      <c r="G187" s="131">
        <f>+'staffing plan'!AH196</f>
        <v>302784</v>
      </c>
      <c r="H187" s="131">
        <f>+'staffing plan'!AI196</f>
        <v>0</v>
      </c>
      <c r="I187" s="131">
        <f>+'staffing plan'!AJ196</f>
        <v>0</v>
      </c>
      <c r="J187" t="str">
        <f>+'staffing plan'!AW196</f>
        <v xml:space="preserve">vacant GAYASO,  </v>
      </c>
      <c r="K187" t="e">
        <f>+'staffing plan'!#REF!</f>
        <v>#REF!</v>
      </c>
      <c r="L187" t="e">
        <f>+'staffing plan'!#REF!</f>
        <v>#REF!</v>
      </c>
      <c r="M187">
        <f>+'staffing plan'!AX196</f>
        <v>0</v>
      </c>
      <c r="N187">
        <f>+'staffing plan'!AY196</f>
        <v>0</v>
      </c>
      <c r="O187" s="145" t="e">
        <f>+'staffing plan'!#REF!</f>
        <v>#REF!</v>
      </c>
      <c r="P187" s="145" t="e">
        <f>+'staffing plan'!#REF!</f>
        <v>#REF!</v>
      </c>
      <c r="Q187" s="145" t="e">
        <f>+'staffing plan'!#REF!</f>
        <v>#REF!</v>
      </c>
      <c r="R187">
        <f>+'staffing plan'!BP196</f>
        <v>0</v>
      </c>
      <c r="S187">
        <v>185</v>
      </c>
    </row>
    <row r="188" spans="2:19" hidden="1">
      <c r="B188">
        <f t="shared" si="6"/>
        <v>2019</v>
      </c>
      <c r="C188">
        <f>+'staffing plan'!BK197</f>
        <v>43497</v>
      </c>
      <c r="D188" t="str">
        <f>'staffing plan'!A197</f>
        <v>OSEC-DILGB-LGOO2-27-1998</v>
      </c>
      <c r="E188" t="str">
        <f>+'staffing plan'!B197</f>
        <v>Local Government Operations Officer II</v>
      </c>
      <c r="F188">
        <f>+'staffing plan'!C197</f>
        <v>13</v>
      </c>
      <c r="G188" s="131">
        <f>+'staffing plan'!AH197</f>
        <v>302784</v>
      </c>
      <c r="H188" s="131">
        <f>+'staffing plan'!AI197</f>
        <v>302784</v>
      </c>
      <c r="I188" s="131">
        <f>+'staffing plan'!AJ197</f>
        <v>1</v>
      </c>
      <c r="J188" t="str">
        <f>+'staffing plan'!AW197</f>
        <v>GARNACE, Baldo Jr Nolasco</v>
      </c>
      <c r="K188" t="e">
        <f>+'staffing plan'!#REF!</f>
        <v>#REF!</v>
      </c>
      <c r="L188" t="e">
        <f>+'staffing plan'!#REF!</f>
        <v>#REF!</v>
      </c>
      <c r="M188" t="str">
        <f>+'staffing plan'!AX197</f>
        <v>Kalinga</v>
      </c>
      <c r="N188" t="str">
        <f>+'staffing plan'!AY197</f>
        <v>M</v>
      </c>
      <c r="O188" s="145" t="e">
        <f>+'staffing plan'!#REF!</f>
        <v>#REF!</v>
      </c>
      <c r="P188" s="145" t="e">
        <f>+'staffing plan'!#REF!</f>
        <v>#REF!</v>
      </c>
      <c r="Q188" s="145" t="e">
        <f>+'staffing plan'!#REF!</f>
        <v>#REF!</v>
      </c>
      <c r="R188">
        <f>+'staffing plan'!BP197</f>
        <v>0</v>
      </c>
      <c r="S188">
        <v>186</v>
      </c>
    </row>
    <row r="189" spans="2:19" hidden="1">
      <c r="B189">
        <f t="shared" si="6"/>
        <v>2017</v>
      </c>
      <c r="C189">
        <f>+'staffing plan'!BK198</f>
        <v>42851</v>
      </c>
      <c r="D189" t="str">
        <f>'staffing plan'!A198</f>
        <v>OSEC-DILGB-LGOO2-28-1998</v>
      </c>
      <c r="E189" t="str">
        <f>+'staffing plan'!B198</f>
        <v>Local Government Operations Officer II</v>
      </c>
      <c r="F189">
        <f>+'staffing plan'!C198</f>
        <v>13</v>
      </c>
      <c r="G189" s="131">
        <f>+'staffing plan'!AH198</f>
        <v>302784</v>
      </c>
      <c r="H189" s="131">
        <f>+'staffing plan'!AI198</f>
        <v>302784</v>
      </c>
      <c r="I189" s="131">
        <f>+'staffing plan'!AJ198</f>
        <v>1</v>
      </c>
      <c r="J189" t="str">
        <f>+'staffing plan'!AW198</f>
        <v>BANGANAN, Imelda Farnigan</v>
      </c>
      <c r="K189" t="e">
        <f>+'staffing plan'!#REF!</f>
        <v>#REF!</v>
      </c>
      <c r="L189" t="e">
        <f>+'staffing plan'!#REF!</f>
        <v>#REF!</v>
      </c>
      <c r="M189" t="str">
        <f>+'staffing plan'!AX198</f>
        <v>Mt. Province</v>
      </c>
      <c r="N189" t="str">
        <f>+'staffing plan'!AY198</f>
        <v>F</v>
      </c>
      <c r="O189" s="145" t="e">
        <f>+'staffing plan'!#REF!</f>
        <v>#REF!</v>
      </c>
      <c r="P189" s="145" t="e">
        <f>+'staffing plan'!#REF!</f>
        <v>#REF!</v>
      </c>
      <c r="Q189" s="145" t="e">
        <f>+'staffing plan'!#REF!</f>
        <v>#REF!</v>
      </c>
      <c r="R189">
        <f>+'staffing plan'!BP198</f>
        <v>0</v>
      </c>
      <c r="S189">
        <v>187</v>
      </c>
    </row>
    <row r="190" spans="2:19" hidden="1">
      <c r="B190">
        <f t="shared" si="6"/>
        <v>2014</v>
      </c>
      <c r="C190">
        <f>+'staffing plan'!BK199</f>
        <v>41913</v>
      </c>
      <c r="D190" t="str">
        <f>'staffing plan'!A199</f>
        <v>OSEC-DILGB-LGOO2-30-1998</v>
      </c>
      <c r="E190" t="str">
        <f>+'staffing plan'!B199</f>
        <v>Local Government Operations Officer II</v>
      </c>
      <c r="F190">
        <f>+'staffing plan'!C199</f>
        <v>13</v>
      </c>
      <c r="G190" s="131">
        <f>+'staffing plan'!AH199</f>
        <v>302784</v>
      </c>
      <c r="H190" s="131">
        <f>+'staffing plan'!AI199</f>
        <v>306540</v>
      </c>
      <c r="I190" s="131">
        <f>+'staffing plan'!AJ199</f>
        <v>2</v>
      </c>
      <c r="J190" t="str">
        <f>+'staffing plan'!AW199</f>
        <v>NAMINGIT, Gyda Hoggang</v>
      </c>
      <c r="K190" t="e">
        <f>+'staffing plan'!#REF!</f>
        <v>#REF!</v>
      </c>
      <c r="L190" t="e">
        <f>+'staffing plan'!#REF!</f>
        <v>#REF!</v>
      </c>
      <c r="M190" t="str">
        <f>+'staffing plan'!AX199</f>
        <v>Ifugao</v>
      </c>
      <c r="N190" t="str">
        <f>+'staffing plan'!AY199</f>
        <v>F</v>
      </c>
      <c r="O190" s="145" t="e">
        <f>+'staffing plan'!#REF!</f>
        <v>#REF!</v>
      </c>
      <c r="P190" s="145" t="e">
        <f>+'staffing plan'!#REF!</f>
        <v>#REF!</v>
      </c>
      <c r="Q190" s="145" t="e">
        <f>+'staffing plan'!#REF!</f>
        <v>#REF!</v>
      </c>
      <c r="R190">
        <f>+'staffing plan'!BP199</f>
        <v>0</v>
      </c>
      <c r="S190">
        <v>188</v>
      </c>
    </row>
    <row r="191" spans="2:19" hidden="1">
      <c r="B191">
        <f t="shared" si="6"/>
        <v>2016</v>
      </c>
      <c r="C191">
        <f>+'staffing plan'!BK200</f>
        <v>42662</v>
      </c>
      <c r="D191" t="str">
        <f>'staffing plan'!A200</f>
        <v>OSEC-DILGB-LGOO2-32-1998</v>
      </c>
      <c r="E191" t="str">
        <f>+'staffing plan'!B200</f>
        <v>Local Government Operations Officer II</v>
      </c>
      <c r="F191">
        <f>+'staffing plan'!C200</f>
        <v>13</v>
      </c>
      <c r="G191" s="131">
        <f>+'staffing plan'!AH200</f>
        <v>302784</v>
      </c>
      <c r="H191" s="131">
        <f>+'staffing plan'!AI200</f>
        <v>302784</v>
      </c>
      <c r="I191" s="131">
        <f>+'staffing plan'!AJ200</f>
        <v>1</v>
      </c>
      <c r="J191" t="str">
        <f>+'staffing plan'!AW200</f>
        <v>BALANAY, Mark Anthony Gumabay</v>
      </c>
      <c r="K191" t="e">
        <f>+'staffing plan'!#REF!</f>
        <v>#REF!</v>
      </c>
      <c r="L191" t="e">
        <f>+'staffing plan'!#REF!</f>
        <v>#REF!</v>
      </c>
      <c r="M191" t="str">
        <f>+'staffing plan'!AX200</f>
        <v>Abra</v>
      </c>
      <c r="N191" t="str">
        <f>+'staffing plan'!AY200</f>
        <v>M</v>
      </c>
      <c r="O191" s="145" t="e">
        <f>+'staffing plan'!#REF!</f>
        <v>#REF!</v>
      </c>
      <c r="P191" s="145" t="e">
        <f>+'staffing plan'!#REF!</f>
        <v>#REF!</v>
      </c>
      <c r="Q191" s="145" t="e">
        <f>+'staffing plan'!#REF!</f>
        <v>#REF!</v>
      </c>
      <c r="R191">
        <f>+'staffing plan'!BP200</f>
        <v>0</v>
      </c>
      <c r="S191">
        <v>189</v>
      </c>
    </row>
    <row r="192" spans="2:19" hidden="1">
      <c r="B192">
        <f t="shared" si="6"/>
        <v>2018</v>
      </c>
      <c r="C192">
        <f>+'staffing plan'!BK201</f>
        <v>43397</v>
      </c>
      <c r="D192" t="str">
        <f>'staffing plan'!A201</f>
        <v>OSEC-DILGB-LGOO2-33-1998</v>
      </c>
      <c r="E192" t="str">
        <f>+'staffing plan'!B201</f>
        <v>Local Government Operations Officer II</v>
      </c>
      <c r="F192">
        <f>+'staffing plan'!C201</f>
        <v>13</v>
      </c>
      <c r="G192" s="131">
        <f>+'staffing plan'!AH201</f>
        <v>302784</v>
      </c>
      <c r="H192" s="131">
        <f>+'staffing plan'!AI201</f>
        <v>302784</v>
      </c>
      <c r="I192" s="131">
        <f>+'staffing plan'!AJ201</f>
        <v>1</v>
      </c>
      <c r="J192" t="str">
        <f>+'staffing plan'!AW201</f>
        <v>ANAPEN, Humphrey Dumayas</v>
      </c>
      <c r="K192" t="e">
        <f>+'staffing plan'!#REF!</f>
        <v>#REF!</v>
      </c>
      <c r="L192" t="e">
        <f>+'staffing plan'!#REF!</f>
        <v>#REF!</v>
      </c>
      <c r="M192" t="str">
        <f>+'staffing plan'!AX201</f>
        <v>Ifugao</v>
      </c>
      <c r="N192" t="str">
        <f>+'staffing plan'!AY201</f>
        <v>M</v>
      </c>
      <c r="O192" s="145" t="e">
        <f>+'staffing plan'!#REF!</f>
        <v>#REF!</v>
      </c>
      <c r="P192" s="145" t="e">
        <f>+'staffing plan'!#REF!</f>
        <v>#REF!</v>
      </c>
      <c r="Q192" s="145" t="e">
        <f>+'staffing plan'!#REF!</f>
        <v>#REF!</v>
      </c>
      <c r="R192">
        <f>+'staffing plan'!BP201</f>
        <v>0</v>
      </c>
      <c r="S192">
        <v>190</v>
      </c>
    </row>
    <row r="193" spans="2:19" hidden="1">
      <c r="B193">
        <f t="shared" si="6"/>
        <v>2014</v>
      </c>
      <c r="C193">
        <f>+'staffing plan'!BK202</f>
        <v>41913</v>
      </c>
      <c r="D193" t="str">
        <f>'staffing plan'!A202</f>
        <v>OSEC-DILGB-LGOO2-37-1998</v>
      </c>
      <c r="E193" t="str">
        <f>+'staffing plan'!B202</f>
        <v>Local Government Operations Officer II</v>
      </c>
      <c r="F193">
        <f>+'staffing plan'!C202</f>
        <v>13</v>
      </c>
      <c r="G193" s="131">
        <f>+'staffing plan'!AH202</f>
        <v>302784</v>
      </c>
      <c r="H193" s="131">
        <f>+'staffing plan'!AI202</f>
        <v>306540</v>
      </c>
      <c r="I193" s="131">
        <f>+'staffing plan'!AJ202</f>
        <v>2</v>
      </c>
      <c r="J193" t="str">
        <f>+'staffing plan'!AW202</f>
        <v>UCOL, Edward Errol Bumanglag</v>
      </c>
      <c r="K193" t="e">
        <f>+'staffing plan'!#REF!</f>
        <v>#REF!</v>
      </c>
      <c r="L193" t="e">
        <f>+'staffing plan'!#REF!</f>
        <v>#REF!</v>
      </c>
      <c r="M193" t="str">
        <f>+'staffing plan'!AX202</f>
        <v>Apayao</v>
      </c>
      <c r="N193" t="str">
        <f>+'staffing plan'!AY202</f>
        <v>M</v>
      </c>
      <c r="O193" s="145" t="e">
        <f>+'staffing plan'!#REF!</f>
        <v>#REF!</v>
      </c>
      <c r="P193" s="145" t="e">
        <f>+'staffing plan'!#REF!</f>
        <v>#REF!</v>
      </c>
      <c r="Q193" s="145" t="e">
        <f>+'staffing plan'!#REF!</f>
        <v>#REF!</v>
      </c>
      <c r="R193">
        <f>+'staffing plan'!BP202</f>
        <v>0</v>
      </c>
      <c r="S193">
        <v>191</v>
      </c>
    </row>
    <row r="194" spans="2:19" hidden="1">
      <c r="B194">
        <f t="shared" si="6"/>
        <v>2019</v>
      </c>
      <c r="C194">
        <f>+'staffing plan'!BK203</f>
        <v>43497</v>
      </c>
      <c r="D194" t="str">
        <f>'staffing plan'!A203</f>
        <v>OSEC-DILGB-LGOO2-38-1998</v>
      </c>
      <c r="E194" t="str">
        <f>+'staffing plan'!B203</f>
        <v>Local Government Operations Officer II</v>
      </c>
      <c r="F194">
        <f>+'staffing plan'!C203</f>
        <v>13</v>
      </c>
      <c r="G194" s="131">
        <f>+'staffing plan'!AH203</f>
        <v>302784</v>
      </c>
      <c r="H194" s="131">
        <f>+'staffing plan'!AI203</f>
        <v>302784</v>
      </c>
      <c r="I194" s="131">
        <f>+'staffing plan'!AJ203</f>
        <v>1</v>
      </c>
      <c r="J194" t="str">
        <f>+'staffing plan'!AW203</f>
        <v>FABAG, Sheren Sagsago</v>
      </c>
      <c r="K194" t="e">
        <f>+'staffing plan'!#REF!</f>
        <v>#REF!</v>
      </c>
      <c r="L194" t="e">
        <f>+'staffing plan'!#REF!</f>
        <v>#REF!</v>
      </c>
      <c r="M194" t="str">
        <f>+'staffing plan'!AX203</f>
        <v>Mt. Province</v>
      </c>
      <c r="N194" t="str">
        <f>+'staffing plan'!AY203</f>
        <v>F</v>
      </c>
      <c r="O194" s="145" t="e">
        <f>+'staffing plan'!#REF!</f>
        <v>#REF!</v>
      </c>
      <c r="P194" s="145" t="e">
        <f>+'staffing plan'!#REF!</f>
        <v>#REF!</v>
      </c>
      <c r="Q194" s="145" t="e">
        <f>+'staffing plan'!#REF!</f>
        <v>#REF!</v>
      </c>
      <c r="R194">
        <f>+'staffing plan'!BP203</f>
        <v>0</v>
      </c>
      <c r="S194">
        <v>192</v>
      </c>
    </row>
    <row r="195" spans="2:19" hidden="1">
      <c r="B195">
        <f t="shared" si="6"/>
        <v>2017</v>
      </c>
      <c r="C195">
        <f>+'staffing plan'!BK204</f>
        <v>42863</v>
      </c>
      <c r="D195" t="str">
        <f>'staffing plan'!A204</f>
        <v>OSEC-DILGB-LGOO2-40-1998</v>
      </c>
      <c r="E195" t="str">
        <f>+'staffing plan'!B204</f>
        <v>Local Government Operations Officer II</v>
      </c>
      <c r="F195">
        <f>+'staffing plan'!C204</f>
        <v>13</v>
      </c>
      <c r="G195" s="131">
        <f>+'staffing plan'!AH204</f>
        <v>302784</v>
      </c>
      <c r="H195" s="131">
        <f>+'staffing plan'!AI204</f>
        <v>302784</v>
      </c>
      <c r="I195" s="131">
        <f>+'staffing plan'!AJ204</f>
        <v>1</v>
      </c>
      <c r="J195" t="str">
        <f>+'staffing plan'!AW204</f>
        <v>LIGLIGON, Randolph Lacamang</v>
      </c>
      <c r="K195" t="e">
        <f>+'staffing plan'!#REF!</f>
        <v>#REF!</v>
      </c>
      <c r="L195" t="e">
        <f>+'staffing plan'!#REF!</f>
        <v>#REF!</v>
      </c>
      <c r="M195" t="str">
        <f>+'staffing plan'!AX204</f>
        <v>Benguet</v>
      </c>
      <c r="N195" t="str">
        <f>+'staffing plan'!AY204</f>
        <v>M</v>
      </c>
      <c r="O195" s="145" t="e">
        <f>+'staffing plan'!#REF!</f>
        <v>#REF!</v>
      </c>
      <c r="P195" s="145" t="e">
        <f>+'staffing plan'!#REF!</f>
        <v>#REF!</v>
      </c>
      <c r="Q195" s="145" t="e">
        <f>+'staffing plan'!#REF!</f>
        <v>#REF!</v>
      </c>
      <c r="R195">
        <f>+'staffing plan'!BP204</f>
        <v>0</v>
      </c>
      <c r="S195">
        <v>193</v>
      </c>
    </row>
    <row r="196" spans="2:19">
      <c r="B196">
        <f t="shared" si="6"/>
        <v>2019</v>
      </c>
      <c r="C196">
        <f>+'staffing plan'!BK205</f>
        <v>43544</v>
      </c>
      <c r="D196" t="str">
        <f>'staffing plan'!A205</f>
        <v>OSEC-DILGB-ADAS2-65-2005</v>
      </c>
      <c r="E196" t="str">
        <f>+'staffing plan'!B205</f>
        <v>Administrative Assistant II</v>
      </c>
      <c r="F196">
        <f>+'staffing plan'!C205</f>
        <v>8</v>
      </c>
      <c r="G196" s="131">
        <f>+'staffing plan'!AH205</f>
        <v>201096</v>
      </c>
      <c r="H196" s="131">
        <f>+'staffing plan'!AI205</f>
        <v>201096</v>
      </c>
      <c r="I196" s="131">
        <f>+'staffing plan'!AJ205</f>
        <v>1</v>
      </c>
      <c r="J196" t="str">
        <f>+'staffing plan'!AW205</f>
        <v>MACLI-ING, Giezzel Danglipen</v>
      </c>
      <c r="K196" t="e">
        <f>+'staffing plan'!#REF!</f>
        <v>#REF!</v>
      </c>
      <c r="L196" t="e">
        <f>+'staffing plan'!#REF!</f>
        <v>#REF!</v>
      </c>
      <c r="M196" t="str">
        <f>+'staffing plan'!AX205</f>
        <v>Apayao</v>
      </c>
      <c r="N196" t="str">
        <f>+'staffing plan'!AY205</f>
        <v>F</v>
      </c>
      <c r="O196" s="145" t="e">
        <f>+'staffing plan'!#REF!</f>
        <v>#REF!</v>
      </c>
      <c r="P196" s="145" t="e">
        <f>+'staffing plan'!#REF!</f>
        <v>#REF!</v>
      </c>
      <c r="Q196" s="145" t="e">
        <f>+'staffing plan'!#REF!</f>
        <v>#REF!</v>
      </c>
      <c r="R196">
        <f>+'staffing plan'!BP205</f>
        <v>0</v>
      </c>
      <c r="S196">
        <v>194</v>
      </c>
    </row>
    <row r="197" spans="2:19" hidden="1">
      <c r="B197">
        <f t="shared" si="6"/>
        <v>1900</v>
      </c>
      <c r="C197">
        <f>+'staffing plan'!BK206</f>
        <v>0</v>
      </c>
      <c r="D197" t="str">
        <f>'staffing plan'!A206</f>
        <v>OSEC-DILGB-ADAS2-66-2005</v>
      </c>
      <c r="E197" t="str">
        <f>+'staffing plan'!B206</f>
        <v>Administrative Assistant II</v>
      </c>
      <c r="F197">
        <f>+'staffing plan'!C206</f>
        <v>8</v>
      </c>
      <c r="G197" s="131">
        <f>+'staffing plan'!AH206</f>
        <v>201096</v>
      </c>
      <c r="H197" s="131">
        <f>+'staffing plan'!AI206</f>
        <v>0</v>
      </c>
      <c r="I197" s="131">
        <f>+'staffing plan'!AJ206</f>
        <v>0</v>
      </c>
      <c r="J197" t="str">
        <f>+'staffing plan'!AW206</f>
        <v xml:space="preserve">Vacant DOMASING,  </v>
      </c>
      <c r="K197" t="e">
        <f>+'staffing plan'!#REF!</f>
        <v>#REF!</v>
      </c>
      <c r="L197" t="e">
        <f>+'staffing plan'!#REF!</f>
        <v>#REF!</v>
      </c>
      <c r="M197">
        <f>+'staffing plan'!AX206</f>
        <v>0</v>
      </c>
      <c r="N197">
        <f>+'staffing plan'!AY206</f>
        <v>0</v>
      </c>
      <c r="O197" s="145" t="e">
        <f>+'staffing plan'!#REF!</f>
        <v>#REF!</v>
      </c>
      <c r="P197" s="145" t="e">
        <f>+'staffing plan'!#REF!</f>
        <v>#REF!</v>
      </c>
      <c r="Q197" s="145" t="e">
        <f>+'staffing plan'!#REF!</f>
        <v>#REF!</v>
      </c>
      <c r="R197">
        <f>+'staffing plan'!BP206</f>
        <v>0</v>
      </c>
      <c r="S197">
        <v>195</v>
      </c>
    </row>
    <row r="198" spans="2:19">
      <c r="B198">
        <f t="shared" si="6"/>
        <v>2003</v>
      </c>
      <c r="C198">
        <f>+'staffing plan'!BK207</f>
        <v>37655</v>
      </c>
      <c r="D198" t="str">
        <f>'staffing plan'!A207</f>
        <v>OSEC-DILGB-ADAS2-67-2005</v>
      </c>
      <c r="E198" t="str">
        <f>+'staffing plan'!B207</f>
        <v>Administrative Assistant II</v>
      </c>
      <c r="F198">
        <f>+'staffing plan'!C207</f>
        <v>8</v>
      </c>
      <c r="G198" s="131">
        <f>+'staffing plan'!AH207</f>
        <v>201096</v>
      </c>
      <c r="H198" s="131">
        <f>+'staffing plan'!AI207</f>
        <v>210348</v>
      </c>
      <c r="I198" s="131">
        <f>+'staffing plan'!AJ207</f>
        <v>6</v>
      </c>
      <c r="J198" t="str">
        <f>+'staffing plan'!AW207</f>
        <v>TOMAS, Prescilla Kitan</v>
      </c>
      <c r="K198" t="e">
        <f>+'staffing plan'!#REF!</f>
        <v>#REF!</v>
      </c>
      <c r="L198" t="e">
        <f>+'staffing plan'!#REF!</f>
        <v>#REF!</v>
      </c>
      <c r="M198" t="str">
        <f>+'staffing plan'!AX207</f>
        <v>Benguet</v>
      </c>
      <c r="N198" t="str">
        <f>+'staffing plan'!AY207</f>
        <v>F</v>
      </c>
      <c r="O198" s="145" t="e">
        <f>+'staffing plan'!#REF!</f>
        <v>#REF!</v>
      </c>
      <c r="P198" s="145" t="e">
        <f>+'staffing plan'!#REF!</f>
        <v>#REF!</v>
      </c>
      <c r="Q198" s="145" t="e">
        <f>+'staffing plan'!#REF!</f>
        <v>#REF!</v>
      </c>
      <c r="R198" t="str">
        <f>+'staffing plan'!BP207</f>
        <v>change of item 1-25-18</v>
      </c>
      <c r="S198">
        <v>196</v>
      </c>
    </row>
    <row r="199" spans="2:19">
      <c r="B199">
        <f t="shared" si="6"/>
        <v>2019</v>
      </c>
      <c r="C199">
        <f>+'staffing plan'!BK208</f>
        <v>43556</v>
      </c>
      <c r="D199" t="str">
        <f>'staffing plan'!A208</f>
        <v>OSEC-DILGB-ADAS2-68-2005</v>
      </c>
      <c r="E199" t="str">
        <f>+'staffing plan'!B208</f>
        <v>Administrative Assistant II</v>
      </c>
      <c r="F199">
        <f>+'staffing plan'!C208</f>
        <v>8</v>
      </c>
      <c r="G199" s="131">
        <f>+'staffing plan'!AH208</f>
        <v>201096</v>
      </c>
      <c r="H199" s="131">
        <f>+'staffing plan'!AI208</f>
        <v>201096</v>
      </c>
      <c r="I199" s="131">
        <f>+'staffing plan'!AJ208</f>
        <v>1</v>
      </c>
      <c r="J199" t="str">
        <f>+'staffing plan'!AW208</f>
        <v>DEPALOG, Kharla Lhyn Bagwan</v>
      </c>
      <c r="K199" t="e">
        <f>+'staffing plan'!#REF!</f>
        <v>#REF!</v>
      </c>
      <c r="L199" t="e">
        <f>+'staffing plan'!#REF!</f>
        <v>#REF!</v>
      </c>
      <c r="M199" t="str">
        <f>+'staffing plan'!AX208</f>
        <v>Mt. Province</v>
      </c>
      <c r="N199" t="str">
        <f>+'staffing plan'!AY208</f>
        <v>F</v>
      </c>
      <c r="O199" s="145" t="e">
        <f>+'staffing plan'!#REF!</f>
        <v>#REF!</v>
      </c>
      <c r="P199" s="145" t="e">
        <f>+'staffing plan'!#REF!</f>
        <v>#REF!</v>
      </c>
      <c r="Q199" s="145" t="e">
        <f>+'staffing plan'!#REF!</f>
        <v>#REF!</v>
      </c>
      <c r="R199">
        <f>+'staffing plan'!BP208</f>
        <v>0</v>
      </c>
      <c r="S199">
        <v>197</v>
      </c>
    </row>
    <row r="200" spans="2:19" hidden="1">
      <c r="B200">
        <f t="shared" si="6"/>
        <v>1989</v>
      </c>
      <c r="C200">
        <f>+'staffing plan'!BK209</f>
        <v>32580</v>
      </c>
      <c r="D200" t="str">
        <f>'staffing plan'!A209</f>
        <v>OSEC-DILGB-ADAS2-70-2005</v>
      </c>
      <c r="E200" t="str">
        <f>+'staffing plan'!B209</f>
        <v>Administrative Assistant II</v>
      </c>
      <c r="F200">
        <f>+'staffing plan'!C209</f>
        <v>8</v>
      </c>
      <c r="G200" s="131">
        <f>+'staffing plan'!AH209</f>
        <v>201096</v>
      </c>
      <c r="H200" s="131">
        <f>+'staffing plan'!AI209</f>
        <v>214176</v>
      </c>
      <c r="I200" s="131">
        <f>+'staffing plan'!AJ209</f>
        <v>8</v>
      </c>
      <c r="J200" t="str">
        <f>+'staffing plan'!AW209</f>
        <v>ALCAYNA, Dennis Bantiyan</v>
      </c>
      <c r="K200" t="e">
        <f>+'staffing plan'!#REF!</f>
        <v>#REF!</v>
      </c>
      <c r="L200" t="e">
        <f>+'staffing plan'!#REF!</f>
        <v>#REF!</v>
      </c>
      <c r="M200" t="str">
        <f>+'staffing plan'!AX209</f>
        <v>Ifugao</v>
      </c>
      <c r="N200" t="str">
        <f>+'staffing plan'!AY209</f>
        <v>M</v>
      </c>
      <c r="O200" s="145" t="e">
        <f>+'staffing plan'!#REF!</f>
        <v>#REF!</v>
      </c>
      <c r="P200" s="145" t="e">
        <f>+'staffing plan'!#REF!</f>
        <v>#REF!</v>
      </c>
      <c r="Q200" s="145" t="e">
        <f>+'staffing plan'!#REF!</f>
        <v>#REF!</v>
      </c>
      <c r="R200">
        <f>+'staffing plan'!BP209</f>
        <v>0</v>
      </c>
      <c r="S200">
        <v>198</v>
      </c>
    </row>
    <row r="201" spans="2:19" hidden="1">
      <c r="B201">
        <f t="shared" si="6"/>
        <v>1998</v>
      </c>
      <c r="C201">
        <f>+'staffing plan'!BK210</f>
        <v>36084</v>
      </c>
      <c r="D201" t="str">
        <f>'staffing plan'!A210</f>
        <v>OSEC-DILGB-ADAS2-71-2005</v>
      </c>
      <c r="E201" t="str">
        <f>+'staffing plan'!B210</f>
        <v>Administrative Assistant II</v>
      </c>
      <c r="F201">
        <f>+'staffing plan'!C210</f>
        <v>8</v>
      </c>
      <c r="G201" s="131">
        <f>+'staffing plan'!AH210</f>
        <v>201096</v>
      </c>
      <c r="H201" s="131">
        <f>+'staffing plan'!AI210</f>
        <v>212256</v>
      </c>
      <c r="I201" s="131">
        <f>+'staffing plan'!AJ210</f>
        <v>7</v>
      </c>
      <c r="J201" t="str">
        <f>+'staffing plan'!AW210</f>
        <v>TAMI-ING, Marilyn Kilayon</v>
      </c>
      <c r="K201" t="e">
        <f>+'staffing plan'!#REF!</f>
        <v>#REF!</v>
      </c>
      <c r="L201" t="e">
        <f>+'staffing plan'!#REF!</f>
        <v>#REF!</v>
      </c>
      <c r="M201" t="str">
        <f>+'staffing plan'!AX210</f>
        <v>Mt. Province</v>
      </c>
      <c r="N201" t="str">
        <f>+'staffing plan'!AY210</f>
        <v>F</v>
      </c>
      <c r="O201" s="145" t="e">
        <f>+'staffing plan'!#REF!</f>
        <v>#REF!</v>
      </c>
      <c r="P201" s="145" t="e">
        <f>+'staffing plan'!#REF!</f>
        <v>#REF!</v>
      </c>
      <c r="Q201" s="145" t="e">
        <f>+'staffing plan'!#REF!</f>
        <v>#REF!</v>
      </c>
      <c r="R201">
        <f>+'staffing plan'!BP210</f>
        <v>0</v>
      </c>
      <c r="S201">
        <v>199</v>
      </c>
    </row>
    <row r="202" spans="2:19" hidden="1">
      <c r="B202">
        <f t="shared" si="6"/>
        <v>1991</v>
      </c>
      <c r="C202">
        <f>+'staffing plan'!BK211</f>
        <v>33484</v>
      </c>
      <c r="D202" t="str">
        <f>'staffing plan'!A211</f>
        <v>OSEC-DILGB-ADAS2-73-2005</v>
      </c>
      <c r="E202" t="str">
        <f>+'staffing plan'!B211</f>
        <v>Administrative Assistant II</v>
      </c>
      <c r="F202">
        <f>+'staffing plan'!C211</f>
        <v>8</v>
      </c>
      <c r="G202" s="131">
        <f>+'staffing plan'!AH211</f>
        <v>201096</v>
      </c>
      <c r="H202" s="131">
        <f>+'staffing plan'!AI211</f>
        <v>214176</v>
      </c>
      <c r="I202" s="131">
        <f>+'staffing plan'!AJ211</f>
        <v>8</v>
      </c>
      <c r="J202" t="str">
        <f>+'staffing plan'!AW211</f>
        <v>PACAMO, Ruby Quemerista</v>
      </c>
      <c r="K202" t="e">
        <f>+'staffing plan'!#REF!</f>
        <v>#REF!</v>
      </c>
      <c r="L202" t="e">
        <f>+'staffing plan'!#REF!</f>
        <v>#REF!</v>
      </c>
      <c r="M202" t="str">
        <f>+'staffing plan'!AX211</f>
        <v>Abra</v>
      </c>
      <c r="N202" t="str">
        <f>+'staffing plan'!AY211</f>
        <v>F</v>
      </c>
      <c r="O202" s="145" t="e">
        <f>+'staffing plan'!#REF!</f>
        <v>#REF!</v>
      </c>
      <c r="P202" s="145" t="e">
        <f>+'staffing plan'!#REF!</f>
        <v>#REF!</v>
      </c>
      <c r="Q202" s="145" t="e">
        <f>+'staffing plan'!#REF!</f>
        <v>#REF!</v>
      </c>
      <c r="R202">
        <f>+'staffing plan'!BP211</f>
        <v>0</v>
      </c>
      <c r="S202">
        <v>200</v>
      </c>
    </row>
    <row r="203" spans="2:19">
      <c r="B203">
        <f t="shared" si="6"/>
        <v>1996</v>
      </c>
      <c r="C203">
        <f>+'staffing plan'!BK212</f>
        <v>35096</v>
      </c>
      <c r="D203" t="str">
        <f>'staffing plan'!A212</f>
        <v>OSEC-DILGB-ADAS2-74-2005</v>
      </c>
      <c r="E203" t="str">
        <f>+'staffing plan'!B212</f>
        <v>Administrative Assistant II</v>
      </c>
      <c r="F203">
        <f>+'staffing plan'!C212</f>
        <v>8</v>
      </c>
      <c r="G203" s="131">
        <f>+'staffing plan'!AH212</f>
        <v>201096</v>
      </c>
      <c r="H203" s="131">
        <f>+'staffing plan'!AI212</f>
        <v>214176</v>
      </c>
      <c r="I203" s="131">
        <f>+'staffing plan'!AJ212</f>
        <v>8</v>
      </c>
      <c r="J203" t="str">
        <f>+'staffing plan'!AW212</f>
        <v>VICENTE, Dominga Aglano</v>
      </c>
      <c r="K203" t="e">
        <f>+'staffing plan'!#REF!</f>
        <v>#REF!</v>
      </c>
      <c r="L203" t="e">
        <f>+'staffing plan'!#REF!</f>
        <v>#REF!</v>
      </c>
      <c r="M203" t="str">
        <f>+'staffing plan'!AX212</f>
        <v>Benguet</v>
      </c>
      <c r="N203" t="str">
        <f>+'staffing plan'!AY212</f>
        <v>F</v>
      </c>
      <c r="O203" s="145" t="e">
        <f>+'staffing plan'!#REF!</f>
        <v>#REF!</v>
      </c>
      <c r="P203" s="145" t="e">
        <f>+'staffing plan'!#REF!</f>
        <v>#REF!</v>
      </c>
      <c r="Q203" s="145" t="e">
        <f>+'staffing plan'!#REF!</f>
        <v>#REF!</v>
      </c>
      <c r="R203">
        <f>+'staffing plan'!BP212</f>
        <v>0</v>
      </c>
      <c r="S203">
        <v>201</v>
      </c>
    </row>
    <row r="204" spans="2:19">
      <c r="B204">
        <f t="shared" si="6"/>
        <v>2019</v>
      </c>
      <c r="C204">
        <f>+'staffing plan'!BK213</f>
        <v>43544</v>
      </c>
      <c r="D204" t="str">
        <f>'staffing plan'!A213</f>
        <v>OSEC-DILGB-ADAS2-75-2005</v>
      </c>
      <c r="E204" t="str">
        <f>+'staffing plan'!B213</f>
        <v>Administrative Assistant II</v>
      </c>
      <c r="F204">
        <f>+'staffing plan'!C213</f>
        <v>8</v>
      </c>
      <c r="G204" s="131">
        <f>+'staffing plan'!AH213</f>
        <v>201096</v>
      </c>
      <c r="H204" s="131">
        <f>+'staffing plan'!AI213</f>
        <v>201096</v>
      </c>
      <c r="I204" s="131">
        <f>+'staffing plan'!AJ213</f>
        <v>1</v>
      </c>
      <c r="J204" t="str">
        <f>+'staffing plan'!AW213</f>
        <v>KILLIA-EN, Unice Lipawen</v>
      </c>
      <c r="K204" t="e">
        <f>+'staffing plan'!#REF!</f>
        <v>#REF!</v>
      </c>
      <c r="L204" t="e">
        <f>+'staffing plan'!#REF!</f>
        <v>#REF!</v>
      </c>
      <c r="M204" t="str">
        <f>+'staffing plan'!AX213</f>
        <v>Kalinga</v>
      </c>
      <c r="N204" t="str">
        <f>+'staffing plan'!AY213</f>
        <v>F</v>
      </c>
      <c r="O204" s="145" t="e">
        <f>+'staffing plan'!#REF!</f>
        <v>#REF!</v>
      </c>
      <c r="P204" s="145" t="e">
        <f>+'staffing plan'!#REF!</f>
        <v>#REF!</v>
      </c>
      <c r="Q204" s="145" t="e">
        <f>+'staffing plan'!#REF!</f>
        <v>#REF!</v>
      </c>
      <c r="R204">
        <f>+'staffing plan'!BP213</f>
        <v>0</v>
      </c>
      <c r="S204">
        <v>202</v>
      </c>
    </row>
    <row r="205" spans="2:19" hidden="1">
      <c r="B205">
        <f t="shared" si="6"/>
        <v>1997</v>
      </c>
      <c r="C205">
        <f>+'staffing plan'!BK214</f>
        <v>35643</v>
      </c>
      <c r="D205" t="str">
        <f>'staffing plan'!A214</f>
        <v>OSEC-DILGB-ADAS2-76-2005</v>
      </c>
      <c r="E205" t="str">
        <f>+'staffing plan'!B214</f>
        <v>Administrative Assistant II</v>
      </c>
      <c r="F205">
        <f>+'staffing plan'!C214</f>
        <v>8</v>
      </c>
      <c r="G205" s="131">
        <f>+'staffing plan'!AH214</f>
        <v>201096</v>
      </c>
      <c r="H205" s="131">
        <f>+'staffing plan'!AI214</f>
        <v>214176</v>
      </c>
      <c r="I205" s="131">
        <f>+'staffing plan'!AJ214</f>
        <v>8</v>
      </c>
      <c r="J205" t="str">
        <f>+'staffing plan'!AW214</f>
        <v>BINTUDAN, Rosemarie Bumidang</v>
      </c>
      <c r="K205" t="e">
        <f>+'staffing plan'!#REF!</f>
        <v>#REF!</v>
      </c>
      <c r="L205" t="e">
        <f>+'staffing plan'!#REF!</f>
        <v>#REF!</v>
      </c>
      <c r="M205" t="str">
        <f>+'staffing plan'!AX214</f>
        <v>Ifugao</v>
      </c>
      <c r="N205" t="str">
        <f>+'staffing plan'!AY214</f>
        <v>F</v>
      </c>
      <c r="O205" s="145" t="e">
        <f>+'staffing plan'!#REF!</f>
        <v>#REF!</v>
      </c>
      <c r="P205" s="145" t="e">
        <f>+'staffing plan'!#REF!</f>
        <v>#REF!</v>
      </c>
      <c r="Q205" s="145" t="e">
        <f>+'staffing plan'!#REF!</f>
        <v>#REF!</v>
      </c>
      <c r="R205">
        <f>+'staffing plan'!BP214</f>
        <v>0</v>
      </c>
      <c r="S205">
        <v>203</v>
      </c>
    </row>
    <row r="206" spans="2:19">
      <c r="B206">
        <f t="shared" si="6"/>
        <v>2015</v>
      </c>
      <c r="C206">
        <f>+'staffing plan'!BK215</f>
        <v>42289</v>
      </c>
      <c r="D206" t="str">
        <f>'staffing plan'!A215</f>
        <v>OSEC-DILGB-ADAS2-77-2005</v>
      </c>
      <c r="E206" t="str">
        <f>+'staffing plan'!B215</f>
        <v>Administrative Assistant II</v>
      </c>
      <c r="F206">
        <f>+'staffing plan'!C215</f>
        <v>8</v>
      </c>
      <c r="G206" s="131">
        <f>+'staffing plan'!AH215</f>
        <v>201096</v>
      </c>
      <c r="H206" s="131">
        <f>+'staffing plan'!AI215</f>
        <v>202920</v>
      </c>
      <c r="I206" s="131">
        <f>+'staffing plan'!AJ215</f>
        <v>2</v>
      </c>
      <c r="J206" t="str">
        <f>+'staffing plan'!AW215</f>
        <v>GALLEMA, Michelle  Ignacio</v>
      </c>
      <c r="K206" t="e">
        <f>+'staffing plan'!#REF!</f>
        <v>#REF!</v>
      </c>
      <c r="L206" t="e">
        <f>+'staffing plan'!#REF!</f>
        <v>#REF!</v>
      </c>
      <c r="M206" t="str">
        <f>+'staffing plan'!AX215</f>
        <v>Kalinga</v>
      </c>
      <c r="N206" t="str">
        <f>+'staffing plan'!AY215</f>
        <v>F</v>
      </c>
      <c r="O206" s="145" t="e">
        <f>+'staffing plan'!#REF!</f>
        <v>#REF!</v>
      </c>
      <c r="P206" s="145" t="e">
        <f>+'staffing plan'!#REF!</f>
        <v>#REF!</v>
      </c>
      <c r="Q206" s="145" t="e">
        <f>+'staffing plan'!#REF!</f>
        <v>#REF!</v>
      </c>
      <c r="R206">
        <f>+'staffing plan'!BP215</f>
        <v>0</v>
      </c>
      <c r="S206">
        <v>204</v>
      </c>
    </row>
    <row r="207" spans="2:19">
      <c r="B207">
        <f t="shared" si="6"/>
        <v>1996</v>
      </c>
      <c r="C207">
        <f>+'staffing plan'!BK216</f>
        <v>35254</v>
      </c>
      <c r="D207" t="str">
        <f>'staffing plan'!A216</f>
        <v>OSEC-DILGB-ADAS2-78-2005</v>
      </c>
      <c r="E207" t="str">
        <f>+'staffing plan'!B216</f>
        <v>Administrative Assistant II</v>
      </c>
      <c r="F207">
        <f>+'staffing plan'!C216</f>
        <v>8</v>
      </c>
      <c r="G207" s="131">
        <f>+'staffing plan'!AH216</f>
        <v>201096</v>
      </c>
      <c r="H207" s="131">
        <f>+'staffing plan'!AI216</f>
        <v>214176</v>
      </c>
      <c r="I207" s="131">
        <f>+'staffing plan'!AJ216</f>
        <v>8</v>
      </c>
      <c r="J207" t="str">
        <f>+'staffing plan'!AW216</f>
        <v>TAMOT, Judith Bermejo</v>
      </c>
      <c r="K207" t="e">
        <f>+'staffing plan'!#REF!</f>
        <v>#REF!</v>
      </c>
      <c r="L207" t="e">
        <f>+'staffing plan'!#REF!</f>
        <v>#REF!</v>
      </c>
      <c r="M207" t="str">
        <f>+'staffing plan'!AX216</f>
        <v>Apayao</v>
      </c>
      <c r="N207" t="str">
        <f>+'staffing plan'!AY216</f>
        <v>F</v>
      </c>
      <c r="O207" s="145" t="e">
        <f>+'staffing plan'!#REF!</f>
        <v>#REF!</v>
      </c>
      <c r="P207" s="145" t="e">
        <f>+'staffing plan'!#REF!</f>
        <v>#REF!</v>
      </c>
      <c r="Q207" s="145" t="e">
        <f>+'staffing plan'!#REF!</f>
        <v>#REF!</v>
      </c>
      <c r="R207">
        <f>+'staffing plan'!BP216</f>
        <v>0</v>
      </c>
      <c r="S207">
        <v>205</v>
      </c>
    </row>
    <row r="208" spans="2:19" hidden="1">
      <c r="B208">
        <f t="shared" si="6"/>
        <v>1975</v>
      </c>
      <c r="C208">
        <f>+'staffing plan'!BK217</f>
        <v>27442</v>
      </c>
      <c r="D208" t="str">
        <f>'staffing plan'!A217</f>
        <v>OSEC-DILGB-ADA6-95-2005</v>
      </c>
      <c r="E208" t="str">
        <f>+'staffing plan'!B217</f>
        <v>Administrative Aide VI</v>
      </c>
      <c r="F208">
        <f>+'staffing plan'!C217</f>
        <v>6</v>
      </c>
      <c r="G208" s="131">
        <f>+'staffing plan'!AH217</f>
        <v>178164</v>
      </c>
      <c r="H208" s="131">
        <f>+'staffing plan'!AI217</f>
        <v>187968</v>
      </c>
      <c r="I208" s="131">
        <f>+'staffing plan'!AJ217</f>
        <v>8</v>
      </c>
      <c r="J208" t="str">
        <f>+'staffing plan'!AW217</f>
        <v>DEDUQUE, Katherine  Pablo</v>
      </c>
      <c r="K208" t="e">
        <f>+'staffing plan'!#REF!</f>
        <v>#REF!</v>
      </c>
      <c r="L208" t="e">
        <f>+'staffing plan'!#REF!</f>
        <v>#REF!</v>
      </c>
      <c r="M208" t="str">
        <f>+'staffing plan'!AX217</f>
        <v>Regional Office</v>
      </c>
      <c r="N208" t="str">
        <f>+'staffing plan'!AY217</f>
        <v>F</v>
      </c>
      <c r="O208" s="145" t="e">
        <f>+'staffing plan'!#REF!</f>
        <v>#REF!</v>
      </c>
      <c r="P208" s="145" t="e">
        <f>+'staffing plan'!#REF!</f>
        <v>#REF!</v>
      </c>
      <c r="Q208" s="145" t="e">
        <f>+'staffing plan'!#REF!</f>
        <v>#REF!</v>
      </c>
      <c r="R208">
        <f>+'staffing plan'!BP217</f>
        <v>0</v>
      </c>
      <c r="S208">
        <v>206</v>
      </c>
    </row>
    <row r="209" spans="2:19">
      <c r="B209">
        <f t="shared" si="6"/>
        <v>2015</v>
      </c>
      <c r="C209">
        <f>+'staffing plan'!BK218</f>
        <v>42357</v>
      </c>
      <c r="D209" t="str">
        <f>'staffing plan'!A218</f>
        <v>OSEC-DILGB-ADA6-99-2005</v>
      </c>
      <c r="E209" t="str">
        <f>+'staffing plan'!B218</f>
        <v>Administrative Aide VI</v>
      </c>
      <c r="F209">
        <f>+'staffing plan'!C218</f>
        <v>6</v>
      </c>
      <c r="G209" s="131">
        <f>+'staffing plan'!AH218</f>
        <v>178164</v>
      </c>
      <c r="H209" s="131">
        <f>+'staffing plan'!AI218</f>
        <v>179532</v>
      </c>
      <c r="I209" s="131">
        <f>+'staffing plan'!AJ218</f>
        <v>2</v>
      </c>
      <c r="J209" t="str">
        <f>+'staffing plan'!AW218</f>
        <v>TAN, Corinne Marie Pauline Elveña</v>
      </c>
      <c r="K209" t="e">
        <f>+'staffing plan'!#REF!</f>
        <v>#REF!</v>
      </c>
      <c r="L209" t="e">
        <f>+'staffing plan'!#REF!</f>
        <v>#REF!</v>
      </c>
      <c r="M209" t="str">
        <f>+'staffing plan'!AX218</f>
        <v>Abra</v>
      </c>
      <c r="N209" t="str">
        <f>+'staffing plan'!AY218</f>
        <v>F</v>
      </c>
      <c r="O209" s="145" t="e">
        <f>+'staffing plan'!#REF!</f>
        <v>#REF!</v>
      </c>
      <c r="P209" s="145" t="e">
        <f>+'staffing plan'!#REF!</f>
        <v>#REF!</v>
      </c>
      <c r="Q209" s="145" t="e">
        <f>+'staffing plan'!#REF!</f>
        <v>#REF!</v>
      </c>
      <c r="R209">
        <f>+'staffing plan'!BP218</f>
        <v>0</v>
      </c>
      <c r="S209">
        <v>207</v>
      </c>
    </row>
    <row r="210" spans="2:19" hidden="1">
      <c r="B210">
        <f t="shared" si="6"/>
        <v>1993</v>
      </c>
      <c r="C210">
        <f>+'staffing plan'!BK219</f>
        <v>34151</v>
      </c>
      <c r="D210" t="str">
        <f>'staffing plan'!A219</f>
        <v>OSEC-DILGB-ADA6-100-2005</v>
      </c>
      <c r="E210" t="str">
        <f>+'staffing plan'!B219</f>
        <v>Administrative Aide VI</v>
      </c>
      <c r="F210">
        <f>+'staffing plan'!C219</f>
        <v>6</v>
      </c>
      <c r="G210" s="131">
        <f>+'staffing plan'!AH219</f>
        <v>178164</v>
      </c>
      <c r="H210" s="131">
        <f>+'staffing plan'!AI219</f>
        <v>187968</v>
      </c>
      <c r="I210" s="131">
        <f>+'staffing plan'!AJ219</f>
        <v>8</v>
      </c>
      <c r="J210" t="str">
        <f>+'staffing plan'!AW219</f>
        <v>LUCIO, Arthur Ambros</v>
      </c>
      <c r="K210" t="e">
        <f>+'staffing plan'!#REF!</f>
        <v>#REF!</v>
      </c>
      <c r="L210" t="e">
        <f>+'staffing plan'!#REF!</f>
        <v>#REF!</v>
      </c>
      <c r="M210" t="str">
        <f>+'staffing plan'!AX219</f>
        <v>Benguet</v>
      </c>
      <c r="N210" t="str">
        <f>+'staffing plan'!AY219</f>
        <v>M</v>
      </c>
      <c r="O210" s="145" t="e">
        <f>+'staffing plan'!#REF!</f>
        <v>#REF!</v>
      </c>
      <c r="P210" s="145" t="e">
        <f>+'staffing plan'!#REF!</f>
        <v>#REF!</v>
      </c>
      <c r="Q210" s="145" t="e">
        <f>+'staffing plan'!#REF!</f>
        <v>#REF!</v>
      </c>
      <c r="R210">
        <f>+'staffing plan'!BP219</f>
        <v>0</v>
      </c>
      <c r="S210">
        <v>208</v>
      </c>
    </row>
    <row r="211" spans="2:19" hidden="1">
      <c r="B211">
        <f t="shared" si="6"/>
        <v>1900</v>
      </c>
      <c r="C211">
        <f>+'staffing plan'!BK220</f>
        <v>0</v>
      </c>
      <c r="D211" t="str">
        <f>'staffing plan'!A220</f>
        <v>OSEC-DILGB-ADA6-101-2005</v>
      </c>
      <c r="E211" t="str">
        <f>+'staffing plan'!B220</f>
        <v>Administrative Aide VI</v>
      </c>
      <c r="F211">
        <f>+'staffing plan'!C220</f>
        <v>6</v>
      </c>
      <c r="G211" s="131">
        <f>+'staffing plan'!AH220</f>
        <v>178164</v>
      </c>
      <c r="H211" s="131">
        <f>+'staffing plan'!AI220</f>
        <v>0</v>
      </c>
      <c r="I211" s="131">
        <f>+'staffing plan'!AJ220</f>
        <v>0</v>
      </c>
      <c r="J211" t="str">
        <f>+'staffing plan'!AW220</f>
        <v xml:space="preserve">vacant FABAG,  </v>
      </c>
      <c r="K211" t="e">
        <f>+'staffing plan'!#REF!</f>
        <v>#REF!</v>
      </c>
      <c r="L211" t="e">
        <f>+'staffing plan'!#REF!</f>
        <v>#REF!</v>
      </c>
      <c r="M211">
        <f>+'staffing plan'!AX220</f>
        <v>0</v>
      </c>
      <c r="N211">
        <f>+'staffing plan'!AY220</f>
        <v>0</v>
      </c>
      <c r="O211" s="145" t="e">
        <f>+'staffing plan'!#REF!</f>
        <v>#REF!</v>
      </c>
      <c r="P211" s="145" t="e">
        <f>+'staffing plan'!#REF!</f>
        <v>#REF!</v>
      </c>
      <c r="Q211" s="145" t="e">
        <f>+'staffing plan'!#REF!</f>
        <v>#REF!</v>
      </c>
      <c r="R211">
        <f>+'staffing plan'!BP220</f>
        <v>0</v>
      </c>
      <c r="S211">
        <v>209</v>
      </c>
    </row>
    <row r="212" spans="2:19" hidden="1">
      <c r="B212">
        <f t="shared" si="6"/>
        <v>1989</v>
      </c>
      <c r="C212">
        <f>+'staffing plan'!BK221</f>
        <v>32672</v>
      </c>
      <c r="D212" t="str">
        <f>'staffing plan'!A221</f>
        <v>OSEC-DILGB-ADA6-102-2005</v>
      </c>
      <c r="E212" t="str">
        <f>+'staffing plan'!B221</f>
        <v>Administrative Aide VI</v>
      </c>
      <c r="F212">
        <f>+'staffing plan'!C221</f>
        <v>6</v>
      </c>
      <c r="G212" s="131">
        <f>+'staffing plan'!AH221</f>
        <v>178164</v>
      </c>
      <c r="H212" s="131">
        <f>+'staffing plan'!AI221</f>
        <v>187968</v>
      </c>
      <c r="I212" s="131">
        <f>+'staffing plan'!AJ221</f>
        <v>8</v>
      </c>
      <c r="J212" t="str">
        <f>+'staffing plan'!AW221</f>
        <v>GONZALES, Marlene Castro</v>
      </c>
      <c r="K212" t="e">
        <f>+'staffing plan'!#REF!</f>
        <v>#REF!</v>
      </c>
      <c r="L212" t="e">
        <f>+'staffing plan'!#REF!</f>
        <v>#REF!</v>
      </c>
      <c r="M212" t="str">
        <f>+'staffing plan'!AX221</f>
        <v>Regional Office</v>
      </c>
      <c r="N212" t="str">
        <f>+'staffing plan'!AY221</f>
        <v>F</v>
      </c>
      <c r="O212" s="145" t="e">
        <f>+'staffing plan'!#REF!</f>
        <v>#REF!</v>
      </c>
      <c r="P212" s="145" t="e">
        <f>+'staffing plan'!#REF!</f>
        <v>#REF!</v>
      </c>
      <c r="Q212" s="145" t="e">
        <f>+'staffing plan'!#REF!</f>
        <v>#REF!</v>
      </c>
      <c r="R212">
        <f>+'staffing plan'!BP221</f>
        <v>0</v>
      </c>
      <c r="S212">
        <v>210</v>
      </c>
    </row>
    <row r="213" spans="2:19" hidden="1">
      <c r="B213">
        <f t="shared" si="6"/>
        <v>1994</v>
      </c>
      <c r="C213">
        <f>+'staffing plan'!BK222</f>
        <v>34408</v>
      </c>
      <c r="D213" t="str">
        <f>'staffing plan'!A222</f>
        <v>OSEC-DILGB-ADA6-103-2005</v>
      </c>
      <c r="E213" t="str">
        <f>+'staffing plan'!B222</f>
        <v>Administrative Aide VI</v>
      </c>
      <c r="F213">
        <f>+'staffing plan'!C222</f>
        <v>6</v>
      </c>
      <c r="G213" s="131">
        <f>+'staffing plan'!AH222</f>
        <v>178164</v>
      </c>
      <c r="H213" s="131">
        <f>+'staffing plan'!AI222</f>
        <v>187968</v>
      </c>
      <c r="I213" s="131">
        <f>+'staffing plan'!AJ222</f>
        <v>8</v>
      </c>
      <c r="J213" t="str">
        <f>+'staffing plan'!AW222</f>
        <v>BACDAYAN, Wilfred Ramirez</v>
      </c>
      <c r="K213" t="e">
        <f>+'staffing plan'!#REF!</f>
        <v>#REF!</v>
      </c>
      <c r="L213" t="e">
        <f>+'staffing plan'!#REF!</f>
        <v>#REF!</v>
      </c>
      <c r="M213" t="str">
        <f>+'staffing plan'!AX222</f>
        <v>Kalinga</v>
      </c>
      <c r="N213" t="str">
        <f>+'staffing plan'!AY222</f>
        <v>M</v>
      </c>
      <c r="O213" s="145" t="e">
        <f>+'staffing plan'!#REF!</f>
        <v>#REF!</v>
      </c>
      <c r="P213" s="145" t="e">
        <f>+'staffing plan'!#REF!</f>
        <v>#REF!</v>
      </c>
      <c r="Q213" s="145" t="e">
        <f>+'staffing plan'!#REF!</f>
        <v>#REF!</v>
      </c>
      <c r="R213">
        <f>+'staffing plan'!BP222</f>
        <v>0</v>
      </c>
      <c r="S213">
        <v>211</v>
      </c>
    </row>
    <row r="214" spans="2:19" hidden="1">
      <c r="B214">
        <f t="shared" si="6"/>
        <v>1900</v>
      </c>
      <c r="C214">
        <f>+'staffing plan'!BK240</f>
        <v>0</v>
      </c>
      <c r="D214" t="str">
        <f>'staffing plan'!A240</f>
        <v>OSEC-DILGB-ADA4-___-20__</v>
      </c>
      <c r="E214" t="str">
        <f>+'staffing plan'!B240</f>
        <v>Administrative Aide VI</v>
      </c>
      <c r="F214">
        <f>+'staffing plan'!C240</f>
        <v>4</v>
      </c>
      <c r="G214" s="131">
        <f>+'staffing plan'!AH240</f>
        <v>158568</v>
      </c>
      <c r="H214" s="131">
        <f>+'staffing plan'!AI240</f>
        <v>0</v>
      </c>
      <c r="I214" s="131">
        <f>+'staffing plan'!AJ240</f>
        <v>0</v>
      </c>
      <c r="J214" t="str">
        <f>+'staffing plan'!AW240</f>
        <v>vacant Still no NOSCA
WITH PENDING REQUEST</v>
      </c>
      <c r="K214" t="e">
        <f>+'staffing plan'!#REF!</f>
        <v>#REF!</v>
      </c>
      <c r="L214" t="e">
        <f>+'staffing plan'!#REF!</f>
        <v>#REF!</v>
      </c>
      <c r="M214">
        <f>+'staffing plan'!AX240</f>
        <v>0</v>
      </c>
      <c r="N214">
        <f>+'staffing plan'!AY240</f>
        <v>0</v>
      </c>
      <c r="O214" s="145" t="e">
        <f>+'staffing plan'!#REF!</f>
        <v>#REF!</v>
      </c>
      <c r="P214" s="145" t="e">
        <f>+'staffing plan'!#REF!</f>
        <v>#REF!</v>
      </c>
      <c r="Q214" s="145" t="e">
        <f>+'staffing plan'!#REF!</f>
        <v>#REF!</v>
      </c>
      <c r="R214">
        <f>+'staffing plan'!BP240</f>
        <v>0</v>
      </c>
      <c r="S214">
        <v>212</v>
      </c>
    </row>
    <row r="215" spans="2:19">
      <c r="B215">
        <f t="shared" si="6"/>
        <v>1900</v>
      </c>
      <c r="C215">
        <f>+'staffing plan'!BK223</f>
        <v>0</v>
      </c>
      <c r="D215" t="str">
        <f>'staffing plan'!A223</f>
        <v>OSEC-DILGB-ADA4-88-2005</v>
      </c>
      <c r="E215" t="str">
        <f>+'staffing plan'!B223</f>
        <v>Administrative Aide IV</v>
      </c>
      <c r="F215">
        <f>+'staffing plan'!C223</f>
        <v>4</v>
      </c>
      <c r="G215" s="131">
        <f>+'staffing plan'!AH223</f>
        <v>158568</v>
      </c>
      <c r="H215" s="131">
        <f>+'staffing plan'!AI223</f>
        <v>0</v>
      </c>
      <c r="I215" s="131">
        <f>+'staffing plan'!AJ223</f>
        <v>0</v>
      </c>
      <c r="J215" t="str">
        <f>+'staffing plan'!AW223</f>
        <v xml:space="preserve">Vacant ANUA,  </v>
      </c>
      <c r="K215" t="e">
        <f>+'staffing plan'!#REF!</f>
        <v>#REF!</v>
      </c>
      <c r="L215" t="e">
        <f>+'staffing plan'!#REF!</f>
        <v>#REF!</v>
      </c>
      <c r="M215">
        <f>+'staffing plan'!AX223</f>
        <v>0</v>
      </c>
      <c r="N215">
        <f>+'staffing plan'!AY223</f>
        <v>0</v>
      </c>
      <c r="O215" s="145" t="e">
        <f>+'staffing plan'!#REF!</f>
        <v>#REF!</v>
      </c>
      <c r="P215" s="145" t="e">
        <f>+'staffing plan'!#REF!</f>
        <v>#REF!</v>
      </c>
      <c r="Q215" s="145" t="e">
        <f>+'staffing plan'!#REF!</f>
        <v>#REF!</v>
      </c>
      <c r="R215">
        <f>+'staffing plan'!BP223</f>
        <v>0</v>
      </c>
      <c r="S215">
        <v>213</v>
      </c>
    </row>
    <row r="216" spans="2:19" hidden="1">
      <c r="B216">
        <f t="shared" ref="B216:B231" si="7">(YEAR(C216))</f>
        <v>2016</v>
      </c>
      <c r="C216">
        <f>+'staffing plan'!BK224</f>
        <v>42452</v>
      </c>
      <c r="D216" t="str">
        <f>'staffing plan'!A224</f>
        <v>OSEC-DILGB-ADA4-89-2005</v>
      </c>
      <c r="E216" t="str">
        <f>+'staffing plan'!B224</f>
        <v>Administrative Aide IV</v>
      </c>
      <c r="F216">
        <f>+'staffing plan'!C224</f>
        <v>4</v>
      </c>
      <c r="G216" s="131">
        <f>+'staffing plan'!AH224</f>
        <v>158568</v>
      </c>
      <c r="H216" s="131">
        <f>+'staffing plan'!AI224</f>
        <v>158568</v>
      </c>
      <c r="I216" s="131">
        <f>+'staffing plan'!AJ224</f>
        <v>1</v>
      </c>
      <c r="J216" t="str">
        <f>+'staffing plan'!AW224</f>
        <v>PAZ, Daryll Jane Trinidad</v>
      </c>
      <c r="K216" t="e">
        <f>+'staffing plan'!#REF!</f>
        <v>#REF!</v>
      </c>
      <c r="L216" t="e">
        <f>+'staffing plan'!#REF!</f>
        <v>#REF!</v>
      </c>
      <c r="M216" t="str">
        <f>+'staffing plan'!AX224</f>
        <v>Abra</v>
      </c>
      <c r="N216" t="str">
        <f>+'staffing plan'!AY224</f>
        <v>F</v>
      </c>
      <c r="O216" s="145" t="e">
        <f>+'staffing plan'!#REF!</f>
        <v>#REF!</v>
      </c>
      <c r="P216" s="145" t="e">
        <f>+'staffing plan'!#REF!</f>
        <v>#REF!</v>
      </c>
      <c r="Q216" s="145" t="e">
        <f>+'staffing plan'!#REF!</f>
        <v>#REF!</v>
      </c>
      <c r="R216" t="str">
        <f>+'staffing plan'!BP224</f>
        <v>change of item 1-25-18</v>
      </c>
      <c r="S216">
        <v>214</v>
      </c>
    </row>
    <row r="217" spans="2:19" hidden="1">
      <c r="B217">
        <f t="shared" si="7"/>
        <v>1998</v>
      </c>
      <c r="C217">
        <f>+'staffing plan'!BK225</f>
        <v>36115</v>
      </c>
      <c r="D217" t="str">
        <f>'staffing plan'!A225</f>
        <v>OSEC-DILGB-ADA4-90-2005</v>
      </c>
      <c r="E217" t="str">
        <f>+'staffing plan'!B225</f>
        <v>Administrative Aide IV</v>
      </c>
      <c r="F217">
        <f>+'staffing plan'!C225</f>
        <v>4</v>
      </c>
      <c r="G217" s="131">
        <f>+'staffing plan'!AH225</f>
        <v>158568</v>
      </c>
      <c r="H217" s="131">
        <f>+'staffing plan'!AI225</f>
        <v>166020</v>
      </c>
      <c r="I217" s="131">
        <f>+'staffing plan'!AJ225</f>
        <v>7</v>
      </c>
      <c r="J217" t="str">
        <f>+'staffing plan'!AW225</f>
        <v>BALASO, Gina Garcia</v>
      </c>
      <c r="K217" t="e">
        <f>+'staffing plan'!#REF!</f>
        <v>#REF!</v>
      </c>
      <c r="L217" t="e">
        <f>+'staffing plan'!#REF!</f>
        <v>#REF!</v>
      </c>
      <c r="M217" t="str">
        <f>+'staffing plan'!AX225</f>
        <v>Benguet</v>
      </c>
      <c r="N217" t="str">
        <f>+'staffing plan'!AY225</f>
        <v>F</v>
      </c>
      <c r="O217" s="145" t="e">
        <f>+'staffing plan'!#REF!</f>
        <v>#REF!</v>
      </c>
      <c r="P217" s="145" t="e">
        <f>+'staffing plan'!#REF!</f>
        <v>#REF!</v>
      </c>
      <c r="Q217" s="145" t="e">
        <f>+'staffing plan'!#REF!</f>
        <v>#REF!</v>
      </c>
      <c r="R217">
        <f>+'staffing plan'!BP225</f>
        <v>0</v>
      </c>
      <c r="S217">
        <v>215</v>
      </c>
    </row>
    <row r="218" spans="2:19" hidden="1">
      <c r="B218">
        <f t="shared" si="7"/>
        <v>2018</v>
      </c>
      <c r="C218">
        <f>+'staffing plan'!BK226</f>
        <v>43193</v>
      </c>
      <c r="D218" t="str">
        <f>'staffing plan'!A226</f>
        <v>OSEC-DILGB-ADA4-91-2005</v>
      </c>
      <c r="E218" t="str">
        <f>+'staffing plan'!B226</f>
        <v>Administrative Aide IV</v>
      </c>
      <c r="F218">
        <f>+'staffing plan'!C226</f>
        <v>4</v>
      </c>
      <c r="G218" s="131">
        <f>+'staffing plan'!AH226</f>
        <v>158568</v>
      </c>
      <c r="H218" s="131">
        <f>+'staffing plan'!AI226</f>
        <v>158568</v>
      </c>
      <c r="I218" s="131">
        <f>+'staffing plan'!AJ226</f>
        <v>1</v>
      </c>
      <c r="J218" t="str">
        <f>+'staffing plan'!AW226</f>
        <v>LOMAS-E, Rose Mere Manarop</v>
      </c>
      <c r="K218" t="e">
        <f>+'staffing plan'!#REF!</f>
        <v>#REF!</v>
      </c>
      <c r="L218" t="e">
        <f>+'staffing plan'!#REF!</f>
        <v>#REF!</v>
      </c>
      <c r="M218" t="str">
        <f>+'staffing plan'!AX226</f>
        <v>Mt. Province</v>
      </c>
      <c r="N218" t="str">
        <f>+'staffing plan'!AY226</f>
        <v>F</v>
      </c>
      <c r="O218" s="145" t="e">
        <f>+'staffing plan'!#REF!</f>
        <v>#REF!</v>
      </c>
      <c r="P218" s="145" t="e">
        <f>+'staffing plan'!#REF!</f>
        <v>#REF!</v>
      </c>
      <c r="Q218" s="145" t="e">
        <f>+'staffing plan'!#REF!</f>
        <v>#REF!</v>
      </c>
      <c r="R218" t="str">
        <f>+'staffing plan'!BP226</f>
        <v>MP Prov</v>
      </c>
      <c r="S218">
        <v>216</v>
      </c>
    </row>
    <row r="219" spans="2:19">
      <c r="B219">
        <f t="shared" si="7"/>
        <v>2015</v>
      </c>
      <c r="C219">
        <f>+'staffing plan'!BK227</f>
        <v>42289</v>
      </c>
      <c r="D219" t="str">
        <f>'staffing plan'!A227</f>
        <v>OSEC-DILGB-ADA4-92-2005</v>
      </c>
      <c r="E219" t="str">
        <f>+'staffing plan'!B227</f>
        <v>Administrative Aide IV</v>
      </c>
      <c r="F219">
        <f>+'staffing plan'!C227</f>
        <v>4</v>
      </c>
      <c r="G219" s="131">
        <f>+'staffing plan'!AH227</f>
        <v>158568</v>
      </c>
      <c r="H219" s="131">
        <f>+'staffing plan'!AI227</f>
        <v>159792</v>
      </c>
      <c r="I219" s="131">
        <f>+'staffing plan'!AJ227</f>
        <v>2</v>
      </c>
      <c r="J219" t="str">
        <f>+'staffing plan'!AW227</f>
        <v>PATAUEG, Clifford Pungod</v>
      </c>
      <c r="K219" t="e">
        <f>+'staffing plan'!#REF!</f>
        <v>#REF!</v>
      </c>
      <c r="L219" t="e">
        <f>+'staffing plan'!#REF!</f>
        <v>#REF!</v>
      </c>
      <c r="M219" t="str">
        <f>+'staffing plan'!AX227</f>
        <v>Ifugao</v>
      </c>
      <c r="N219" t="str">
        <f>+'staffing plan'!AY227</f>
        <v>M</v>
      </c>
      <c r="O219" s="145" t="e">
        <f>+'staffing plan'!#REF!</f>
        <v>#REF!</v>
      </c>
      <c r="P219" s="145" t="e">
        <f>+'staffing plan'!#REF!</f>
        <v>#REF!</v>
      </c>
      <c r="Q219" s="145" t="e">
        <f>+'staffing plan'!#REF!</f>
        <v>#REF!</v>
      </c>
      <c r="R219" t="str">
        <f>+'staffing plan'!BP227</f>
        <v>Nurse</v>
      </c>
      <c r="S219">
        <v>217</v>
      </c>
    </row>
    <row r="220" spans="2:19" hidden="1">
      <c r="B220">
        <f t="shared" si="7"/>
        <v>2018</v>
      </c>
      <c r="C220">
        <f>+'staffing plan'!BK228</f>
        <v>43193</v>
      </c>
      <c r="D220" t="str">
        <f>'staffing plan'!A228</f>
        <v>OSEC-DILGB-ADA4-93-2005</v>
      </c>
      <c r="E220" t="str">
        <f>+'staffing plan'!B228</f>
        <v>Administrative Aide IV</v>
      </c>
      <c r="F220">
        <f>+'staffing plan'!C228</f>
        <v>4</v>
      </c>
      <c r="G220" s="131">
        <f>+'staffing plan'!AH228</f>
        <v>158568</v>
      </c>
      <c r="H220" s="131">
        <f>+'staffing plan'!AI228</f>
        <v>158568</v>
      </c>
      <c r="I220" s="131">
        <f>+'staffing plan'!AJ228</f>
        <v>1</v>
      </c>
      <c r="J220" t="str">
        <f>+'staffing plan'!AW228</f>
        <v>CAMPO, Nilo Palsic</v>
      </c>
      <c r="K220" t="e">
        <f>+'staffing plan'!#REF!</f>
        <v>#REF!</v>
      </c>
      <c r="L220" t="e">
        <f>+'staffing plan'!#REF!</f>
        <v>#REF!</v>
      </c>
      <c r="M220" t="str">
        <f>+'staffing plan'!AX228</f>
        <v>Apayao</v>
      </c>
      <c r="N220" t="str">
        <f>+'staffing plan'!AY228</f>
        <v>M</v>
      </c>
      <c r="O220" s="145" t="e">
        <f>+'staffing plan'!#REF!</f>
        <v>#REF!</v>
      </c>
      <c r="P220" s="145" t="e">
        <f>+'staffing plan'!#REF!</f>
        <v>#REF!</v>
      </c>
      <c r="Q220" s="145" t="e">
        <f>+'staffing plan'!#REF!</f>
        <v>#REF!</v>
      </c>
      <c r="R220" t="str">
        <f>+'staffing plan'!BP228</f>
        <v>apayao</v>
      </c>
      <c r="S220">
        <v>218</v>
      </c>
    </row>
    <row r="221" spans="2:19">
      <c r="B221">
        <f t="shared" si="7"/>
        <v>2012</v>
      </c>
      <c r="C221">
        <f>+'staffing plan'!BK229</f>
        <v>40910</v>
      </c>
      <c r="D221" t="str">
        <f>'staffing plan'!A229</f>
        <v>OSEC-DILGB-ADA4-94-2005</v>
      </c>
      <c r="E221" t="str">
        <f>+'staffing plan'!B229</f>
        <v>Administrative Aide IV</v>
      </c>
      <c r="F221">
        <f>+'staffing plan'!C229</f>
        <v>4</v>
      </c>
      <c r="G221" s="131">
        <f>+'staffing plan'!AH229</f>
        <v>158568</v>
      </c>
      <c r="H221" s="131">
        <f>+'staffing plan'!AI229</f>
        <v>161016</v>
      </c>
      <c r="I221" s="131">
        <f>+'staffing plan'!AJ229</f>
        <v>3</v>
      </c>
      <c r="J221" t="str">
        <f>+'staffing plan'!AW229</f>
        <v>ANGAWA, Lilet Ahuday</v>
      </c>
      <c r="K221" t="e">
        <f>+'staffing plan'!#REF!</f>
        <v>#REF!</v>
      </c>
      <c r="L221" t="e">
        <f>+'staffing plan'!#REF!</f>
        <v>#REF!</v>
      </c>
      <c r="M221" t="str">
        <f>+'staffing plan'!AX229</f>
        <v>Baguio City</v>
      </c>
      <c r="N221" t="str">
        <f>+'staffing plan'!AY229</f>
        <v>F</v>
      </c>
      <c r="O221" s="145" t="e">
        <f>+'staffing plan'!#REF!</f>
        <v>#REF!</v>
      </c>
      <c r="P221" s="145" t="e">
        <f>+'staffing plan'!#REF!</f>
        <v>#REF!</v>
      </c>
      <c r="Q221" s="145" t="e">
        <f>+'staffing plan'!#REF!</f>
        <v>#REF!</v>
      </c>
      <c r="R221">
        <f>+'staffing plan'!BP229</f>
        <v>0</v>
      </c>
      <c r="S221">
        <v>219</v>
      </c>
    </row>
    <row r="222" spans="2:19" hidden="1">
      <c r="B222">
        <f t="shared" si="7"/>
        <v>2002</v>
      </c>
      <c r="C222">
        <f>+'staffing plan'!BK230</f>
        <v>37305</v>
      </c>
      <c r="D222" t="str">
        <f>'staffing plan'!A230</f>
        <v>OSEC-DILGB-ADA3-62-2005</v>
      </c>
      <c r="E222" t="str">
        <f>+'staffing plan'!B230</f>
        <v>Administrative Aide III</v>
      </c>
      <c r="F222">
        <f>+'staffing plan'!C230</f>
        <v>3</v>
      </c>
      <c r="G222" s="131">
        <f>+'staffing plan'!AH230</f>
        <v>149592</v>
      </c>
      <c r="H222" s="131">
        <f>+'staffing plan'!AI230</f>
        <v>155424</v>
      </c>
      <c r="I222" s="131">
        <f>+'staffing plan'!AJ230</f>
        <v>6</v>
      </c>
      <c r="J222" t="str">
        <f>+'staffing plan'!AW230</f>
        <v>MICU, Benelito de Jesus</v>
      </c>
      <c r="K222" t="e">
        <f>+'staffing plan'!#REF!</f>
        <v>#REF!</v>
      </c>
      <c r="L222" t="e">
        <f>+'staffing plan'!#REF!</f>
        <v>#REF!</v>
      </c>
      <c r="M222" t="str">
        <f>+'staffing plan'!AX230</f>
        <v>Apayao</v>
      </c>
      <c r="N222" t="str">
        <f>+'staffing plan'!AY230</f>
        <v>M</v>
      </c>
      <c r="O222" s="145" t="e">
        <f>+'staffing plan'!#REF!</f>
        <v>#REF!</v>
      </c>
      <c r="P222" s="145" t="e">
        <f>+'staffing plan'!#REF!</f>
        <v>#REF!</v>
      </c>
      <c r="Q222" s="145" t="e">
        <f>+'staffing plan'!#REF!</f>
        <v>#REF!</v>
      </c>
      <c r="R222">
        <f>+'staffing plan'!BP230</f>
        <v>0</v>
      </c>
      <c r="S222">
        <v>220</v>
      </c>
    </row>
    <row r="223" spans="2:19" hidden="1">
      <c r="B223">
        <f t="shared" si="7"/>
        <v>1989</v>
      </c>
      <c r="C223">
        <f>+'staffing plan'!BK231</f>
        <v>32580</v>
      </c>
      <c r="D223" t="str">
        <f>'staffing plan'!A231</f>
        <v>OSEC-DILGB-ADA3-63-2005</v>
      </c>
      <c r="E223" t="str">
        <f>+'staffing plan'!B231</f>
        <v>Administrative Aide III</v>
      </c>
      <c r="F223">
        <f>+'staffing plan'!C231</f>
        <v>3</v>
      </c>
      <c r="G223" s="131">
        <f>+'staffing plan'!AH231</f>
        <v>149592</v>
      </c>
      <c r="H223" s="131">
        <f>+'staffing plan'!AI231</f>
        <v>157824</v>
      </c>
      <c r="I223" s="131">
        <f>+'staffing plan'!AJ231</f>
        <v>8</v>
      </c>
      <c r="J223" t="str">
        <f>+'staffing plan'!AW231</f>
        <v>BRIONES, Rolando Atmosfera</v>
      </c>
      <c r="K223" t="e">
        <f>+'staffing plan'!#REF!</f>
        <v>#REF!</v>
      </c>
      <c r="L223" t="e">
        <f>+'staffing plan'!#REF!</f>
        <v>#REF!</v>
      </c>
      <c r="M223" t="str">
        <f>+'staffing plan'!AX231</f>
        <v>Abra</v>
      </c>
      <c r="N223" t="str">
        <f>+'staffing plan'!AY231</f>
        <v>M</v>
      </c>
      <c r="O223" s="145" t="e">
        <f>+'staffing plan'!#REF!</f>
        <v>#REF!</v>
      </c>
      <c r="P223" s="145" t="e">
        <f>+'staffing plan'!#REF!</f>
        <v>#REF!</v>
      </c>
      <c r="Q223" s="145" t="e">
        <f>+'staffing plan'!#REF!</f>
        <v>#REF!</v>
      </c>
      <c r="R223">
        <f>+'staffing plan'!BP231</f>
        <v>0</v>
      </c>
      <c r="S223">
        <v>221</v>
      </c>
    </row>
    <row r="224" spans="2:19" hidden="1">
      <c r="B224">
        <f t="shared" si="7"/>
        <v>1900</v>
      </c>
      <c r="C224">
        <f>+'staffing plan'!BK232</f>
        <v>0</v>
      </c>
      <c r="D224" t="str">
        <f>'staffing plan'!A232</f>
        <v>OSEC-DILGB-ADA3-64-2005</v>
      </c>
      <c r="E224" t="str">
        <f>+'staffing plan'!B232</f>
        <v>Administrative Aide III</v>
      </c>
      <c r="F224">
        <f>+'staffing plan'!C232</f>
        <v>3</v>
      </c>
      <c r="G224" s="131">
        <f>+'staffing plan'!AH232</f>
        <v>149592</v>
      </c>
      <c r="H224" s="131">
        <f>+'staffing plan'!AI232</f>
        <v>0</v>
      </c>
      <c r="I224" s="131">
        <f>+'staffing plan'!AJ232</f>
        <v>0</v>
      </c>
      <c r="J224" t="str">
        <f>+'staffing plan'!AW232</f>
        <v>Vacant BALTING, Jason Saingan
CTI-FOR SCRAPPING</v>
      </c>
      <c r="K224" t="e">
        <f>+'staffing plan'!#REF!</f>
        <v>#REF!</v>
      </c>
      <c r="L224" t="e">
        <f>+'staffing plan'!#REF!</f>
        <v>#REF!</v>
      </c>
      <c r="M224">
        <f>+'staffing plan'!AX232</f>
        <v>0</v>
      </c>
      <c r="N224">
        <f>+'staffing plan'!AY232</f>
        <v>0</v>
      </c>
      <c r="O224" s="145" t="e">
        <f>+'staffing plan'!#REF!</f>
        <v>#REF!</v>
      </c>
      <c r="P224" s="145" t="e">
        <f>+'staffing plan'!#REF!</f>
        <v>#REF!</v>
      </c>
      <c r="Q224" s="145" t="e">
        <f>+'staffing plan'!#REF!</f>
        <v>#REF!</v>
      </c>
      <c r="R224">
        <f>+'staffing plan'!BP232</f>
        <v>0</v>
      </c>
      <c r="S224">
        <v>222</v>
      </c>
    </row>
    <row r="225" spans="1:19" hidden="1">
      <c r="B225">
        <f t="shared" si="7"/>
        <v>1900</v>
      </c>
      <c r="C225">
        <f>+'staffing plan'!BK233</f>
        <v>0</v>
      </c>
      <c r="D225" t="str">
        <f>'staffing plan'!A233</f>
        <v>OSEC-DILGB-ADA3-65-2005</v>
      </c>
      <c r="E225" t="str">
        <f>+'staffing plan'!B233</f>
        <v>Administrative Aide III</v>
      </c>
      <c r="F225">
        <f>+'staffing plan'!C233</f>
        <v>3</v>
      </c>
      <c r="G225" s="131">
        <f>+'staffing plan'!AH233</f>
        <v>149592</v>
      </c>
      <c r="H225" s="131">
        <f>+'staffing plan'!AI233</f>
        <v>0</v>
      </c>
      <c r="I225" s="131">
        <f>+'staffing plan'!AJ233</f>
        <v>0</v>
      </c>
      <c r="J225" t="str">
        <f>+'staffing plan'!AW233</f>
        <v>Vacant SANCHEZ, Roland Waking
CTI-FOR SCRAPPING</v>
      </c>
      <c r="K225" t="e">
        <f>+'staffing plan'!#REF!</f>
        <v>#REF!</v>
      </c>
      <c r="L225" t="e">
        <f>+'staffing plan'!#REF!</f>
        <v>#REF!</v>
      </c>
      <c r="M225">
        <f>+'staffing plan'!AX233</f>
        <v>0</v>
      </c>
      <c r="N225">
        <f>+'staffing plan'!AY233</f>
        <v>0</v>
      </c>
      <c r="O225" s="145" t="e">
        <f>+'staffing plan'!#REF!</f>
        <v>#REF!</v>
      </c>
      <c r="P225" s="145" t="e">
        <f>+'staffing plan'!#REF!</f>
        <v>#REF!</v>
      </c>
      <c r="Q225" s="145" t="e">
        <f>+'staffing plan'!#REF!</f>
        <v>#REF!</v>
      </c>
      <c r="R225">
        <f>+'staffing plan'!BP233</f>
        <v>0</v>
      </c>
      <c r="S225">
        <v>223</v>
      </c>
    </row>
    <row r="226" spans="1:19" hidden="1">
      <c r="B226">
        <f t="shared" si="7"/>
        <v>1990</v>
      </c>
      <c r="C226">
        <f>+'staffing plan'!BK234</f>
        <v>33175</v>
      </c>
      <c r="D226" t="str">
        <f>'staffing plan'!A234</f>
        <v>OSEC-DILGB-ADA2-57-2005</v>
      </c>
      <c r="E226" t="str">
        <f>+'staffing plan'!B234</f>
        <v xml:space="preserve">Administrative Aide II   </v>
      </c>
      <c r="F226">
        <f>+'staffing plan'!C234</f>
        <v>2</v>
      </c>
      <c r="G226" s="131">
        <f>+'staffing plan'!AH234</f>
        <v>141132</v>
      </c>
      <c r="H226" s="131">
        <f>+'staffing plan'!AI234</f>
        <v>148884</v>
      </c>
      <c r="I226" s="131">
        <f>+'staffing plan'!AJ234</f>
        <v>8</v>
      </c>
      <c r="J226" t="str">
        <f>+'staffing plan'!AW234</f>
        <v>FERNANDO, Marvin Flores</v>
      </c>
      <c r="K226" t="e">
        <f>+'staffing plan'!#REF!</f>
        <v>#REF!</v>
      </c>
      <c r="L226" t="e">
        <f>+'staffing plan'!#REF!</f>
        <v>#REF!</v>
      </c>
      <c r="M226" t="str">
        <f>+'staffing plan'!AX234</f>
        <v>Kalinga</v>
      </c>
      <c r="N226" t="str">
        <f>+'staffing plan'!AY234</f>
        <v>M</v>
      </c>
      <c r="O226" s="145" t="e">
        <f>+'staffing plan'!#REF!</f>
        <v>#REF!</v>
      </c>
      <c r="P226" s="145" t="e">
        <f>+'staffing plan'!#REF!</f>
        <v>#REF!</v>
      </c>
      <c r="Q226" s="145" t="e">
        <f>+'staffing plan'!#REF!</f>
        <v>#REF!</v>
      </c>
      <c r="R226">
        <f>+'staffing plan'!BP234</f>
        <v>0</v>
      </c>
      <c r="S226">
        <v>224</v>
      </c>
    </row>
    <row r="227" spans="1:19" hidden="1">
      <c r="B227">
        <f t="shared" si="7"/>
        <v>1900</v>
      </c>
      <c r="C227">
        <f>+'staffing plan'!BK235</f>
        <v>0</v>
      </c>
      <c r="D227" t="str">
        <f>'staffing plan'!A235</f>
        <v>OSEC-DILGB-ADA1-28-2005</v>
      </c>
      <c r="E227" t="str">
        <f>+'staffing plan'!B235</f>
        <v>Administrative Aide I</v>
      </c>
      <c r="F227">
        <f>+'staffing plan'!C235</f>
        <v>1</v>
      </c>
      <c r="G227" s="131">
        <f>+'staffing plan'!AH235</f>
        <v>132816</v>
      </c>
      <c r="H227" s="131">
        <f>+'staffing plan'!AI235</f>
        <v>0</v>
      </c>
      <c r="I227" s="131">
        <f>+'staffing plan'!AJ235</f>
        <v>0</v>
      </c>
      <c r="J227" t="e">
        <f>+'staffing plan'!#REF!</f>
        <v>#REF!</v>
      </c>
      <c r="K227" t="e">
        <f>+'staffing plan'!#REF!</f>
        <v>#REF!</v>
      </c>
      <c r="L227" t="e">
        <f>+'staffing plan'!#REF!</f>
        <v>#REF!</v>
      </c>
      <c r="M227">
        <f>+'staffing plan'!AX235</f>
        <v>0</v>
      </c>
      <c r="N227">
        <f>+'staffing plan'!AY235</f>
        <v>0</v>
      </c>
      <c r="O227" s="145" t="e">
        <f>+'staffing plan'!#REF!</f>
        <v>#REF!</v>
      </c>
      <c r="P227" s="145" t="e">
        <f>+'staffing plan'!#REF!</f>
        <v>#REF!</v>
      </c>
      <c r="Q227" s="145" t="e">
        <f>+'staffing plan'!#REF!</f>
        <v>#REF!</v>
      </c>
      <c r="R227">
        <f>+'staffing plan'!BP235</f>
        <v>0</v>
      </c>
      <c r="S227">
        <v>225</v>
      </c>
    </row>
    <row r="228" spans="1:19">
      <c r="B228">
        <f t="shared" si="7"/>
        <v>1996</v>
      </c>
      <c r="C228">
        <f>+'staffing plan'!BK236</f>
        <v>35254</v>
      </c>
      <c r="D228" t="str">
        <f>'staffing plan'!A236</f>
        <v>OSEC-DILGB-ADA1-29-2005</v>
      </c>
      <c r="E228" t="str">
        <f>+'staffing plan'!B236</f>
        <v>Administrative Aide I</v>
      </c>
      <c r="F228">
        <f>+'staffing plan'!C236</f>
        <v>1</v>
      </c>
      <c r="G228" s="131">
        <f>+'staffing plan'!AH236</f>
        <v>132816</v>
      </c>
      <c r="H228" s="131">
        <f>+'staffing plan'!AI236</f>
        <v>140784</v>
      </c>
      <c r="I228" s="131">
        <f>+'staffing plan'!AJ236</f>
        <v>8</v>
      </c>
      <c r="J228" t="str">
        <f>+'staffing plan'!AW236</f>
        <v>DANGEL, Merlyn Majuray</v>
      </c>
      <c r="K228" t="e">
        <f>+'staffing plan'!#REF!</f>
        <v>#REF!</v>
      </c>
      <c r="L228" t="e">
        <f>+'staffing plan'!#REF!</f>
        <v>#REF!</v>
      </c>
      <c r="M228" t="str">
        <f>+'staffing plan'!AX236</f>
        <v>Apayao</v>
      </c>
      <c r="N228" t="str">
        <f>+'staffing plan'!AY236</f>
        <v>F</v>
      </c>
      <c r="O228" s="145" t="e">
        <f>+'staffing plan'!#REF!</f>
        <v>#REF!</v>
      </c>
      <c r="P228" s="145" t="e">
        <f>+'staffing plan'!#REF!</f>
        <v>#REF!</v>
      </c>
      <c r="Q228" s="145" t="e">
        <f>+'staffing plan'!#REF!</f>
        <v>#REF!</v>
      </c>
      <c r="R228">
        <f>+'staffing plan'!BP236</f>
        <v>0</v>
      </c>
      <c r="S228">
        <v>226</v>
      </c>
    </row>
    <row r="229" spans="1:19">
      <c r="B229">
        <f t="shared" si="7"/>
        <v>1999</v>
      </c>
      <c r="C229">
        <f>+'staffing plan'!BK237</f>
        <v>36356</v>
      </c>
      <c r="D229" t="str">
        <f>'staffing plan'!A237</f>
        <v>OSEC-DILGB-ADA1-30-2005</v>
      </c>
      <c r="E229" t="str">
        <f>+'staffing plan'!B237</f>
        <v>Administrative Aide I</v>
      </c>
      <c r="F229">
        <f>+'staffing plan'!C237</f>
        <v>1</v>
      </c>
      <c r="G229" s="131">
        <f>+'staffing plan'!AH237</f>
        <v>132816</v>
      </c>
      <c r="H229" s="131">
        <f>+'staffing plan'!AI237</f>
        <v>139620</v>
      </c>
      <c r="I229" s="131">
        <f>+'staffing plan'!AJ237</f>
        <v>7</v>
      </c>
      <c r="J229" t="str">
        <f>+'staffing plan'!AW237</f>
        <v>LOMAS-E, Wilmon Finotton</v>
      </c>
      <c r="K229" t="e">
        <f>+'staffing plan'!#REF!</f>
        <v>#REF!</v>
      </c>
      <c r="L229" t="e">
        <f>+'staffing plan'!#REF!</f>
        <v>#REF!</v>
      </c>
      <c r="M229" t="str">
        <f>+'staffing plan'!AX237</f>
        <v>Mt. Province</v>
      </c>
      <c r="N229" t="str">
        <f>+'staffing plan'!AY237</f>
        <v>M</v>
      </c>
      <c r="O229" s="145" t="e">
        <f>+'staffing plan'!#REF!</f>
        <v>#REF!</v>
      </c>
      <c r="P229" s="145" t="e">
        <f>+'staffing plan'!#REF!</f>
        <v>#REF!</v>
      </c>
      <c r="Q229" s="145" t="e">
        <f>+'staffing plan'!#REF!</f>
        <v>#REF!</v>
      </c>
      <c r="R229">
        <f>+'staffing plan'!BP237</f>
        <v>0</v>
      </c>
      <c r="S229">
        <v>227</v>
      </c>
    </row>
    <row r="230" spans="1:19" hidden="1">
      <c r="B230">
        <f t="shared" si="7"/>
        <v>1994</v>
      </c>
      <c r="C230">
        <f>+'staffing plan'!BK238</f>
        <v>34408</v>
      </c>
      <c r="D230" t="str">
        <f>'staffing plan'!A238</f>
        <v>OSEC-DILGB-ADA1-32-2005</v>
      </c>
      <c r="E230" t="str">
        <f>+'staffing plan'!B238</f>
        <v>Administrative Aide I</v>
      </c>
      <c r="F230">
        <f>+'staffing plan'!C238</f>
        <v>1</v>
      </c>
      <c r="G230" s="131">
        <f>+'staffing plan'!AH238</f>
        <v>132816</v>
      </c>
      <c r="H230" s="131">
        <f>+'staffing plan'!AI238</f>
        <v>140784</v>
      </c>
      <c r="I230" s="131">
        <f>+'staffing plan'!AJ238</f>
        <v>8</v>
      </c>
      <c r="J230" t="str">
        <f>+'staffing plan'!AW238</f>
        <v>KIBAYEN, Nelson Malnawan</v>
      </c>
      <c r="K230" t="e">
        <f>+'staffing plan'!#REF!</f>
        <v>#REF!</v>
      </c>
      <c r="L230" t="e">
        <f>+'staffing plan'!#REF!</f>
        <v>#REF!</v>
      </c>
      <c r="M230" t="str">
        <f>+'staffing plan'!AX238</f>
        <v>Kalinga</v>
      </c>
      <c r="N230" t="str">
        <f>+'staffing plan'!AY238</f>
        <v>M</v>
      </c>
      <c r="O230" s="145" t="e">
        <f>+'staffing plan'!#REF!</f>
        <v>#REF!</v>
      </c>
      <c r="P230" s="145" t="e">
        <f>+'staffing plan'!#REF!</f>
        <v>#REF!</v>
      </c>
      <c r="Q230" s="145" t="e">
        <f>+'staffing plan'!#REF!</f>
        <v>#REF!</v>
      </c>
      <c r="R230">
        <f>+'staffing plan'!BP238</f>
        <v>0</v>
      </c>
      <c r="S230">
        <v>228</v>
      </c>
    </row>
    <row r="231" spans="1:19" hidden="1">
      <c r="B231">
        <f t="shared" si="7"/>
        <v>1900</v>
      </c>
      <c r="C231">
        <f>+'staffing plan'!BK239</f>
        <v>0</v>
      </c>
      <c r="D231" t="str">
        <f>'staffing plan'!A239</f>
        <v>OSEC-DILGB-ADA1-33-2005</v>
      </c>
      <c r="E231" t="str">
        <f>+'staffing plan'!B239</f>
        <v>Administrative Aide I</v>
      </c>
      <c r="F231">
        <f>+'staffing plan'!C239</f>
        <v>1</v>
      </c>
      <c r="G231" s="131">
        <f>+'staffing plan'!AH239</f>
        <v>132816</v>
      </c>
      <c r="H231" s="131">
        <f>+'staffing plan'!AI239</f>
        <v>0</v>
      </c>
      <c r="I231" s="131">
        <f>+'staffing plan'!AJ239</f>
        <v>0</v>
      </c>
      <c r="J231" t="e">
        <f>+'staffing plan'!#REF!</f>
        <v>#REF!</v>
      </c>
      <c r="K231" t="e">
        <f>+'staffing plan'!#REF!</f>
        <v>#REF!</v>
      </c>
      <c r="L231" t="e">
        <f>+'staffing plan'!#REF!</f>
        <v>#REF!</v>
      </c>
      <c r="M231">
        <f>+'staffing plan'!AX239</f>
        <v>0</v>
      </c>
      <c r="N231">
        <f>+'staffing plan'!AY239</f>
        <v>0</v>
      </c>
      <c r="O231" s="145" t="e">
        <f>+'staffing plan'!#REF!</f>
        <v>#REF!</v>
      </c>
      <c r="P231" s="145" t="e">
        <f>+'staffing plan'!#REF!</f>
        <v>#REF!</v>
      </c>
      <c r="Q231" s="145" t="e">
        <f>+'staffing plan'!#REF!</f>
        <v>#REF!</v>
      </c>
      <c r="R231">
        <f>+'staffing plan'!BP239</f>
        <v>0</v>
      </c>
      <c r="S231">
        <v>229</v>
      </c>
    </row>
    <row r="232" spans="1:19">
      <c r="G232" s="131"/>
      <c r="H232" s="131"/>
      <c r="I232" s="131"/>
    </row>
    <row r="233" spans="1:19">
      <c r="A233" s="150"/>
      <c r="B233" s="150" t="s">
        <v>2765</v>
      </c>
      <c r="C233" s="151" t="s">
        <v>18</v>
      </c>
      <c r="D233" s="152" t="s">
        <v>2204</v>
      </c>
      <c r="E233" s="153" t="s">
        <v>7</v>
      </c>
      <c r="F233" s="153" t="s">
        <v>8</v>
      </c>
      <c r="G233" s="154" t="s">
        <v>2810</v>
      </c>
      <c r="H233" s="154" t="s">
        <v>2811</v>
      </c>
      <c r="I233" s="153" t="s">
        <v>10</v>
      </c>
      <c r="J233" s="153" t="s">
        <v>13</v>
      </c>
      <c r="K233" s="153" t="s">
        <v>2806</v>
      </c>
      <c r="L233" s="153" t="s">
        <v>2805</v>
      </c>
      <c r="M233" s="152" t="s">
        <v>2216</v>
      </c>
      <c r="N233" s="153" t="s">
        <v>2202</v>
      </c>
      <c r="O233" s="153" t="s">
        <v>2813</v>
      </c>
      <c r="P233" s="153" t="s">
        <v>2812</v>
      </c>
      <c r="Q233" s="153" t="s">
        <v>2809</v>
      </c>
      <c r="R233" s="153" t="s">
        <v>21</v>
      </c>
      <c r="S233" s="144" t="s">
        <v>2814</v>
      </c>
    </row>
    <row r="234" spans="1:19">
      <c r="A234">
        <v>2002</v>
      </c>
      <c r="B234">
        <v>2001</v>
      </c>
      <c r="C234">
        <v>37039</v>
      </c>
      <c r="D234" t="s">
        <v>2255</v>
      </c>
      <c r="E234" t="s">
        <v>76</v>
      </c>
      <c r="F234">
        <v>23</v>
      </c>
      <c r="G234" s="131">
        <v>621912</v>
      </c>
      <c r="H234" s="131">
        <v>653160</v>
      </c>
      <c r="I234" s="131">
        <v>5</v>
      </c>
      <c r="J234" t="s">
        <v>82</v>
      </c>
      <c r="K234" t="s">
        <v>78</v>
      </c>
      <c r="L234" t="s">
        <v>3215</v>
      </c>
      <c r="M234" t="s">
        <v>57</v>
      </c>
      <c r="N234" t="s">
        <v>62</v>
      </c>
      <c r="O234" s="145">
        <v>54430</v>
      </c>
      <c r="P234" s="145">
        <v>55101</v>
      </c>
      <c r="Q234" s="145">
        <v>671</v>
      </c>
      <c r="R234">
        <v>0</v>
      </c>
      <c r="S234" s="155">
        <v>15</v>
      </c>
    </row>
    <row r="235" spans="1:19">
      <c r="A235">
        <v>1999</v>
      </c>
      <c r="B235">
        <v>1998</v>
      </c>
      <c r="C235">
        <v>36069</v>
      </c>
      <c r="D235" t="s">
        <v>111</v>
      </c>
      <c r="E235" t="s">
        <v>370</v>
      </c>
      <c r="F235">
        <v>9</v>
      </c>
      <c r="G235" s="131">
        <v>198144</v>
      </c>
      <c r="H235" s="131">
        <v>207828</v>
      </c>
      <c r="I235" s="131">
        <v>6</v>
      </c>
      <c r="J235" t="s">
        <v>2706</v>
      </c>
      <c r="K235" t="s">
        <v>113</v>
      </c>
      <c r="L235" t="s">
        <v>2818</v>
      </c>
      <c r="M235" t="s">
        <v>57</v>
      </c>
      <c r="N235" t="s">
        <v>100</v>
      </c>
      <c r="O235" s="145">
        <v>17319</v>
      </c>
      <c r="P235" s="145">
        <v>17485</v>
      </c>
      <c r="Q235" s="145">
        <v>166</v>
      </c>
      <c r="R235">
        <v>0</v>
      </c>
      <c r="S235" s="155">
        <v>16</v>
      </c>
    </row>
    <row r="236" spans="1:19">
      <c r="A236">
        <v>2004</v>
      </c>
      <c r="B236">
        <v>2010</v>
      </c>
      <c r="C236">
        <v>40261</v>
      </c>
      <c r="D236" t="s">
        <v>150</v>
      </c>
      <c r="E236" t="s">
        <v>151</v>
      </c>
      <c r="F236">
        <v>24</v>
      </c>
      <c r="G236" s="131">
        <v>679320</v>
      </c>
      <c r="H236" s="131">
        <v>687696</v>
      </c>
      <c r="I236" s="131">
        <v>2</v>
      </c>
      <c r="J236" t="s">
        <v>3067</v>
      </c>
      <c r="K236" t="s">
        <v>3216</v>
      </c>
      <c r="L236" t="s">
        <v>3217</v>
      </c>
      <c r="M236">
        <v>0</v>
      </c>
      <c r="N236">
        <v>0</v>
      </c>
      <c r="O236" s="145">
        <v>57308</v>
      </c>
      <c r="P236" s="145">
        <v>58014</v>
      </c>
      <c r="Q236" s="145">
        <v>706</v>
      </c>
      <c r="R236">
        <v>0</v>
      </c>
      <c r="S236" s="155">
        <v>24</v>
      </c>
    </row>
    <row r="237" spans="1:19">
      <c r="A237">
        <v>2001</v>
      </c>
      <c r="B237">
        <v>2004</v>
      </c>
      <c r="C237">
        <v>38322</v>
      </c>
      <c r="D237" t="s">
        <v>173</v>
      </c>
      <c r="E237" t="s">
        <v>165</v>
      </c>
      <c r="F237">
        <v>20</v>
      </c>
      <c r="G237" s="131">
        <v>477216</v>
      </c>
      <c r="H237" s="131">
        <v>495096</v>
      </c>
      <c r="I237" s="131">
        <v>4</v>
      </c>
      <c r="J237" t="s">
        <v>178</v>
      </c>
      <c r="K237" t="s">
        <v>175</v>
      </c>
      <c r="L237" t="s">
        <v>3218</v>
      </c>
      <c r="M237" t="s">
        <v>174</v>
      </c>
      <c r="N237" t="s">
        <v>62</v>
      </c>
      <c r="O237" s="145">
        <v>41258</v>
      </c>
      <c r="P237" s="145">
        <v>41766</v>
      </c>
      <c r="Q237" s="145">
        <v>508</v>
      </c>
      <c r="R237">
        <v>0</v>
      </c>
      <c r="S237" s="155">
        <v>25</v>
      </c>
    </row>
    <row r="238" spans="1:19">
      <c r="A238">
        <v>1998</v>
      </c>
      <c r="B238">
        <v>2010</v>
      </c>
      <c r="C238">
        <v>40262</v>
      </c>
      <c r="D238" t="s">
        <v>229</v>
      </c>
      <c r="E238" t="s">
        <v>157</v>
      </c>
      <c r="F238">
        <v>22</v>
      </c>
      <c r="G238" s="131">
        <v>569376</v>
      </c>
      <c r="H238" s="131">
        <v>576384</v>
      </c>
      <c r="I238" s="131">
        <v>2</v>
      </c>
      <c r="J238" t="s">
        <v>232</v>
      </c>
      <c r="K238" t="s">
        <v>230</v>
      </c>
      <c r="L238" t="s">
        <v>2829</v>
      </c>
      <c r="M238" t="s">
        <v>57</v>
      </c>
      <c r="N238" t="s">
        <v>100</v>
      </c>
      <c r="O238" s="145">
        <v>48032</v>
      </c>
      <c r="P238" s="145">
        <v>48625</v>
      </c>
      <c r="Q238" s="145">
        <v>593</v>
      </c>
      <c r="R238">
        <v>0</v>
      </c>
      <c r="S238" s="155">
        <v>26</v>
      </c>
    </row>
    <row r="239" spans="1:19">
      <c r="A239">
        <v>1992</v>
      </c>
      <c r="B239">
        <v>2010</v>
      </c>
      <c r="C239">
        <v>40256</v>
      </c>
      <c r="D239" t="s">
        <v>291</v>
      </c>
      <c r="E239" t="s">
        <v>292</v>
      </c>
      <c r="F239">
        <v>19</v>
      </c>
      <c r="G239" s="131">
        <v>436908</v>
      </c>
      <c r="H239" s="131">
        <v>442284</v>
      </c>
      <c r="I239" s="131">
        <v>2</v>
      </c>
      <c r="J239" t="s">
        <v>2705</v>
      </c>
      <c r="K239" t="s">
        <v>294</v>
      </c>
      <c r="L239" t="s">
        <v>2839</v>
      </c>
      <c r="M239" t="s">
        <v>57</v>
      </c>
      <c r="N239" t="s">
        <v>100</v>
      </c>
      <c r="O239" s="145">
        <v>36857</v>
      </c>
      <c r="P239" s="145">
        <v>37312</v>
      </c>
      <c r="Q239" s="145">
        <v>455</v>
      </c>
      <c r="R239">
        <v>0</v>
      </c>
      <c r="S239" s="155">
        <v>28</v>
      </c>
    </row>
    <row r="240" spans="1:19">
      <c r="B240">
        <v>2013</v>
      </c>
      <c r="C240">
        <v>41297</v>
      </c>
      <c r="D240" t="s">
        <v>317</v>
      </c>
      <c r="E240" t="s">
        <v>318</v>
      </c>
      <c r="F240">
        <v>16</v>
      </c>
      <c r="G240" s="131">
        <v>341004</v>
      </c>
      <c r="H240" s="131">
        <v>341004</v>
      </c>
      <c r="I240" s="131">
        <v>1</v>
      </c>
      <c r="J240" t="s">
        <v>2359</v>
      </c>
      <c r="K240" t="s">
        <v>2079</v>
      </c>
      <c r="L240" t="s">
        <v>2817</v>
      </c>
      <c r="M240" t="s">
        <v>57</v>
      </c>
      <c r="N240" t="s">
        <v>100</v>
      </c>
      <c r="O240" s="145">
        <v>28417</v>
      </c>
      <c r="P240" s="145">
        <v>28740</v>
      </c>
      <c r="Q240" s="145">
        <v>323</v>
      </c>
      <c r="R240">
        <v>0</v>
      </c>
      <c r="S240" s="155">
        <v>42</v>
      </c>
    </row>
    <row r="241" spans="2:19">
      <c r="B241">
        <v>2013</v>
      </c>
      <c r="C241">
        <v>41306</v>
      </c>
      <c r="D241" t="s">
        <v>371</v>
      </c>
      <c r="E241" t="s">
        <v>1170</v>
      </c>
      <c r="F241">
        <v>8</v>
      </c>
      <c r="G241" s="131">
        <v>184416</v>
      </c>
      <c r="H241" s="131">
        <v>184416</v>
      </c>
      <c r="I241" s="131">
        <v>1</v>
      </c>
      <c r="J241" t="s">
        <v>2708</v>
      </c>
      <c r="K241" t="s">
        <v>2082</v>
      </c>
      <c r="L241" t="s">
        <v>2851</v>
      </c>
      <c r="M241" t="s">
        <v>57</v>
      </c>
      <c r="N241" t="s">
        <v>100</v>
      </c>
      <c r="O241" s="145">
        <v>15368</v>
      </c>
      <c r="P241" s="145">
        <v>15519</v>
      </c>
      <c r="Q241" s="145">
        <v>151</v>
      </c>
      <c r="R241">
        <v>0</v>
      </c>
      <c r="S241" s="155">
        <v>48</v>
      </c>
    </row>
    <row r="242" spans="2:19">
      <c r="B242">
        <v>1998</v>
      </c>
      <c r="C242">
        <v>36054</v>
      </c>
      <c r="D242" t="s">
        <v>139</v>
      </c>
      <c r="E242" t="s">
        <v>2194</v>
      </c>
      <c r="F242">
        <v>3</v>
      </c>
      <c r="G242" s="131">
        <v>130596</v>
      </c>
      <c r="H242" s="131">
        <v>136860</v>
      </c>
      <c r="I242" s="131">
        <v>6</v>
      </c>
      <c r="J242" t="s">
        <v>143</v>
      </c>
      <c r="K242" t="s">
        <v>141</v>
      </c>
      <c r="L242" t="s">
        <v>2857</v>
      </c>
      <c r="M242" t="s">
        <v>57</v>
      </c>
      <c r="N242" t="s">
        <v>62</v>
      </c>
      <c r="O242" s="145">
        <v>11405</v>
      </c>
      <c r="P242" s="145">
        <v>11512</v>
      </c>
      <c r="Q242" s="145">
        <v>107</v>
      </c>
      <c r="R242">
        <v>0</v>
      </c>
      <c r="S242" s="155">
        <v>46</v>
      </c>
    </row>
    <row r="243" spans="2:19">
      <c r="B243">
        <v>2004</v>
      </c>
      <c r="C243">
        <v>38018</v>
      </c>
      <c r="D243" t="s">
        <v>428</v>
      </c>
      <c r="E243" t="s">
        <v>422</v>
      </c>
      <c r="F243">
        <v>3</v>
      </c>
      <c r="G243" s="131">
        <v>130596</v>
      </c>
      <c r="H243" s="131">
        <v>134316</v>
      </c>
      <c r="I243" s="131">
        <v>4</v>
      </c>
      <c r="J243" t="s">
        <v>431</v>
      </c>
      <c r="K243" t="s">
        <v>429</v>
      </c>
      <c r="L243" t="s">
        <v>2859</v>
      </c>
      <c r="M243" t="s">
        <v>57</v>
      </c>
      <c r="N243" t="s">
        <v>62</v>
      </c>
      <c r="O243" s="145">
        <v>11193</v>
      </c>
      <c r="P243" s="145">
        <v>11298</v>
      </c>
      <c r="Q243" s="145">
        <v>105</v>
      </c>
      <c r="R243">
        <v>0</v>
      </c>
      <c r="S243" s="155">
        <v>51</v>
      </c>
    </row>
    <row r="244" spans="2:19">
      <c r="B244">
        <v>2001</v>
      </c>
      <c r="C244">
        <v>37173</v>
      </c>
      <c r="D244" t="s">
        <v>433</v>
      </c>
      <c r="E244" t="s">
        <v>422</v>
      </c>
      <c r="F244">
        <v>3</v>
      </c>
      <c r="G244" s="131">
        <v>130596</v>
      </c>
      <c r="H244" s="131">
        <v>135576</v>
      </c>
      <c r="I244" s="131">
        <v>5</v>
      </c>
      <c r="J244" t="s">
        <v>436</v>
      </c>
      <c r="K244" t="s">
        <v>434</v>
      </c>
      <c r="L244" t="s">
        <v>2860</v>
      </c>
      <c r="M244" t="s">
        <v>57</v>
      </c>
      <c r="N244" t="s">
        <v>62</v>
      </c>
      <c r="O244" s="145">
        <v>11298</v>
      </c>
      <c r="P244" s="145">
        <v>11405</v>
      </c>
      <c r="Q244" s="145">
        <v>107</v>
      </c>
      <c r="R244">
        <v>0</v>
      </c>
      <c r="S244" s="155">
        <v>53</v>
      </c>
    </row>
    <row r="245" spans="2:19">
      <c r="B245">
        <v>2004</v>
      </c>
      <c r="C245">
        <v>38135</v>
      </c>
      <c r="D245" t="s">
        <v>477</v>
      </c>
      <c r="E245" t="s">
        <v>463</v>
      </c>
      <c r="F245">
        <v>26</v>
      </c>
      <c r="G245" s="131">
        <v>812280</v>
      </c>
      <c r="H245" s="131">
        <v>842688</v>
      </c>
      <c r="I245" s="131">
        <v>4</v>
      </c>
      <c r="J245" t="s">
        <v>480</v>
      </c>
      <c r="K245" t="s">
        <v>478</v>
      </c>
      <c r="L245" t="s">
        <v>2863</v>
      </c>
      <c r="M245" t="s">
        <v>167</v>
      </c>
      <c r="N245" t="s">
        <v>100</v>
      </c>
      <c r="O245" s="145">
        <v>70224</v>
      </c>
      <c r="P245" s="145">
        <v>71090</v>
      </c>
      <c r="Q245" s="145">
        <v>866</v>
      </c>
      <c r="R245">
        <v>0</v>
      </c>
      <c r="S245" s="155">
        <v>54</v>
      </c>
    </row>
    <row r="246" spans="2:19">
      <c r="B246">
        <v>2013</v>
      </c>
      <c r="C246">
        <v>41519</v>
      </c>
      <c r="D246" t="s">
        <v>2437</v>
      </c>
      <c r="E246" t="s">
        <v>157</v>
      </c>
      <c r="F246">
        <v>22</v>
      </c>
      <c r="G246" s="131">
        <v>569376</v>
      </c>
      <c r="H246" s="131">
        <v>569376</v>
      </c>
      <c r="I246" s="131">
        <v>1</v>
      </c>
      <c r="J246" t="s">
        <v>3219</v>
      </c>
      <c r="K246" t="s">
        <v>3220</v>
      </c>
      <c r="L246" t="s">
        <v>3221</v>
      </c>
      <c r="M246" t="s">
        <v>211</v>
      </c>
      <c r="N246" t="s">
        <v>100</v>
      </c>
      <c r="O246" s="145">
        <v>47448</v>
      </c>
      <c r="P246" s="145">
        <v>48032</v>
      </c>
      <c r="Q246" s="145">
        <v>584</v>
      </c>
      <c r="R246">
        <v>0</v>
      </c>
      <c r="S246" s="155">
        <v>59</v>
      </c>
    </row>
    <row r="247" spans="2:19">
      <c r="B247">
        <v>2013</v>
      </c>
      <c r="C247">
        <v>41571</v>
      </c>
      <c r="D247" t="s">
        <v>2867</v>
      </c>
      <c r="E247" t="s">
        <v>157</v>
      </c>
      <c r="F247">
        <v>24</v>
      </c>
      <c r="G247" s="131">
        <v>679320</v>
      </c>
      <c r="H247" s="131">
        <v>679320</v>
      </c>
      <c r="I247" s="131">
        <v>1</v>
      </c>
      <c r="J247" t="s">
        <v>603</v>
      </c>
      <c r="K247" t="s">
        <v>601</v>
      </c>
      <c r="L247" t="s">
        <v>2868</v>
      </c>
      <c r="M247" t="s">
        <v>408</v>
      </c>
      <c r="N247" t="s">
        <v>62</v>
      </c>
      <c r="O247" s="145">
        <v>56610</v>
      </c>
      <c r="P247" s="145">
        <v>57308</v>
      </c>
      <c r="Q247" s="145">
        <v>698</v>
      </c>
      <c r="R247" t="s">
        <v>2866</v>
      </c>
      <c r="S247" s="155">
        <v>64</v>
      </c>
    </row>
    <row r="248" spans="2:19">
      <c r="B248">
        <v>2001</v>
      </c>
      <c r="C248">
        <v>37027</v>
      </c>
      <c r="D248" t="s">
        <v>535</v>
      </c>
      <c r="E248" t="s">
        <v>165</v>
      </c>
      <c r="F248">
        <v>20</v>
      </c>
      <c r="G248" s="131">
        <v>477216</v>
      </c>
      <c r="H248" s="131">
        <v>501192</v>
      </c>
      <c r="I248" s="131">
        <v>5</v>
      </c>
      <c r="J248" t="s">
        <v>539</v>
      </c>
      <c r="K248" t="s">
        <v>538</v>
      </c>
      <c r="L248" t="s">
        <v>3222</v>
      </c>
      <c r="M248" t="s">
        <v>408</v>
      </c>
      <c r="N248" t="s">
        <v>62</v>
      </c>
      <c r="O248" s="145">
        <v>41766</v>
      </c>
      <c r="P248" s="145">
        <v>42281</v>
      </c>
      <c r="Q248" s="145">
        <v>515</v>
      </c>
      <c r="R248">
        <v>0</v>
      </c>
      <c r="S248" s="155">
        <v>65</v>
      </c>
    </row>
    <row r="249" spans="2:19">
      <c r="B249">
        <v>2001</v>
      </c>
      <c r="C249">
        <v>36951</v>
      </c>
      <c r="D249" t="s">
        <v>575</v>
      </c>
      <c r="E249" t="s">
        <v>165</v>
      </c>
      <c r="F249">
        <v>20</v>
      </c>
      <c r="G249" s="131">
        <v>477216</v>
      </c>
      <c r="H249" s="131">
        <v>501192</v>
      </c>
      <c r="I249" s="131">
        <v>5</v>
      </c>
      <c r="J249" t="s">
        <v>579</v>
      </c>
      <c r="K249" t="s">
        <v>577</v>
      </c>
      <c r="L249" t="s">
        <v>2940</v>
      </c>
      <c r="M249" t="s">
        <v>174</v>
      </c>
      <c r="N249" t="s">
        <v>100</v>
      </c>
      <c r="O249" s="145">
        <v>41766</v>
      </c>
      <c r="P249" s="145">
        <v>42281</v>
      </c>
      <c r="Q249" s="145">
        <v>515</v>
      </c>
      <c r="R249">
        <v>0</v>
      </c>
      <c r="S249" s="155">
        <v>80</v>
      </c>
    </row>
    <row r="250" spans="2:19">
      <c r="B250">
        <v>1995</v>
      </c>
      <c r="C250">
        <v>34963</v>
      </c>
      <c r="D250" t="s">
        <v>606</v>
      </c>
      <c r="E250" t="s">
        <v>165</v>
      </c>
      <c r="F250">
        <v>20</v>
      </c>
      <c r="G250" s="131">
        <v>477216</v>
      </c>
      <c r="H250" s="131">
        <v>513624</v>
      </c>
      <c r="I250" s="131">
        <v>7</v>
      </c>
      <c r="J250" t="s">
        <v>608</v>
      </c>
      <c r="K250" t="s">
        <v>423</v>
      </c>
      <c r="L250" t="s">
        <v>2899</v>
      </c>
      <c r="M250" t="s">
        <v>57</v>
      </c>
      <c r="N250" t="s">
        <v>100</v>
      </c>
      <c r="O250" s="145">
        <v>42802</v>
      </c>
      <c r="P250" s="145">
        <v>43330</v>
      </c>
      <c r="Q250" s="145">
        <v>528</v>
      </c>
      <c r="R250">
        <v>0</v>
      </c>
      <c r="S250" s="155">
        <v>88</v>
      </c>
    </row>
    <row r="251" spans="2:19">
      <c r="B251">
        <v>1995</v>
      </c>
      <c r="C251">
        <v>34948</v>
      </c>
      <c r="D251" t="s">
        <v>610</v>
      </c>
      <c r="E251" t="s">
        <v>165</v>
      </c>
      <c r="F251">
        <v>20</v>
      </c>
      <c r="G251" s="131">
        <v>477216</v>
      </c>
      <c r="H251" s="131">
        <v>513624</v>
      </c>
      <c r="I251" s="131">
        <v>7</v>
      </c>
      <c r="J251" t="s">
        <v>1407</v>
      </c>
      <c r="K251" t="s">
        <v>611</v>
      </c>
      <c r="L251" t="s">
        <v>2900</v>
      </c>
      <c r="M251" t="s">
        <v>408</v>
      </c>
      <c r="N251" t="s">
        <v>100</v>
      </c>
      <c r="O251" s="145">
        <v>42802</v>
      </c>
      <c r="P251" s="145">
        <v>43330</v>
      </c>
      <c r="Q251" s="145">
        <v>528</v>
      </c>
      <c r="R251">
        <v>0</v>
      </c>
      <c r="S251" s="155">
        <v>92</v>
      </c>
    </row>
    <row r="252" spans="2:19">
      <c r="B252">
        <v>2007</v>
      </c>
      <c r="C252">
        <v>39170</v>
      </c>
      <c r="D252" t="s">
        <v>627</v>
      </c>
      <c r="E252" t="s">
        <v>165</v>
      </c>
      <c r="F252">
        <v>20</v>
      </c>
      <c r="G252" s="131">
        <v>477216</v>
      </c>
      <c r="H252" s="131">
        <v>489060</v>
      </c>
      <c r="I252" s="131">
        <v>3</v>
      </c>
      <c r="J252" t="s">
        <v>631</v>
      </c>
      <c r="K252" t="s">
        <v>629</v>
      </c>
      <c r="L252" t="s">
        <v>2903</v>
      </c>
      <c r="M252" t="s">
        <v>408</v>
      </c>
      <c r="N252" t="s">
        <v>62</v>
      </c>
      <c r="O252" s="145">
        <v>40755</v>
      </c>
      <c r="P252" s="145">
        <v>41258</v>
      </c>
      <c r="Q252" s="145">
        <v>503</v>
      </c>
      <c r="R252">
        <v>0</v>
      </c>
      <c r="S252" s="155">
        <v>93</v>
      </c>
    </row>
    <row r="253" spans="2:19">
      <c r="B253">
        <v>2004</v>
      </c>
      <c r="C253">
        <v>38033</v>
      </c>
      <c r="D253" t="s">
        <v>650</v>
      </c>
      <c r="E253" t="s">
        <v>165</v>
      </c>
      <c r="F253">
        <v>20</v>
      </c>
      <c r="G253" s="131">
        <v>477216</v>
      </c>
      <c r="H253" s="131">
        <v>495096</v>
      </c>
      <c r="I253" s="131">
        <v>4</v>
      </c>
      <c r="J253" t="s">
        <v>654</v>
      </c>
      <c r="K253" t="s">
        <v>652</v>
      </c>
      <c r="L253" t="s">
        <v>2954</v>
      </c>
      <c r="M253" t="s">
        <v>181</v>
      </c>
      <c r="N253" t="s">
        <v>62</v>
      </c>
      <c r="O253" s="145">
        <v>41258</v>
      </c>
      <c r="P253" s="145">
        <v>41766</v>
      </c>
      <c r="Q253" s="145">
        <v>508</v>
      </c>
      <c r="R253">
        <v>0</v>
      </c>
      <c r="S253" s="155">
        <v>96</v>
      </c>
    </row>
    <row r="254" spans="2:19">
      <c r="B254">
        <v>2007</v>
      </c>
      <c r="C254">
        <v>39170</v>
      </c>
      <c r="D254" t="s">
        <v>656</v>
      </c>
      <c r="E254" t="s">
        <v>165</v>
      </c>
      <c r="F254">
        <v>20</v>
      </c>
      <c r="G254" s="131">
        <v>477216</v>
      </c>
      <c r="H254" s="131">
        <v>489060</v>
      </c>
      <c r="I254" s="131">
        <v>3</v>
      </c>
      <c r="J254" t="s">
        <v>659</v>
      </c>
      <c r="K254" t="s">
        <v>483</v>
      </c>
      <c r="L254" t="s">
        <v>2908</v>
      </c>
      <c r="M254" t="s">
        <v>408</v>
      </c>
      <c r="N254" t="s">
        <v>62</v>
      </c>
      <c r="O254" s="145">
        <v>40755</v>
      </c>
      <c r="P254" s="145">
        <v>41258</v>
      </c>
      <c r="Q254" s="145">
        <v>503</v>
      </c>
      <c r="R254">
        <v>0</v>
      </c>
      <c r="S254" s="155">
        <v>100</v>
      </c>
    </row>
    <row r="255" spans="2:19">
      <c r="B255">
        <v>2010</v>
      </c>
      <c r="C255">
        <v>40262</v>
      </c>
      <c r="D255" t="s">
        <v>661</v>
      </c>
      <c r="E255" t="s">
        <v>165</v>
      </c>
      <c r="F255">
        <v>20</v>
      </c>
      <c r="G255" s="131">
        <v>477216</v>
      </c>
      <c r="H255" s="131">
        <v>483108</v>
      </c>
      <c r="I255" s="131">
        <v>2</v>
      </c>
      <c r="J255" t="s">
        <v>665</v>
      </c>
      <c r="K255" t="s">
        <v>663</v>
      </c>
      <c r="L255" t="s">
        <v>2909</v>
      </c>
      <c r="M255" t="s">
        <v>408</v>
      </c>
      <c r="N255" t="s">
        <v>100</v>
      </c>
      <c r="O255" s="145">
        <v>40259</v>
      </c>
      <c r="P255" s="145">
        <v>40755</v>
      </c>
      <c r="Q255" s="145">
        <v>496</v>
      </c>
      <c r="R255">
        <v>0</v>
      </c>
      <c r="S255" s="155">
        <v>101</v>
      </c>
    </row>
    <row r="256" spans="2:19">
      <c r="B256">
        <v>1995</v>
      </c>
      <c r="C256">
        <v>34720</v>
      </c>
      <c r="D256" t="s">
        <v>685</v>
      </c>
      <c r="E256" t="s">
        <v>165</v>
      </c>
      <c r="F256">
        <v>20</v>
      </c>
      <c r="G256" s="131">
        <v>477216</v>
      </c>
      <c r="H256" s="131">
        <v>513624</v>
      </c>
      <c r="I256" s="131">
        <v>7</v>
      </c>
      <c r="J256" t="s">
        <v>687</v>
      </c>
      <c r="K256" t="s">
        <v>205</v>
      </c>
      <c r="L256" t="s">
        <v>2913</v>
      </c>
      <c r="M256" t="s">
        <v>408</v>
      </c>
      <c r="N256" t="s">
        <v>100</v>
      </c>
      <c r="O256" s="145">
        <v>42802</v>
      </c>
      <c r="P256" s="145">
        <v>43330</v>
      </c>
      <c r="Q256" s="145">
        <v>528</v>
      </c>
      <c r="R256">
        <v>0</v>
      </c>
      <c r="S256" s="155">
        <v>102</v>
      </c>
    </row>
    <row r="257" spans="1:19">
      <c r="B257">
        <v>1995</v>
      </c>
      <c r="C257">
        <v>34736</v>
      </c>
      <c r="D257" t="s">
        <v>694</v>
      </c>
      <c r="E257" t="s">
        <v>165</v>
      </c>
      <c r="F257">
        <v>20</v>
      </c>
      <c r="G257" s="131">
        <v>477216</v>
      </c>
      <c r="H257" s="131">
        <v>513624</v>
      </c>
      <c r="I257" s="131">
        <v>7</v>
      </c>
      <c r="J257" t="s">
        <v>697</v>
      </c>
      <c r="K257" t="s">
        <v>681</v>
      </c>
      <c r="L257" t="s">
        <v>2914</v>
      </c>
      <c r="M257" t="s">
        <v>408</v>
      </c>
      <c r="N257" t="s">
        <v>100</v>
      </c>
      <c r="O257" s="145">
        <v>42802</v>
      </c>
      <c r="P257" s="145">
        <v>43330</v>
      </c>
      <c r="Q257" s="145">
        <v>528</v>
      </c>
      <c r="R257">
        <v>0</v>
      </c>
      <c r="S257" s="155">
        <v>106</v>
      </c>
    </row>
    <row r="258" spans="1:19">
      <c r="A258">
        <v>2006</v>
      </c>
      <c r="B258">
        <v>1995</v>
      </c>
      <c r="C258">
        <v>34904</v>
      </c>
      <c r="D258" t="s">
        <v>726</v>
      </c>
      <c r="E258" t="s">
        <v>165</v>
      </c>
      <c r="F258">
        <v>20</v>
      </c>
      <c r="G258" s="131">
        <v>477216</v>
      </c>
      <c r="H258" s="131">
        <v>513624</v>
      </c>
      <c r="I258" s="131">
        <v>7</v>
      </c>
      <c r="J258" t="s">
        <v>730</v>
      </c>
      <c r="K258" t="s">
        <v>728</v>
      </c>
      <c r="L258" t="s">
        <v>2916</v>
      </c>
      <c r="M258" t="s">
        <v>167</v>
      </c>
      <c r="N258" t="s">
        <v>100</v>
      </c>
      <c r="O258" s="145">
        <v>42802</v>
      </c>
      <c r="P258" s="145">
        <v>43330</v>
      </c>
      <c r="Q258" s="145">
        <v>528</v>
      </c>
      <c r="R258">
        <v>0</v>
      </c>
      <c r="S258" s="155">
        <v>108</v>
      </c>
    </row>
    <row r="259" spans="1:19">
      <c r="B259">
        <v>2004</v>
      </c>
      <c r="C259">
        <v>38226</v>
      </c>
      <c r="D259" t="s">
        <v>732</v>
      </c>
      <c r="E259" t="s">
        <v>165</v>
      </c>
      <c r="F259">
        <v>20</v>
      </c>
      <c r="G259" s="131">
        <v>477216</v>
      </c>
      <c r="H259" s="131">
        <v>495096</v>
      </c>
      <c r="I259" s="131">
        <v>4</v>
      </c>
      <c r="J259" t="s">
        <v>735</v>
      </c>
      <c r="K259" t="s">
        <v>733</v>
      </c>
      <c r="L259" t="s">
        <v>2919</v>
      </c>
      <c r="M259" t="s">
        <v>167</v>
      </c>
      <c r="N259" t="s">
        <v>100</v>
      </c>
      <c r="O259" s="145">
        <v>41258</v>
      </c>
      <c r="P259" s="145">
        <v>41766</v>
      </c>
      <c r="Q259" s="145">
        <v>508</v>
      </c>
      <c r="R259">
        <v>0</v>
      </c>
      <c r="S259" s="155">
        <v>113</v>
      </c>
    </row>
    <row r="260" spans="1:19">
      <c r="B260">
        <v>1998</v>
      </c>
      <c r="C260">
        <v>36000</v>
      </c>
      <c r="D260" t="s">
        <v>737</v>
      </c>
      <c r="E260" t="s">
        <v>165</v>
      </c>
      <c r="F260">
        <v>20</v>
      </c>
      <c r="G260" s="131">
        <v>477216</v>
      </c>
      <c r="H260" s="131">
        <v>507372</v>
      </c>
      <c r="I260" s="131">
        <v>6</v>
      </c>
      <c r="J260" t="s">
        <v>741</v>
      </c>
      <c r="K260" t="s">
        <v>739</v>
      </c>
      <c r="L260" t="s">
        <v>2920</v>
      </c>
      <c r="M260" t="s">
        <v>167</v>
      </c>
      <c r="N260" t="s">
        <v>100</v>
      </c>
      <c r="O260" s="145">
        <v>42281</v>
      </c>
      <c r="P260" s="145">
        <v>42802</v>
      </c>
      <c r="Q260" s="145">
        <v>521</v>
      </c>
      <c r="R260">
        <v>0</v>
      </c>
      <c r="S260" s="155">
        <v>114</v>
      </c>
    </row>
    <row r="261" spans="1:19">
      <c r="B261">
        <v>2013</v>
      </c>
      <c r="C261">
        <v>41526</v>
      </c>
      <c r="D261" t="s">
        <v>754</v>
      </c>
      <c r="E261" t="s">
        <v>165</v>
      </c>
      <c r="F261">
        <v>20</v>
      </c>
      <c r="G261" s="131">
        <v>477216</v>
      </c>
      <c r="H261" s="131">
        <v>477216</v>
      </c>
      <c r="I261" s="131">
        <v>1</v>
      </c>
      <c r="J261" t="s">
        <v>99</v>
      </c>
      <c r="K261" t="s">
        <v>97</v>
      </c>
      <c r="L261" t="s">
        <v>2830</v>
      </c>
      <c r="M261" t="s">
        <v>57</v>
      </c>
      <c r="N261" t="s">
        <v>100</v>
      </c>
      <c r="O261" s="145">
        <v>39768</v>
      </c>
      <c r="P261" s="145">
        <v>40259</v>
      </c>
      <c r="Q261" s="145">
        <v>491</v>
      </c>
      <c r="R261">
        <v>0</v>
      </c>
      <c r="S261" s="155">
        <v>115</v>
      </c>
    </row>
    <row r="262" spans="1:19">
      <c r="B262">
        <v>2001</v>
      </c>
      <c r="C262">
        <v>37151</v>
      </c>
      <c r="D262" t="s">
        <v>772</v>
      </c>
      <c r="E262" t="s">
        <v>165</v>
      </c>
      <c r="F262">
        <v>20</v>
      </c>
      <c r="G262" s="131">
        <v>477216</v>
      </c>
      <c r="H262" s="131">
        <v>501192</v>
      </c>
      <c r="I262" s="131">
        <v>5</v>
      </c>
      <c r="J262" t="s">
        <v>776</v>
      </c>
      <c r="K262" t="s">
        <v>774</v>
      </c>
      <c r="L262" t="s">
        <v>2926</v>
      </c>
      <c r="M262" t="s">
        <v>167</v>
      </c>
      <c r="N262" t="s">
        <v>62</v>
      </c>
      <c r="O262" s="145">
        <v>41766</v>
      </c>
      <c r="P262" s="145">
        <v>42281</v>
      </c>
      <c r="Q262" s="145">
        <v>515</v>
      </c>
      <c r="R262">
        <v>0</v>
      </c>
      <c r="S262" s="155">
        <v>118</v>
      </c>
    </row>
    <row r="263" spans="1:19">
      <c r="B263">
        <v>1995</v>
      </c>
      <c r="C263">
        <v>35037</v>
      </c>
      <c r="D263" t="s">
        <v>790</v>
      </c>
      <c r="E263" t="s">
        <v>165</v>
      </c>
      <c r="F263">
        <v>20</v>
      </c>
      <c r="G263" s="131">
        <v>477216</v>
      </c>
      <c r="H263" s="131">
        <v>513624</v>
      </c>
      <c r="I263" s="131">
        <v>7</v>
      </c>
      <c r="J263" t="s">
        <v>794</v>
      </c>
      <c r="K263" t="s">
        <v>792</v>
      </c>
      <c r="L263" t="s">
        <v>2929</v>
      </c>
      <c r="M263" t="s">
        <v>268</v>
      </c>
      <c r="N263" t="s">
        <v>100</v>
      </c>
      <c r="O263" s="145">
        <v>42802</v>
      </c>
      <c r="P263" s="145">
        <v>43330</v>
      </c>
      <c r="Q263" s="145">
        <v>528</v>
      </c>
      <c r="R263">
        <v>0</v>
      </c>
      <c r="S263" s="155">
        <v>121</v>
      </c>
    </row>
    <row r="264" spans="1:19">
      <c r="B264">
        <v>1998</v>
      </c>
      <c r="C264">
        <v>36145</v>
      </c>
      <c r="D264" t="s">
        <v>844</v>
      </c>
      <c r="E264" t="s">
        <v>165</v>
      </c>
      <c r="F264">
        <v>20</v>
      </c>
      <c r="G264" s="131">
        <v>477216</v>
      </c>
      <c r="H264" s="131">
        <v>507372</v>
      </c>
      <c r="I264" s="131">
        <v>6</v>
      </c>
      <c r="J264" t="s">
        <v>848</v>
      </c>
      <c r="K264" t="s">
        <v>846</v>
      </c>
      <c r="L264" t="s">
        <v>3223</v>
      </c>
      <c r="M264" t="s">
        <v>211</v>
      </c>
      <c r="N264" t="s">
        <v>100</v>
      </c>
      <c r="O264" s="145">
        <v>42281</v>
      </c>
      <c r="P264" s="145">
        <v>42802</v>
      </c>
      <c r="Q264" s="145">
        <v>521</v>
      </c>
      <c r="R264">
        <v>0</v>
      </c>
      <c r="S264" s="155">
        <v>124</v>
      </c>
    </row>
    <row r="265" spans="1:19">
      <c r="B265">
        <v>2010</v>
      </c>
      <c r="C265">
        <v>40262</v>
      </c>
      <c r="D265" t="s">
        <v>861</v>
      </c>
      <c r="E265" t="s">
        <v>165</v>
      </c>
      <c r="F265">
        <v>20</v>
      </c>
      <c r="G265" s="131">
        <v>477216</v>
      </c>
      <c r="H265" s="131">
        <v>483108</v>
      </c>
      <c r="I265" s="131">
        <v>2</v>
      </c>
      <c r="J265" t="s">
        <v>866</v>
      </c>
      <c r="K265" t="s">
        <v>863</v>
      </c>
      <c r="L265" t="s">
        <v>2948</v>
      </c>
      <c r="M265" t="s">
        <v>211</v>
      </c>
      <c r="N265" t="s">
        <v>100</v>
      </c>
      <c r="O265" s="145">
        <v>40259</v>
      </c>
      <c r="P265" s="145">
        <v>40755</v>
      </c>
      <c r="Q265" s="145">
        <v>496</v>
      </c>
      <c r="R265">
        <v>0</v>
      </c>
      <c r="S265" s="155">
        <v>132</v>
      </c>
    </row>
    <row r="266" spans="1:19">
      <c r="B266">
        <v>2007</v>
      </c>
      <c r="C266">
        <v>39170</v>
      </c>
      <c r="D266" t="s">
        <v>900</v>
      </c>
      <c r="E266" t="s">
        <v>165</v>
      </c>
      <c r="F266">
        <v>20</v>
      </c>
      <c r="G266" s="131">
        <v>477216</v>
      </c>
      <c r="H266" s="131">
        <v>489060</v>
      </c>
      <c r="I266" s="131">
        <v>3</v>
      </c>
      <c r="J266" t="s">
        <v>902</v>
      </c>
      <c r="K266" t="s">
        <v>681</v>
      </c>
      <c r="L266" t="s">
        <v>2944</v>
      </c>
      <c r="M266" t="s">
        <v>181</v>
      </c>
      <c r="N266" t="s">
        <v>62</v>
      </c>
      <c r="O266" s="145">
        <v>40755</v>
      </c>
      <c r="P266" s="145">
        <v>41258</v>
      </c>
      <c r="Q266" s="145">
        <v>503</v>
      </c>
      <c r="R266">
        <v>0</v>
      </c>
      <c r="S266" s="155">
        <v>135</v>
      </c>
    </row>
    <row r="267" spans="1:19">
      <c r="A267">
        <v>1995</v>
      </c>
      <c r="B267">
        <v>2013</v>
      </c>
      <c r="C267">
        <v>41487</v>
      </c>
      <c r="D267" t="s">
        <v>927</v>
      </c>
      <c r="E267" t="s">
        <v>165</v>
      </c>
      <c r="F267">
        <v>20</v>
      </c>
      <c r="G267" s="131">
        <v>477216</v>
      </c>
      <c r="H267" s="131">
        <v>477216</v>
      </c>
      <c r="I267" s="131">
        <v>1</v>
      </c>
      <c r="J267" t="s">
        <v>403</v>
      </c>
      <c r="K267" t="s">
        <v>401</v>
      </c>
      <c r="L267" t="s">
        <v>2915</v>
      </c>
      <c r="M267" t="s">
        <v>408</v>
      </c>
      <c r="N267" t="s">
        <v>62</v>
      </c>
      <c r="O267" s="145">
        <v>39768</v>
      </c>
      <c r="P267" s="145">
        <v>40259</v>
      </c>
      <c r="Q267" s="145">
        <v>491</v>
      </c>
      <c r="R267">
        <v>0</v>
      </c>
      <c r="S267" s="155">
        <v>141</v>
      </c>
    </row>
    <row r="268" spans="1:19">
      <c r="A268">
        <v>2003</v>
      </c>
      <c r="B268">
        <v>2007</v>
      </c>
      <c r="C268">
        <v>39170</v>
      </c>
      <c r="D268" t="s">
        <v>945</v>
      </c>
      <c r="E268" t="s">
        <v>165</v>
      </c>
      <c r="F268">
        <v>20</v>
      </c>
      <c r="G268" s="131">
        <v>477216</v>
      </c>
      <c r="H268" s="131">
        <v>489060</v>
      </c>
      <c r="I268" s="131">
        <v>3</v>
      </c>
      <c r="J268" t="s">
        <v>949</v>
      </c>
      <c r="K268" t="s">
        <v>947</v>
      </c>
      <c r="L268" t="s">
        <v>2951</v>
      </c>
      <c r="M268" t="s">
        <v>211</v>
      </c>
      <c r="N268" t="s">
        <v>100</v>
      </c>
      <c r="O268" s="145">
        <v>40755</v>
      </c>
      <c r="P268" s="145">
        <v>41258</v>
      </c>
      <c r="Q268" s="145">
        <v>503</v>
      </c>
      <c r="R268">
        <v>0</v>
      </c>
      <c r="S268" s="155">
        <v>146</v>
      </c>
    </row>
    <row r="269" spans="1:19">
      <c r="B269">
        <v>2007</v>
      </c>
      <c r="C269">
        <v>39170</v>
      </c>
      <c r="D269" t="s">
        <v>967</v>
      </c>
      <c r="E269" t="s">
        <v>165</v>
      </c>
      <c r="F269">
        <v>20</v>
      </c>
      <c r="G269" s="131">
        <v>477216</v>
      </c>
      <c r="H269" s="131">
        <v>489060</v>
      </c>
      <c r="I269" s="131">
        <v>3</v>
      </c>
      <c r="J269" t="s">
        <v>970</v>
      </c>
      <c r="K269" t="s">
        <v>968</v>
      </c>
      <c r="L269" t="s">
        <v>2955</v>
      </c>
      <c r="M269" t="s">
        <v>174</v>
      </c>
      <c r="N269" t="s">
        <v>62</v>
      </c>
      <c r="O269" s="145">
        <v>40755</v>
      </c>
      <c r="P269" s="145">
        <v>41258</v>
      </c>
      <c r="Q269" s="145">
        <v>503</v>
      </c>
      <c r="R269">
        <v>0</v>
      </c>
      <c r="S269" s="155">
        <v>149</v>
      </c>
    </row>
    <row r="270" spans="1:19">
      <c r="B270">
        <v>2001</v>
      </c>
      <c r="C270">
        <v>37235</v>
      </c>
      <c r="D270" t="s">
        <v>994</v>
      </c>
      <c r="E270" t="s">
        <v>165</v>
      </c>
      <c r="F270">
        <v>20</v>
      </c>
      <c r="G270" s="131">
        <v>477216</v>
      </c>
      <c r="H270" s="131">
        <v>501192</v>
      </c>
      <c r="I270" s="131">
        <v>5</v>
      </c>
      <c r="J270" t="s">
        <v>998</v>
      </c>
      <c r="K270" t="s">
        <v>996</v>
      </c>
      <c r="L270" t="s">
        <v>2939</v>
      </c>
      <c r="M270" t="s">
        <v>174</v>
      </c>
      <c r="N270" t="s">
        <v>100</v>
      </c>
      <c r="O270" s="145">
        <v>41766</v>
      </c>
      <c r="P270" s="145">
        <v>42281</v>
      </c>
      <c r="Q270" s="145">
        <v>515</v>
      </c>
      <c r="R270">
        <v>0</v>
      </c>
      <c r="S270" s="155">
        <v>153</v>
      </c>
    </row>
    <row r="271" spans="1:19">
      <c r="B271">
        <v>2013</v>
      </c>
      <c r="C271">
        <v>41487</v>
      </c>
      <c r="D271" t="s">
        <v>1000</v>
      </c>
      <c r="E271" t="s">
        <v>165</v>
      </c>
      <c r="F271">
        <v>20</v>
      </c>
      <c r="G271" s="131">
        <v>477216</v>
      </c>
      <c r="H271" s="131">
        <v>477216</v>
      </c>
      <c r="I271" s="131">
        <v>1</v>
      </c>
      <c r="J271" t="s">
        <v>309</v>
      </c>
      <c r="K271" t="s">
        <v>307</v>
      </c>
      <c r="L271" t="s">
        <v>2961</v>
      </c>
      <c r="M271" t="s">
        <v>57</v>
      </c>
      <c r="N271" t="s">
        <v>100</v>
      </c>
      <c r="O271" s="145">
        <v>39768</v>
      </c>
      <c r="P271" s="145">
        <v>40259</v>
      </c>
      <c r="Q271" s="145">
        <v>491</v>
      </c>
      <c r="R271" t="s">
        <v>1207</v>
      </c>
      <c r="S271" s="155">
        <v>158</v>
      </c>
    </row>
    <row r="272" spans="1:19">
      <c r="B272">
        <v>2013</v>
      </c>
      <c r="C272">
        <v>41487</v>
      </c>
      <c r="D272" t="s">
        <v>1006</v>
      </c>
      <c r="E272" t="s">
        <v>165</v>
      </c>
      <c r="F272">
        <v>20</v>
      </c>
      <c r="G272" s="131">
        <v>477216</v>
      </c>
      <c r="H272" s="131">
        <v>477216</v>
      </c>
      <c r="I272" s="131">
        <v>1</v>
      </c>
      <c r="J272" t="s">
        <v>1145</v>
      </c>
      <c r="K272" t="s">
        <v>1143</v>
      </c>
      <c r="L272" t="s">
        <v>2962</v>
      </c>
      <c r="M272" t="s">
        <v>167</v>
      </c>
      <c r="N272" t="s">
        <v>100</v>
      </c>
      <c r="O272" s="145">
        <v>39768</v>
      </c>
      <c r="P272" s="145">
        <v>40259</v>
      </c>
      <c r="Q272" s="145">
        <v>491</v>
      </c>
      <c r="R272">
        <v>0</v>
      </c>
      <c r="S272" s="155">
        <v>159</v>
      </c>
    </row>
    <row r="273" spans="2:19">
      <c r="B273">
        <v>1998</v>
      </c>
      <c r="C273">
        <v>36145</v>
      </c>
      <c r="D273" t="s">
        <v>1017</v>
      </c>
      <c r="E273" t="s">
        <v>165</v>
      </c>
      <c r="F273">
        <v>20</v>
      </c>
      <c r="G273" s="131">
        <v>477216</v>
      </c>
      <c r="H273" s="131">
        <v>507372</v>
      </c>
      <c r="I273" s="131">
        <v>6</v>
      </c>
      <c r="J273" t="s">
        <v>1019</v>
      </c>
      <c r="K273" t="s">
        <v>1018</v>
      </c>
      <c r="L273" t="s">
        <v>3224</v>
      </c>
      <c r="M273" t="s">
        <v>268</v>
      </c>
      <c r="N273" t="s">
        <v>62</v>
      </c>
      <c r="O273" s="145">
        <v>42281</v>
      </c>
      <c r="P273" s="145">
        <v>42802</v>
      </c>
      <c r="Q273" s="145">
        <v>521</v>
      </c>
      <c r="R273">
        <v>0</v>
      </c>
      <c r="S273" s="155">
        <v>160</v>
      </c>
    </row>
    <row r="274" spans="2:19">
      <c r="B274">
        <v>2004</v>
      </c>
      <c r="C274">
        <v>38018</v>
      </c>
      <c r="D274" t="s">
        <v>1021</v>
      </c>
      <c r="E274" t="s">
        <v>165</v>
      </c>
      <c r="F274">
        <v>20</v>
      </c>
      <c r="G274" s="131">
        <v>477216</v>
      </c>
      <c r="H274" s="131">
        <v>495096</v>
      </c>
      <c r="I274" s="131">
        <v>4</v>
      </c>
      <c r="J274" t="s">
        <v>1024</v>
      </c>
      <c r="K274" t="s">
        <v>1022</v>
      </c>
      <c r="L274" t="s">
        <v>2965</v>
      </c>
      <c r="M274" t="s">
        <v>268</v>
      </c>
      <c r="N274" t="s">
        <v>100</v>
      </c>
      <c r="O274" s="145">
        <v>41258</v>
      </c>
      <c r="P274" s="145">
        <v>41766</v>
      </c>
      <c r="Q274" s="145">
        <v>508</v>
      </c>
      <c r="R274">
        <v>0</v>
      </c>
      <c r="S274" s="155">
        <v>162</v>
      </c>
    </row>
    <row r="275" spans="2:19">
      <c r="B275">
        <v>1998</v>
      </c>
      <c r="C275">
        <v>36000</v>
      </c>
      <c r="D275" t="s">
        <v>1026</v>
      </c>
      <c r="E275" t="s">
        <v>165</v>
      </c>
      <c r="F275">
        <v>20</v>
      </c>
      <c r="G275" s="131">
        <v>477216</v>
      </c>
      <c r="H275" s="131">
        <v>507372</v>
      </c>
      <c r="I275" s="131">
        <v>6</v>
      </c>
      <c r="J275" t="s">
        <v>1030</v>
      </c>
      <c r="K275" t="s">
        <v>1028</v>
      </c>
      <c r="L275" t="s">
        <v>2966</v>
      </c>
      <c r="M275" t="s">
        <v>174</v>
      </c>
      <c r="N275" t="s">
        <v>62</v>
      </c>
      <c r="O275" s="145">
        <v>42281</v>
      </c>
      <c r="P275" s="145">
        <v>42802</v>
      </c>
      <c r="Q275" s="145">
        <v>521</v>
      </c>
      <c r="R275">
        <v>0</v>
      </c>
      <c r="S275" s="155">
        <v>163</v>
      </c>
    </row>
    <row r="276" spans="2:19">
      <c r="B276">
        <v>1995</v>
      </c>
      <c r="C276">
        <v>34946</v>
      </c>
      <c r="D276" t="s">
        <v>1033</v>
      </c>
      <c r="E276" t="s">
        <v>165</v>
      </c>
      <c r="F276">
        <v>20</v>
      </c>
      <c r="G276" s="131">
        <v>477216</v>
      </c>
      <c r="H276" s="131">
        <v>513624</v>
      </c>
      <c r="I276" s="131">
        <v>7</v>
      </c>
      <c r="J276" t="s">
        <v>1038</v>
      </c>
      <c r="K276" t="s">
        <v>1035</v>
      </c>
      <c r="L276" t="s">
        <v>2967</v>
      </c>
      <c r="M276" t="s">
        <v>174</v>
      </c>
      <c r="N276" t="s">
        <v>62</v>
      </c>
      <c r="O276" s="145">
        <v>42802</v>
      </c>
      <c r="P276" s="145">
        <v>43330</v>
      </c>
      <c r="Q276" s="145">
        <v>528</v>
      </c>
      <c r="R276">
        <v>0</v>
      </c>
      <c r="S276" s="155">
        <v>164</v>
      </c>
    </row>
    <row r="277" spans="2:19">
      <c r="B277">
        <v>2010</v>
      </c>
      <c r="C277">
        <v>40262</v>
      </c>
      <c r="D277" t="s">
        <v>1040</v>
      </c>
      <c r="E277" t="s">
        <v>165</v>
      </c>
      <c r="F277">
        <v>20</v>
      </c>
      <c r="G277" s="131">
        <v>477216</v>
      </c>
      <c r="H277" s="131">
        <v>483108</v>
      </c>
      <c r="I277" s="131">
        <v>2</v>
      </c>
      <c r="J277" t="s">
        <v>1043</v>
      </c>
      <c r="K277" t="s">
        <v>1041</v>
      </c>
      <c r="L277" t="s">
        <v>2968</v>
      </c>
      <c r="M277" t="s">
        <v>174</v>
      </c>
      <c r="N277" t="s">
        <v>100</v>
      </c>
      <c r="O277" s="145">
        <v>40259</v>
      </c>
      <c r="P277" s="145">
        <v>40755</v>
      </c>
      <c r="Q277" s="145">
        <v>496</v>
      </c>
      <c r="R277">
        <v>0</v>
      </c>
      <c r="S277" s="155">
        <v>165</v>
      </c>
    </row>
    <row r="278" spans="2:19">
      <c r="B278">
        <v>2013</v>
      </c>
      <c r="C278">
        <v>41323</v>
      </c>
      <c r="D278" t="s">
        <v>1068</v>
      </c>
      <c r="E278" t="s">
        <v>1066</v>
      </c>
      <c r="F278">
        <v>15</v>
      </c>
      <c r="G278" s="131">
        <v>314304</v>
      </c>
      <c r="H278" s="131">
        <v>314304</v>
      </c>
      <c r="I278" s="131">
        <v>1</v>
      </c>
      <c r="J278" t="s">
        <v>2344</v>
      </c>
      <c r="K278" t="s">
        <v>2034</v>
      </c>
      <c r="L278" t="s">
        <v>2973</v>
      </c>
      <c r="M278" t="s">
        <v>189</v>
      </c>
      <c r="N278" t="s">
        <v>62</v>
      </c>
      <c r="O278" s="145">
        <v>26192</v>
      </c>
      <c r="P278" s="145">
        <v>26489</v>
      </c>
      <c r="Q278" s="145">
        <v>297</v>
      </c>
      <c r="R278">
        <v>0</v>
      </c>
      <c r="S278" s="155">
        <v>166</v>
      </c>
    </row>
    <row r="279" spans="2:19">
      <c r="B279">
        <v>2013</v>
      </c>
      <c r="C279">
        <v>41372</v>
      </c>
      <c r="D279" t="s">
        <v>1129</v>
      </c>
      <c r="E279" t="s">
        <v>1074</v>
      </c>
      <c r="F279">
        <v>13</v>
      </c>
      <c r="G279" s="131">
        <v>267936</v>
      </c>
      <c r="H279" s="131">
        <v>267936</v>
      </c>
      <c r="I279" s="131">
        <v>1</v>
      </c>
      <c r="J279" t="s">
        <v>2313</v>
      </c>
      <c r="K279" t="s">
        <v>2085</v>
      </c>
      <c r="L279" t="s">
        <v>2826</v>
      </c>
      <c r="M279" t="s">
        <v>174</v>
      </c>
      <c r="N279" t="s">
        <v>62</v>
      </c>
      <c r="O279" s="145">
        <v>22328</v>
      </c>
      <c r="P279" s="145">
        <v>22564</v>
      </c>
      <c r="Q279" s="145">
        <v>236</v>
      </c>
      <c r="R279">
        <v>0</v>
      </c>
      <c r="S279" s="155">
        <v>172</v>
      </c>
    </row>
    <row r="280" spans="2:19">
      <c r="B280">
        <v>1998</v>
      </c>
      <c r="C280">
        <v>36084</v>
      </c>
      <c r="D280" t="s">
        <v>1194</v>
      </c>
      <c r="E280" t="s">
        <v>1170</v>
      </c>
      <c r="F280">
        <v>8</v>
      </c>
      <c r="G280" s="131">
        <v>184416</v>
      </c>
      <c r="H280" s="131">
        <v>193596</v>
      </c>
      <c r="I280" s="131">
        <v>6</v>
      </c>
      <c r="J280" t="s">
        <v>1197</v>
      </c>
      <c r="K280" t="s">
        <v>1195</v>
      </c>
      <c r="L280" t="s">
        <v>3000</v>
      </c>
      <c r="M280" t="s">
        <v>268</v>
      </c>
      <c r="N280" t="s">
        <v>100</v>
      </c>
      <c r="O280" s="145">
        <v>16133</v>
      </c>
      <c r="P280" s="145">
        <v>16291</v>
      </c>
      <c r="Q280" s="145">
        <v>158</v>
      </c>
      <c r="R280">
        <v>0</v>
      </c>
      <c r="S280" s="155">
        <v>187</v>
      </c>
    </row>
    <row r="281" spans="2:19">
      <c r="B281">
        <v>2013</v>
      </c>
      <c r="C281">
        <v>41519</v>
      </c>
      <c r="D281" t="s">
        <v>1277</v>
      </c>
      <c r="E281" t="s">
        <v>455</v>
      </c>
      <c r="F281">
        <v>4</v>
      </c>
      <c r="G281" s="131">
        <v>139896</v>
      </c>
      <c r="H281" s="131">
        <v>139896</v>
      </c>
      <c r="I281" s="131">
        <v>1</v>
      </c>
      <c r="J281" t="s">
        <v>3016</v>
      </c>
      <c r="K281" t="s">
        <v>3018</v>
      </c>
      <c r="L281" t="s">
        <v>3225</v>
      </c>
      <c r="M281" t="s">
        <v>57</v>
      </c>
      <c r="N281" t="s">
        <v>100</v>
      </c>
      <c r="O281" s="145">
        <v>11658</v>
      </c>
      <c r="P281" s="145">
        <v>11767</v>
      </c>
      <c r="Q281" s="145">
        <v>109</v>
      </c>
      <c r="R281">
        <v>0</v>
      </c>
      <c r="S281" s="155">
        <v>199</v>
      </c>
    </row>
    <row r="282" spans="2:19">
      <c r="B282">
        <v>1998</v>
      </c>
      <c r="C282">
        <v>36115</v>
      </c>
      <c r="D282" t="s">
        <v>1278</v>
      </c>
      <c r="E282" t="s">
        <v>455</v>
      </c>
      <c r="F282">
        <v>4</v>
      </c>
      <c r="G282" s="131">
        <v>139896</v>
      </c>
      <c r="H282" s="131">
        <v>146604</v>
      </c>
      <c r="I282" s="131">
        <v>6</v>
      </c>
      <c r="J282" t="s">
        <v>1281</v>
      </c>
      <c r="K282" t="s">
        <v>1279</v>
      </c>
      <c r="L282" t="s">
        <v>3019</v>
      </c>
      <c r="M282" t="s">
        <v>167</v>
      </c>
      <c r="N282" t="s">
        <v>100</v>
      </c>
      <c r="O282" s="145">
        <v>12217</v>
      </c>
      <c r="P282" s="145">
        <v>12333</v>
      </c>
      <c r="Q282" s="145">
        <v>116</v>
      </c>
      <c r="R282">
        <v>0</v>
      </c>
      <c r="S282" s="155">
        <v>214</v>
      </c>
    </row>
    <row r="283" spans="2:19">
      <c r="B283">
        <v>2001</v>
      </c>
      <c r="C283">
        <v>37165</v>
      </c>
      <c r="D283" t="s">
        <v>1353</v>
      </c>
      <c r="E283" t="s">
        <v>2196</v>
      </c>
      <c r="F283">
        <v>1</v>
      </c>
      <c r="G283" s="131">
        <v>113736</v>
      </c>
      <c r="H283" s="131">
        <v>118152</v>
      </c>
      <c r="I283" s="131">
        <v>5</v>
      </c>
      <c r="J283" t="s">
        <v>1356</v>
      </c>
      <c r="K283" t="s">
        <v>307</v>
      </c>
      <c r="L283" t="s">
        <v>3226</v>
      </c>
      <c r="M283" t="s">
        <v>167</v>
      </c>
      <c r="N283" t="s">
        <v>62</v>
      </c>
      <c r="O283" s="145">
        <v>9846</v>
      </c>
      <c r="P283" s="145">
        <v>9949</v>
      </c>
      <c r="Q283" s="145">
        <v>103</v>
      </c>
      <c r="R283">
        <v>0</v>
      </c>
      <c r="S283" s="155">
        <v>215</v>
      </c>
    </row>
    <row r="284" spans="2:19">
      <c r="G284" s="131"/>
      <c r="H284" s="131"/>
      <c r="I284" s="131"/>
      <c r="O284" s="145"/>
      <c r="P284" s="145"/>
      <c r="Q284" s="145"/>
      <c r="S284" s="155"/>
    </row>
    <row r="285" spans="2:19">
      <c r="S285" s="155">
        <f t="shared" ref="S285:S297" ca="1" si="8">DATE(YEAR(NOW())+1,MONTH(C285),DAY(C285))</f>
        <v>46387</v>
      </c>
    </row>
    <row r="286" spans="2:19">
      <c r="S286" s="155">
        <f t="shared" ca="1" si="8"/>
        <v>46387</v>
      </c>
    </row>
    <row r="287" spans="2:19">
      <c r="S287" s="155">
        <f t="shared" ca="1" si="8"/>
        <v>46387</v>
      </c>
    </row>
    <row r="288" spans="2:19">
      <c r="S288" s="155">
        <f t="shared" ca="1" si="8"/>
        <v>46387</v>
      </c>
    </row>
    <row r="289" spans="19:19">
      <c r="S289" s="155">
        <f t="shared" ca="1" si="8"/>
        <v>46387</v>
      </c>
    </row>
    <row r="290" spans="19:19">
      <c r="S290" s="155">
        <f t="shared" ca="1" si="8"/>
        <v>46387</v>
      </c>
    </row>
    <row r="291" spans="19:19">
      <c r="S291" s="155">
        <f t="shared" ca="1" si="8"/>
        <v>46387</v>
      </c>
    </row>
    <row r="292" spans="19:19">
      <c r="S292" s="155">
        <f t="shared" ca="1" si="8"/>
        <v>46387</v>
      </c>
    </row>
    <row r="293" spans="19:19">
      <c r="S293" s="155">
        <f t="shared" ca="1" si="8"/>
        <v>46387</v>
      </c>
    </row>
    <row r="294" spans="19:19">
      <c r="S294" s="155">
        <f t="shared" ca="1" si="8"/>
        <v>46387</v>
      </c>
    </row>
    <row r="295" spans="19:19">
      <c r="S295" s="155">
        <f t="shared" ca="1" si="8"/>
        <v>46387</v>
      </c>
    </row>
    <row r="296" spans="19:19">
      <c r="S296" s="155">
        <f t="shared" ca="1" si="8"/>
        <v>46387</v>
      </c>
    </row>
    <row r="297" spans="19:19">
      <c r="S297" s="155">
        <f t="shared" ca="1" si="8"/>
        <v>46387</v>
      </c>
    </row>
    <row r="298" spans="19:19">
      <c r="S298" s="155">
        <f t="shared" ref="S298:S310" ca="1" si="9">DATE(YEAR(NOW())+1,MONTH(C298),DAY(C298))</f>
        <v>46387</v>
      </c>
    </row>
    <row r="299" spans="19:19">
      <c r="S299" s="155">
        <f t="shared" ca="1" si="9"/>
        <v>46387</v>
      </c>
    </row>
    <row r="300" spans="19:19">
      <c r="S300" s="155">
        <f t="shared" ca="1" si="9"/>
        <v>46387</v>
      </c>
    </row>
    <row r="301" spans="19:19">
      <c r="S301" s="155">
        <f t="shared" ca="1" si="9"/>
        <v>46387</v>
      </c>
    </row>
    <row r="302" spans="19:19">
      <c r="S302" s="155">
        <f t="shared" ca="1" si="9"/>
        <v>46387</v>
      </c>
    </row>
    <row r="303" spans="19:19">
      <c r="S303" s="155">
        <f t="shared" ca="1" si="9"/>
        <v>46387</v>
      </c>
    </row>
    <row r="304" spans="19:19">
      <c r="S304" s="155">
        <f t="shared" ca="1" si="9"/>
        <v>46387</v>
      </c>
    </row>
    <row r="305" spans="19:19">
      <c r="S305" s="155">
        <f t="shared" ca="1" si="9"/>
        <v>46387</v>
      </c>
    </row>
    <row r="306" spans="19:19">
      <c r="S306" s="155">
        <f t="shared" ca="1" si="9"/>
        <v>46387</v>
      </c>
    </row>
    <row r="307" spans="19:19">
      <c r="S307" s="155">
        <f t="shared" ca="1" si="9"/>
        <v>46387</v>
      </c>
    </row>
    <row r="308" spans="19:19">
      <c r="S308" s="155">
        <f t="shared" ca="1" si="9"/>
        <v>46387</v>
      </c>
    </row>
    <row r="309" spans="19:19">
      <c r="S309" s="155">
        <f t="shared" ca="1" si="9"/>
        <v>46387</v>
      </c>
    </row>
    <row r="310" spans="19:19">
      <c r="S310" s="155">
        <f t="shared" ca="1" si="9"/>
        <v>46387</v>
      </c>
    </row>
  </sheetData>
  <autoFilter ref="A2:Y231" xr:uid="{00000000-0009-0000-0000-00000F000000}">
    <filterColumn colId="1">
      <filters>
        <filter val="1996"/>
        <filter val="1999"/>
        <filter val="2003"/>
        <filter val="2006"/>
        <filter val="2012"/>
        <filter val="2015"/>
      </filters>
    </filterColumn>
  </autoFilter>
  <sortState xmlns:xlrd2="http://schemas.microsoft.com/office/spreadsheetml/2017/richdata2" ref="B233:S270">
    <sortCondition ref="M233:M270"/>
  </sortState>
  <conditionalFormatting sqref="I2:I232">
    <cfRule type="cellIs" dxfId="30" priority="1" operator="greaterThan">
      <formula>7</formula>
    </cfRule>
  </conditionalFormatting>
  <dataValidations count="1">
    <dataValidation allowBlank="1" showInputMessage="1" showErrorMessage="1" sqref="C1:XFD1048576" xr:uid="{00000000-0002-0000-0F00-000000000000}"/>
  </dataValidations>
  <pageMargins left="0.69930555555555596" right="0.69930555555555596"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filterMode="1"/>
  <dimension ref="A1:Y294"/>
  <sheetViews>
    <sheetView zoomScale="112" zoomScaleNormal="112" workbookViewId="0">
      <selection activeCell="D59" sqref="D59"/>
    </sheetView>
  </sheetViews>
  <sheetFormatPr defaultColWidth="9" defaultRowHeight="14.4"/>
  <cols>
    <col min="3" max="3" width="13.109375" customWidth="1"/>
    <col min="4" max="4" width="27.109375" customWidth="1"/>
    <col min="5" max="5" width="36.88671875" customWidth="1"/>
    <col min="6" max="6" width="3.88671875" customWidth="1"/>
    <col min="7" max="8" width="13.109375" customWidth="1"/>
    <col min="9" max="9" width="6.109375" customWidth="1"/>
    <col min="10" max="13" width="13.109375" customWidth="1"/>
    <col min="14" max="14" width="4.33203125" customWidth="1"/>
    <col min="15" max="15" width="11.109375" customWidth="1"/>
    <col min="16" max="16" width="11.44140625" customWidth="1"/>
    <col min="17" max="17" width="11.109375" customWidth="1"/>
    <col min="18" max="18" width="13.109375" customWidth="1"/>
    <col min="19" max="19" width="15.33203125" customWidth="1"/>
  </cols>
  <sheetData>
    <row r="1" spans="1:25" ht="18.75" customHeight="1">
      <c r="A1" t="s">
        <v>2765</v>
      </c>
      <c r="B1" t="s">
        <v>2765</v>
      </c>
      <c r="C1" s="138" t="s">
        <v>18</v>
      </c>
      <c r="D1" s="139" t="s">
        <v>2204</v>
      </c>
      <c r="E1" s="140" t="s">
        <v>7</v>
      </c>
      <c r="F1" s="141" t="s">
        <v>8</v>
      </c>
      <c r="G1" s="142" t="s">
        <v>2810</v>
      </c>
      <c r="H1" s="142" t="s">
        <v>2811</v>
      </c>
      <c r="I1" s="143" t="s">
        <v>10</v>
      </c>
      <c r="J1" s="143" t="s">
        <v>2201</v>
      </c>
      <c r="K1" s="144" t="s">
        <v>2806</v>
      </c>
      <c r="L1" s="144" t="s">
        <v>2805</v>
      </c>
      <c r="M1" s="139" t="s">
        <v>2216</v>
      </c>
      <c r="N1" s="143" t="s">
        <v>2202</v>
      </c>
      <c r="O1" s="141" t="s">
        <v>2813</v>
      </c>
      <c r="P1" s="141" t="s">
        <v>2812</v>
      </c>
      <c r="Q1" s="141" t="s">
        <v>2809</v>
      </c>
      <c r="R1" s="146" t="s">
        <v>21</v>
      </c>
      <c r="S1" s="147"/>
      <c r="T1" s="148"/>
      <c r="U1" s="148"/>
      <c r="V1" s="148"/>
      <c r="W1" s="148"/>
      <c r="X1" s="148"/>
      <c r="Y1" s="149"/>
    </row>
    <row r="2" spans="1:25">
      <c r="A2">
        <v>2015</v>
      </c>
      <c r="B2">
        <f>(YEAR(C2))</f>
        <v>2018</v>
      </c>
      <c r="C2">
        <f>+'staffing plan'!BK12</f>
        <v>43146</v>
      </c>
      <c r="D2" t="str">
        <f>'staffing plan'!A12</f>
        <v>OSEC-DILGB-DIR4-18-1998</v>
      </c>
      <c r="E2" t="str">
        <f>+'staffing plan'!B12</f>
        <v>Director IV</v>
      </c>
      <c r="F2">
        <f>+'staffing plan'!C12</f>
        <v>28</v>
      </c>
      <c r="G2" s="131">
        <f>+'staffing plan'!AH12</f>
        <v>1646340</v>
      </c>
      <c r="H2" s="131">
        <f>+'staffing plan'!AI12</f>
        <v>1673208</v>
      </c>
      <c r="I2" s="131">
        <f>+'staffing plan'!AJ12</f>
        <v>2</v>
      </c>
      <c r="J2" t="str">
        <f>+'staffing plan'!AW12</f>
        <v>IRINGAN, Marlo Lingan</v>
      </c>
      <c r="K2" t="e">
        <f>+'staffing plan'!#REF!</f>
        <v>#REF!</v>
      </c>
      <c r="L2" t="e">
        <f>+'staffing plan'!#REF!</f>
        <v>#REF!</v>
      </c>
      <c r="M2" t="str">
        <f>+'staffing plan'!AX12</f>
        <v>Regional Office</v>
      </c>
      <c r="N2" t="str">
        <f>+'staffing plan'!AY12</f>
        <v>M</v>
      </c>
      <c r="O2" s="145" t="e">
        <f>+'staffing plan'!#REF!</f>
        <v>#REF!</v>
      </c>
      <c r="P2" s="145" t="e">
        <f>+'staffing plan'!#REF!</f>
        <v>#REF!</v>
      </c>
      <c r="Q2" s="145" t="e">
        <f>+'staffing plan'!#REF!</f>
        <v>#REF!</v>
      </c>
      <c r="R2">
        <f>+'staffing plan'!BP12</f>
        <v>0</v>
      </c>
      <c r="S2">
        <v>1</v>
      </c>
    </row>
    <row r="3" spans="1:25" hidden="1">
      <c r="A3">
        <f t="shared" ref="A3:A9" si="0">+A2-3</f>
        <v>2012</v>
      </c>
      <c r="B3">
        <f t="shared" ref="B3:B67" si="1">(YEAR(C3))</f>
        <v>2019</v>
      </c>
      <c r="C3">
        <f>+'staffing plan'!BK13</f>
        <v>43549</v>
      </c>
      <c r="D3" t="str">
        <f>'staffing plan'!A13</f>
        <v>OSEC-DILGB-DIR3-4-1998</v>
      </c>
      <c r="E3" t="str">
        <f>+'staffing plan'!B13</f>
        <v>Director III</v>
      </c>
      <c r="F3">
        <f>+'staffing plan'!C13</f>
        <v>27</v>
      </c>
      <c r="G3" s="131">
        <f>+'staffing plan'!AH13</f>
        <v>1456932</v>
      </c>
      <c r="H3" s="131">
        <f>+'staffing plan'!AI13</f>
        <v>1480716</v>
      </c>
      <c r="I3" s="131">
        <f>+'staffing plan'!AJ13</f>
        <v>2</v>
      </c>
      <c r="J3" t="str">
        <f>+'staffing plan'!AW13</f>
        <v>SAN JOSE, Araceli Arruejo</v>
      </c>
      <c r="K3" t="e">
        <f>+'staffing plan'!#REF!</f>
        <v>#REF!</v>
      </c>
      <c r="L3" t="e">
        <f>+'staffing plan'!#REF!</f>
        <v>#REF!</v>
      </c>
      <c r="M3" t="str">
        <f>+'staffing plan'!AX13</f>
        <v>Regional Office</v>
      </c>
      <c r="N3" t="str">
        <f>+'staffing plan'!AY13</f>
        <v>F</v>
      </c>
      <c r="O3" s="145" t="e">
        <f>+'staffing plan'!#REF!</f>
        <v>#REF!</v>
      </c>
      <c r="P3" s="145" t="e">
        <f>+'staffing plan'!#REF!</f>
        <v>#REF!</v>
      </c>
      <c r="Q3" s="145" t="e">
        <f>+'staffing plan'!#REF!</f>
        <v>#REF!</v>
      </c>
      <c r="R3">
        <f>+'staffing plan'!BP13</f>
        <v>0</v>
      </c>
      <c r="S3">
        <v>2</v>
      </c>
    </row>
    <row r="4" spans="1:25" hidden="1">
      <c r="A4">
        <f t="shared" si="0"/>
        <v>2009</v>
      </c>
      <c r="B4">
        <f t="shared" si="1"/>
        <v>2018</v>
      </c>
      <c r="C4">
        <f>+'staffing plan'!BK14</f>
        <v>43360</v>
      </c>
      <c r="D4" t="str">
        <f>'staffing plan'!A14</f>
        <v>OSEC-DILGB-ATTY4-9-1998</v>
      </c>
      <c r="E4" t="str">
        <f>+'staffing plan'!B14</f>
        <v>Attorney IV</v>
      </c>
      <c r="F4">
        <f>+'staffing plan'!C14</f>
        <v>23</v>
      </c>
      <c r="G4" s="131">
        <f>+'staffing plan'!AH14</f>
        <v>885732</v>
      </c>
      <c r="H4" s="131">
        <f>+'staffing plan'!AI14</f>
        <v>885732</v>
      </c>
      <c r="I4" s="131">
        <f>+'staffing plan'!AJ14</f>
        <v>1</v>
      </c>
      <c r="J4" t="str">
        <f>+'staffing plan'!AW14</f>
        <v>SHONTOGAN, Genevieve Miguel</v>
      </c>
      <c r="K4" t="e">
        <f>+'staffing plan'!#REF!</f>
        <v>#REF!</v>
      </c>
      <c r="L4" t="e">
        <f>+'staffing plan'!#REF!</f>
        <v>#REF!</v>
      </c>
      <c r="M4" t="str">
        <f>+'staffing plan'!AX14</f>
        <v>Regional Office</v>
      </c>
      <c r="N4" t="str">
        <f>+'staffing plan'!AY14</f>
        <v>F</v>
      </c>
      <c r="O4" s="145" t="e">
        <f>+'staffing plan'!#REF!</f>
        <v>#REF!</v>
      </c>
      <c r="P4" s="145" t="e">
        <f>+'staffing plan'!#REF!</f>
        <v>#REF!</v>
      </c>
      <c r="Q4" s="145" t="e">
        <f>+'staffing plan'!#REF!</f>
        <v>#REF!</v>
      </c>
      <c r="R4">
        <f>+'staffing plan'!BP14</f>
        <v>0</v>
      </c>
      <c r="S4">
        <v>3</v>
      </c>
    </row>
    <row r="5" spans="1:25">
      <c r="A5">
        <f t="shared" si="0"/>
        <v>2006</v>
      </c>
      <c r="B5">
        <f t="shared" si="1"/>
        <v>2012</v>
      </c>
      <c r="C5">
        <f>+'staffing plan'!BK15</f>
        <v>40969</v>
      </c>
      <c r="D5" t="str">
        <f>'staffing plan'!A15</f>
        <v>OSEC-DILGB-ITO1-2-2010</v>
      </c>
      <c r="E5" t="str">
        <f>+'staffing plan'!B15</f>
        <v>Information Technology Officer I</v>
      </c>
      <c r="F5">
        <f>+'staffing plan'!C15</f>
        <v>19</v>
      </c>
      <c r="G5" s="131">
        <f>+'staffing plan'!AH15</f>
        <v>543228</v>
      </c>
      <c r="H5" s="131">
        <f>+'staffing plan'!AI15</f>
        <v>561108</v>
      </c>
      <c r="I5" s="131">
        <f>+'staffing plan'!AJ15</f>
        <v>3</v>
      </c>
      <c r="J5" t="str">
        <f>+'staffing plan'!AW15</f>
        <v>PAPAT-IW, Zaldy Bugtong</v>
      </c>
      <c r="K5" t="e">
        <f>+'staffing plan'!#REF!</f>
        <v>#REF!</v>
      </c>
      <c r="L5" t="e">
        <f>+'staffing plan'!#REF!</f>
        <v>#REF!</v>
      </c>
      <c r="M5" t="str">
        <f>+'staffing plan'!AX15</f>
        <v>Regional Office</v>
      </c>
      <c r="N5" t="str">
        <f>+'staffing plan'!AY15</f>
        <v>M</v>
      </c>
      <c r="O5" s="145" t="e">
        <f>+'staffing plan'!#REF!</f>
        <v>#REF!</v>
      </c>
      <c r="P5" s="145" t="e">
        <f>+'staffing plan'!#REF!</f>
        <v>#REF!</v>
      </c>
      <c r="Q5" s="145" t="e">
        <f>+'staffing plan'!#REF!</f>
        <v>#REF!</v>
      </c>
      <c r="R5">
        <f>+'staffing plan'!BP15</f>
        <v>0</v>
      </c>
      <c r="S5">
        <v>4</v>
      </c>
    </row>
    <row r="6" spans="1:25" hidden="1">
      <c r="A6">
        <f t="shared" si="0"/>
        <v>2003</v>
      </c>
      <c r="B6">
        <f t="shared" si="1"/>
        <v>2016</v>
      </c>
      <c r="C6">
        <f>+'staffing plan'!BK16</f>
        <v>42653</v>
      </c>
      <c r="D6" t="str">
        <f>'staffing plan'!A16</f>
        <v>OSEC-DILGB-PLO3-93-2010</v>
      </c>
      <c r="E6" t="str">
        <f>+'staffing plan'!B16</f>
        <v>Planning Officer III</v>
      </c>
      <c r="F6">
        <f>+'staffing plan'!C16</f>
        <v>18</v>
      </c>
      <c r="G6" s="131">
        <f>+'staffing plan'!AH16</f>
        <v>487644</v>
      </c>
      <c r="H6" s="131">
        <f>+'staffing plan'!AI16</f>
        <v>487644</v>
      </c>
      <c r="I6" s="131">
        <f>+'staffing plan'!AJ16</f>
        <v>1</v>
      </c>
      <c r="J6" t="str">
        <f>+'staffing plan'!AW16</f>
        <v>BINAY-AN, Fe Suerte</v>
      </c>
      <c r="K6" t="e">
        <f>+'staffing plan'!#REF!</f>
        <v>#REF!</v>
      </c>
      <c r="L6" t="e">
        <f>+'staffing plan'!#REF!</f>
        <v>#REF!</v>
      </c>
      <c r="M6" t="str">
        <f>+'staffing plan'!AX16</f>
        <v>Regional Office</v>
      </c>
      <c r="N6" t="str">
        <f>+'staffing plan'!AY16</f>
        <v>F</v>
      </c>
      <c r="O6" s="145" t="e">
        <f>+'staffing plan'!#REF!</f>
        <v>#REF!</v>
      </c>
      <c r="P6" s="145" t="e">
        <f>+'staffing plan'!#REF!</f>
        <v>#REF!</v>
      </c>
      <c r="Q6" s="145" t="e">
        <f>+'staffing plan'!#REF!</f>
        <v>#REF!</v>
      </c>
      <c r="R6">
        <f>+'staffing plan'!BP16</f>
        <v>0</v>
      </c>
      <c r="S6">
        <v>5</v>
      </c>
    </row>
    <row r="7" spans="1:25" hidden="1">
      <c r="A7">
        <f t="shared" si="0"/>
        <v>2000</v>
      </c>
      <c r="B7">
        <f t="shared" si="1"/>
        <v>1998</v>
      </c>
      <c r="C7">
        <f>+'staffing plan'!BK17</f>
        <v>36069</v>
      </c>
      <c r="D7" t="str">
        <f>'staffing plan'!A17</f>
        <v>OSEC-DILGB-ADAS3-64-2005</v>
      </c>
      <c r="E7" t="str">
        <f>+'staffing plan'!B17</f>
        <v>Administrative Assistant III</v>
      </c>
      <c r="F7">
        <f>+'staffing plan'!C17</f>
        <v>9</v>
      </c>
      <c r="G7" s="131">
        <f>+'staffing plan'!AH17</f>
        <v>215700</v>
      </c>
      <c r="H7" s="131">
        <f>+'staffing plan'!AI17</f>
        <v>226752</v>
      </c>
      <c r="I7" s="131">
        <f>+'staffing plan'!AJ17</f>
        <v>7</v>
      </c>
      <c r="J7" t="str">
        <f>+'staffing plan'!AW17</f>
        <v>DAOAS, Marian Pait Bigsang</v>
      </c>
      <c r="K7" t="e">
        <f>+'staffing plan'!#REF!</f>
        <v>#REF!</v>
      </c>
      <c r="L7" t="e">
        <f>+'staffing plan'!#REF!</f>
        <v>#REF!</v>
      </c>
      <c r="M7" t="str">
        <f>+'staffing plan'!AX17</f>
        <v>Regional Office</v>
      </c>
      <c r="N7" t="str">
        <f>+'staffing plan'!AY17</f>
        <v>F</v>
      </c>
      <c r="O7" s="145" t="e">
        <f>+'staffing plan'!#REF!</f>
        <v>#REF!</v>
      </c>
      <c r="P7" s="145" t="e">
        <f>+'staffing plan'!#REF!</f>
        <v>#REF!</v>
      </c>
      <c r="Q7" s="145" t="e">
        <f>+'staffing plan'!#REF!</f>
        <v>#REF!</v>
      </c>
      <c r="R7">
        <f>+'staffing plan'!BP17</f>
        <v>0</v>
      </c>
      <c r="S7">
        <v>6</v>
      </c>
    </row>
    <row r="8" spans="1:25" hidden="1">
      <c r="A8">
        <f t="shared" si="0"/>
        <v>1997</v>
      </c>
      <c r="B8">
        <f t="shared" si="1"/>
        <v>2017</v>
      </c>
      <c r="C8">
        <f>+'staffing plan'!BK18</f>
        <v>42891</v>
      </c>
      <c r="D8" t="str">
        <f>'staffing plan'!A18</f>
        <v>OSEC-DILGB-ADA4-83-2005</v>
      </c>
      <c r="E8" t="str">
        <f>+'staffing plan'!B18</f>
        <v>Administrative Aide IV (Driver II)</v>
      </c>
      <c r="F8">
        <f>+'staffing plan'!C18</f>
        <v>4</v>
      </c>
      <c r="G8" s="131">
        <f>+'staffing plan'!AH18</f>
        <v>158568</v>
      </c>
      <c r="H8" s="131">
        <f>+'staffing plan'!AI18</f>
        <v>158568</v>
      </c>
      <c r="I8" s="131">
        <f>+'staffing plan'!AJ18</f>
        <v>1</v>
      </c>
      <c r="J8" t="str">
        <f>+'staffing plan'!AW18</f>
        <v>PULTZ, El-wood Duane  Lingbawan</v>
      </c>
      <c r="K8" t="e">
        <f>+'staffing plan'!#REF!</f>
        <v>#REF!</v>
      </c>
      <c r="L8" t="e">
        <f>+'staffing plan'!#REF!</f>
        <v>#REF!</v>
      </c>
      <c r="M8" t="str">
        <f>+'staffing plan'!AX18</f>
        <v>Regional Office</v>
      </c>
      <c r="N8" t="str">
        <f>+'staffing plan'!AY18</f>
        <v>M</v>
      </c>
      <c r="O8" s="145" t="e">
        <f>+'staffing plan'!#REF!</f>
        <v>#REF!</v>
      </c>
      <c r="P8" s="145" t="e">
        <f>+'staffing plan'!#REF!</f>
        <v>#REF!</v>
      </c>
      <c r="Q8" s="145" t="e">
        <f>+'staffing plan'!#REF!</f>
        <v>#REF!</v>
      </c>
      <c r="R8">
        <f>+'staffing plan'!BP18</f>
        <v>0</v>
      </c>
      <c r="S8">
        <v>7</v>
      </c>
    </row>
    <row r="9" spans="1:25" hidden="1">
      <c r="A9">
        <f t="shared" si="0"/>
        <v>1994</v>
      </c>
      <c r="B9">
        <f t="shared" si="1"/>
        <v>1900</v>
      </c>
      <c r="C9">
        <f>+'staffing plan'!BK19</f>
        <v>0</v>
      </c>
      <c r="D9" t="str">
        <f>'staffing plan'!A19</f>
        <v>Sub-Total</v>
      </c>
      <c r="E9">
        <f>+'staffing plan'!B19</f>
        <v>0</v>
      </c>
      <c r="F9">
        <f>+'staffing plan'!C19</f>
        <v>0</v>
      </c>
      <c r="G9" s="131">
        <f>+'staffing plan'!AH19</f>
        <v>0</v>
      </c>
      <c r="H9" s="131">
        <f>+'staffing plan'!AI19</f>
        <v>0</v>
      </c>
      <c r="I9" s="131">
        <f>+'staffing plan'!AJ19</f>
        <v>7</v>
      </c>
      <c r="J9">
        <f>+'staffing plan'!AW19</f>
        <v>0</v>
      </c>
      <c r="K9" t="e">
        <f>+'staffing plan'!#REF!</f>
        <v>#REF!</v>
      </c>
      <c r="L9" t="e">
        <f>+'staffing plan'!#REF!</f>
        <v>#REF!</v>
      </c>
      <c r="M9">
        <f>+'staffing plan'!AX19</f>
        <v>0</v>
      </c>
      <c r="N9">
        <f>+'staffing plan'!AY19</f>
        <v>0</v>
      </c>
      <c r="O9" s="145" t="e">
        <f>+'staffing plan'!#REF!</f>
        <v>#REF!</v>
      </c>
      <c r="P9" s="145" t="e">
        <f>+'staffing plan'!#REF!</f>
        <v>#REF!</v>
      </c>
      <c r="Q9" s="145" t="e">
        <f>+'staffing plan'!#REF!</f>
        <v>#REF!</v>
      </c>
      <c r="R9">
        <f>+'staffing plan'!BP19</f>
        <v>0</v>
      </c>
      <c r="S9">
        <v>8</v>
      </c>
    </row>
    <row r="10" spans="1:25" hidden="1">
      <c r="B10">
        <f t="shared" si="1"/>
        <v>1900</v>
      </c>
      <c r="C10">
        <f>+'staffing plan'!BK20</f>
        <v>0</v>
      </c>
      <c r="D10" t="str">
        <f>'staffing plan'!A20</f>
        <v>62,000          Capability Development Division</v>
      </c>
      <c r="E10">
        <f>+'staffing plan'!B20</f>
        <v>0</v>
      </c>
      <c r="F10">
        <f>+'staffing plan'!C20</f>
        <v>0</v>
      </c>
      <c r="G10" s="131">
        <f>+'staffing plan'!AH20</f>
        <v>0</v>
      </c>
      <c r="H10" s="131">
        <f>+'staffing plan'!AI20</f>
        <v>0</v>
      </c>
      <c r="I10" s="131">
        <f>+'staffing plan'!AJ20</f>
        <v>0</v>
      </c>
      <c r="J10">
        <f>+'staffing plan'!AW20</f>
        <v>0</v>
      </c>
      <c r="K10" t="e">
        <f>+'staffing plan'!#REF!</f>
        <v>#REF!</v>
      </c>
      <c r="L10" t="e">
        <f>+'staffing plan'!#REF!</f>
        <v>#REF!</v>
      </c>
      <c r="M10">
        <f>+'staffing plan'!AX20</f>
        <v>0</v>
      </c>
      <c r="N10">
        <f>+'staffing plan'!AY20</f>
        <v>0</v>
      </c>
      <c r="O10" s="145" t="e">
        <f>+'staffing plan'!#REF!</f>
        <v>#REF!</v>
      </c>
      <c r="P10" s="145" t="e">
        <f>+'staffing plan'!#REF!</f>
        <v>#REF!</v>
      </c>
      <c r="Q10" s="145" t="e">
        <f>+'staffing plan'!#REF!</f>
        <v>#REF!</v>
      </c>
      <c r="R10">
        <f>+'staffing plan'!BP20</f>
        <v>0</v>
      </c>
      <c r="S10">
        <v>9</v>
      </c>
    </row>
    <row r="11" spans="1:25" hidden="1">
      <c r="B11">
        <f t="shared" si="1"/>
        <v>2016</v>
      </c>
      <c r="C11">
        <f>+'staffing plan'!BK21</f>
        <v>42569</v>
      </c>
      <c r="D11" t="str">
        <f>'staffing plan'!A21</f>
        <v>OSEC-DILGB-LGOO7-37-1998</v>
      </c>
      <c r="E11" t="str">
        <f>+'staffing plan'!B21</f>
        <v>Local Government Operations Officer VII</v>
      </c>
      <c r="F11">
        <f>+'staffing plan'!C21</f>
        <v>24</v>
      </c>
      <c r="G11" s="131">
        <f>+'staffing plan'!AH21</f>
        <v>1000872</v>
      </c>
      <c r="H11" s="131">
        <f>+'staffing plan'!AI21</f>
        <v>1000872</v>
      </c>
      <c r="I11" s="131">
        <f>+'staffing plan'!AJ21</f>
        <v>1</v>
      </c>
      <c r="J11" t="str">
        <f>+'staffing plan'!AW21</f>
        <v>PAYANG, Daisy Amoy</v>
      </c>
      <c r="K11" t="e">
        <f>+'staffing plan'!#REF!</f>
        <v>#REF!</v>
      </c>
      <c r="L11" t="e">
        <f>+'staffing plan'!#REF!</f>
        <v>#REF!</v>
      </c>
      <c r="M11" t="str">
        <f>+'staffing plan'!AX21</f>
        <v>Regional Office</v>
      </c>
      <c r="N11" t="str">
        <f>+'staffing plan'!AY21</f>
        <v>F</v>
      </c>
      <c r="O11" s="145" t="e">
        <f>+'staffing plan'!#REF!</f>
        <v>#REF!</v>
      </c>
      <c r="P11" s="145" t="e">
        <f>+'staffing plan'!#REF!</f>
        <v>#REF!</v>
      </c>
      <c r="Q11" s="145" t="e">
        <f>+'staffing plan'!#REF!</f>
        <v>#REF!</v>
      </c>
      <c r="R11">
        <f>+'staffing plan'!BP21</f>
        <v>0</v>
      </c>
      <c r="S11">
        <v>10</v>
      </c>
    </row>
    <row r="12" spans="1:25" hidden="1">
      <c r="A12">
        <f t="shared" ref="A12:A19" si="2">+A2-1</f>
        <v>2014</v>
      </c>
      <c r="B12">
        <f t="shared" si="1"/>
        <v>2008</v>
      </c>
      <c r="C12">
        <f>+'staffing plan'!BK22</f>
        <v>39510</v>
      </c>
      <c r="D12" t="str">
        <f>'staffing plan'!A22</f>
        <v>OSEC-DILGB-LGOO6-12-1998</v>
      </c>
      <c r="E12" t="str">
        <f>+'staffing plan'!B22</f>
        <v>Local Government Operations Officer VI</v>
      </c>
      <c r="F12">
        <f>+'staffing plan'!C22</f>
        <v>22</v>
      </c>
      <c r="G12" s="131">
        <f>+'staffing plan'!AH22</f>
        <v>783828</v>
      </c>
      <c r="H12" s="131">
        <f>+'staffing plan'!AI22</f>
        <v>822840</v>
      </c>
      <c r="I12" s="131">
        <f>+'staffing plan'!AJ22</f>
        <v>4</v>
      </c>
      <c r="J12" t="str">
        <f>+'staffing plan'!AW22</f>
        <v>CLAUDIO, Ofelia Linggon</v>
      </c>
      <c r="K12" t="e">
        <f>+'staffing plan'!#REF!</f>
        <v>#REF!</v>
      </c>
      <c r="L12" t="e">
        <f>+'staffing plan'!#REF!</f>
        <v>#REF!</v>
      </c>
      <c r="M12" t="str">
        <f>+'staffing plan'!AX22</f>
        <v>Benguet</v>
      </c>
      <c r="N12" t="str">
        <f>+'staffing plan'!AY22</f>
        <v>F</v>
      </c>
      <c r="O12" s="145" t="e">
        <f>+'staffing plan'!#REF!</f>
        <v>#REF!</v>
      </c>
      <c r="P12" s="145" t="e">
        <f>+'staffing plan'!#REF!</f>
        <v>#REF!</v>
      </c>
      <c r="Q12" s="145" t="e">
        <f>+'staffing plan'!#REF!</f>
        <v>#REF!</v>
      </c>
      <c r="R12">
        <f>+'staffing plan'!BP22</f>
        <v>0</v>
      </c>
      <c r="S12">
        <v>11</v>
      </c>
    </row>
    <row r="13" spans="1:25" hidden="1">
      <c r="A13">
        <f t="shared" si="2"/>
        <v>2011</v>
      </c>
      <c r="B13">
        <f t="shared" si="1"/>
        <v>2005</v>
      </c>
      <c r="C13">
        <f>+'staffing plan'!BK23</f>
        <v>38607</v>
      </c>
      <c r="D13" t="str">
        <f>'staffing plan'!A23</f>
        <v>OSEC-DILGB-LGOO5-791-1998</v>
      </c>
      <c r="E13" t="str">
        <f>+'staffing plan'!B23</f>
        <v>Local Government Operations Officer V</v>
      </c>
      <c r="F13">
        <f>+'staffing plan'!C23</f>
        <v>20</v>
      </c>
      <c r="G13" s="131">
        <f>+'staffing plan'!AH23</f>
        <v>613860</v>
      </c>
      <c r="H13" s="131">
        <f>+'staffing plan'!AI23</f>
        <v>654924</v>
      </c>
      <c r="I13" s="131">
        <f>+'staffing plan'!AJ23</f>
        <v>5</v>
      </c>
      <c r="J13" t="str">
        <f>+'staffing plan'!AW23</f>
        <v>GONZALES, Rolando Ronquillo</v>
      </c>
      <c r="K13" t="e">
        <f>+'staffing plan'!#REF!</f>
        <v>#REF!</v>
      </c>
      <c r="L13" t="e">
        <f>+'staffing plan'!#REF!</f>
        <v>#REF!</v>
      </c>
      <c r="M13" t="str">
        <f>+'staffing plan'!AX23</f>
        <v>Regional Office</v>
      </c>
      <c r="N13" t="str">
        <f>+'staffing plan'!AY23</f>
        <v>M</v>
      </c>
      <c r="O13" s="145" t="e">
        <f>+'staffing plan'!#REF!</f>
        <v>#REF!</v>
      </c>
      <c r="P13" s="145" t="e">
        <f>+'staffing plan'!#REF!</f>
        <v>#REF!</v>
      </c>
      <c r="Q13" s="145" t="e">
        <f>+'staffing plan'!#REF!</f>
        <v>#REF!</v>
      </c>
      <c r="R13" t="str">
        <f>+'staffing plan'!BP23</f>
        <v>Shifting</v>
      </c>
      <c r="S13">
        <v>12</v>
      </c>
    </row>
    <row r="14" spans="1:25" hidden="1">
      <c r="A14">
        <f t="shared" si="2"/>
        <v>2008</v>
      </c>
      <c r="B14">
        <f t="shared" si="1"/>
        <v>2002</v>
      </c>
      <c r="C14">
        <f>+'staffing plan'!BK24</f>
        <v>37355</v>
      </c>
      <c r="D14" t="str">
        <f>'staffing plan'!A24</f>
        <v>OSEC-DILGB-LGOO5-802-1998</v>
      </c>
      <c r="E14" t="str">
        <f>+'staffing plan'!B24</f>
        <v>Local Government Operations Officer V</v>
      </c>
      <c r="F14">
        <f>+'staffing plan'!C24</f>
        <v>20</v>
      </c>
      <c r="G14" s="131">
        <f>+'staffing plan'!AH24</f>
        <v>613860</v>
      </c>
      <c r="H14" s="131">
        <f>+'staffing plan'!AI24</f>
        <v>665616</v>
      </c>
      <c r="I14" s="131">
        <f>+'staffing plan'!AJ24</f>
        <v>6</v>
      </c>
      <c r="J14" t="str">
        <f>+'staffing plan'!AW24</f>
        <v>MAUTING, Johnny Laayon</v>
      </c>
      <c r="K14" t="e">
        <f>+'staffing plan'!#REF!</f>
        <v>#REF!</v>
      </c>
      <c r="L14" t="e">
        <f>+'staffing plan'!#REF!</f>
        <v>#REF!</v>
      </c>
      <c r="M14" t="str">
        <f>+'staffing plan'!AX24</f>
        <v>Regional Office</v>
      </c>
      <c r="N14" t="str">
        <f>+'staffing plan'!AY24</f>
        <v>M</v>
      </c>
      <c r="O14" s="145" t="e">
        <f>+'staffing plan'!#REF!</f>
        <v>#REF!</v>
      </c>
      <c r="P14" s="145" t="e">
        <f>+'staffing plan'!#REF!</f>
        <v>#REF!</v>
      </c>
      <c r="Q14" s="145" t="e">
        <f>+'staffing plan'!#REF!</f>
        <v>#REF!</v>
      </c>
      <c r="R14" t="str">
        <f>+'staffing plan'!BP24</f>
        <v>Shifting</v>
      </c>
      <c r="S14">
        <v>13</v>
      </c>
    </row>
    <row r="15" spans="1:25" hidden="1">
      <c r="A15">
        <f t="shared" si="2"/>
        <v>2005</v>
      </c>
      <c r="B15">
        <f t="shared" si="1"/>
        <v>1900</v>
      </c>
      <c r="C15">
        <f>+'staffing plan'!BK25</f>
        <v>0</v>
      </c>
      <c r="D15" t="str">
        <f>'staffing plan'!A25</f>
        <v>OSEC-DILGB-LGOO5-813-1998</v>
      </c>
      <c r="E15" t="str">
        <f>+'staffing plan'!B25</f>
        <v>Local Government Operations Officer V</v>
      </c>
      <c r="F15">
        <f>+'staffing plan'!C25</f>
        <v>20</v>
      </c>
      <c r="G15" s="131">
        <f>+'staffing plan'!AH25</f>
        <v>613860</v>
      </c>
      <c r="H15" s="131">
        <f>+'staffing plan'!AI25</f>
        <v>0</v>
      </c>
      <c r="I15" s="131">
        <f>+'staffing plan'!AJ25</f>
        <v>0</v>
      </c>
      <c r="J15" t="str">
        <f>+'staffing plan'!AW25</f>
        <v xml:space="preserve">Vacant GRIBA,  </v>
      </c>
      <c r="K15" t="e">
        <f>+'staffing plan'!#REF!</f>
        <v>#REF!</v>
      </c>
      <c r="L15" t="e">
        <f>+'staffing plan'!#REF!</f>
        <v>#REF!</v>
      </c>
      <c r="M15">
        <f>+'staffing plan'!AX25</f>
        <v>0</v>
      </c>
      <c r="N15">
        <f>+'staffing plan'!AY25</f>
        <v>0</v>
      </c>
      <c r="O15" s="145" t="e">
        <f>+'staffing plan'!#REF!</f>
        <v>#REF!</v>
      </c>
      <c r="P15" s="145" t="e">
        <f>+'staffing plan'!#REF!</f>
        <v>#REF!</v>
      </c>
      <c r="Q15" s="145" t="e">
        <f>+'staffing plan'!#REF!</f>
        <v>#REF!</v>
      </c>
      <c r="R15">
        <f>+'staffing plan'!BP25</f>
        <v>0</v>
      </c>
      <c r="S15">
        <v>14</v>
      </c>
    </row>
    <row r="16" spans="1:25" hidden="1">
      <c r="A16">
        <f t="shared" si="2"/>
        <v>2002</v>
      </c>
      <c r="B16">
        <f t="shared" si="1"/>
        <v>2018</v>
      </c>
      <c r="C16">
        <f>+'staffing plan'!BK26</f>
        <v>43129</v>
      </c>
      <c r="D16" t="str">
        <f>'staffing plan'!A26</f>
        <v>OSEC-DILGB-LGOO4-161-1998</v>
      </c>
      <c r="E16" t="str">
        <f>+'staffing plan'!B26</f>
        <v>Local Government Operations Officer IV</v>
      </c>
      <c r="F16">
        <f>+'staffing plan'!C26</f>
        <v>18</v>
      </c>
      <c r="G16" s="131">
        <f>+'staffing plan'!AH26</f>
        <v>487644</v>
      </c>
      <c r="H16" s="131">
        <f>+'staffing plan'!AI26</f>
        <v>487644</v>
      </c>
      <c r="I16" s="131">
        <f>+'staffing plan'!AJ26</f>
        <v>1</v>
      </c>
      <c r="J16" t="str">
        <f>+'staffing plan'!AW26</f>
        <v>DAEP, Sherwin Ray Ochoco</v>
      </c>
      <c r="K16" t="e">
        <f>+'staffing plan'!#REF!</f>
        <v>#REF!</v>
      </c>
      <c r="L16" t="e">
        <f>+'staffing plan'!#REF!</f>
        <v>#REF!</v>
      </c>
      <c r="M16" t="str">
        <f>+'staffing plan'!AX26</f>
        <v>Regional Office</v>
      </c>
      <c r="N16" t="str">
        <f>+'staffing plan'!AY26</f>
        <v>M</v>
      </c>
      <c r="O16" s="145" t="e">
        <f>+'staffing plan'!#REF!</f>
        <v>#REF!</v>
      </c>
      <c r="P16" s="145" t="e">
        <f>+'staffing plan'!#REF!</f>
        <v>#REF!</v>
      </c>
      <c r="Q16" s="145" t="e">
        <f>+'staffing plan'!#REF!</f>
        <v>#REF!</v>
      </c>
      <c r="R16" t="str">
        <f>+'staffing plan'!BP26</f>
        <v>Region</v>
      </c>
      <c r="S16">
        <v>15</v>
      </c>
    </row>
    <row r="17" spans="1:19" hidden="1">
      <c r="A17">
        <f t="shared" si="2"/>
        <v>1999</v>
      </c>
      <c r="B17">
        <f t="shared" si="1"/>
        <v>2018</v>
      </c>
      <c r="C17">
        <f>+'staffing plan'!BK27</f>
        <v>43283</v>
      </c>
      <c r="D17" t="str">
        <f>'staffing plan'!A27</f>
        <v>OSEC-DILGB-LGOO4-164-1998</v>
      </c>
      <c r="E17" t="str">
        <f>+'staffing plan'!B27</f>
        <v>Local Government Operations Officer IV</v>
      </c>
      <c r="F17">
        <f>+'staffing plan'!C27</f>
        <v>18</v>
      </c>
      <c r="G17" s="131">
        <f>+'staffing plan'!AH27</f>
        <v>487644</v>
      </c>
      <c r="H17" s="131">
        <f>+'staffing plan'!AI27</f>
        <v>487644</v>
      </c>
      <c r="I17" s="131">
        <f>+'staffing plan'!AJ27</f>
        <v>1</v>
      </c>
      <c r="J17" t="str">
        <f>+'staffing plan'!AW27</f>
        <v>BRETT, Ralph Kevin Bacagan</v>
      </c>
      <c r="K17" t="e">
        <f>+'staffing plan'!#REF!</f>
        <v>#REF!</v>
      </c>
      <c r="L17" t="e">
        <f>+'staffing plan'!#REF!</f>
        <v>#REF!</v>
      </c>
      <c r="M17" t="str">
        <f>+'staffing plan'!AX27</f>
        <v>Regional Office</v>
      </c>
      <c r="N17" t="str">
        <f>+'staffing plan'!AY27</f>
        <v>M</v>
      </c>
      <c r="O17" s="145" t="e">
        <f>+'staffing plan'!#REF!</f>
        <v>#REF!</v>
      </c>
      <c r="P17" s="145" t="e">
        <f>+'staffing plan'!#REF!</f>
        <v>#REF!</v>
      </c>
      <c r="Q17" s="145" t="e">
        <f>+'staffing plan'!#REF!</f>
        <v>#REF!</v>
      </c>
      <c r="R17">
        <f>+'staffing plan'!BP27</f>
        <v>0</v>
      </c>
      <c r="S17">
        <v>16</v>
      </c>
    </row>
    <row r="18" spans="1:19" hidden="1">
      <c r="A18">
        <f t="shared" si="2"/>
        <v>1996</v>
      </c>
      <c r="B18">
        <f t="shared" si="1"/>
        <v>1900</v>
      </c>
      <c r="C18">
        <f>+'staffing plan'!BK28</f>
        <v>0</v>
      </c>
      <c r="D18" t="str">
        <f>'staffing plan'!A28</f>
        <v>OSEC-DILGB-ADA6-97-2005</v>
      </c>
      <c r="E18" t="str">
        <f>+'staffing plan'!B28</f>
        <v>Administrative Aide VI</v>
      </c>
      <c r="F18">
        <f>+'staffing plan'!C28</f>
        <v>6</v>
      </c>
      <c r="G18" s="131">
        <f>+'staffing plan'!AH28</f>
        <v>178164</v>
      </c>
      <c r="H18" s="131">
        <f>+'staffing plan'!AI28</f>
        <v>0</v>
      </c>
      <c r="I18" s="131">
        <f>+'staffing plan'!AJ28</f>
        <v>0</v>
      </c>
      <c r="J18" t="str">
        <f>+'staffing plan'!AW28</f>
        <v xml:space="preserve">Vacant MAGO,  </v>
      </c>
      <c r="K18" t="e">
        <f>+'staffing plan'!#REF!</f>
        <v>#REF!</v>
      </c>
      <c r="L18" t="e">
        <f>+'staffing plan'!#REF!</f>
        <v>#REF!</v>
      </c>
      <c r="M18">
        <f>+'staffing plan'!AX28</f>
        <v>0</v>
      </c>
      <c r="N18">
        <f>+'staffing plan'!AY28</f>
        <v>0</v>
      </c>
      <c r="O18" s="145" t="e">
        <f>+'staffing plan'!#REF!</f>
        <v>#REF!</v>
      </c>
      <c r="P18" s="145" t="e">
        <f>+'staffing plan'!#REF!</f>
        <v>#REF!</v>
      </c>
      <c r="Q18" s="145" t="e">
        <f>+'staffing plan'!#REF!</f>
        <v>#REF!</v>
      </c>
      <c r="R18">
        <f>+'staffing plan'!BP28</f>
        <v>0</v>
      </c>
      <c r="S18">
        <v>17</v>
      </c>
    </row>
    <row r="19" spans="1:19" hidden="1">
      <c r="A19">
        <f t="shared" si="2"/>
        <v>1993</v>
      </c>
      <c r="B19">
        <f t="shared" si="1"/>
        <v>1900</v>
      </c>
      <c r="C19">
        <f>+'staffing plan'!BK29</f>
        <v>0</v>
      </c>
      <c r="D19" t="str">
        <f>'staffing plan'!A29</f>
        <v>Sub-Total</v>
      </c>
      <c r="E19">
        <f>+'staffing plan'!B29</f>
        <v>0</v>
      </c>
      <c r="F19">
        <f>+'staffing plan'!C29</f>
        <v>0</v>
      </c>
      <c r="G19" s="131">
        <f>+'staffing plan'!AH29</f>
        <v>0</v>
      </c>
      <c r="H19" s="131">
        <f>+'staffing plan'!AI29</f>
        <v>0</v>
      </c>
      <c r="I19" s="131">
        <f>+'staffing plan'!AJ29</f>
        <v>8</v>
      </c>
      <c r="J19">
        <f>+'staffing plan'!AW29</f>
        <v>0</v>
      </c>
      <c r="K19" t="e">
        <f>+'staffing plan'!#REF!</f>
        <v>#REF!</v>
      </c>
      <c r="L19" t="e">
        <f>+'staffing plan'!#REF!</f>
        <v>#REF!</v>
      </c>
      <c r="M19">
        <f>+'staffing plan'!AX29</f>
        <v>0</v>
      </c>
      <c r="N19">
        <f>+'staffing plan'!AY29</f>
        <v>0</v>
      </c>
      <c r="O19" s="145" t="e">
        <f>+'staffing plan'!#REF!</f>
        <v>#REF!</v>
      </c>
      <c r="P19" s="145" t="e">
        <f>+'staffing plan'!#REF!</f>
        <v>#REF!</v>
      </c>
      <c r="Q19" s="145" t="e">
        <f>+'staffing plan'!#REF!</f>
        <v>#REF!</v>
      </c>
      <c r="R19">
        <f>+'staffing plan'!BP29</f>
        <v>0</v>
      </c>
      <c r="S19">
        <v>18</v>
      </c>
    </row>
    <row r="20" spans="1:19" hidden="1">
      <c r="B20">
        <f t="shared" si="1"/>
        <v>1900</v>
      </c>
      <c r="C20">
        <f>+'staffing plan'!BK30</f>
        <v>0</v>
      </c>
      <c r="D20" t="str">
        <f>'staffing plan'!A30</f>
        <v>63,000          Monitoring and Evaluation Division</v>
      </c>
      <c r="E20">
        <f>+'staffing plan'!B30</f>
        <v>0</v>
      </c>
      <c r="F20">
        <f>+'staffing plan'!C30</f>
        <v>0</v>
      </c>
      <c r="G20" s="131">
        <f>+'staffing plan'!AH30</f>
        <v>0</v>
      </c>
      <c r="H20" s="131">
        <f>+'staffing plan'!AI30</f>
        <v>0</v>
      </c>
      <c r="I20" s="131">
        <f>+'staffing plan'!AJ30</f>
        <v>0</v>
      </c>
      <c r="J20">
        <f>+'staffing plan'!AW30</f>
        <v>0</v>
      </c>
      <c r="K20" t="e">
        <f>+'staffing plan'!#REF!</f>
        <v>#REF!</v>
      </c>
      <c r="L20" t="e">
        <f>+'staffing plan'!#REF!</f>
        <v>#REF!</v>
      </c>
      <c r="M20">
        <f>+'staffing plan'!AX30</f>
        <v>0</v>
      </c>
      <c r="N20">
        <f>+'staffing plan'!AY30</f>
        <v>0</v>
      </c>
      <c r="O20" s="145" t="e">
        <f>+'staffing plan'!#REF!</f>
        <v>#REF!</v>
      </c>
      <c r="P20" s="145" t="e">
        <f>+'staffing plan'!#REF!</f>
        <v>#REF!</v>
      </c>
      <c r="Q20" s="145" t="e">
        <f>+'staffing plan'!#REF!</f>
        <v>#REF!</v>
      </c>
      <c r="R20">
        <f>+'staffing plan'!BP30</f>
        <v>0</v>
      </c>
      <c r="S20">
        <v>19</v>
      </c>
    </row>
    <row r="21" spans="1:19">
      <c r="B21">
        <f t="shared" si="1"/>
        <v>2018</v>
      </c>
      <c r="C21">
        <f>+'staffing plan'!BK31</f>
        <v>43132</v>
      </c>
      <c r="D21" t="str">
        <f>'staffing plan'!A31</f>
        <v>OSEC-DILGB-LGOO7-38-1998</v>
      </c>
      <c r="E21" t="str">
        <f>+'staffing plan'!B31</f>
        <v>Local Government Operations Officer VII</v>
      </c>
      <c r="F21">
        <f>+'staffing plan'!C31</f>
        <v>24</v>
      </c>
      <c r="G21" s="131">
        <f>+'staffing plan'!AH31</f>
        <v>1000872</v>
      </c>
      <c r="H21" s="131">
        <f>+'staffing plan'!AI31</f>
        <v>1000872</v>
      </c>
      <c r="I21" s="131">
        <f>+'staffing plan'!AJ31</f>
        <v>1</v>
      </c>
      <c r="J21" t="str">
        <f>+'staffing plan'!AW31</f>
        <v>GUERZON, Marleen Montano</v>
      </c>
      <c r="K21" t="e">
        <f>+'staffing plan'!#REF!</f>
        <v>#REF!</v>
      </c>
      <c r="L21" t="e">
        <f>+'staffing plan'!#REF!</f>
        <v>#REF!</v>
      </c>
      <c r="M21" t="str">
        <f>+'staffing plan'!AX31</f>
        <v>Regional Office</v>
      </c>
      <c r="N21" t="str">
        <f>+'staffing plan'!AY31</f>
        <v>F</v>
      </c>
      <c r="O21" s="145" t="e">
        <f>+'staffing plan'!#REF!</f>
        <v>#REF!</v>
      </c>
      <c r="P21" s="145" t="e">
        <f>+'staffing plan'!#REF!</f>
        <v>#REF!</v>
      </c>
      <c r="Q21" s="145" t="e">
        <f>+'staffing plan'!#REF!</f>
        <v>#REF!</v>
      </c>
      <c r="R21" t="str">
        <f>+'staffing plan'!BP31</f>
        <v>transfer from PO - CH Benguet feb 2019</v>
      </c>
      <c r="S21">
        <v>20</v>
      </c>
    </row>
    <row r="22" spans="1:19" hidden="1">
      <c r="A22">
        <f t="shared" ref="A22:A29" si="3">+A12-1</f>
        <v>2013</v>
      </c>
      <c r="B22">
        <f t="shared" si="1"/>
        <v>2010</v>
      </c>
      <c r="C22">
        <f>+'staffing plan'!BK32</f>
        <v>40262</v>
      </c>
      <c r="D22" t="str">
        <f>'staffing plan'!A32</f>
        <v>OSEC-DILGB-LGOO6-14-1998</v>
      </c>
      <c r="E22" t="str">
        <f>+'staffing plan'!B32</f>
        <v>Local Government Operations Officer VI</v>
      </c>
      <c r="F22">
        <f>+'staffing plan'!C32</f>
        <v>22</v>
      </c>
      <c r="G22" s="131">
        <f>+'staffing plan'!AH32</f>
        <v>783828</v>
      </c>
      <c r="H22" s="131">
        <f>+'staffing plan'!AI32</f>
        <v>809628</v>
      </c>
      <c r="I22" s="131">
        <f>+'staffing plan'!AJ32</f>
        <v>3</v>
      </c>
      <c r="J22" t="str">
        <f>+'staffing plan'!AW32</f>
        <v>ADNOL, Bable Ged-ang</v>
      </c>
      <c r="K22" t="e">
        <f>+'staffing plan'!#REF!</f>
        <v>#REF!</v>
      </c>
      <c r="L22" t="e">
        <f>+'staffing plan'!#REF!</f>
        <v>#REF!</v>
      </c>
      <c r="M22" t="str">
        <f>+'staffing plan'!AX32</f>
        <v>Regional Office</v>
      </c>
      <c r="N22" t="str">
        <f>+'staffing plan'!AY32</f>
        <v>F</v>
      </c>
      <c r="O22" s="145" t="e">
        <f>+'staffing plan'!#REF!</f>
        <v>#REF!</v>
      </c>
      <c r="P22" s="145" t="e">
        <f>+'staffing plan'!#REF!</f>
        <v>#REF!</v>
      </c>
      <c r="Q22" s="145" t="e">
        <f>+'staffing plan'!#REF!</f>
        <v>#REF!</v>
      </c>
      <c r="R22">
        <f>+'staffing plan'!BP32</f>
        <v>0</v>
      </c>
      <c r="S22">
        <v>21</v>
      </c>
    </row>
    <row r="23" spans="1:19" hidden="1">
      <c r="A23">
        <f t="shared" si="3"/>
        <v>2010</v>
      </c>
      <c r="B23">
        <f t="shared" si="1"/>
        <v>2013</v>
      </c>
      <c r="C23">
        <f>+'staffing plan'!BK33</f>
        <v>41526</v>
      </c>
      <c r="D23" t="str">
        <f>'staffing plan'!A33</f>
        <v>OSEC-DILGB-LGOO5-99-2010</v>
      </c>
      <c r="E23" t="str">
        <f>+'staffing plan'!B33</f>
        <v>Local Government Operations Officer V</v>
      </c>
      <c r="F23">
        <f>+'staffing plan'!C33</f>
        <v>20</v>
      </c>
      <c r="G23" s="131">
        <f>+'staffing plan'!AH33</f>
        <v>613860</v>
      </c>
      <c r="H23" s="131">
        <f>+'staffing plan'!AI33</f>
        <v>623868</v>
      </c>
      <c r="I23" s="131">
        <f>+'staffing plan'!AJ33</f>
        <v>2</v>
      </c>
      <c r="J23" t="str">
        <f>+'staffing plan'!AW33</f>
        <v>RIMANDO, Marie Cris Lim</v>
      </c>
      <c r="K23" t="e">
        <f>+'staffing plan'!#REF!</f>
        <v>#REF!</v>
      </c>
      <c r="L23" t="e">
        <f>+'staffing plan'!#REF!</f>
        <v>#REF!</v>
      </c>
      <c r="M23" t="str">
        <f>+'staffing plan'!AX33</f>
        <v>Regional Office</v>
      </c>
      <c r="N23" t="str">
        <f>+'staffing plan'!AY33</f>
        <v>F</v>
      </c>
      <c r="O23" s="145" t="e">
        <f>+'staffing plan'!#REF!</f>
        <v>#REF!</v>
      </c>
      <c r="P23" s="145" t="e">
        <f>+'staffing plan'!#REF!</f>
        <v>#REF!</v>
      </c>
      <c r="Q23" s="145" t="e">
        <f>+'staffing plan'!#REF!</f>
        <v>#REF!</v>
      </c>
      <c r="R23" t="str">
        <f>+'staffing plan'!BP33</f>
        <v>Shifting</v>
      </c>
      <c r="S23">
        <v>22</v>
      </c>
    </row>
    <row r="24" spans="1:19">
      <c r="A24">
        <f t="shared" si="3"/>
        <v>2007</v>
      </c>
      <c r="B24">
        <f t="shared" si="1"/>
        <v>2012</v>
      </c>
      <c r="C24">
        <f>+'staffing plan'!BK34</f>
        <v>41149</v>
      </c>
      <c r="D24" t="str">
        <f>'staffing plan'!A34</f>
        <v>OSEC-DILGB-LGOO5-824-1998</v>
      </c>
      <c r="E24" t="str">
        <f>+'staffing plan'!B34</f>
        <v>Local Government Operations Officer V</v>
      </c>
      <c r="F24">
        <f>+'staffing plan'!C34</f>
        <v>20</v>
      </c>
      <c r="G24" s="131">
        <f>+'staffing plan'!AH34</f>
        <v>613860</v>
      </c>
      <c r="H24" s="131">
        <f>+'staffing plan'!AI34</f>
        <v>634056</v>
      </c>
      <c r="I24" s="131">
        <f>+'staffing plan'!AJ34</f>
        <v>3</v>
      </c>
      <c r="J24" t="str">
        <f>+'staffing plan'!AW34</f>
        <v>GARCIA, Florinda Manuyag</v>
      </c>
      <c r="K24" t="e">
        <f>+'staffing plan'!#REF!</f>
        <v>#REF!</v>
      </c>
      <c r="L24" t="e">
        <f>+'staffing plan'!#REF!</f>
        <v>#REF!</v>
      </c>
      <c r="M24" t="str">
        <f>+'staffing plan'!AX34</f>
        <v>Regional Office</v>
      </c>
      <c r="N24" t="str">
        <f>+'staffing plan'!AY34</f>
        <v>F</v>
      </c>
      <c r="O24" s="145" t="e">
        <f>+'staffing plan'!#REF!</f>
        <v>#REF!</v>
      </c>
      <c r="P24" s="145" t="e">
        <f>+'staffing plan'!#REF!</f>
        <v>#REF!</v>
      </c>
      <c r="Q24" s="145" t="e">
        <f>+'staffing plan'!#REF!</f>
        <v>#REF!</v>
      </c>
      <c r="R24" t="str">
        <f>+'staffing plan'!BP34</f>
        <v>Shifting</v>
      </c>
      <c r="S24">
        <v>23</v>
      </c>
    </row>
    <row r="25" spans="1:19">
      <c r="A25">
        <f t="shared" si="3"/>
        <v>2004</v>
      </c>
      <c r="B25">
        <f t="shared" si="1"/>
        <v>2018</v>
      </c>
      <c r="C25">
        <f>+'staffing plan'!BK35</f>
        <v>43168</v>
      </c>
      <c r="D25" t="str">
        <f>'staffing plan'!A35</f>
        <v>OSEC-DILGB-LGOO5-835-1998</v>
      </c>
      <c r="E25" t="str">
        <f>+'staffing plan'!B35</f>
        <v>Local Government Operations Officer V</v>
      </c>
      <c r="F25">
        <f>+'staffing plan'!C35</f>
        <v>20</v>
      </c>
      <c r="G25" s="131">
        <f>+'staffing plan'!AH35</f>
        <v>613860</v>
      </c>
      <c r="H25" s="131">
        <f>+'staffing plan'!AI35</f>
        <v>613860</v>
      </c>
      <c r="I25" s="131">
        <f>+'staffing plan'!AJ35</f>
        <v>1</v>
      </c>
      <c r="J25" t="str">
        <f>+'staffing plan'!AW35</f>
        <v>TINDUNGAN, Kenneth Cuyapi</v>
      </c>
      <c r="K25" t="e">
        <f>+'staffing plan'!#REF!</f>
        <v>#REF!</v>
      </c>
      <c r="L25" t="e">
        <f>+'staffing plan'!#REF!</f>
        <v>#REF!</v>
      </c>
      <c r="M25" t="str">
        <f>+'staffing plan'!AX35</f>
        <v>Regional Office</v>
      </c>
      <c r="N25" t="str">
        <f>+'staffing plan'!AY35</f>
        <v>M</v>
      </c>
      <c r="O25" s="145" t="e">
        <f>+'staffing plan'!#REF!</f>
        <v>#REF!</v>
      </c>
      <c r="P25" s="145" t="e">
        <f>+'staffing plan'!#REF!</f>
        <v>#REF!</v>
      </c>
      <c r="Q25" s="145" t="e">
        <f>+'staffing plan'!#REF!</f>
        <v>#REF!</v>
      </c>
      <c r="R25">
        <f>+'staffing plan'!BP35</f>
        <v>0</v>
      </c>
      <c r="S25">
        <v>24</v>
      </c>
    </row>
    <row r="26" spans="1:19" hidden="1">
      <c r="A26">
        <f t="shared" si="3"/>
        <v>2001</v>
      </c>
      <c r="B26">
        <f t="shared" si="1"/>
        <v>2018</v>
      </c>
      <c r="C26">
        <f>+'staffing plan'!BK36</f>
        <v>43129</v>
      </c>
      <c r="D26" t="str">
        <f>'staffing plan'!A36</f>
        <v>OSEC-DILGB-LGOO4-166-1998</v>
      </c>
      <c r="E26" t="str">
        <f>+'staffing plan'!B36</f>
        <v>Local Government Operations Officer IV</v>
      </c>
      <c r="F26">
        <f>+'staffing plan'!C36</f>
        <v>18</v>
      </c>
      <c r="G26" s="131">
        <f>+'staffing plan'!AH36</f>
        <v>487644</v>
      </c>
      <c r="H26" s="131">
        <f>+'staffing plan'!AI36</f>
        <v>487644</v>
      </c>
      <c r="I26" s="131">
        <f>+'staffing plan'!AJ36</f>
        <v>1</v>
      </c>
      <c r="J26" t="str">
        <f>+'staffing plan'!AW36</f>
        <v>CANULLAS, Mary Jheama Rachine  Esperanzate</v>
      </c>
      <c r="K26" t="e">
        <f>+'staffing plan'!#REF!</f>
        <v>#REF!</v>
      </c>
      <c r="L26" t="e">
        <f>+'staffing plan'!#REF!</f>
        <v>#REF!</v>
      </c>
      <c r="M26" t="str">
        <f>+'staffing plan'!AX36</f>
        <v>Regional Office</v>
      </c>
      <c r="N26" t="str">
        <f>+'staffing plan'!AY36</f>
        <v>F</v>
      </c>
      <c r="O26" s="145" t="e">
        <f>+'staffing plan'!#REF!</f>
        <v>#REF!</v>
      </c>
      <c r="P26" s="145" t="e">
        <f>+'staffing plan'!#REF!</f>
        <v>#REF!</v>
      </c>
      <c r="Q26" s="145" t="e">
        <f>+'staffing plan'!#REF!</f>
        <v>#REF!</v>
      </c>
      <c r="R26" t="str">
        <f>+'staffing plan'!BP36</f>
        <v>Region</v>
      </c>
      <c r="S26">
        <v>25</v>
      </c>
    </row>
    <row r="27" spans="1:19">
      <c r="A27">
        <f t="shared" si="3"/>
        <v>1998</v>
      </c>
      <c r="B27">
        <f t="shared" si="1"/>
        <v>2012</v>
      </c>
      <c r="C27">
        <f>+'staffing plan'!BK37</f>
        <v>41254</v>
      </c>
      <c r="D27" t="str">
        <f>'staffing plan'!A37</f>
        <v>OSEC-DILGB-LGOO4-167-1998</v>
      </c>
      <c r="E27" t="str">
        <f>+'staffing plan'!B37</f>
        <v>Local Government Operations Officer IV</v>
      </c>
      <c r="F27">
        <f>+'staffing plan'!C37</f>
        <v>18</v>
      </c>
      <c r="G27" s="131">
        <f>+'staffing plan'!AH37</f>
        <v>487644</v>
      </c>
      <c r="H27" s="131">
        <f>+'staffing plan'!AI37</f>
        <v>499800</v>
      </c>
      <c r="I27" s="131">
        <f>+'staffing plan'!AJ37</f>
        <v>3</v>
      </c>
      <c r="J27" t="str">
        <f>+'staffing plan'!AW37</f>
        <v>BUENA, Maria Consolacion Salibad</v>
      </c>
      <c r="K27" t="e">
        <f>+'staffing plan'!#REF!</f>
        <v>#REF!</v>
      </c>
      <c r="L27" t="e">
        <f>+'staffing plan'!#REF!</f>
        <v>#REF!</v>
      </c>
      <c r="M27" t="str">
        <f>+'staffing plan'!AX37</f>
        <v>Regional Office</v>
      </c>
      <c r="N27" t="str">
        <f>+'staffing plan'!AY37</f>
        <v>F</v>
      </c>
      <c r="O27" s="145" t="e">
        <f>+'staffing plan'!#REF!</f>
        <v>#REF!</v>
      </c>
      <c r="P27" s="145" t="e">
        <f>+'staffing plan'!#REF!</f>
        <v>#REF!</v>
      </c>
      <c r="Q27" s="145" t="e">
        <f>+'staffing plan'!#REF!</f>
        <v>#REF!</v>
      </c>
      <c r="R27" t="str">
        <f>+'staffing plan'!BP37</f>
        <v>06/08/16 transfer frm PLO</v>
      </c>
      <c r="S27">
        <v>26</v>
      </c>
    </row>
    <row r="28" spans="1:19" hidden="1">
      <c r="A28">
        <f t="shared" si="3"/>
        <v>1995</v>
      </c>
      <c r="B28">
        <f t="shared" si="1"/>
        <v>2017</v>
      </c>
      <c r="C28">
        <f>+'staffing plan'!BK38</f>
        <v>42835</v>
      </c>
      <c r="D28" t="str">
        <f>'staffing plan'!A38</f>
        <v>OSEC-DILGB-STAT2-101-2010</v>
      </c>
      <c r="E28" t="str">
        <f>+'staffing plan'!B38</f>
        <v>Statistician II</v>
      </c>
      <c r="F28">
        <f>+'staffing plan'!C38</f>
        <v>15</v>
      </c>
      <c r="G28" s="131">
        <f>+'staffing plan'!AH38</f>
        <v>366372</v>
      </c>
      <c r="H28" s="131">
        <f>+'staffing plan'!AI38</f>
        <v>366372</v>
      </c>
      <c r="I28" s="131">
        <f>+'staffing plan'!AJ38</f>
        <v>1</v>
      </c>
      <c r="J28" t="str">
        <f>+'staffing plan'!AW38</f>
        <v>AZARCON, Danilo Jr Estrella</v>
      </c>
      <c r="K28" t="e">
        <f>+'staffing plan'!#REF!</f>
        <v>#REF!</v>
      </c>
      <c r="L28" t="e">
        <f>+'staffing plan'!#REF!</f>
        <v>#REF!</v>
      </c>
      <c r="M28" t="str">
        <f>+'staffing plan'!AX38</f>
        <v>Regional Office</v>
      </c>
      <c r="N28" t="str">
        <f>+'staffing plan'!AY38</f>
        <v>M</v>
      </c>
      <c r="O28" s="145" t="e">
        <f>+'staffing plan'!#REF!</f>
        <v>#REF!</v>
      </c>
      <c r="P28" s="145" t="e">
        <f>+'staffing plan'!#REF!</f>
        <v>#REF!</v>
      </c>
      <c r="Q28" s="145" t="e">
        <f>+'staffing plan'!#REF!</f>
        <v>#REF!</v>
      </c>
      <c r="R28">
        <f>+'staffing plan'!BP38</f>
        <v>0</v>
      </c>
      <c r="S28">
        <v>27</v>
      </c>
    </row>
    <row r="29" spans="1:19" hidden="1">
      <c r="A29">
        <f t="shared" si="3"/>
        <v>1992</v>
      </c>
      <c r="B29">
        <f t="shared" si="1"/>
        <v>2014</v>
      </c>
      <c r="C29">
        <f>+'staffing plan'!BK39</f>
        <v>41967</v>
      </c>
      <c r="D29" t="str">
        <f>'staffing plan'!A39</f>
        <v>OSEC-DILGB-STAT1-3-1998</v>
      </c>
      <c r="E29" t="str">
        <f>+'staffing plan'!B39</f>
        <v>Statistician I</v>
      </c>
      <c r="F29">
        <f>+'staffing plan'!C39</f>
        <v>11</v>
      </c>
      <c r="G29" s="131">
        <f>+'staffing plan'!AH39</f>
        <v>249048</v>
      </c>
      <c r="H29" s="131">
        <f>+'staffing plan'!AI39</f>
        <v>252456</v>
      </c>
      <c r="I29" s="131">
        <f>+'staffing plan'!AJ39</f>
        <v>2</v>
      </c>
      <c r="J29" t="str">
        <f>+'staffing plan'!AW39</f>
        <v>LOPEZ, Sesvir Castañeda</v>
      </c>
      <c r="K29" t="e">
        <f>+'staffing plan'!#REF!</f>
        <v>#REF!</v>
      </c>
      <c r="L29" t="e">
        <f>+'staffing plan'!#REF!</f>
        <v>#REF!</v>
      </c>
      <c r="M29" t="str">
        <f>+'staffing plan'!AX39</f>
        <v>Regional Office</v>
      </c>
      <c r="N29" t="str">
        <f>+'staffing plan'!AY39</f>
        <v>F</v>
      </c>
      <c r="O29" s="145" t="e">
        <f>+'staffing plan'!#REF!</f>
        <v>#REF!</v>
      </c>
      <c r="P29" s="145" t="e">
        <f>+'staffing plan'!#REF!</f>
        <v>#REF!</v>
      </c>
      <c r="Q29" s="145" t="e">
        <f>+'staffing plan'!#REF!</f>
        <v>#REF!</v>
      </c>
      <c r="R29">
        <f>+'staffing plan'!BP39</f>
        <v>0</v>
      </c>
      <c r="S29">
        <v>28</v>
      </c>
    </row>
    <row r="30" spans="1:19">
      <c r="B30">
        <f t="shared" si="1"/>
        <v>2015</v>
      </c>
      <c r="C30">
        <f>+'staffing plan'!BK40</f>
        <v>42186</v>
      </c>
      <c r="D30" t="str">
        <f>'staffing plan'!A40</f>
        <v>OSEC-DILGB-ADA6-88-2010</v>
      </c>
      <c r="E30" t="str">
        <f>+'staffing plan'!B40</f>
        <v>Administrative Aide VI</v>
      </c>
      <c r="F30">
        <f>+'staffing plan'!C40</f>
        <v>6</v>
      </c>
      <c r="G30" s="131">
        <f>+'staffing plan'!AH40</f>
        <v>178164</v>
      </c>
      <c r="H30" s="131">
        <f>+'staffing plan'!AI40</f>
        <v>179532</v>
      </c>
      <c r="I30" s="131">
        <f>+'staffing plan'!AJ40</f>
        <v>2</v>
      </c>
      <c r="J30" t="str">
        <f>+'staffing plan'!AW40</f>
        <v>MAGCIANO, Juden Beth Uybaan</v>
      </c>
      <c r="K30" t="e">
        <f>+'staffing plan'!#REF!</f>
        <v>#REF!</v>
      </c>
      <c r="L30" t="e">
        <f>+'staffing plan'!#REF!</f>
        <v>#REF!</v>
      </c>
      <c r="M30" t="str">
        <f>+'staffing plan'!AX40</f>
        <v>Ifugao</v>
      </c>
      <c r="N30" t="str">
        <f>+'staffing plan'!AY40</f>
        <v>F</v>
      </c>
      <c r="O30" s="145" t="e">
        <f>+'staffing plan'!#REF!</f>
        <v>#REF!</v>
      </c>
      <c r="P30" s="145" t="e">
        <f>+'staffing plan'!#REF!</f>
        <v>#REF!</v>
      </c>
      <c r="Q30" s="145" t="e">
        <f>+'staffing plan'!#REF!</f>
        <v>#REF!</v>
      </c>
      <c r="R30">
        <f>+'staffing plan'!BP40</f>
        <v>0</v>
      </c>
      <c r="S30">
        <v>29</v>
      </c>
    </row>
    <row r="31" spans="1:19" hidden="1">
      <c r="B31">
        <f t="shared" si="1"/>
        <v>1900</v>
      </c>
      <c r="C31">
        <f>+'staffing plan'!BK41</f>
        <v>0</v>
      </c>
      <c r="D31" t="str">
        <f>'staffing plan'!A41</f>
        <v>Sub-Total</v>
      </c>
      <c r="E31">
        <f>+'staffing plan'!B41</f>
        <v>0</v>
      </c>
      <c r="F31">
        <f>+'staffing plan'!C41</f>
        <v>0</v>
      </c>
      <c r="G31" s="131">
        <f>+'staffing plan'!AH41</f>
        <v>0</v>
      </c>
      <c r="H31" s="131">
        <f>+'staffing plan'!AI41</f>
        <v>0</v>
      </c>
      <c r="I31" s="131">
        <f>+'staffing plan'!AJ41</f>
        <v>10</v>
      </c>
      <c r="J31">
        <f>+'staffing plan'!AW41</f>
        <v>0</v>
      </c>
      <c r="K31" t="e">
        <f>+'staffing plan'!#REF!</f>
        <v>#REF!</v>
      </c>
      <c r="L31" t="e">
        <f>+'staffing plan'!#REF!</f>
        <v>#REF!</v>
      </c>
      <c r="M31">
        <f>+'staffing plan'!AX41</f>
        <v>0</v>
      </c>
      <c r="N31">
        <f>+'staffing plan'!AY41</f>
        <v>0</v>
      </c>
      <c r="O31" s="145" t="e">
        <f>+'staffing plan'!#REF!</f>
        <v>#REF!</v>
      </c>
      <c r="P31" s="145" t="e">
        <f>+'staffing plan'!#REF!</f>
        <v>#REF!</v>
      </c>
      <c r="Q31" s="145" t="e">
        <f>+'staffing plan'!#REF!</f>
        <v>#REF!</v>
      </c>
      <c r="R31">
        <f>+'staffing plan'!BP41</f>
        <v>0</v>
      </c>
      <c r="S31">
        <v>30</v>
      </c>
    </row>
    <row r="32" spans="1:19" hidden="1">
      <c r="B32">
        <f t="shared" si="1"/>
        <v>1900</v>
      </c>
      <c r="C32">
        <f>+'staffing plan'!BK42</f>
        <v>0</v>
      </c>
      <c r="D32" t="str">
        <f>'staffing plan'!A42</f>
        <v>64,000          Finance and Administrative Division</v>
      </c>
      <c r="E32">
        <f>+'staffing plan'!B42</f>
        <v>0</v>
      </c>
      <c r="F32">
        <f>+'staffing plan'!C42</f>
        <v>0</v>
      </c>
      <c r="G32" s="131">
        <f>+'staffing plan'!AH42</f>
        <v>0</v>
      </c>
      <c r="H32" s="131">
        <f>+'staffing plan'!AI42</f>
        <v>0</v>
      </c>
      <c r="I32" s="131">
        <f>+'staffing plan'!AJ42</f>
        <v>0</v>
      </c>
      <c r="J32">
        <f>+'staffing plan'!AW42</f>
        <v>0</v>
      </c>
      <c r="K32" t="e">
        <f>+'staffing plan'!#REF!</f>
        <v>#REF!</v>
      </c>
      <c r="L32" t="e">
        <f>+'staffing plan'!#REF!</f>
        <v>#REF!</v>
      </c>
      <c r="M32">
        <f>+'staffing plan'!AX42</f>
        <v>0</v>
      </c>
      <c r="N32">
        <f>+'staffing plan'!AY42</f>
        <v>0</v>
      </c>
      <c r="O32" s="145" t="e">
        <f>+'staffing plan'!#REF!</f>
        <v>#REF!</v>
      </c>
      <c r="P32" s="145" t="e">
        <f>+'staffing plan'!#REF!</f>
        <v>#REF!</v>
      </c>
      <c r="Q32" s="145" t="e">
        <f>+'staffing plan'!#REF!</f>
        <v>#REF!</v>
      </c>
      <c r="R32">
        <f>+'staffing plan'!BP42</f>
        <v>0</v>
      </c>
      <c r="S32">
        <v>31</v>
      </c>
    </row>
    <row r="33" spans="2:19">
      <c r="B33">
        <f t="shared" si="1"/>
        <v>2012</v>
      </c>
      <c r="C33">
        <f>+'staffing plan'!BK43</f>
        <v>40924</v>
      </c>
      <c r="D33" t="str">
        <f>'staffing plan'!A43</f>
        <v>OSEC-DILGB-CADOF-19-2005</v>
      </c>
      <c r="E33" t="str">
        <f>+'staffing plan'!B43</f>
        <v>Chief Administrative Officer</v>
      </c>
      <c r="F33">
        <f>+'staffing plan'!C43</f>
        <v>24</v>
      </c>
      <c r="G33" s="131">
        <f>+'staffing plan'!AH43</f>
        <v>1000872</v>
      </c>
      <c r="H33" s="131">
        <f>+'staffing plan'!AI43</f>
        <v>1033812</v>
      </c>
      <c r="I33" s="131">
        <f>+'staffing plan'!AJ43</f>
        <v>3</v>
      </c>
      <c r="J33" t="str">
        <f>+'staffing plan'!AW43</f>
        <v>MON, Shirley Evangeline Vergara</v>
      </c>
      <c r="K33" t="e">
        <f>+'staffing plan'!#REF!</f>
        <v>#REF!</v>
      </c>
      <c r="L33" t="e">
        <f>+'staffing plan'!#REF!</f>
        <v>#REF!</v>
      </c>
      <c r="M33" t="str">
        <f>+'staffing plan'!AX43</f>
        <v>Regional Office</v>
      </c>
      <c r="N33" t="str">
        <f>+'staffing plan'!AY43</f>
        <v>F</v>
      </c>
      <c r="O33" s="145" t="e">
        <f>+'staffing plan'!#REF!</f>
        <v>#REF!</v>
      </c>
      <c r="P33" s="145" t="e">
        <f>+'staffing plan'!#REF!</f>
        <v>#REF!</v>
      </c>
      <c r="Q33" s="145" t="e">
        <f>+'staffing plan'!#REF!</f>
        <v>#REF!</v>
      </c>
      <c r="R33">
        <f>+'staffing plan'!BP43</f>
        <v>0</v>
      </c>
      <c r="S33">
        <v>32</v>
      </c>
    </row>
    <row r="34" spans="2:19">
      <c r="B34">
        <f t="shared" si="1"/>
        <v>2012</v>
      </c>
      <c r="C34">
        <f>+'staffing plan'!BK44</f>
        <v>41138</v>
      </c>
      <c r="D34" t="str">
        <f>'staffing plan'!A44</f>
        <v>OSEC-DILGB-SAD0F-34-2005</v>
      </c>
      <c r="E34" t="str">
        <f>+'staffing plan'!B44</f>
        <v>Supervising Administrative Officer</v>
      </c>
      <c r="F34">
        <f>+'staffing plan'!C44</f>
        <v>22</v>
      </c>
      <c r="G34" s="131">
        <f>+'staffing plan'!AH44</f>
        <v>783828</v>
      </c>
      <c r="H34" s="131">
        <f>+'staffing plan'!AI44</f>
        <v>809628</v>
      </c>
      <c r="I34" s="131">
        <f>+'staffing plan'!AJ44</f>
        <v>3</v>
      </c>
      <c r="J34" t="str">
        <f>+'staffing plan'!AW44</f>
        <v>BALANG, Gerry Cobcobo</v>
      </c>
      <c r="K34" t="e">
        <f>+'staffing plan'!#REF!</f>
        <v>#REF!</v>
      </c>
      <c r="L34" t="e">
        <f>+'staffing plan'!#REF!</f>
        <v>#REF!</v>
      </c>
      <c r="M34" t="str">
        <f>+'staffing plan'!AX44</f>
        <v>Regional Office</v>
      </c>
      <c r="N34" t="str">
        <f>+'staffing plan'!AY44</f>
        <v>M</v>
      </c>
      <c r="O34" s="145" t="e">
        <f>+'staffing plan'!#REF!</f>
        <v>#REF!</v>
      </c>
      <c r="P34" s="145" t="e">
        <f>+'staffing plan'!#REF!</f>
        <v>#REF!</v>
      </c>
      <c r="Q34" s="145" t="e">
        <f>+'staffing plan'!#REF!</f>
        <v>#REF!</v>
      </c>
      <c r="R34">
        <f>+'staffing plan'!BP44</f>
        <v>0</v>
      </c>
      <c r="S34">
        <v>33</v>
      </c>
    </row>
    <row r="35" spans="2:19" hidden="1">
      <c r="B35">
        <f t="shared" si="1"/>
        <v>2010</v>
      </c>
      <c r="C35">
        <f>+'staffing plan'!BK45</f>
        <v>40256</v>
      </c>
      <c r="D35" t="str">
        <f>'staffing plan'!A45</f>
        <v>OSEC-DILGB-A3-16-1998</v>
      </c>
      <c r="E35" t="str">
        <f>+'staffing plan'!B45</f>
        <v>Accountant III</v>
      </c>
      <c r="F35">
        <f>+'staffing plan'!C45</f>
        <v>19</v>
      </c>
      <c r="G35" s="131">
        <f>+'staffing plan'!AH45</f>
        <v>543228</v>
      </c>
      <c r="H35" s="131">
        <f>+'staffing plan'!AI45</f>
        <v>561108</v>
      </c>
      <c r="I35" s="131">
        <f>+'staffing plan'!AJ45</f>
        <v>3</v>
      </c>
      <c r="J35" t="str">
        <f>+'staffing plan'!AW45</f>
        <v>CHAOKAS, Jennifer Sokoken</v>
      </c>
      <c r="K35" t="e">
        <f>+'staffing plan'!#REF!</f>
        <v>#REF!</v>
      </c>
      <c r="L35" t="e">
        <f>+'staffing plan'!#REF!</f>
        <v>#REF!</v>
      </c>
      <c r="M35" t="str">
        <f>+'staffing plan'!AX45</f>
        <v>Regional Office</v>
      </c>
      <c r="N35" t="str">
        <f>+'staffing plan'!AY45</f>
        <v>F</v>
      </c>
      <c r="O35" s="145" t="e">
        <f>+'staffing plan'!#REF!</f>
        <v>#REF!</v>
      </c>
      <c r="P35" s="145" t="e">
        <f>+'staffing plan'!#REF!</f>
        <v>#REF!</v>
      </c>
      <c r="Q35" s="145" t="e">
        <f>+'staffing plan'!#REF!</f>
        <v>#REF!</v>
      </c>
      <c r="R35">
        <f>+'staffing plan'!BP45</f>
        <v>0</v>
      </c>
      <c r="S35">
        <v>34</v>
      </c>
    </row>
    <row r="36" spans="2:19">
      <c r="B36">
        <f t="shared" si="1"/>
        <v>2012</v>
      </c>
      <c r="C36">
        <f>+'staffing plan'!BK46</f>
        <v>41260</v>
      </c>
      <c r="D36" t="str">
        <f>'staffing plan'!A46</f>
        <v>OSEC-DILGB-ADOF5-52-2005</v>
      </c>
      <c r="E36" t="str">
        <f>+'staffing plan'!B46</f>
        <v xml:space="preserve">Administrative Officer V </v>
      </c>
      <c r="F36">
        <f>+'staffing plan'!C46</f>
        <v>18</v>
      </c>
      <c r="G36" s="131">
        <f>+'staffing plan'!AH46</f>
        <v>487644</v>
      </c>
      <c r="H36" s="131">
        <f>+'staffing plan'!AI46</f>
        <v>499800</v>
      </c>
      <c r="I36" s="131">
        <f>+'staffing plan'!AJ46</f>
        <v>3</v>
      </c>
      <c r="J36" t="str">
        <f>+'staffing plan'!AW46</f>
        <v>ESDEN, Iris Balabag</v>
      </c>
      <c r="K36" t="e">
        <f>+'staffing plan'!#REF!</f>
        <v>#REF!</v>
      </c>
      <c r="L36" t="e">
        <f>+'staffing plan'!#REF!</f>
        <v>#REF!</v>
      </c>
      <c r="M36" t="str">
        <f>+'staffing plan'!AX46</f>
        <v>Regional Office</v>
      </c>
      <c r="N36" t="str">
        <f>+'staffing plan'!AY46</f>
        <v>F</v>
      </c>
      <c r="O36" s="145" t="e">
        <f>+'staffing plan'!#REF!</f>
        <v>#REF!</v>
      </c>
      <c r="P36" s="145" t="e">
        <f>+'staffing plan'!#REF!</f>
        <v>#REF!</v>
      </c>
      <c r="Q36" s="145" t="e">
        <f>+'staffing plan'!#REF!</f>
        <v>#REF!</v>
      </c>
      <c r="R36">
        <f>+'staffing plan'!BP46</f>
        <v>0</v>
      </c>
      <c r="S36">
        <v>35</v>
      </c>
    </row>
    <row r="37" spans="2:19">
      <c r="B37">
        <f t="shared" si="1"/>
        <v>2015</v>
      </c>
      <c r="C37">
        <f>+'staffing plan'!BK47</f>
        <v>42184</v>
      </c>
      <c r="D37" t="str">
        <f>'staffing plan'!A47</f>
        <v>OSEC-DILGB-ADOF5-53-2005</v>
      </c>
      <c r="E37" t="str">
        <f>+'staffing plan'!B47</f>
        <v xml:space="preserve">Administrative Officer V </v>
      </c>
      <c r="F37">
        <f>+'staffing plan'!C47</f>
        <v>18</v>
      </c>
      <c r="G37" s="131">
        <f>+'staffing plan'!AH47</f>
        <v>487644</v>
      </c>
      <c r="H37" s="131">
        <f>+'staffing plan'!AI47</f>
        <v>493680</v>
      </c>
      <c r="I37" s="131">
        <f>+'staffing plan'!AJ47</f>
        <v>2</v>
      </c>
      <c r="J37" t="str">
        <f>+'staffing plan'!AW47</f>
        <v>MATIB, Louven Longbuan</v>
      </c>
      <c r="K37" t="e">
        <f>+'staffing plan'!#REF!</f>
        <v>#REF!</v>
      </c>
      <c r="L37" t="e">
        <f>+'staffing plan'!#REF!</f>
        <v>#REF!</v>
      </c>
      <c r="M37" t="str">
        <f>+'staffing plan'!AX47</f>
        <v>Regional Office</v>
      </c>
      <c r="N37" t="str">
        <f>+'staffing plan'!AY47</f>
        <v>M</v>
      </c>
      <c r="O37" s="145" t="e">
        <f>+'staffing plan'!#REF!</f>
        <v>#REF!</v>
      </c>
      <c r="P37" s="145" t="e">
        <f>+'staffing plan'!#REF!</f>
        <v>#REF!</v>
      </c>
      <c r="Q37" s="145" t="e">
        <f>+'staffing plan'!#REF!</f>
        <v>#REF!</v>
      </c>
      <c r="R37">
        <f>+'staffing plan'!BP47</f>
        <v>0</v>
      </c>
      <c r="S37">
        <v>36</v>
      </c>
    </row>
    <row r="38" spans="2:19">
      <c r="B38">
        <f t="shared" si="1"/>
        <v>2006</v>
      </c>
      <c r="C38">
        <f>+'staffing plan'!BK48</f>
        <v>38926</v>
      </c>
      <c r="D38" t="str">
        <f>'staffing plan'!A48</f>
        <v>OSEC-DILGB-ADOF5-54-2005</v>
      </c>
      <c r="E38" t="str">
        <f>+'staffing plan'!B48</f>
        <v xml:space="preserve">Administrative Officer V </v>
      </c>
      <c r="F38">
        <f>+'staffing plan'!C48</f>
        <v>18</v>
      </c>
      <c r="G38" s="131">
        <f>+'staffing plan'!AH48</f>
        <v>487644</v>
      </c>
      <c r="H38" s="131">
        <f>+'staffing plan'!AI48</f>
        <v>512256</v>
      </c>
      <c r="I38" s="131">
        <f>+'staffing plan'!AJ48</f>
        <v>5</v>
      </c>
      <c r="J38" t="str">
        <f>+'staffing plan'!AW48</f>
        <v>BARNACHEA, Norman Idica</v>
      </c>
      <c r="K38" t="e">
        <f>+'staffing plan'!#REF!</f>
        <v>#REF!</v>
      </c>
      <c r="L38" t="e">
        <f>+'staffing plan'!#REF!</f>
        <v>#REF!</v>
      </c>
      <c r="M38" t="str">
        <f>+'staffing plan'!AX48</f>
        <v>Regional Office</v>
      </c>
      <c r="N38" t="str">
        <f>+'staffing plan'!AY48</f>
        <v>M</v>
      </c>
      <c r="O38" s="145" t="e">
        <f>+'staffing plan'!#REF!</f>
        <v>#REF!</v>
      </c>
      <c r="P38" s="145" t="e">
        <f>+'staffing plan'!#REF!</f>
        <v>#REF!</v>
      </c>
      <c r="Q38" s="145" t="e">
        <f>+'staffing plan'!#REF!</f>
        <v>#REF!</v>
      </c>
      <c r="R38">
        <f>+'staffing plan'!BP48</f>
        <v>0</v>
      </c>
      <c r="S38">
        <v>37</v>
      </c>
    </row>
    <row r="39" spans="2:19" hidden="1">
      <c r="B39">
        <f t="shared" si="1"/>
        <v>2017</v>
      </c>
      <c r="C39">
        <f>+'staffing plan'!BK49</f>
        <v>42821</v>
      </c>
      <c r="D39" t="str">
        <f>'staffing plan'!A49</f>
        <v>OSEC-DILGB-A2-6-1998</v>
      </c>
      <c r="E39" t="str">
        <f>+'staffing plan'!B49</f>
        <v>Accountant II</v>
      </c>
      <c r="F39">
        <f>+'staffing plan'!C49</f>
        <v>16</v>
      </c>
      <c r="G39" s="131">
        <f>+'staffing plan'!AH49</f>
        <v>403008</v>
      </c>
      <c r="H39" s="131">
        <f>+'staffing plan'!AI49</f>
        <v>403008</v>
      </c>
      <c r="I39" s="131">
        <f>+'staffing plan'!AJ49</f>
        <v>1</v>
      </c>
      <c r="J39" t="str">
        <f>+'staffing plan'!AW49</f>
        <v>MACASIEB, Marlyn Pilot</v>
      </c>
      <c r="K39" t="e">
        <f>+'staffing plan'!#REF!</f>
        <v>#REF!</v>
      </c>
      <c r="L39" t="e">
        <f>+'staffing plan'!#REF!</f>
        <v>#REF!</v>
      </c>
      <c r="M39" t="str">
        <f>+'staffing plan'!AX49</f>
        <v>Regional Office</v>
      </c>
      <c r="N39" t="str">
        <f>+'staffing plan'!AY49</f>
        <v>F</v>
      </c>
      <c r="O39" s="145" t="e">
        <f>+'staffing plan'!#REF!</f>
        <v>#REF!</v>
      </c>
      <c r="P39" s="145" t="e">
        <f>+'staffing plan'!#REF!</f>
        <v>#REF!</v>
      </c>
      <c r="Q39" s="145" t="e">
        <f>+'staffing plan'!#REF!</f>
        <v>#REF!</v>
      </c>
      <c r="R39">
        <f>+'staffing plan'!BP49</f>
        <v>0</v>
      </c>
      <c r="S39">
        <v>38</v>
      </c>
    </row>
    <row r="40" spans="2:19">
      <c r="B40">
        <f t="shared" si="1"/>
        <v>2012</v>
      </c>
      <c r="C40">
        <f>+'staffing plan'!BK50</f>
        <v>41260</v>
      </c>
      <c r="D40" t="str">
        <f>'staffing plan'!A50</f>
        <v>OSEC-DILGB-ADOF4-70-2005</v>
      </c>
      <c r="E40" t="str">
        <f>+'staffing plan'!B50</f>
        <v xml:space="preserve">Administrative Officer IV </v>
      </c>
      <c r="F40">
        <f>+'staffing plan'!C50</f>
        <v>15</v>
      </c>
      <c r="G40" s="131">
        <f>+'staffing plan'!AH50</f>
        <v>366372</v>
      </c>
      <c r="H40" s="131">
        <f>+'staffing plan'!AI50</f>
        <v>375504</v>
      </c>
      <c r="I40" s="131">
        <f>+'staffing plan'!AJ50</f>
        <v>3</v>
      </c>
      <c r="J40" t="str">
        <f>+'staffing plan'!AW50</f>
        <v>WONG, Arlene Eustaquio</v>
      </c>
      <c r="K40" t="e">
        <f>+'staffing plan'!#REF!</f>
        <v>#REF!</v>
      </c>
      <c r="L40" t="e">
        <f>+'staffing plan'!#REF!</f>
        <v>#REF!</v>
      </c>
      <c r="M40" t="str">
        <f>+'staffing plan'!AX50</f>
        <v>Regional Office</v>
      </c>
      <c r="N40" t="str">
        <f>+'staffing plan'!AY50</f>
        <v>F</v>
      </c>
      <c r="O40" s="145" t="e">
        <f>+'staffing plan'!#REF!</f>
        <v>#REF!</v>
      </c>
      <c r="P40" s="145" t="e">
        <f>+'staffing plan'!#REF!</f>
        <v>#REF!</v>
      </c>
      <c r="Q40" s="145" t="e">
        <f>+'staffing plan'!#REF!</f>
        <v>#REF!</v>
      </c>
      <c r="R40">
        <f>+'staffing plan'!BP50</f>
        <v>0</v>
      </c>
      <c r="S40">
        <v>39</v>
      </c>
    </row>
    <row r="41" spans="2:19" hidden="1">
      <c r="B41">
        <f t="shared" si="1"/>
        <v>2011</v>
      </c>
      <c r="C41">
        <f>+'staffing plan'!BK51</f>
        <v>40893</v>
      </c>
      <c r="D41" t="str">
        <f>'staffing plan'!A51</f>
        <v>OSEC-DILGB-ADOF4-79-2005</v>
      </c>
      <c r="E41" t="str">
        <f>+'staffing plan'!B51</f>
        <v>Administrative Officer IV</v>
      </c>
      <c r="F41">
        <f>+'staffing plan'!C51</f>
        <v>15</v>
      </c>
      <c r="G41" s="131">
        <f>+'staffing plan'!AH51</f>
        <v>366372</v>
      </c>
      <c r="H41" s="131">
        <f>+'staffing plan'!AI51</f>
        <v>375504</v>
      </c>
      <c r="I41" s="131">
        <f>+'staffing plan'!AJ51</f>
        <v>3</v>
      </c>
      <c r="J41" t="str">
        <f>+'staffing plan'!AW51</f>
        <v>GED-ANG, Chrysantine Chan</v>
      </c>
      <c r="K41" t="e">
        <f>+'staffing plan'!#REF!</f>
        <v>#REF!</v>
      </c>
      <c r="L41" t="e">
        <f>+'staffing plan'!#REF!</f>
        <v>#REF!</v>
      </c>
      <c r="M41" t="str">
        <f>+'staffing plan'!AX51</f>
        <v>Regional Office</v>
      </c>
      <c r="N41" t="str">
        <f>+'staffing plan'!AY51</f>
        <v>F</v>
      </c>
      <c r="O41" s="145" t="e">
        <f>+'staffing plan'!#REF!</f>
        <v>#REF!</v>
      </c>
      <c r="P41" s="145" t="e">
        <f>+'staffing plan'!#REF!</f>
        <v>#REF!</v>
      </c>
      <c r="Q41" s="145" t="e">
        <f>+'staffing plan'!#REF!</f>
        <v>#REF!</v>
      </c>
      <c r="R41">
        <f>+'staffing plan'!BP51</f>
        <v>0</v>
      </c>
      <c r="S41">
        <v>40</v>
      </c>
    </row>
    <row r="42" spans="2:19" hidden="1">
      <c r="B42">
        <f t="shared" si="1"/>
        <v>2019</v>
      </c>
      <c r="C42">
        <f>+'staffing plan'!BK52</f>
        <v>43531</v>
      </c>
      <c r="D42" t="str">
        <f>'staffing plan'!A52</f>
        <v>OSEC-DILGB-ADOF3-43-2005</v>
      </c>
      <c r="E42" t="str">
        <f>+'staffing plan'!B52</f>
        <v xml:space="preserve">Administrative Officer III </v>
      </c>
      <c r="F42">
        <f>+'staffing plan'!C52</f>
        <v>14</v>
      </c>
      <c r="G42" s="131">
        <f>+'staffing plan'!AH52</f>
        <v>333060</v>
      </c>
      <c r="H42" s="131">
        <f>+'staffing plan'!AI52</f>
        <v>333060</v>
      </c>
      <c r="I42" s="131">
        <f>+'staffing plan'!AJ52</f>
        <v>1</v>
      </c>
      <c r="J42" t="str">
        <f>+'staffing plan'!AW52</f>
        <v>ESNARA, Myra Golingab</v>
      </c>
      <c r="K42" t="e">
        <f>+'staffing plan'!#REF!</f>
        <v>#REF!</v>
      </c>
      <c r="L42" t="e">
        <f>+'staffing plan'!#REF!</f>
        <v>#REF!</v>
      </c>
      <c r="M42" t="str">
        <f>+'staffing plan'!AX52</f>
        <v>Regional Office</v>
      </c>
      <c r="N42" t="str">
        <f>+'staffing plan'!AY52</f>
        <v>F</v>
      </c>
      <c r="O42" s="145" t="e">
        <f>+'staffing plan'!#REF!</f>
        <v>#REF!</v>
      </c>
      <c r="P42" s="145" t="e">
        <f>+'staffing plan'!#REF!</f>
        <v>#REF!</v>
      </c>
      <c r="Q42" s="145" t="e">
        <f>+'staffing plan'!#REF!</f>
        <v>#REF!</v>
      </c>
      <c r="R42">
        <f>+'staffing plan'!BP52</f>
        <v>0</v>
      </c>
      <c r="S42">
        <v>41</v>
      </c>
    </row>
    <row r="43" spans="2:19" hidden="1">
      <c r="B43">
        <f t="shared" si="1"/>
        <v>2014</v>
      </c>
      <c r="C43">
        <f>+'staffing plan'!BK53</f>
        <v>41946</v>
      </c>
      <c r="D43" t="str">
        <f>'staffing plan'!A53</f>
        <v>OSEC-DILGB-ADOF3-44-2005</v>
      </c>
      <c r="E43" t="str">
        <f>+'staffing plan'!B53</f>
        <v xml:space="preserve">Administrative Officer III </v>
      </c>
      <c r="F43">
        <f>+'staffing plan'!C53</f>
        <v>14</v>
      </c>
      <c r="G43" s="131">
        <f>+'staffing plan'!AH53</f>
        <v>333060</v>
      </c>
      <c r="H43" s="131">
        <f>+'staffing plan'!AI53</f>
        <v>337188</v>
      </c>
      <c r="I43" s="131">
        <f>+'staffing plan'!AJ53</f>
        <v>2</v>
      </c>
      <c r="J43" t="str">
        <f>+'staffing plan'!AW53</f>
        <v>RAMIREZ, Ronnel Fronda</v>
      </c>
      <c r="K43" t="e">
        <f>+'staffing plan'!#REF!</f>
        <v>#REF!</v>
      </c>
      <c r="L43" t="e">
        <f>+'staffing plan'!#REF!</f>
        <v>#REF!</v>
      </c>
      <c r="M43" t="str">
        <f>+'staffing plan'!AX53</f>
        <v>Regional Office</v>
      </c>
      <c r="N43" t="str">
        <f>+'staffing plan'!AY53</f>
        <v>M</v>
      </c>
      <c r="O43" s="145" t="e">
        <f>+'staffing plan'!#REF!</f>
        <v>#REF!</v>
      </c>
      <c r="P43" s="145" t="e">
        <f>+'staffing plan'!#REF!</f>
        <v>#REF!</v>
      </c>
      <c r="Q43" s="145" t="e">
        <f>+'staffing plan'!#REF!</f>
        <v>#REF!</v>
      </c>
      <c r="R43">
        <f>+'staffing plan'!BP53</f>
        <v>0</v>
      </c>
      <c r="S43">
        <v>42</v>
      </c>
    </row>
    <row r="44" spans="2:19">
      <c r="B44">
        <f t="shared" si="1"/>
        <v>2003</v>
      </c>
      <c r="C44">
        <f>+'staffing plan'!BK54</f>
        <v>37658</v>
      </c>
      <c r="D44" t="str">
        <f>'staffing plan'!A54</f>
        <v>OSEC-DILGB-ADAS3-65-2005</v>
      </c>
      <c r="E44" t="str">
        <f>+'staffing plan'!B54</f>
        <v xml:space="preserve">Administrative Assistant III </v>
      </c>
      <c r="F44">
        <f>+'staffing plan'!C54</f>
        <v>9</v>
      </c>
      <c r="G44" s="131">
        <f>+'staffing plan'!AH54</f>
        <v>215700</v>
      </c>
      <c r="H44" s="131">
        <f>+'staffing plan'!AI54</f>
        <v>224868</v>
      </c>
      <c r="I44" s="131">
        <f>+'staffing plan'!AJ54</f>
        <v>6</v>
      </c>
      <c r="J44" t="str">
        <f>+'staffing plan'!AW54</f>
        <v>CASTRO, Angelito Gaddi</v>
      </c>
      <c r="K44" t="e">
        <f>+'staffing plan'!#REF!</f>
        <v>#REF!</v>
      </c>
      <c r="L44" t="e">
        <f>+'staffing plan'!#REF!</f>
        <v>#REF!</v>
      </c>
      <c r="M44" t="str">
        <f>+'staffing plan'!AX54</f>
        <v>Regional Office</v>
      </c>
      <c r="N44" t="str">
        <f>+'staffing plan'!AY54</f>
        <v>M</v>
      </c>
      <c r="O44" s="145" t="e">
        <f>+'staffing plan'!#REF!</f>
        <v>#REF!</v>
      </c>
      <c r="P44" s="145" t="e">
        <f>+'staffing plan'!#REF!</f>
        <v>#REF!</v>
      </c>
      <c r="Q44" s="145" t="e">
        <f>+'staffing plan'!#REF!</f>
        <v>#REF!</v>
      </c>
      <c r="R44">
        <f>+'staffing plan'!BP54</f>
        <v>0</v>
      </c>
      <c r="S44">
        <v>43</v>
      </c>
    </row>
    <row r="45" spans="2:19">
      <c r="B45">
        <f t="shared" si="1"/>
        <v>2012</v>
      </c>
      <c r="C45">
        <f>+'staffing plan'!BK55</f>
        <v>41127</v>
      </c>
      <c r="D45" t="str">
        <f>'staffing plan'!A55</f>
        <v>OSEC-DILGB-ADAS3-109-2010</v>
      </c>
      <c r="E45" t="str">
        <f>+'staffing plan'!B55</f>
        <v>Administrative Assistant III</v>
      </c>
      <c r="F45">
        <f>+'staffing plan'!C55</f>
        <v>9</v>
      </c>
      <c r="G45" s="131">
        <f>+'staffing plan'!AH55</f>
        <v>215700</v>
      </c>
      <c r="H45" s="131">
        <f>+'staffing plan'!AI55</f>
        <v>219324</v>
      </c>
      <c r="I45" s="131">
        <f>+'staffing plan'!AJ55</f>
        <v>3</v>
      </c>
      <c r="J45" t="str">
        <f>+'staffing plan'!AW55</f>
        <v>LOPEZ, Jessica Kim Angeles</v>
      </c>
      <c r="K45" t="e">
        <f>+'staffing plan'!#REF!</f>
        <v>#REF!</v>
      </c>
      <c r="L45" t="e">
        <f>+'staffing plan'!#REF!</f>
        <v>#REF!</v>
      </c>
      <c r="M45" t="str">
        <f>+'staffing plan'!AX55</f>
        <v>Regional Office</v>
      </c>
      <c r="N45" t="str">
        <f>+'staffing plan'!AY55</f>
        <v>F</v>
      </c>
      <c r="O45" s="145" t="e">
        <f>+'staffing plan'!#REF!</f>
        <v>#REF!</v>
      </c>
      <c r="P45" s="145" t="e">
        <f>+'staffing plan'!#REF!</f>
        <v>#REF!</v>
      </c>
      <c r="Q45" s="145" t="e">
        <f>+'staffing plan'!#REF!</f>
        <v>#REF!</v>
      </c>
      <c r="R45">
        <f>+'staffing plan'!BP55</f>
        <v>0</v>
      </c>
      <c r="S45">
        <v>44</v>
      </c>
    </row>
    <row r="46" spans="2:19">
      <c r="B46">
        <f t="shared" si="1"/>
        <v>2018</v>
      </c>
      <c r="C46">
        <f>+'staffing plan'!BK56</f>
        <v>43193</v>
      </c>
      <c r="D46" t="str">
        <f>'staffing plan'!A56</f>
        <v>OSEC-DILGB-ADAS2-61-2005</v>
      </c>
      <c r="E46" t="str">
        <f>+'staffing plan'!B56</f>
        <v>Administrative Assistant II</v>
      </c>
      <c r="F46">
        <f>+'staffing plan'!C56</f>
        <v>8</v>
      </c>
      <c r="G46" s="131">
        <f>+'staffing plan'!AH56</f>
        <v>201096</v>
      </c>
      <c r="H46" s="131">
        <f>+'staffing plan'!AI56</f>
        <v>201096</v>
      </c>
      <c r="I46" s="131">
        <f>+'staffing plan'!AJ56</f>
        <v>1</v>
      </c>
      <c r="J46" t="str">
        <f>+'staffing plan'!AW56</f>
        <v>BOGNADON, Kylee Russel Rebollido</v>
      </c>
      <c r="K46" t="e">
        <f>+'staffing plan'!#REF!</f>
        <v>#REF!</v>
      </c>
      <c r="L46" t="e">
        <f>+'staffing plan'!#REF!</f>
        <v>#REF!</v>
      </c>
      <c r="M46" t="str">
        <f>+'staffing plan'!AX56</f>
        <v>Regional Office</v>
      </c>
      <c r="N46" t="str">
        <f>+'staffing plan'!AY56</f>
        <v>M</v>
      </c>
      <c r="O46" s="145" t="e">
        <f>+'staffing plan'!#REF!</f>
        <v>#REF!</v>
      </c>
      <c r="P46" s="145" t="e">
        <f>+'staffing plan'!#REF!</f>
        <v>#REF!</v>
      </c>
      <c r="Q46" s="145" t="e">
        <f>+'staffing plan'!#REF!</f>
        <v>#REF!</v>
      </c>
      <c r="R46" t="str">
        <f>+'staffing plan'!BP56</f>
        <v>change of item 1-25-18</v>
      </c>
      <c r="S46">
        <v>45</v>
      </c>
    </row>
    <row r="47" spans="2:19" hidden="1">
      <c r="B47">
        <f t="shared" si="1"/>
        <v>1900</v>
      </c>
      <c r="C47">
        <f>+'staffing plan'!BK57</f>
        <v>0</v>
      </c>
      <c r="D47" t="str">
        <f>'staffing plan'!A57</f>
        <v>OSEC-DILGB-ADAS2-64-2005</v>
      </c>
      <c r="E47" t="str">
        <f>+'staffing plan'!B57</f>
        <v>Administrative Assistant II</v>
      </c>
      <c r="F47">
        <f>+'staffing plan'!C57</f>
        <v>8</v>
      </c>
      <c r="G47" s="131">
        <f>+'staffing plan'!AH57</f>
        <v>201096</v>
      </c>
      <c r="H47" s="131">
        <f>+'staffing plan'!AI57</f>
        <v>0</v>
      </c>
      <c r="I47" s="131">
        <f>+'staffing plan'!AJ57</f>
        <v>0</v>
      </c>
      <c r="J47" t="str">
        <f>+'staffing plan'!AW57</f>
        <v xml:space="preserve">ESNARA, VacantMyra </v>
      </c>
      <c r="K47" t="e">
        <f>+'staffing plan'!#REF!</f>
        <v>#REF!</v>
      </c>
      <c r="L47" t="e">
        <f>+'staffing plan'!#REF!</f>
        <v>#REF!</v>
      </c>
      <c r="M47">
        <f>+'staffing plan'!AX57</f>
        <v>0</v>
      </c>
      <c r="N47">
        <f>+'staffing plan'!AY57</f>
        <v>0</v>
      </c>
      <c r="O47" s="145" t="e">
        <f>+'staffing plan'!#REF!</f>
        <v>#REF!</v>
      </c>
      <c r="P47" s="145" t="e">
        <f>+'staffing plan'!#REF!</f>
        <v>#REF!</v>
      </c>
      <c r="Q47" s="145" t="e">
        <f>+'staffing plan'!#REF!</f>
        <v>#REF!</v>
      </c>
      <c r="R47">
        <f>+'staffing plan'!BP57</f>
        <v>0</v>
      </c>
      <c r="S47">
        <v>46</v>
      </c>
    </row>
    <row r="48" spans="2:19" hidden="1">
      <c r="B48">
        <f t="shared" si="1"/>
        <v>2018</v>
      </c>
      <c r="C48">
        <f>+'staffing plan'!BK58</f>
        <v>43193</v>
      </c>
      <c r="D48" t="str">
        <f>'staffing plan'!A58</f>
        <v>OSEC-DILGB-ADA4-85-2005</v>
      </c>
      <c r="E48" t="str">
        <f>+'staffing plan'!B58</f>
        <v>Administrative Aide IV</v>
      </c>
      <c r="F48">
        <f>+'staffing plan'!C58</f>
        <v>4</v>
      </c>
      <c r="G48" s="131">
        <f>+'staffing plan'!AH58</f>
        <v>158568</v>
      </c>
      <c r="H48" s="131">
        <f>+'staffing plan'!AI58</f>
        <v>158568</v>
      </c>
      <c r="I48" s="131">
        <f>+'staffing plan'!AJ58</f>
        <v>1</v>
      </c>
      <c r="J48" t="str">
        <f>+'staffing plan'!AW58</f>
        <v>GERNALE, Joe Pablo Maculada</v>
      </c>
      <c r="K48" t="e">
        <f>+'staffing plan'!#REF!</f>
        <v>#REF!</v>
      </c>
      <c r="L48" t="e">
        <f>+'staffing plan'!#REF!</f>
        <v>#REF!</v>
      </c>
      <c r="M48" t="str">
        <f>+'staffing plan'!AX58</f>
        <v>Regional Office</v>
      </c>
      <c r="N48" t="str">
        <f>+'staffing plan'!AY58</f>
        <v>M</v>
      </c>
      <c r="O48" s="145" t="e">
        <f>+'staffing plan'!#REF!</f>
        <v>#REF!</v>
      </c>
      <c r="P48" s="145" t="e">
        <f>+'staffing plan'!#REF!</f>
        <v>#REF!</v>
      </c>
      <c r="Q48" s="145" t="e">
        <f>+'staffing plan'!#REF!</f>
        <v>#REF!</v>
      </c>
      <c r="R48">
        <f>+'staffing plan'!BP58</f>
        <v>0</v>
      </c>
      <c r="S48">
        <v>47</v>
      </c>
    </row>
    <row r="49" spans="2:19" hidden="1">
      <c r="B49">
        <f t="shared" si="1"/>
        <v>1900</v>
      </c>
      <c r="C49">
        <f>+'staffing plan'!BK59</f>
        <v>0</v>
      </c>
      <c r="D49" t="str">
        <f>'staffing plan'!A59</f>
        <v>OSEC-DILGB-ADA4-86-2005</v>
      </c>
      <c r="E49" t="str">
        <f>+'staffing plan'!B59</f>
        <v>Administrative Aide IV</v>
      </c>
      <c r="F49">
        <f>+'staffing plan'!C59</f>
        <v>4</v>
      </c>
      <c r="G49" s="131">
        <f>+'staffing plan'!AH59</f>
        <v>158568</v>
      </c>
      <c r="H49" s="131">
        <f>+'staffing plan'!AI59</f>
        <v>0</v>
      </c>
      <c r="I49" s="131">
        <f>+'staffing plan'!AJ59</f>
        <v>0</v>
      </c>
      <c r="J49" t="str">
        <f>+'staffing plan'!AW59</f>
        <v xml:space="preserve">Vacant ESCAD,  </v>
      </c>
      <c r="K49" t="e">
        <f>+'staffing plan'!#REF!</f>
        <v>#REF!</v>
      </c>
      <c r="L49" t="e">
        <f>+'staffing plan'!#REF!</f>
        <v>#REF!</v>
      </c>
      <c r="M49">
        <f>+'staffing plan'!AX59</f>
        <v>0</v>
      </c>
      <c r="N49">
        <f>+'staffing plan'!AY59</f>
        <v>0</v>
      </c>
      <c r="O49" s="145" t="e">
        <f>+'staffing plan'!#REF!</f>
        <v>#REF!</v>
      </c>
      <c r="P49" s="145" t="e">
        <f>+'staffing plan'!#REF!</f>
        <v>#REF!</v>
      </c>
      <c r="Q49" s="145" t="e">
        <f>+'staffing plan'!#REF!</f>
        <v>#REF!</v>
      </c>
      <c r="R49">
        <f>+'staffing plan'!BP59</f>
        <v>0</v>
      </c>
      <c r="S49">
        <v>48</v>
      </c>
    </row>
    <row r="50" spans="2:19" hidden="1">
      <c r="B50">
        <f t="shared" si="1"/>
        <v>2014</v>
      </c>
      <c r="C50">
        <f>+'staffing plan'!BK60</f>
        <v>41988</v>
      </c>
      <c r="D50" t="str">
        <f>'staffing plan'!A60</f>
        <v>OSEC-DILGB-ADA4-87-2005</v>
      </c>
      <c r="E50" t="str">
        <f>+'staffing plan'!B60</f>
        <v>Administrative Aide IV</v>
      </c>
      <c r="F50">
        <f>+'staffing plan'!C60</f>
        <v>4</v>
      </c>
      <c r="G50" s="131">
        <f>+'staffing plan'!AH60</f>
        <v>158568</v>
      </c>
      <c r="H50" s="131">
        <f>+'staffing plan'!AI60</f>
        <v>159792</v>
      </c>
      <c r="I50" s="131">
        <f>+'staffing plan'!AJ60</f>
        <v>2</v>
      </c>
      <c r="J50" t="str">
        <f>+'staffing plan'!AW60</f>
        <v>MONANG, Veronica Gadgad</v>
      </c>
      <c r="K50" t="e">
        <f>+'staffing plan'!#REF!</f>
        <v>#REF!</v>
      </c>
      <c r="L50" t="e">
        <f>+'staffing plan'!#REF!</f>
        <v>#REF!</v>
      </c>
      <c r="M50" t="str">
        <f>+'staffing plan'!AX60</f>
        <v>Regional Office</v>
      </c>
      <c r="N50" t="str">
        <f>+'staffing plan'!AY60</f>
        <v>F</v>
      </c>
      <c r="O50" s="145" t="e">
        <f>+'staffing plan'!#REF!</f>
        <v>#REF!</v>
      </c>
      <c r="P50" s="145" t="e">
        <f>+'staffing plan'!#REF!</f>
        <v>#REF!</v>
      </c>
      <c r="Q50" s="145" t="e">
        <f>+'staffing plan'!#REF!</f>
        <v>#REF!</v>
      </c>
      <c r="R50">
        <f>+'staffing plan'!BP60</f>
        <v>0</v>
      </c>
      <c r="S50">
        <v>49</v>
      </c>
    </row>
    <row r="51" spans="2:19" hidden="1">
      <c r="B51">
        <f t="shared" si="1"/>
        <v>2011</v>
      </c>
      <c r="C51">
        <f>+'staffing plan'!BK61</f>
        <v>40634</v>
      </c>
      <c r="D51" t="str">
        <f>'staffing plan'!A61</f>
        <v>OSEC-DILGB-ADA4-91-2010</v>
      </c>
      <c r="E51" t="str">
        <f>+'staffing plan'!B61</f>
        <v>Administrative Aide IV</v>
      </c>
      <c r="F51">
        <f>+'staffing plan'!C61</f>
        <v>4</v>
      </c>
      <c r="G51" s="131">
        <f>+'staffing plan'!AH61</f>
        <v>158568</v>
      </c>
      <c r="H51" s="131">
        <f>+'staffing plan'!AI61</f>
        <v>161016</v>
      </c>
      <c r="I51" s="131">
        <f>+'staffing plan'!AJ61</f>
        <v>3</v>
      </c>
      <c r="J51" t="str">
        <f>+'staffing plan'!AW61</f>
        <v>PASCUA, Diosdado Aquino</v>
      </c>
      <c r="K51" t="e">
        <f>+'staffing plan'!#REF!</f>
        <v>#REF!</v>
      </c>
      <c r="L51" t="e">
        <f>+'staffing plan'!#REF!</f>
        <v>#REF!</v>
      </c>
      <c r="M51" t="str">
        <f>+'staffing plan'!AX61</f>
        <v>Regional Office</v>
      </c>
      <c r="N51" t="str">
        <f>+'staffing plan'!AY61</f>
        <v>M</v>
      </c>
      <c r="O51" s="145" t="e">
        <f>+'staffing plan'!#REF!</f>
        <v>#REF!</v>
      </c>
      <c r="P51" s="145" t="e">
        <f>+'staffing plan'!#REF!</f>
        <v>#REF!</v>
      </c>
      <c r="Q51" s="145" t="e">
        <f>+'staffing plan'!#REF!</f>
        <v>#REF!</v>
      </c>
      <c r="R51">
        <f>+'staffing plan'!BP61</f>
        <v>0</v>
      </c>
      <c r="S51">
        <v>50</v>
      </c>
    </row>
    <row r="52" spans="2:19" hidden="1">
      <c r="B52">
        <f t="shared" si="1"/>
        <v>1998</v>
      </c>
      <c r="C52">
        <f>+'staffing plan'!BK62</f>
        <v>36054</v>
      </c>
      <c r="D52" t="str">
        <f>'staffing plan'!A62</f>
        <v>OSEC-DILGB-ADA3-61-2005</v>
      </c>
      <c r="E52" t="str">
        <f>+'staffing plan'!B62</f>
        <v>Administrative Aide III</v>
      </c>
      <c r="F52">
        <f>+'staffing plan'!C62</f>
        <v>3</v>
      </c>
      <c r="G52" s="131">
        <f>+'staffing plan'!AH62</f>
        <v>149592</v>
      </c>
      <c r="H52" s="131">
        <f>+'staffing plan'!AI62</f>
        <v>156624</v>
      </c>
      <c r="I52" s="131">
        <f>+'staffing plan'!AJ62</f>
        <v>7</v>
      </c>
      <c r="J52" t="str">
        <f>+'staffing plan'!AW62</f>
        <v>TAMONDONG, Jonathan Ambat</v>
      </c>
      <c r="K52" t="e">
        <f>+'staffing plan'!#REF!</f>
        <v>#REF!</v>
      </c>
      <c r="L52" t="e">
        <f>+'staffing plan'!#REF!</f>
        <v>#REF!</v>
      </c>
      <c r="M52" t="str">
        <f>+'staffing plan'!AX62</f>
        <v>Regional Office</v>
      </c>
      <c r="N52" t="str">
        <f>+'staffing plan'!AY62</f>
        <v>M</v>
      </c>
      <c r="O52" s="145" t="e">
        <f>+'staffing plan'!#REF!</f>
        <v>#REF!</v>
      </c>
      <c r="P52" s="145" t="e">
        <f>+'staffing plan'!#REF!</f>
        <v>#REF!</v>
      </c>
      <c r="Q52" s="145" t="e">
        <f>+'staffing plan'!#REF!</f>
        <v>#REF!</v>
      </c>
      <c r="R52">
        <f>+'staffing plan'!BP62</f>
        <v>0</v>
      </c>
      <c r="S52">
        <v>51</v>
      </c>
    </row>
    <row r="53" spans="2:19" hidden="1">
      <c r="B53">
        <f t="shared" si="1"/>
        <v>1988</v>
      </c>
      <c r="C53">
        <f>+'staffing plan'!BK63</f>
        <v>32371</v>
      </c>
      <c r="D53" t="str">
        <f>'staffing plan'!A63</f>
        <v>OSEC-DILGB-SECG1-8-1998</v>
      </c>
      <c r="E53" t="str">
        <f>+'staffing plan'!B63</f>
        <v>Security Guard I</v>
      </c>
      <c r="F53">
        <f>+'staffing plan'!C63</f>
        <v>3</v>
      </c>
      <c r="G53" s="131">
        <f>+'staffing plan'!AH63</f>
        <v>149592</v>
      </c>
      <c r="H53" s="131">
        <f>+'staffing plan'!AI63</f>
        <v>157824</v>
      </c>
      <c r="I53" s="131">
        <f>+'staffing plan'!AJ63</f>
        <v>8</v>
      </c>
      <c r="J53" t="str">
        <f>+'staffing plan'!AW63</f>
        <v>ROJO, Gerardo Rontos</v>
      </c>
      <c r="K53" t="e">
        <f>+'staffing plan'!#REF!</f>
        <v>#REF!</v>
      </c>
      <c r="L53" t="e">
        <f>+'staffing plan'!#REF!</f>
        <v>#REF!</v>
      </c>
      <c r="M53" t="str">
        <f>+'staffing plan'!AX63</f>
        <v>Regional Office</v>
      </c>
      <c r="N53" t="str">
        <f>+'staffing plan'!AY63</f>
        <v>M</v>
      </c>
      <c r="O53" s="145" t="e">
        <f>+'staffing plan'!#REF!</f>
        <v>#REF!</v>
      </c>
      <c r="P53" s="145" t="e">
        <f>+'staffing plan'!#REF!</f>
        <v>#REF!</v>
      </c>
      <c r="Q53" s="145" t="e">
        <f>+'staffing plan'!#REF!</f>
        <v>#REF!</v>
      </c>
      <c r="R53">
        <f>+'staffing plan'!BP63</f>
        <v>0</v>
      </c>
      <c r="S53">
        <v>52</v>
      </c>
    </row>
    <row r="54" spans="2:19" hidden="1">
      <c r="B54">
        <f t="shared" si="1"/>
        <v>2004</v>
      </c>
      <c r="C54">
        <f>+'staffing plan'!BK64</f>
        <v>38018</v>
      </c>
      <c r="D54" t="str">
        <f>'staffing plan'!A64</f>
        <v>OSEC-DILGB-SECG1-9-1998</v>
      </c>
      <c r="E54" t="str">
        <f>+'staffing plan'!B64</f>
        <v>Security Guard I</v>
      </c>
      <c r="F54">
        <f>+'staffing plan'!C64</f>
        <v>3</v>
      </c>
      <c r="G54" s="131">
        <f>+'staffing plan'!AH64</f>
        <v>149592</v>
      </c>
      <c r="H54" s="131">
        <f>+'staffing plan'!AI64</f>
        <v>154248</v>
      </c>
      <c r="I54" s="131">
        <f>+'staffing plan'!AJ64</f>
        <v>5</v>
      </c>
      <c r="J54" t="str">
        <f>+'staffing plan'!AW64</f>
        <v>PEREZ, Roberto Aquino</v>
      </c>
      <c r="K54" t="e">
        <f>+'staffing plan'!#REF!</f>
        <v>#REF!</v>
      </c>
      <c r="L54" t="e">
        <f>+'staffing plan'!#REF!</f>
        <v>#REF!</v>
      </c>
      <c r="M54" t="str">
        <f>+'staffing plan'!AX64</f>
        <v>Regional Office</v>
      </c>
      <c r="N54" t="str">
        <f>+'staffing plan'!AY64</f>
        <v>M</v>
      </c>
      <c r="O54" s="145" t="e">
        <f>+'staffing plan'!#REF!</f>
        <v>#REF!</v>
      </c>
      <c r="P54" s="145" t="e">
        <f>+'staffing plan'!#REF!</f>
        <v>#REF!</v>
      </c>
      <c r="Q54" s="145" t="e">
        <f>+'staffing plan'!#REF!</f>
        <v>#REF!</v>
      </c>
      <c r="R54">
        <f>+'staffing plan'!BP64</f>
        <v>0</v>
      </c>
      <c r="S54">
        <v>53</v>
      </c>
    </row>
    <row r="55" spans="2:19" hidden="1">
      <c r="B55">
        <f t="shared" si="1"/>
        <v>2001</v>
      </c>
      <c r="C55">
        <f>+'staffing plan'!BK65</f>
        <v>37173</v>
      </c>
      <c r="D55" t="str">
        <f>'staffing plan'!A65</f>
        <v>OSEC-DILGB-SEC1-10-1998</v>
      </c>
      <c r="E55" t="str">
        <f>+'staffing plan'!B65</f>
        <v>Security Guard I</v>
      </c>
      <c r="F55">
        <f>+'staffing plan'!C65</f>
        <v>3</v>
      </c>
      <c r="G55" s="131">
        <f>+'staffing plan'!AH65</f>
        <v>149592</v>
      </c>
      <c r="H55" s="131">
        <f>+'staffing plan'!AI65</f>
        <v>155424</v>
      </c>
      <c r="I55" s="131">
        <f>+'staffing plan'!AJ65</f>
        <v>6</v>
      </c>
      <c r="J55" t="str">
        <f>+'staffing plan'!AW65</f>
        <v>NONOG, Edward Bolda</v>
      </c>
      <c r="K55" t="e">
        <f>+'staffing plan'!#REF!</f>
        <v>#REF!</v>
      </c>
      <c r="L55" t="e">
        <f>+'staffing plan'!#REF!</f>
        <v>#REF!</v>
      </c>
      <c r="M55" t="str">
        <f>+'staffing plan'!AX65</f>
        <v>Regional Office</v>
      </c>
      <c r="N55" t="str">
        <f>+'staffing plan'!AY65</f>
        <v>M</v>
      </c>
      <c r="O55" s="145" t="e">
        <f>+'staffing plan'!#REF!</f>
        <v>#REF!</v>
      </c>
      <c r="P55" s="145" t="e">
        <f>+'staffing plan'!#REF!</f>
        <v>#REF!</v>
      </c>
      <c r="Q55" s="145" t="e">
        <f>+'staffing plan'!#REF!</f>
        <v>#REF!</v>
      </c>
      <c r="R55">
        <f>+'staffing plan'!BP65</f>
        <v>0</v>
      </c>
      <c r="S55">
        <v>54</v>
      </c>
    </row>
    <row r="56" spans="2:19" hidden="1">
      <c r="B56">
        <f t="shared" si="1"/>
        <v>1900</v>
      </c>
      <c r="C56">
        <f>+'staffing plan'!BK66</f>
        <v>0</v>
      </c>
      <c r="D56" t="str">
        <f>'staffing plan'!A66</f>
        <v>Sub-Total</v>
      </c>
      <c r="E56">
        <f>+'staffing plan'!B66</f>
        <v>0</v>
      </c>
      <c r="F56">
        <f>+'staffing plan'!C66</f>
        <v>0</v>
      </c>
      <c r="G56" s="131">
        <f>+'staffing plan'!AH66</f>
        <v>0</v>
      </c>
      <c r="H56" s="131">
        <f>+'staffing plan'!AI66</f>
        <v>0</v>
      </c>
      <c r="I56" s="131">
        <f>+'staffing plan'!AJ66</f>
        <v>23</v>
      </c>
      <c r="J56">
        <f>+'staffing plan'!AW66</f>
        <v>0</v>
      </c>
      <c r="K56" t="e">
        <f>+'staffing plan'!#REF!</f>
        <v>#REF!</v>
      </c>
      <c r="L56" t="e">
        <f>+'staffing plan'!#REF!</f>
        <v>#REF!</v>
      </c>
      <c r="M56">
        <f>+'staffing plan'!AX66</f>
        <v>0</v>
      </c>
      <c r="N56">
        <f>+'staffing plan'!AY66</f>
        <v>0</v>
      </c>
      <c r="O56" s="145" t="e">
        <f>+'staffing plan'!#REF!</f>
        <v>#REF!</v>
      </c>
      <c r="P56" s="145" t="e">
        <f>+'staffing plan'!#REF!</f>
        <v>#REF!</v>
      </c>
      <c r="Q56" s="145" t="e">
        <f>+'staffing plan'!#REF!</f>
        <v>#REF!</v>
      </c>
      <c r="R56">
        <f>+'staffing plan'!BP66</f>
        <v>0</v>
      </c>
      <c r="S56">
        <v>55</v>
      </c>
    </row>
    <row r="57" spans="2:19" hidden="1">
      <c r="B57">
        <f t="shared" si="1"/>
        <v>1900</v>
      </c>
      <c r="C57">
        <f>+'staffing plan'!BK67</f>
        <v>0</v>
      </c>
      <c r="D57" t="str">
        <f>'staffing plan'!A67</f>
        <v>65,000          Provincial / City Offices</v>
      </c>
      <c r="E57">
        <f>+'staffing plan'!B67</f>
        <v>0</v>
      </c>
      <c r="F57">
        <f>+'staffing plan'!C67</f>
        <v>0</v>
      </c>
      <c r="G57" s="131">
        <f>+'staffing plan'!AH67</f>
        <v>0</v>
      </c>
      <c r="H57" s="131">
        <f>+'staffing plan'!AI67</f>
        <v>0</v>
      </c>
      <c r="I57" s="131">
        <f>+'staffing plan'!AJ67</f>
        <v>0</v>
      </c>
      <c r="J57">
        <f>+'staffing plan'!AW67</f>
        <v>0</v>
      </c>
      <c r="K57" t="e">
        <f>+'staffing plan'!#REF!</f>
        <v>#REF!</v>
      </c>
      <c r="L57" t="e">
        <f>+'staffing plan'!#REF!</f>
        <v>#REF!</v>
      </c>
      <c r="M57">
        <f>+'staffing plan'!AX67</f>
        <v>0</v>
      </c>
      <c r="N57">
        <f>+'staffing plan'!AY67</f>
        <v>0</v>
      </c>
      <c r="O57" s="145" t="e">
        <f>+'staffing plan'!#REF!</f>
        <v>#REF!</v>
      </c>
      <c r="P57" s="145" t="e">
        <f>+'staffing plan'!#REF!</f>
        <v>#REF!</v>
      </c>
      <c r="Q57" s="145" t="e">
        <f>+'staffing plan'!#REF!</f>
        <v>#REF!</v>
      </c>
      <c r="R57">
        <f>+'staffing plan'!BP67</f>
        <v>0</v>
      </c>
      <c r="S57">
        <v>56</v>
      </c>
    </row>
    <row r="58" spans="2:19" hidden="1">
      <c r="B58">
        <f t="shared" si="1"/>
        <v>2016</v>
      </c>
      <c r="C58">
        <f>+'staffing plan'!BK68</f>
        <v>42391</v>
      </c>
      <c r="D58" t="str">
        <f>'staffing plan'!A68</f>
        <v>OSEC-DILGB-LGOO8-2-1998</v>
      </c>
      <c r="E58" t="str">
        <f>+'staffing plan'!B68</f>
        <v>Local Government Operations Officer VIII</v>
      </c>
      <c r="F58">
        <f>+'staffing plan'!C68</f>
        <v>26</v>
      </c>
      <c r="G58" s="131">
        <f>+'staffing plan'!AH68</f>
        <v>1289328</v>
      </c>
      <c r="H58" s="131">
        <f>+'staffing plan'!AI68</f>
        <v>1289328</v>
      </c>
      <c r="I58" s="131">
        <f>+'staffing plan'!AJ68</f>
        <v>1</v>
      </c>
      <c r="J58" t="str">
        <f>+'staffing plan'!AW68</f>
        <v>CARIÑO, Millicent Bamba</v>
      </c>
      <c r="K58" t="e">
        <f>+'staffing plan'!#REF!</f>
        <v>#REF!</v>
      </c>
      <c r="L58" t="e">
        <f>+'staffing plan'!#REF!</f>
        <v>#REF!</v>
      </c>
      <c r="M58" t="str">
        <f>+'staffing plan'!AX68</f>
        <v>Abra</v>
      </c>
      <c r="N58" t="str">
        <f>+'staffing plan'!AY68</f>
        <v>F</v>
      </c>
      <c r="O58" s="145" t="e">
        <f>+'staffing plan'!#REF!</f>
        <v>#REF!</v>
      </c>
      <c r="P58" s="145" t="e">
        <f>+'staffing plan'!#REF!</f>
        <v>#REF!</v>
      </c>
      <c r="Q58" s="145" t="e">
        <f>+'staffing plan'!#REF!</f>
        <v>#REF!</v>
      </c>
      <c r="R58">
        <f>+'staffing plan'!BP68</f>
        <v>0</v>
      </c>
      <c r="S58">
        <v>57</v>
      </c>
    </row>
    <row r="59" spans="2:19">
      <c r="B59">
        <f t="shared" si="1"/>
        <v>2012</v>
      </c>
      <c r="C59">
        <f>+'staffing plan'!BK69</f>
        <v>41165</v>
      </c>
      <c r="D59" t="str">
        <f>'staffing plan'!A69</f>
        <v>OSEC-DILGB-LGOO8-45-1998</v>
      </c>
      <c r="E59" t="str">
        <f>+'staffing plan'!B69</f>
        <v>Local Government Operations Officer VIII</v>
      </c>
      <c r="F59">
        <f>+'staffing plan'!C69</f>
        <v>26</v>
      </c>
      <c r="G59" s="131">
        <f>+'staffing plan'!AH69</f>
        <v>1289328</v>
      </c>
      <c r="H59" s="131">
        <f>+'staffing plan'!AI69</f>
        <v>1375584</v>
      </c>
      <c r="I59" s="131">
        <f>+'staffing plan'!AJ69</f>
        <v>5</v>
      </c>
      <c r="J59" t="str">
        <f>+'staffing plan'!AW69</f>
        <v>BALLUG, Anthony Manolo Ilacad</v>
      </c>
      <c r="K59" t="e">
        <f>+'staffing plan'!#REF!</f>
        <v>#REF!</v>
      </c>
      <c r="L59" t="e">
        <f>+'staffing plan'!#REF!</f>
        <v>#REF!</v>
      </c>
      <c r="M59" t="str">
        <f>+'staffing plan'!AX69</f>
        <v>Mt. Province</v>
      </c>
      <c r="N59" t="str">
        <f>+'staffing plan'!AY69</f>
        <v>M</v>
      </c>
      <c r="O59" s="145" t="e">
        <f>+'staffing plan'!#REF!</f>
        <v>#REF!</v>
      </c>
      <c r="P59" s="145" t="e">
        <f>+'staffing plan'!#REF!</f>
        <v>#REF!</v>
      </c>
      <c r="Q59" s="145" t="e">
        <f>+'staffing plan'!#REF!</f>
        <v>#REF!</v>
      </c>
      <c r="R59">
        <f>+'staffing plan'!BP69</f>
        <v>0</v>
      </c>
      <c r="S59">
        <v>58</v>
      </c>
    </row>
    <row r="60" spans="2:19" hidden="1">
      <c r="B60">
        <f t="shared" si="1"/>
        <v>2007</v>
      </c>
      <c r="C60">
        <f>+'staffing plan'!BK70</f>
        <v>39230</v>
      </c>
      <c r="D60" t="str">
        <f>'staffing plan'!A70</f>
        <v>OSEC-DILGB-LGOO8-56-1998</v>
      </c>
      <c r="E60" t="str">
        <f>+'staffing plan'!B70</f>
        <v>Local Government Operations Officer VIII</v>
      </c>
      <c r="F60">
        <f>+'staffing plan'!C70</f>
        <v>26</v>
      </c>
      <c r="G60" s="131">
        <f>+'staffing plan'!AH70</f>
        <v>1289328</v>
      </c>
      <c r="H60" s="131">
        <f>+'staffing plan'!AI70</f>
        <v>1375584</v>
      </c>
      <c r="I60" s="131">
        <f>+'staffing plan'!AJ70</f>
        <v>5</v>
      </c>
      <c r="J60" t="str">
        <f>+'staffing plan'!AW70</f>
        <v>FEGCAN, Rufina Talusig</v>
      </c>
      <c r="K60" t="e">
        <f>+'staffing plan'!#REF!</f>
        <v>#REF!</v>
      </c>
      <c r="L60" t="e">
        <f>+'staffing plan'!#REF!</f>
        <v>#REF!</v>
      </c>
      <c r="M60" t="str">
        <f>+'staffing plan'!AX70</f>
        <v>Benguet</v>
      </c>
      <c r="N60" t="str">
        <f>+'staffing plan'!AY70</f>
        <v>F</v>
      </c>
      <c r="O60" s="145" t="e">
        <f>+'staffing plan'!#REF!</f>
        <v>#REF!</v>
      </c>
      <c r="P60" s="145" t="e">
        <f>+'staffing plan'!#REF!</f>
        <v>#REF!</v>
      </c>
      <c r="Q60" s="145" t="e">
        <f>+'staffing plan'!#REF!</f>
        <v>#REF!</v>
      </c>
      <c r="R60">
        <f>+'staffing plan'!BP70</f>
        <v>0</v>
      </c>
      <c r="S60">
        <v>59</v>
      </c>
    </row>
    <row r="61" spans="2:19" hidden="1">
      <c r="B61">
        <f t="shared" si="1"/>
        <v>2011</v>
      </c>
      <c r="C61">
        <f>+'staffing plan'!BK71</f>
        <v>40603</v>
      </c>
      <c r="D61" t="str">
        <f>'staffing plan'!A71</f>
        <v>OSEC-DILGB-LGOO8-67-1998</v>
      </c>
      <c r="E61" t="str">
        <f>+'staffing plan'!B71</f>
        <v>Local Government Operations Officer VIII</v>
      </c>
      <c r="F61">
        <f>+'staffing plan'!C71</f>
        <v>26</v>
      </c>
      <c r="G61" s="131">
        <f>+'staffing plan'!AH71</f>
        <v>1289328</v>
      </c>
      <c r="H61" s="131">
        <f>+'staffing plan'!AI71</f>
        <v>1353492</v>
      </c>
      <c r="I61" s="131">
        <f>+'staffing plan'!AJ71</f>
        <v>4</v>
      </c>
      <c r="J61" t="str">
        <f>+'staffing plan'!AW71</f>
        <v>TRINIDAD, Evelyn Ballug</v>
      </c>
      <c r="K61" t="e">
        <f>+'staffing plan'!#REF!</f>
        <v>#REF!</v>
      </c>
      <c r="L61" t="e">
        <f>+'staffing plan'!#REF!</f>
        <v>#REF!</v>
      </c>
      <c r="M61" t="str">
        <f>+'staffing plan'!AX71</f>
        <v>Baguio City</v>
      </c>
      <c r="N61" t="str">
        <f>+'staffing plan'!AY71</f>
        <v>F</v>
      </c>
      <c r="O61" s="145" t="e">
        <f>+'staffing plan'!#REF!</f>
        <v>#REF!</v>
      </c>
      <c r="P61" s="145" t="e">
        <f>+'staffing plan'!#REF!</f>
        <v>#REF!</v>
      </c>
      <c r="Q61" s="145" t="e">
        <f>+'staffing plan'!#REF!</f>
        <v>#REF!</v>
      </c>
      <c r="R61" t="str">
        <f>+'staffing plan'!BP71</f>
        <v>Step 2</v>
      </c>
      <c r="S61">
        <v>60</v>
      </c>
    </row>
    <row r="62" spans="2:19" hidden="1">
      <c r="B62">
        <f t="shared" si="1"/>
        <v>2018</v>
      </c>
      <c r="C62">
        <f>+'staffing plan'!BK72</f>
        <v>43132</v>
      </c>
      <c r="D62" t="str">
        <f>'staffing plan'!A72</f>
        <v>OSEC-DILGB-LGOO8-79-1998</v>
      </c>
      <c r="E62" t="str">
        <f>+'staffing plan'!B72</f>
        <v>Local Government Operations Officer VIII</v>
      </c>
      <c r="F62">
        <f>+'staffing plan'!C72</f>
        <v>26</v>
      </c>
      <c r="G62" s="131">
        <f>+'staffing plan'!AH72</f>
        <v>1289328</v>
      </c>
      <c r="H62" s="131">
        <f>+'staffing plan'!AI72</f>
        <v>1289328</v>
      </c>
      <c r="I62" s="131">
        <f>+'staffing plan'!AJ72</f>
        <v>1</v>
      </c>
      <c r="J62" t="str">
        <f>+'staffing plan'!AW72</f>
        <v>MAMMAG, Regina Elizabeth Lingayo</v>
      </c>
      <c r="K62" t="e">
        <f>+'staffing plan'!#REF!</f>
        <v>#REF!</v>
      </c>
      <c r="L62" t="e">
        <f>+'staffing plan'!#REF!</f>
        <v>#REF!</v>
      </c>
      <c r="M62" t="str">
        <f>+'staffing plan'!AX72</f>
        <v>Ifugao</v>
      </c>
      <c r="N62" t="str">
        <f>+'staffing plan'!AY72</f>
        <v>F</v>
      </c>
      <c r="O62" s="145" t="e">
        <f>+'staffing plan'!#REF!</f>
        <v>#REF!</v>
      </c>
      <c r="P62" s="145" t="e">
        <f>+'staffing plan'!#REF!</f>
        <v>#REF!</v>
      </c>
      <c r="Q62" s="145" t="e">
        <f>+'staffing plan'!#REF!</f>
        <v>#REF!</v>
      </c>
      <c r="R62">
        <f>+'staffing plan'!BP72</f>
        <v>0</v>
      </c>
      <c r="S62">
        <v>61</v>
      </c>
    </row>
    <row r="63" spans="2:19" hidden="1">
      <c r="B63">
        <f t="shared" si="1"/>
        <v>2016</v>
      </c>
      <c r="C63">
        <f>+'staffing plan'!BK73</f>
        <v>42436</v>
      </c>
      <c r="D63" t="str">
        <f>'staffing plan'!A73</f>
        <v>OSEC-DILGB-LGOO8-91-1998</v>
      </c>
      <c r="E63" t="str">
        <f>+'staffing plan'!B73</f>
        <v>Local Government Operations Officer VIII</v>
      </c>
      <c r="F63">
        <f>+'staffing plan'!C73</f>
        <v>26</v>
      </c>
      <c r="G63" s="131">
        <f>+'staffing plan'!AH73</f>
        <v>1289328</v>
      </c>
      <c r="H63" s="131">
        <f>+'staffing plan'!AI73</f>
        <v>1310364</v>
      </c>
      <c r="I63" s="131">
        <f>+'staffing plan'!AJ73</f>
        <v>2</v>
      </c>
      <c r="J63" t="str">
        <f>+'staffing plan'!AW73</f>
        <v>BASQUEZ, Marvin Amanonce</v>
      </c>
      <c r="K63" t="e">
        <f>+'staffing plan'!#REF!</f>
        <v>#REF!</v>
      </c>
      <c r="L63" t="e">
        <f>+'staffing plan'!#REF!</f>
        <v>#REF!</v>
      </c>
      <c r="M63" t="str">
        <f>+'staffing plan'!AX73</f>
        <v>Apayao</v>
      </c>
      <c r="N63" t="str">
        <f>+'staffing plan'!AY73</f>
        <v>M</v>
      </c>
      <c r="O63" s="145" t="e">
        <f>+'staffing plan'!#REF!</f>
        <v>#REF!</v>
      </c>
      <c r="P63" s="145" t="e">
        <f>+'staffing plan'!#REF!</f>
        <v>#REF!</v>
      </c>
      <c r="Q63" s="145" t="e">
        <f>+'staffing plan'!#REF!</f>
        <v>#REF!</v>
      </c>
      <c r="R63" t="str">
        <f>+'staffing plan'!BP73</f>
        <v>CESO step 2</v>
      </c>
      <c r="S63">
        <v>62</v>
      </c>
    </row>
    <row r="64" spans="2:19" hidden="1">
      <c r="B64">
        <f t="shared" si="1"/>
        <v>2018</v>
      </c>
      <c r="C64">
        <f>+'staffing plan'!BK74</f>
        <v>43146</v>
      </c>
      <c r="D64" t="str">
        <f>'staffing plan'!A74</f>
        <v>OSEC-DILGB-LGOO8-98-1998</v>
      </c>
      <c r="E64" t="str">
        <f>+'staffing plan'!B74</f>
        <v>Local Government Operations Officer VIII</v>
      </c>
      <c r="F64">
        <f>+'staffing plan'!C74</f>
        <v>26</v>
      </c>
      <c r="G64" s="131">
        <f>+'staffing plan'!AH74</f>
        <v>1289328</v>
      </c>
      <c r="H64" s="131">
        <f>+'staffing plan'!AI74</f>
        <v>1289328</v>
      </c>
      <c r="I64" s="131">
        <f>+'staffing plan'!AJ74</f>
        <v>1</v>
      </c>
      <c r="J64" t="str">
        <f>+'staffing plan'!AW74</f>
        <v>ADONG, Mayer Max de Guzman</v>
      </c>
      <c r="K64" t="e">
        <f>+'staffing plan'!#REF!</f>
        <v>#REF!</v>
      </c>
      <c r="L64" t="e">
        <f>+'staffing plan'!#REF!</f>
        <v>#REF!</v>
      </c>
      <c r="M64" t="str">
        <f>+'staffing plan'!AX74</f>
        <v>Kalinga</v>
      </c>
      <c r="N64" t="str">
        <f>+'staffing plan'!AY74</f>
        <v>M</v>
      </c>
      <c r="O64" s="145" t="e">
        <f>+'staffing plan'!#REF!</f>
        <v>#REF!</v>
      </c>
      <c r="P64" s="145" t="e">
        <f>+'staffing plan'!#REF!</f>
        <v>#REF!</v>
      </c>
      <c r="Q64" s="145" t="e">
        <f>+'staffing plan'!#REF!</f>
        <v>#REF!</v>
      </c>
      <c r="R64">
        <f>+'staffing plan'!BP74</f>
        <v>0</v>
      </c>
      <c r="S64">
        <v>63</v>
      </c>
    </row>
    <row r="65" spans="2:19" hidden="1">
      <c r="B65">
        <f t="shared" si="1"/>
        <v>2019</v>
      </c>
      <c r="C65">
        <f>+'staffing plan'!BK76</f>
        <v>43531</v>
      </c>
      <c r="D65" t="str">
        <f>'staffing plan'!A76</f>
        <v>OSEC-DILGB-LGOO7-1444-2017</v>
      </c>
      <c r="E65" t="str">
        <f>+'staffing plan'!B76</f>
        <v>Local Government Operations Officer VII</v>
      </c>
      <c r="F65">
        <f>+'staffing plan'!C76</f>
        <v>24</v>
      </c>
      <c r="G65" s="131">
        <f>+'staffing plan'!AH76</f>
        <v>1000872</v>
      </c>
      <c r="H65" s="131">
        <f>+'staffing plan'!AI76</f>
        <v>1000872</v>
      </c>
      <c r="I65" s="131">
        <f>+'staffing plan'!AJ76</f>
        <v>1</v>
      </c>
      <c r="J65" t="str">
        <f>+'staffing plan'!AW76</f>
        <v>APPOY, Samson Benlangan</v>
      </c>
      <c r="K65" t="e">
        <f>+'staffing plan'!#REF!</f>
        <v>#REF!</v>
      </c>
      <c r="L65" t="e">
        <f>+'staffing plan'!#REF!</f>
        <v>#REF!</v>
      </c>
      <c r="M65" t="str">
        <f>+'staffing plan'!AX76</f>
        <v>Ifugao</v>
      </c>
      <c r="N65" t="str">
        <f>+'staffing plan'!AY76</f>
        <v>M</v>
      </c>
      <c r="O65" s="145" t="e">
        <f>+'staffing plan'!#REF!</f>
        <v>#REF!</v>
      </c>
      <c r="P65" s="145" t="e">
        <f>+'staffing plan'!#REF!</f>
        <v>#REF!</v>
      </c>
      <c r="Q65" s="145" t="e">
        <f>+'staffing plan'!#REF!</f>
        <v>#REF!</v>
      </c>
      <c r="R65">
        <f>+'staffing plan'!BP76</f>
        <v>0</v>
      </c>
      <c r="S65">
        <v>64</v>
      </c>
    </row>
    <row r="66" spans="2:19" hidden="1">
      <c r="B66" t="e">
        <f t="shared" si="1"/>
        <v>#REF!</v>
      </c>
      <c r="C66" t="e">
        <f>+'staffing plan'!#REF!</f>
        <v>#REF!</v>
      </c>
      <c r="D66" t="e">
        <f>'staffing plan'!#REF!</f>
        <v>#REF!</v>
      </c>
      <c r="E66" t="e">
        <f>+'staffing plan'!#REF!</f>
        <v>#REF!</v>
      </c>
      <c r="F66" t="e">
        <f>+'staffing plan'!#REF!</f>
        <v>#REF!</v>
      </c>
      <c r="G66" s="131" t="e">
        <f>+'staffing plan'!#REF!</f>
        <v>#REF!</v>
      </c>
      <c r="H66" s="131" t="e">
        <f>+'staffing plan'!#REF!</f>
        <v>#REF!</v>
      </c>
      <c r="I66" s="131" t="e">
        <f>+'staffing plan'!#REF!</f>
        <v>#REF!</v>
      </c>
      <c r="J66" t="e">
        <f>+'staffing plan'!#REF!</f>
        <v>#REF!</v>
      </c>
      <c r="K66" t="e">
        <f>+'staffing plan'!#REF!</f>
        <v>#REF!</v>
      </c>
      <c r="L66" t="e">
        <f>+'staffing plan'!#REF!</f>
        <v>#REF!</v>
      </c>
      <c r="M66" t="e">
        <f>+'staffing plan'!#REF!</f>
        <v>#REF!</v>
      </c>
      <c r="N66" t="e">
        <f>+'staffing plan'!#REF!</f>
        <v>#REF!</v>
      </c>
      <c r="O66" s="145" t="e">
        <f>+'staffing plan'!#REF!</f>
        <v>#REF!</v>
      </c>
      <c r="P66" s="145" t="e">
        <f>+'staffing plan'!#REF!</f>
        <v>#REF!</v>
      </c>
      <c r="Q66" s="145" t="e">
        <f>+'staffing plan'!#REF!</f>
        <v>#REF!</v>
      </c>
      <c r="R66" t="e">
        <f>+'staffing plan'!#REF!</f>
        <v>#REF!</v>
      </c>
      <c r="S66">
        <v>65</v>
      </c>
    </row>
    <row r="67" spans="2:19" hidden="1">
      <c r="B67">
        <f t="shared" si="1"/>
        <v>2018</v>
      </c>
      <c r="C67">
        <f>+'staffing plan'!BK77</f>
        <v>43132</v>
      </c>
      <c r="D67" t="str">
        <f>'staffing plan'!A77</f>
        <v>OSEC-DILGB-LGOO7-1445-2017</v>
      </c>
      <c r="E67" t="str">
        <f>+'staffing plan'!B77</f>
        <v>Local Government Operations Officer VII</v>
      </c>
      <c r="F67">
        <f>+'staffing plan'!C77</f>
        <v>24</v>
      </c>
      <c r="G67" s="131">
        <f>+'staffing plan'!AH77</f>
        <v>1000872</v>
      </c>
      <c r="H67" s="131">
        <f>+'staffing plan'!AI77</f>
        <v>1000872</v>
      </c>
      <c r="I67" s="131">
        <f>+'staffing plan'!AJ77</f>
        <v>1</v>
      </c>
      <c r="J67" t="str">
        <f>+'staffing plan'!AW77</f>
        <v>CARIÑO, Maritess  Malinay</v>
      </c>
      <c r="K67" t="e">
        <f>+'staffing plan'!#REF!</f>
        <v>#REF!</v>
      </c>
      <c r="L67" t="e">
        <f>+'staffing plan'!#REF!</f>
        <v>#REF!</v>
      </c>
      <c r="M67" t="str">
        <f>+'staffing plan'!AX77</f>
        <v>Mt. Province</v>
      </c>
      <c r="N67" t="str">
        <f>+'staffing plan'!AY77</f>
        <v>F</v>
      </c>
      <c r="O67" s="145" t="e">
        <f>+'staffing plan'!#REF!</f>
        <v>#REF!</v>
      </c>
      <c r="P67" s="145" t="e">
        <f>+'staffing plan'!#REF!</f>
        <v>#REF!</v>
      </c>
      <c r="Q67" s="145" t="e">
        <f>+'staffing plan'!#REF!</f>
        <v>#REF!</v>
      </c>
      <c r="R67">
        <f>+'staffing plan'!BP77</f>
        <v>0</v>
      </c>
      <c r="S67">
        <v>66</v>
      </c>
    </row>
    <row r="68" spans="2:19" hidden="1">
      <c r="B68">
        <f t="shared" ref="B68:B86" si="4">(YEAR(C68))</f>
        <v>2019</v>
      </c>
      <c r="C68">
        <f>+'staffing plan'!BK78</f>
        <v>43531</v>
      </c>
      <c r="D68" t="str">
        <f>'staffing plan'!A78</f>
        <v>OSEC-DILGB-LGOO7-1446-2017</v>
      </c>
      <c r="E68" t="str">
        <f>+'staffing plan'!B78</f>
        <v>Local Government Operations Officer VII</v>
      </c>
      <c r="F68">
        <f>+'staffing plan'!C78</f>
        <v>24</v>
      </c>
      <c r="G68" s="131">
        <f>+'staffing plan'!AH78</f>
        <v>1000872</v>
      </c>
      <c r="H68" s="131">
        <f>+'staffing plan'!AI78</f>
        <v>1000872</v>
      </c>
      <c r="I68" s="131">
        <f>+'staffing plan'!AJ78</f>
        <v>1</v>
      </c>
      <c r="J68" t="str">
        <f>+'staffing plan'!AW78</f>
        <v>ALIÑO, Mediatrix Rubio</v>
      </c>
      <c r="K68" t="e">
        <f>+'staffing plan'!#REF!</f>
        <v>#REF!</v>
      </c>
      <c r="L68" t="e">
        <f>+'staffing plan'!#REF!</f>
        <v>#REF!</v>
      </c>
      <c r="M68" t="str">
        <f>+'staffing plan'!AX78</f>
        <v>Kalinga</v>
      </c>
      <c r="N68" t="str">
        <f>+'staffing plan'!AY78</f>
        <v>F</v>
      </c>
      <c r="O68" s="145" t="e">
        <f>+'staffing plan'!#REF!</f>
        <v>#REF!</v>
      </c>
      <c r="P68" s="145" t="e">
        <f>+'staffing plan'!#REF!</f>
        <v>#REF!</v>
      </c>
      <c r="Q68" s="145" t="e">
        <f>+'staffing plan'!#REF!</f>
        <v>#REF!</v>
      </c>
      <c r="R68">
        <f>+'staffing plan'!BP78</f>
        <v>0</v>
      </c>
      <c r="S68">
        <v>67</v>
      </c>
    </row>
    <row r="69" spans="2:19">
      <c r="B69">
        <f t="shared" si="4"/>
        <v>1900</v>
      </c>
      <c r="C69">
        <f>+'staffing plan'!BK79</f>
        <v>0</v>
      </c>
      <c r="D69" t="str">
        <f>'staffing plan'!A79</f>
        <v>OSEC-DILGB-LGOO7-1447-2017</v>
      </c>
      <c r="E69" t="str">
        <f>+'staffing plan'!B79</f>
        <v>Local Government Operations Officer VII</v>
      </c>
      <c r="F69">
        <f>+'staffing plan'!C79</f>
        <v>24</v>
      </c>
      <c r="G69" s="131">
        <f>+'staffing plan'!AH79</f>
        <v>1000872</v>
      </c>
      <c r="H69" s="131">
        <f>+'staffing plan'!AI79</f>
        <v>0</v>
      </c>
      <c r="I69" s="131">
        <f>+'staffing plan'!AJ79</f>
        <v>0</v>
      </c>
      <c r="J69" t="str">
        <f>+'staffing plan'!AW79</f>
        <v xml:space="preserve">Vacant Guerzon,  </v>
      </c>
      <c r="K69" t="e">
        <f>+'staffing plan'!#REF!</f>
        <v>#REF!</v>
      </c>
      <c r="L69" t="e">
        <f>+'staffing plan'!#REF!</f>
        <v>#REF!</v>
      </c>
      <c r="M69">
        <f>+'staffing plan'!AX79</f>
        <v>0</v>
      </c>
      <c r="N69">
        <f>+'staffing plan'!AY79</f>
        <v>0</v>
      </c>
      <c r="O69" s="145" t="e">
        <f>+'staffing plan'!#REF!</f>
        <v>#REF!</v>
      </c>
      <c r="P69" s="145" t="e">
        <f>+'staffing plan'!#REF!</f>
        <v>#REF!</v>
      </c>
      <c r="Q69" s="145" t="e">
        <f>+'staffing plan'!#REF!</f>
        <v>#REF!</v>
      </c>
      <c r="R69">
        <f>+'staffing plan'!BP79</f>
        <v>0</v>
      </c>
      <c r="S69">
        <v>68</v>
      </c>
    </row>
    <row r="70" spans="2:19" hidden="1">
      <c r="B70">
        <f t="shared" si="4"/>
        <v>2019</v>
      </c>
      <c r="C70">
        <f>+'staffing plan'!BK80</f>
        <v>43531</v>
      </c>
      <c r="D70" t="str">
        <f>'staffing plan'!A80</f>
        <v>OSEC-DILGB-LGOO7-1448-2017</v>
      </c>
      <c r="E70" t="str">
        <f>+'staffing plan'!B80</f>
        <v>Local Government Operations Officer VII</v>
      </c>
      <c r="F70">
        <f>+'staffing plan'!C80</f>
        <v>24</v>
      </c>
      <c r="G70" s="131">
        <f>+'staffing plan'!AH80</f>
        <v>1000872</v>
      </c>
      <c r="H70" s="131">
        <f>+'staffing plan'!AI80</f>
        <v>1000872</v>
      </c>
      <c r="I70" s="131">
        <f>+'staffing plan'!AJ80</f>
        <v>1</v>
      </c>
      <c r="J70" t="str">
        <f>+'staffing plan'!AW80</f>
        <v>ABULENCIA, Emmanuel Pinlac</v>
      </c>
      <c r="K70" t="e">
        <f>+'staffing plan'!#REF!</f>
        <v>#REF!</v>
      </c>
      <c r="L70" t="e">
        <f>+'staffing plan'!#REF!</f>
        <v>#REF!</v>
      </c>
      <c r="M70" t="str">
        <f>+'staffing plan'!AX80</f>
        <v>Apayao</v>
      </c>
      <c r="N70" t="str">
        <f>+'staffing plan'!AY80</f>
        <v>M</v>
      </c>
      <c r="O70" s="145" t="e">
        <f>+'staffing plan'!#REF!</f>
        <v>#REF!</v>
      </c>
      <c r="P70" s="145" t="e">
        <f>+'staffing plan'!#REF!</f>
        <v>#REF!</v>
      </c>
      <c r="Q70" s="145" t="e">
        <f>+'staffing plan'!#REF!</f>
        <v>#REF!</v>
      </c>
      <c r="R70">
        <f>+'staffing plan'!BP80</f>
        <v>0</v>
      </c>
      <c r="S70">
        <v>69</v>
      </c>
    </row>
    <row r="71" spans="2:19" hidden="1">
      <c r="B71">
        <f t="shared" si="4"/>
        <v>1900</v>
      </c>
      <c r="C71">
        <f>+'staffing plan'!BK90</f>
        <v>0</v>
      </c>
      <c r="D71" t="str">
        <f>'staffing plan'!A90</f>
        <v>OSEC-DILGB-LGOO6-9-2013</v>
      </c>
      <c r="E71" t="str">
        <f>+'staffing plan'!B90</f>
        <v>Local Government Operations Officer VI</v>
      </c>
      <c r="F71">
        <f>+'staffing plan'!C90</f>
        <v>22</v>
      </c>
      <c r="G71" s="131">
        <f>+'staffing plan'!AH90</f>
        <v>783828</v>
      </c>
      <c r="H71" s="131">
        <f>+'staffing plan'!AI90</f>
        <v>0</v>
      </c>
      <c r="I71" s="131">
        <f>+'staffing plan'!AJ90</f>
        <v>0</v>
      </c>
      <c r="J71" t="str">
        <f>+'staffing plan'!AW90</f>
        <v xml:space="preserve">Vacant ALIÑO,  </v>
      </c>
      <c r="K71" t="e">
        <f>+'staffing plan'!#REF!</f>
        <v>#REF!</v>
      </c>
      <c r="L71" t="e">
        <f>+'staffing plan'!#REF!</f>
        <v>#REF!</v>
      </c>
      <c r="M71">
        <f>+'staffing plan'!AX90</f>
        <v>0</v>
      </c>
      <c r="N71">
        <f>+'staffing plan'!AY90</f>
        <v>0</v>
      </c>
      <c r="O71" s="145" t="e">
        <f>+'staffing plan'!#REF!</f>
        <v>#REF!</v>
      </c>
      <c r="P71" s="145" t="e">
        <f>+'staffing plan'!#REF!</f>
        <v>#REF!</v>
      </c>
      <c r="Q71" s="145" t="e">
        <f>+'staffing plan'!#REF!</f>
        <v>#REF!</v>
      </c>
      <c r="R71">
        <f>+'staffing plan'!BP90</f>
        <v>0</v>
      </c>
      <c r="S71">
        <v>70</v>
      </c>
    </row>
    <row r="72" spans="2:19" hidden="1">
      <c r="B72">
        <f t="shared" si="4"/>
        <v>1900</v>
      </c>
      <c r="C72">
        <f>+'staffing plan'!BK91</f>
        <v>0</v>
      </c>
      <c r="D72" t="str">
        <f>'staffing plan'!A91</f>
        <v>OSEC-DILGB-LGOO6-10-2010</v>
      </c>
      <c r="E72" t="str">
        <f>+'staffing plan'!B91</f>
        <v>Local Government Operations Officer VI</v>
      </c>
      <c r="F72">
        <f>+'staffing plan'!C91</f>
        <v>22</v>
      </c>
      <c r="G72" s="131">
        <f>+'staffing plan'!AH91</f>
        <v>783828</v>
      </c>
      <c r="H72" s="131">
        <f>+'staffing plan'!AI91</f>
        <v>0</v>
      </c>
      <c r="I72" s="131">
        <f>+'staffing plan'!AJ91</f>
        <v>0</v>
      </c>
      <c r="J72" t="str">
        <f>+'staffing plan'!AW91</f>
        <v xml:space="preserve">Vacant ABULENCIA,  </v>
      </c>
      <c r="K72" t="e">
        <f>+'staffing plan'!#REF!</f>
        <v>#REF!</v>
      </c>
      <c r="L72" t="e">
        <f>+'staffing plan'!#REF!</f>
        <v>#REF!</v>
      </c>
      <c r="M72">
        <f>+'staffing plan'!AX91</f>
        <v>0</v>
      </c>
      <c r="N72">
        <f>+'staffing plan'!AY91</f>
        <v>0</v>
      </c>
      <c r="O72" s="145" t="e">
        <f>+'staffing plan'!#REF!</f>
        <v>#REF!</v>
      </c>
      <c r="P72" s="145" t="e">
        <f>+'staffing plan'!#REF!</f>
        <v>#REF!</v>
      </c>
      <c r="Q72" s="145" t="e">
        <f>+'staffing plan'!#REF!</f>
        <v>#REF!</v>
      </c>
      <c r="R72">
        <f>+'staffing plan'!BP91</f>
        <v>0</v>
      </c>
      <c r="S72">
        <v>71</v>
      </c>
    </row>
    <row r="73" spans="2:19">
      <c r="B73">
        <f t="shared" si="4"/>
        <v>2014</v>
      </c>
      <c r="C73">
        <f>+'staffing plan'!BK94</f>
        <v>41711</v>
      </c>
      <c r="D73" t="str">
        <f>'staffing plan'!A94</f>
        <v>OSEC-DILGB-LGOO6-11-2010</v>
      </c>
      <c r="E73" t="str">
        <f>+'staffing plan'!B94</f>
        <v>Local Government Operations Officer VI</v>
      </c>
      <c r="F73">
        <f>+'staffing plan'!C94</f>
        <v>22</v>
      </c>
      <c r="G73" s="131">
        <f>+'staffing plan'!AH94</f>
        <v>783828</v>
      </c>
      <c r="H73" s="131">
        <f>+'staffing plan'!AI94</f>
        <v>796620</v>
      </c>
      <c r="I73" s="131">
        <f>+'staffing plan'!AJ94</f>
        <v>2</v>
      </c>
      <c r="J73" t="str">
        <f>+'staffing plan'!AW94</f>
        <v>CAMACHO, Anabelle  Laron</v>
      </c>
      <c r="K73" t="e">
        <f>+'staffing plan'!#REF!</f>
        <v>#REF!</v>
      </c>
      <c r="L73" t="e">
        <f>+'staffing plan'!#REF!</f>
        <v>#REF!</v>
      </c>
      <c r="M73" t="str">
        <f>+'staffing plan'!AX94</f>
        <v>Baguio City</v>
      </c>
      <c r="N73" t="str">
        <f>+'staffing plan'!AY94</f>
        <v>F</v>
      </c>
      <c r="O73" s="145" t="e">
        <f>+'staffing plan'!#REF!</f>
        <v>#REF!</v>
      </c>
      <c r="P73" s="145" t="e">
        <f>+'staffing plan'!#REF!</f>
        <v>#REF!</v>
      </c>
      <c r="Q73" s="145" t="e">
        <f>+'staffing plan'!#REF!</f>
        <v>#REF!</v>
      </c>
      <c r="R73">
        <f>+'staffing plan'!BP94</f>
        <v>0</v>
      </c>
      <c r="S73">
        <v>72</v>
      </c>
    </row>
    <row r="74" spans="2:19" hidden="1">
      <c r="B74">
        <f t="shared" si="4"/>
        <v>1900</v>
      </c>
      <c r="C74">
        <f>+'staffing plan'!BK97</f>
        <v>0</v>
      </c>
      <c r="D74" t="str">
        <f>'staffing plan'!A97</f>
        <v>OSEC-DILGB-LGOO6-13-2010</v>
      </c>
      <c r="E74" t="str">
        <f>+'staffing plan'!B97</f>
        <v>Local Government Operations Officer VI</v>
      </c>
      <c r="F74">
        <f>+'staffing plan'!C97</f>
        <v>22</v>
      </c>
      <c r="G74" s="131">
        <f>+'staffing plan'!AH97</f>
        <v>783828</v>
      </c>
      <c r="H74" s="131">
        <f>+'staffing plan'!AI97</f>
        <v>0</v>
      </c>
      <c r="I74" s="131">
        <f>+'staffing plan'!AJ97</f>
        <v>0</v>
      </c>
      <c r="J74" t="str">
        <f>+'staffing plan'!AW97</f>
        <v xml:space="preserve">Vacant APPOY,  </v>
      </c>
      <c r="K74" t="e">
        <f>+'staffing plan'!#REF!</f>
        <v>#REF!</v>
      </c>
      <c r="L74" t="e">
        <f>+'staffing plan'!#REF!</f>
        <v>#REF!</v>
      </c>
      <c r="M74">
        <f>+'staffing plan'!AX97</f>
        <v>0</v>
      </c>
      <c r="N74">
        <f>+'staffing plan'!AY97</f>
        <v>0</v>
      </c>
      <c r="O74" s="145" t="e">
        <f>+'staffing plan'!#REF!</f>
        <v>#REF!</v>
      </c>
      <c r="P74" s="145" t="e">
        <f>+'staffing plan'!#REF!</f>
        <v>#REF!</v>
      </c>
      <c r="Q74" s="145" t="e">
        <f>+'staffing plan'!#REF!</f>
        <v>#REF!</v>
      </c>
      <c r="R74">
        <f>+'staffing plan'!BP97</f>
        <v>0</v>
      </c>
      <c r="S74">
        <v>73</v>
      </c>
    </row>
    <row r="75" spans="2:19" hidden="1">
      <c r="B75">
        <f t="shared" si="4"/>
        <v>2015</v>
      </c>
      <c r="C75">
        <f>+'staffing plan'!BK159</f>
        <v>42354</v>
      </c>
      <c r="D75" t="str">
        <f>'staffing plan'!A159</f>
        <v>OSEC-DILGB-LGOO6-236-2010</v>
      </c>
      <c r="E75" t="str">
        <f>+'staffing plan'!B159</f>
        <v>Local Government Operations Officer VI</v>
      </c>
      <c r="F75">
        <f>+'staffing plan'!C159</f>
        <v>22</v>
      </c>
      <c r="G75" s="131">
        <f>+'staffing plan'!AH159</f>
        <v>783828</v>
      </c>
      <c r="H75" s="131">
        <f>+'staffing plan'!AI159</f>
        <v>796620</v>
      </c>
      <c r="I75" s="131">
        <f>+'staffing plan'!AJ159</f>
        <v>2</v>
      </c>
      <c r="J75" t="str">
        <f>+'staffing plan'!AW159</f>
        <v>ACERET, Wilnelia Martinez</v>
      </c>
      <c r="K75" t="e">
        <f>+'staffing plan'!#REF!</f>
        <v>#REF!</v>
      </c>
      <c r="L75" t="e">
        <f>+'staffing plan'!#REF!</f>
        <v>#REF!</v>
      </c>
      <c r="M75" t="str">
        <f>+'staffing plan'!AX159</f>
        <v>Apayao</v>
      </c>
      <c r="N75" t="str">
        <f>+'staffing plan'!AY159</f>
        <v>F</v>
      </c>
      <c r="O75" s="145" t="e">
        <f>+'staffing plan'!#REF!</f>
        <v>#REF!</v>
      </c>
      <c r="P75" s="145" t="e">
        <f>+'staffing plan'!#REF!</f>
        <v>#REF!</v>
      </c>
      <c r="Q75" s="145" t="e">
        <f>+'staffing plan'!#REF!</f>
        <v>#REF!</v>
      </c>
      <c r="R75">
        <f>+'staffing plan'!BP159</f>
        <v>0</v>
      </c>
      <c r="S75">
        <v>74</v>
      </c>
    </row>
    <row r="76" spans="2:19" hidden="1">
      <c r="B76">
        <f t="shared" si="4"/>
        <v>2018</v>
      </c>
      <c r="C76">
        <f>+'staffing plan'!BK160</f>
        <v>43129</v>
      </c>
      <c r="D76" t="str">
        <f>'staffing plan'!A160</f>
        <v>OSEC-DILGB-LGOO6-237-2010</v>
      </c>
      <c r="E76" t="str">
        <f>+'staffing plan'!B160</f>
        <v>Local Government Operations Officer VI</v>
      </c>
      <c r="F76">
        <f>+'staffing plan'!C160</f>
        <v>22</v>
      </c>
      <c r="G76" s="131">
        <f>+'staffing plan'!AH160</f>
        <v>783828</v>
      </c>
      <c r="H76" s="131">
        <f>+'staffing plan'!AI160</f>
        <v>783828</v>
      </c>
      <c r="I76" s="131">
        <f>+'staffing plan'!AJ160</f>
        <v>1</v>
      </c>
      <c r="J76" t="str">
        <f>+'staffing plan'!AW160</f>
        <v>BALLUG, Rene Vincent Ilacad</v>
      </c>
      <c r="K76" t="e">
        <f>+'staffing plan'!#REF!</f>
        <v>#REF!</v>
      </c>
      <c r="L76" t="e">
        <f>+'staffing plan'!#REF!</f>
        <v>#REF!</v>
      </c>
      <c r="M76" t="str">
        <f>+'staffing plan'!AX160</f>
        <v>Benguet</v>
      </c>
      <c r="N76" t="str">
        <f>+'staffing plan'!AY160</f>
        <v>M</v>
      </c>
      <c r="O76" s="145" t="e">
        <f>+'staffing plan'!#REF!</f>
        <v>#REF!</v>
      </c>
      <c r="P76" s="145" t="e">
        <f>+'staffing plan'!#REF!</f>
        <v>#REF!</v>
      </c>
      <c r="Q76" s="145" t="e">
        <f>+'staffing plan'!#REF!</f>
        <v>#REF!</v>
      </c>
      <c r="R76" t="str">
        <f>+'staffing plan'!BP160</f>
        <v>Benguet Transfer to MLGOO 1/3/18</v>
      </c>
      <c r="S76">
        <v>75</v>
      </c>
    </row>
    <row r="77" spans="2:19" hidden="1">
      <c r="B77">
        <f t="shared" si="4"/>
        <v>2019</v>
      </c>
      <c r="C77">
        <f>+'staffing plan'!BK161</f>
        <v>43497</v>
      </c>
      <c r="D77" t="str">
        <f>'staffing plan'!A161</f>
        <v>OSEC-DILGB-LGOO6-238-2010</v>
      </c>
      <c r="E77" t="str">
        <f>+'staffing plan'!B161</f>
        <v>Local Government Operations Officer VI</v>
      </c>
      <c r="F77">
        <f>+'staffing plan'!C161</f>
        <v>22</v>
      </c>
      <c r="G77" s="131">
        <f>+'staffing plan'!AH161</f>
        <v>783828</v>
      </c>
      <c r="H77" s="131">
        <f>+'staffing plan'!AI161</f>
        <v>783828</v>
      </c>
      <c r="I77" s="131">
        <f>+'staffing plan'!AJ161</f>
        <v>1</v>
      </c>
      <c r="J77" t="str">
        <f>+'staffing plan'!AW161</f>
        <v>GRIBA, Mary Ann Javier</v>
      </c>
      <c r="K77" t="e">
        <f>+'staffing plan'!#REF!</f>
        <v>#REF!</v>
      </c>
      <c r="L77" t="e">
        <f>+'staffing plan'!#REF!</f>
        <v>#REF!</v>
      </c>
      <c r="M77" t="str">
        <f>+'staffing plan'!AX161</f>
        <v>Mt. Province</v>
      </c>
      <c r="N77" t="str">
        <f>+'staffing plan'!AY161</f>
        <v>F</v>
      </c>
      <c r="O77" s="145" t="e">
        <f>+'staffing plan'!#REF!</f>
        <v>#REF!</v>
      </c>
      <c r="P77" s="145" t="e">
        <f>+'staffing plan'!#REF!</f>
        <v>#REF!</v>
      </c>
      <c r="Q77" s="145" t="e">
        <f>+'staffing plan'!#REF!</f>
        <v>#REF!</v>
      </c>
      <c r="R77">
        <f>+'staffing plan'!BP161</f>
        <v>0</v>
      </c>
      <c r="S77">
        <v>76</v>
      </c>
    </row>
    <row r="78" spans="2:19" hidden="1">
      <c r="B78">
        <f t="shared" si="4"/>
        <v>2019</v>
      </c>
      <c r="C78">
        <f>+'staffing plan'!BK162</f>
        <v>43518</v>
      </c>
      <c r="D78" t="str">
        <f>'staffing plan'!A162</f>
        <v>OSEC-DILGB-LGOO6-240-2010</v>
      </c>
      <c r="E78" t="str">
        <f>+'staffing plan'!B162</f>
        <v>Local Government Operations Officer VI</v>
      </c>
      <c r="F78">
        <f>+'staffing plan'!C162</f>
        <v>22</v>
      </c>
      <c r="G78" s="131">
        <f>+'staffing plan'!AH162</f>
        <v>783828</v>
      </c>
      <c r="H78" s="131">
        <f>+'staffing plan'!AI162</f>
        <v>783828</v>
      </c>
      <c r="I78" s="131">
        <f>+'staffing plan'!AJ162</f>
        <v>1</v>
      </c>
      <c r="J78" t="str">
        <f>+'staffing plan'!AW162</f>
        <v>CHUNANON, Kliene Pasaraba</v>
      </c>
      <c r="K78" t="e">
        <f>+'staffing plan'!#REF!</f>
        <v>#REF!</v>
      </c>
      <c r="L78" t="e">
        <f>+'staffing plan'!#REF!</f>
        <v>#REF!</v>
      </c>
      <c r="M78" t="str">
        <f>+'staffing plan'!AX162</f>
        <v>Kalinga</v>
      </c>
      <c r="N78" t="str">
        <f>+'staffing plan'!AY162</f>
        <v>M</v>
      </c>
      <c r="O78" s="145" t="e">
        <f>+'staffing plan'!#REF!</f>
        <v>#REF!</v>
      </c>
      <c r="P78" s="145" t="e">
        <f>+'staffing plan'!#REF!</f>
        <v>#REF!</v>
      </c>
      <c r="Q78" s="145" t="e">
        <f>+'staffing plan'!#REF!</f>
        <v>#REF!</v>
      </c>
      <c r="R78">
        <f>+'staffing plan'!BP162</f>
        <v>0</v>
      </c>
      <c r="S78">
        <v>77</v>
      </c>
    </row>
    <row r="79" spans="2:19" hidden="1">
      <c r="B79">
        <f t="shared" si="4"/>
        <v>2018</v>
      </c>
      <c r="C79">
        <f>+'staffing plan'!BK163</f>
        <v>43132</v>
      </c>
      <c r="D79" t="str">
        <f>'staffing plan'!A163</f>
        <v>OSEC-DILGB-LGOO6-1268-2017</v>
      </c>
      <c r="E79" t="str">
        <f>+'staffing plan'!B163</f>
        <v>Local Government Operations Officer VI</v>
      </c>
      <c r="F79">
        <f>+'staffing plan'!C163</f>
        <v>22</v>
      </c>
      <c r="G79" s="131">
        <f>+'staffing plan'!AH163</f>
        <v>783828</v>
      </c>
      <c r="H79" s="131">
        <f>+'staffing plan'!AI163</f>
        <v>783828</v>
      </c>
      <c r="I79" s="131">
        <f>+'staffing plan'!AJ163</f>
        <v>1</v>
      </c>
      <c r="J79" t="str">
        <f>+'staffing plan'!AW163</f>
        <v>MALIG, Julie Capiato</v>
      </c>
      <c r="K79" t="e">
        <f>+'staffing plan'!#REF!</f>
        <v>#REF!</v>
      </c>
      <c r="L79" t="e">
        <f>+'staffing plan'!#REF!</f>
        <v>#REF!</v>
      </c>
      <c r="M79" t="str">
        <f>+'staffing plan'!AX163</f>
        <v>Benguet</v>
      </c>
      <c r="N79" t="str">
        <f>+'staffing plan'!AY163</f>
        <v>F</v>
      </c>
      <c r="O79" s="145" t="e">
        <f>+'staffing plan'!#REF!</f>
        <v>#REF!</v>
      </c>
      <c r="P79" s="145" t="e">
        <f>+'staffing plan'!#REF!</f>
        <v>#REF!</v>
      </c>
      <c r="Q79" s="145" t="e">
        <f>+'staffing plan'!#REF!</f>
        <v>#REF!</v>
      </c>
      <c r="R79">
        <f>+'staffing plan'!BP163</f>
        <v>0</v>
      </c>
      <c r="S79">
        <v>78</v>
      </c>
    </row>
    <row r="80" spans="2:19" hidden="1">
      <c r="B80">
        <f t="shared" si="4"/>
        <v>2011</v>
      </c>
      <c r="C80">
        <f>+'staffing plan'!BK164</f>
        <v>40896</v>
      </c>
      <c r="D80" t="str">
        <f>'staffing plan'!A164</f>
        <v>OSEC-DILGB-LGOO5-101-2010</v>
      </c>
      <c r="E80" t="str">
        <f>+'staffing plan'!B164</f>
        <v>Local Government Operations Officer V</v>
      </c>
      <c r="F80">
        <f>+'staffing plan'!C164</f>
        <v>20</v>
      </c>
      <c r="G80" s="131">
        <f>+'staffing plan'!AH164</f>
        <v>613860</v>
      </c>
      <c r="H80" s="131">
        <f>+'staffing plan'!AI164</f>
        <v>634056</v>
      </c>
      <c r="I80" s="131">
        <f>+'staffing plan'!AJ164</f>
        <v>3</v>
      </c>
      <c r="J80" t="str">
        <f>+'staffing plan'!AW164</f>
        <v>MABIASAN, Domingo Gaw-i</v>
      </c>
      <c r="K80" t="e">
        <f>+'staffing plan'!#REF!</f>
        <v>#REF!</v>
      </c>
      <c r="L80" t="e">
        <f>+'staffing plan'!#REF!</f>
        <v>#REF!</v>
      </c>
      <c r="M80" t="str">
        <f>+'staffing plan'!AX164</f>
        <v>Mt. Province</v>
      </c>
      <c r="N80" t="str">
        <f>+'staffing plan'!AY164</f>
        <v>M</v>
      </c>
      <c r="O80" s="145" t="e">
        <f>+'staffing plan'!#REF!</f>
        <v>#REF!</v>
      </c>
      <c r="P80" s="145" t="e">
        <f>+'staffing plan'!#REF!</f>
        <v>#REF!</v>
      </c>
      <c r="Q80" s="145" t="e">
        <f>+'staffing plan'!#REF!</f>
        <v>#REF!</v>
      </c>
      <c r="R80">
        <f>+'staffing plan'!BP164</f>
        <v>0</v>
      </c>
      <c r="S80">
        <v>79</v>
      </c>
    </row>
    <row r="81" spans="2:19" hidden="1">
      <c r="B81">
        <f t="shared" si="4"/>
        <v>2019</v>
      </c>
      <c r="C81">
        <f>+'staffing plan'!BK155</f>
        <v>43518</v>
      </c>
      <c r="D81" t="str">
        <f>'staffing plan'!A155</f>
        <v>OSEC-DILGB-LGOO6-71-2017</v>
      </c>
      <c r="E81" t="str">
        <f>+'staffing plan'!B155</f>
        <v>Local Government Operations Officer VI</v>
      </c>
      <c r="F81">
        <f>+'staffing plan'!C155</f>
        <v>22</v>
      </c>
      <c r="G81" s="131">
        <f>+'staffing plan'!AH155</f>
        <v>783828</v>
      </c>
      <c r="H81" s="131">
        <f>+'staffing plan'!AI155</f>
        <v>783828</v>
      </c>
      <c r="I81" s="131">
        <f>+'staffing plan'!AJ155</f>
        <v>1</v>
      </c>
      <c r="J81" t="str">
        <f>+'staffing plan'!AW155</f>
        <v>GANO, Carol Guidangen</v>
      </c>
      <c r="K81" t="e">
        <f>+'staffing plan'!#REF!</f>
        <v>#REF!</v>
      </c>
      <c r="L81" t="e">
        <f>+'staffing plan'!#REF!</f>
        <v>#REF!</v>
      </c>
      <c r="M81" t="str">
        <f>+'staffing plan'!AX155</f>
        <v>Abra</v>
      </c>
      <c r="N81" t="str">
        <f>+'staffing plan'!AY155</f>
        <v>F</v>
      </c>
      <c r="O81" s="145" t="e">
        <f>+'staffing plan'!#REF!</f>
        <v>#REF!</v>
      </c>
      <c r="P81" s="145" t="e">
        <f>+'staffing plan'!#REF!</f>
        <v>#REF!</v>
      </c>
      <c r="Q81" s="145" t="e">
        <f>+'staffing plan'!#REF!</f>
        <v>#REF!</v>
      </c>
      <c r="R81">
        <f>+'staffing plan'!BP155</f>
        <v>0</v>
      </c>
      <c r="S81">
        <v>80</v>
      </c>
    </row>
    <row r="82" spans="2:19" hidden="1">
      <c r="B82">
        <f t="shared" si="4"/>
        <v>2017</v>
      </c>
      <c r="C82">
        <f>+'staffing plan'!BK154</f>
        <v>43070</v>
      </c>
      <c r="D82" t="str">
        <f>'staffing plan'!A154</f>
        <v>OSEC-DILGB-LGOO6-70-2017</v>
      </c>
      <c r="E82" t="str">
        <f>+'staffing plan'!B154</f>
        <v>Local Government Operations Officer VI</v>
      </c>
      <c r="F82">
        <f>+'staffing plan'!C154</f>
        <v>22</v>
      </c>
      <c r="G82" s="131">
        <f>+'staffing plan'!AH154</f>
        <v>783828</v>
      </c>
      <c r="H82" s="131">
        <f>+'staffing plan'!AI154</f>
        <v>783828</v>
      </c>
      <c r="I82" s="131">
        <f>+'staffing plan'!AJ154</f>
        <v>1</v>
      </c>
      <c r="J82" t="str">
        <f>+'staffing plan'!AW154</f>
        <v>BALDERAMA, Antonio Badere</v>
      </c>
      <c r="K82" t="e">
        <f>+'staffing plan'!#REF!</f>
        <v>#REF!</v>
      </c>
      <c r="L82" t="e">
        <f>+'staffing plan'!#REF!</f>
        <v>#REF!</v>
      </c>
      <c r="M82" t="str">
        <f>+'staffing plan'!AX154</f>
        <v>Abra</v>
      </c>
      <c r="N82" t="str">
        <f>+'staffing plan'!AY154</f>
        <v>M</v>
      </c>
      <c r="O82" s="145" t="e">
        <f>+'staffing plan'!#REF!</f>
        <v>#REF!</v>
      </c>
      <c r="P82" s="145" t="e">
        <f>+'staffing plan'!#REF!</f>
        <v>#REF!</v>
      </c>
      <c r="Q82" s="145" t="e">
        <f>+'staffing plan'!#REF!</f>
        <v>#REF!</v>
      </c>
      <c r="R82">
        <f>+'staffing plan'!BP154</f>
        <v>0</v>
      </c>
      <c r="S82">
        <v>81</v>
      </c>
    </row>
    <row r="83" spans="2:19" hidden="1">
      <c r="B83">
        <f t="shared" si="4"/>
        <v>2017</v>
      </c>
      <c r="C83">
        <f>+'staffing plan'!BK104</f>
        <v>43070</v>
      </c>
      <c r="D83" t="str">
        <f>'staffing plan'!A104</f>
        <v>OSEC-DILGB-LGOO6-20-2017</v>
      </c>
      <c r="E83" t="str">
        <f>+'staffing plan'!B104</f>
        <v>Local Government Operations Officer VI</v>
      </c>
      <c r="F83">
        <f>+'staffing plan'!C104</f>
        <v>22</v>
      </c>
      <c r="G83" s="131">
        <f>+'staffing plan'!AH104</f>
        <v>783828</v>
      </c>
      <c r="H83" s="131">
        <f>+'staffing plan'!AI104</f>
        <v>783828</v>
      </c>
      <c r="I83" s="131">
        <f>+'staffing plan'!AJ104</f>
        <v>1</v>
      </c>
      <c r="J83" t="str">
        <f>+'staffing plan'!AW104</f>
        <v>TON, Janice Cristine Barreras</v>
      </c>
      <c r="K83" t="e">
        <f>+'staffing plan'!#REF!</f>
        <v>#REF!</v>
      </c>
      <c r="L83" t="e">
        <f>+'staffing plan'!#REF!</f>
        <v>#REF!</v>
      </c>
      <c r="M83" t="str">
        <f>+'staffing plan'!AX104</f>
        <v>Abra</v>
      </c>
      <c r="N83" t="str">
        <f>+'staffing plan'!AY104</f>
        <v>F</v>
      </c>
      <c r="O83" s="145" t="e">
        <f>+'staffing plan'!#REF!</f>
        <v>#REF!</v>
      </c>
      <c r="P83" s="145" t="e">
        <f>+'staffing plan'!#REF!</f>
        <v>#REF!</v>
      </c>
      <c r="Q83" s="145" t="e">
        <f>+'staffing plan'!#REF!</f>
        <v>#REF!</v>
      </c>
      <c r="R83">
        <f>+'staffing plan'!BP104</f>
        <v>0</v>
      </c>
      <c r="S83">
        <v>82</v>
      </c>
    </row>
    <row r="84" spans="2:19" hidden="1">
      <c r="B84">
        <f t="shared" si="4"/>
        <v>2017</v>
      </c>
      <c r="C84">
        <f>+'staffing plan'!BK81</f>
        <v>43070</v>
      </c>
      <c r="D84" t="str">
        <f>'staffing plan'!A81</f>
        <v>OSEC-DILGB-LGOO6-1-2017</v>
      </c>
      <c r="E84" t="str">
        <f>+'staffing plan'!B81</f>
        <v>Local Government Operations Officer VI</v>
      </c>
      <c r="F84">
        <f>+'staffing plan'!C81</f>
        <v>22</v>
      </c>
      <c r="G84" s="131">
        <f>+'staffing plan'!AH81</f>
        <v>783828</v>
      </c>
      <c r="H84" s="131">
        <f>+'staffing plan'!AI81</f>
        <v>783828</v>
      </c>
      <c r="I84" s="131">
        <f>+'staffing plan'!AJ81</f>
        <v>1</v>
      </c>
      <c r="J84" t="str">
        <f>+'staffing plan'!AW81</f>
        <v>VILLAMOR, Juvenal Hufano</v>
      </c>
      <c r="K84" t="e">
        <f>+'staffing plan'!#REF!</f>
        <v>#REF!</v>
      </c>
      <c r="L84" t="e">
        <f>+'staffing plan'!#REF!</f>
        <v>#REF!</v>
      </c>
      <c r="M84" t="str">
        <f>+'staffing plan'!AX81</f>
        <v>Abra</v>
      </c>
      <c r="N84" t="str">
        <f>+'staffing plan'!AY81</f>
        <v>M</v>
      </c>
      <c r="O84" s="145" t="e">
        <f>+'staffing plan'!#REF!</f>
        <v>#REF!</v>
      </c>
      <c r="P84" s="145" t="e">
        <f>+'staffing plan'!#REF!</f>
        <v>#REF!</v>
      </c>
      <c r="Q84" s="145" t="e">
        <f>+'staffing plan'!#REF!</f>
        <v>#REF!</v>
      </c>
      <c r="R84">
        <f>+'staffing plan'!BP81</f>
        <v>0</v>
      </c>
      <c r="S84">
        <v>83</v>
      </c>
    </row>
    <row r="85" spans="2:19" hidden="1">
      <c r="B85">
        <f t="shared" si="4"/>
        <v>1900</v>
      </c>
      <c r="C85">
        <f>+'staffing plan'!BK165</f>
        <v>0</v>
      </c>
      <c r="D85" t="str">
        <f>'staffing plan'!A165</f>
        <v>OSEC-DILGB-LGOO5-877-1998</v>
      </c>
      <c r="E85" t="str">
        <f>+'staffing plan'!B165</f>
        <v>Local Government Operations Officer V</v>
      </c>
      <c r="F85">
        <f>+'staffing plan'!C165</f>
        <v>20</v>
      </c>
      <c r="G85" s="131">
        <f>+'staffing plan'!AH165</f>
        <v>613860</v>
      </c>
      <c r="H85" s="131">
        <f>+'staffing plan'!AI165</f>
        <v>0</v>
      </c>
      <c r="I85" s="131">
        <f>+'staffing plan'!AJ165</f>
        <v>0</v>
      </c>
      <c r="J85" t="str">
        <f>+'staffing plan'!AW165</f>
        <v xml:space="preserve">Vacant gano,  </v>
      </c>
      <c r="K85" t="e">
        <f>+'staffing plan'!#REF!</f>
        <v>#REF!</v>
      </c>
      <c r="L85" t="e">
        <f>+'staffing plan'!#REF!</f>
        <v>#REF!</v>
      </c>
      <c r="M85">
        <f>+'staffing plan'!AX165</f>
        <v>0</v>
      </c>
      <c r="N85">
        <f>+'staffing plan'!AY165</f>
        <v>0</v>
      </c>
      <c r="O85" s="145" t="e">
        <f>+'staffing plan'!#REF!</f>
        <v>#REF!</v>
      </c>
      <c r="P85" s="145" t="e">
        <f>+'staffing plan'!#REF!</f>
        <v>#REF!</v>
      </c>
      <c r="Q85" s="145" t="e">
        <f>+'staffing plan'!#REF!</f>
        <v>#REF!</v>
      </c>
      <c r="R85">
        <f>+'staffing plan'!BP165</f>
        <v>0</v>
      </c>
      <c r="S85">
        <v>84</v>
      </c>
    </row>
    <row r="86" spans="2:19" hidden="1">
      <c r="B86">
        <f t="shared" si="4"/>
        <v>2017</v>
      </c>
      <c r="C86">
        <f>+'staffing plan'!BK82</f>
        <v>43070</v>
      </c>
      <c r="D86" t="str">
        <f>'staffing plan'!A82</f>
        <v>OSEC-DILGB-LGOO6-2-2017</v>
      </c>
      <c r="E86" t="str">
        <f>+'staffing plan'!B82</f>
        <v>Local Government Operations Officer VI</v>
      </c>
      <c r="F86">
        <f>+'staffing plan'!C82</f>
        <v>22</v>
      </c>
      <c r="G86" s="131">
        <f>+'staffing plan'!AH82</f>
        <v>783828</v>
      </c>
      <c r="H86" s="131">
        <f>+'staffing plan'!AI82</f>
        <v>783828</v>
      </c>
      <c r="I86" s="131">
        <f>+'staffing plan'!AJ82</f>
        <v>1</v>
      </c>
      <c r="J86" t="str">
        <f>+'staffing plan'!AW82</f>
        <v>TURQUEZA, Emmanuel Astudillo</v>
      </c>
      <c r="K86" t="e">
        <f>+'staffing plan'!#REF!</f>
        <v>#REF!</v>
      </c>
      <c r="L86" t="e">
        <f>+'staffing plan'!#REF!</f>
        <v>#REF!</v>
      </c>
      <c r="M86" t="str">
        <f>+'staffing plan'!AX82</f>
        <v>Abra</v>
      </c>
      <c r="N86" t="str">
        <f>+'staffing plan'!AY82</f>
        <v>M</v>
      </c>
      <c r="O86" s="145" t="e">
        <f>+'staffing plan'!#REF!</f>
        <v>#REF!</v>
      </c>
      <c r="P86" s="145" t="e">
        <f>+'staffing plan'!#REF!</f>
        <v>#REF!</v>
      </c>
      <c r="Q86" s="145" t="e">
        <f>+'staffing plan'!#REF!</f>
        <v>#REF!</v>
      </c>
      <c r="R86">
        <f>+'staffing plan'!BP82</f>
        <v>0</v>
      </c>
      <c r="S86">
        <v>85</v>
      </c>
    </row>
    <row r="87" spans="2:19" hidden="1">
      <c r="B87">
        <f t="shared" ref="B87:B150" si="5">(YEAR(C87))</f>
        <v>2017</v>
      </c>
      <c r="C87">
        <f>+'staffing plan'!BK109</f>
        <v>43070</v>
      </c>
      <c r="D87" t="str">
        <f>'staffing plan'!A109</f>
        <v>OSEC-DILGB-LGOO6-25-2017</v>
      </c>
      <c r="E87" t="str">
        <f>+'staffing plan'!B109</f>
        <v>Local Government Operations Officer VI</v>
      </c>
      <c r="F87">
        <f>+'staffing plan'!C109</f>
        <v>22</v>
      </c>
      <c r="G87" s="131">
        <f>+'staffing plan'!AH109</f>
        <v>783828</v>
      </c>
      <c r="H87" s="131">
        <f>+'staffing plan'!AI109</f>
        <v>783828</v>
      </c>
      <c r="I87" s="131">
        <f>+'staffing plan'!AJ109</f>
        <v>1</v>
      </c>
      <c r="J87" t="str">
        <f>+'staffing plan'!AW109</f>
        <v>MICU, Mary Beth Agustin</v>
      </c>
      <c r="K87" t="e">
        <f>+'staffing plan'!#REF!</f>
        <v>#REF!</v>
      </c>
      <c r="L87" t="e">
        <f>+'staffing plan'!#REF!</f>
        <v>#REF!</v>
      </c>
      <c r="M87" t="str">
        <f>+'staffing plan'!AX109</f>
        <v>Apayao</v>
      </c>
      <c r="N87" t="str">
        <f>+'staffing plan'!AY109</f>
        <v>F</v>
      </c>
      <c r="O87" s="145" t="e">
        <f>+'staffing plan'!#REF!</f>
        <v>#REF!</v>
      </c>
      <c r="P87" s="145" t="e">
        <f>+'staffing plan'!#REF!</f>
        <v>#REF!</v>
      </c>
      <c r="Q87" s="145" t="e">
        <f>+'staffing plan'!#REF!</f>
        <v>#REF!</v>
      </c>
      <c r="R87">
        <f>+'staffing plan'!BP109</f>
        <v>0</v>
      </c>
      <c r="S87">
        <v>86</v>
      </c>
    </row>
    <row r="88" spans="2:19" hidden="1">
      <c r="B88">
        <f t="shared" si="5"/>
        <v>2017</v>
      </c>
      <c r="C88">
        <f>+'staffing plan'!BK110</f>
        <v>43089</v>
      </c>
      <c r="D88" t="str">
        <f>'staffing plan'!A110</f>
        <v>OSEC-DILGB-LGOO6-26-2017</v>
      </c>
      <c r="E88" t="str">
        <f>+'staffing plan'!B110</f>
        <v>Local Government Operations Officer VI</v>
      </c>
      <c r="F88">
        <f>+'staffing plan'!C110</f>
        <v>22</v>
      </c>
      <c r="G88" s="131">
        <f>+'staffing plan'!AH110</f>
        <v>783828</v>
      </c>
      <c r="H88" s="131">
        <f>+'staffing plan'!AI110</f>
        <v>783828</v>
      </c>
      <c r="I88" s="131">
        <f>+'staffing plan'!AJ110</f>
        <v>1</v>
      </c>
      <c r="J88" t="str">
        <f>+'staffing plan'!AW110</f>
        <v>GALVEZ, Filipinita Marigza</v>
      </c>
      <c r="K88" t="e">
        <f>+'staffing plan'!#REF!</f>
        <v>#REF!</v>
      </c>
      <c r="L88" t="e">
        <f>+'staffing plan'!#REF!</f>
        <v>#REF!</v>
      </c>
      <c r="M88" t="str">
        <f>+'staffing plan'!AX110</f>
        <v>Apayao</v>
      </c>
      <c r="N88" t="str">
        <f>+'staffing plan'!AY110</f>
        <v>F</v>
      </c>
      <c r="O88" s="145" t="e">
        <f>+'staffing plan'!#REF!</f>
        <v>#REF!</v>
      </c>
      <c r="P88" s="145" t="e">
        <f>+'staffing plan'!#REF!</f>
        <v>#REF!</v>
      </c>
      <c r="Q88" s="145" t="e">
        <f>+'staffing plan'!#REF!</f>
        <v>#REF!</v>
      </c>
      <c r="R88" t="str">
        <f>+'staffing plan'!BP110</f>
        <v>Shifting</v>
      </c>
      <c r="S88">
        <v>87</v>
      </c>
    </row>
    <row r="89" spans="2:19">
      <c r="B89">
        <f t="shared" si="5"/>
        <v>2015</v>
      </c>
      <c r="C89">
        <f>+'staffing plan'!BK166</f>
        <v>42289</v>
      </c>
      <c r="D89" t="str">
        <f>'staffing plan'!A166</f>
        <v>OSEC-DILGB-LGOO5-897-1998</v>
      </c>
      <c r="E89" t="str">
        <f>+'staffing plan'!B166</f>
        <v>Local Government Operations Officer V</v>
      </c>
      <c r="F89">
        <f>+'staffing plan'!C166</f>
        <v>20</v>
      </c>
      <c r="G89" s="131">
        <f>+'staffing plan'!AH166</f>
        <v>613860</v>
      </c>
      <c r="H89" s="131">
        <f>+'staffing plan'!AI166</f>
        <v>623868</v>
      </c>
      <c r="I89" s="131">
        <f>+'staffing plan'!AJ166</f>
        <v>2</v>
      </c>
      <c r="J89" t="str">
        <f>+'staffing plan'!AW166</f>
        <v>VALERA, Sharima  Tomas</v>
      </c>
      <c r="K89" t="e">
        <f>+'staffing plan'!#REF!</f>
        <v>#REF!</v>
      </c>
      <c r="L89" t="e">
        <f>+'staffing plan'!#REF!</f>
        <v>#REF!</v>
      </c>
      <c r="M89" t="str">
        <f>+'staffing plan'!AX166</f>
        <v>Abra</v>
      </c>
      <c r="N89" t="str">
        <f>+'staffing plan'!AY166</f>
        <v>F</v>
      </c>
      <c r="O89" s="145" t="e">
        <f>+'staffing plan'!#REF!</f>
        <v>#REF!</v>
      </c>
      <c r="P89" s="145" t="e">
        <f>+'staffing plan'!#REF!</f>
        <v>#REF!</v>
      </c>
      <c r="Q89" s="145" t="e">
        <f>+'staffing plan'!#REF!</f>
        <v>#REF!</v>
      </c>
      <c r="R89" t="str">
        <f>+'staffing plan'!BP166</f>
        <v>Shifting</v>
      </c>
      <c r="S89">
        <v>88</v>
      </c>
    </row>
    <row r="90" spans="2:19" hidden="1">
      <c r="B90">
        <f t="shared" si="5"/>
        <v>2017</v>
      </c>
      <c r="C90">
        <f>+'staffing plan'!BK83</f>
        <v>43070</v>
      </c>
      <c r="D90" t="str">
        <f>'staffing plan'!A83</f>
        <v>OSEC-DILGB-LGOO6-3-2017</v>
      </c>
      <c r="E90" t="str">
        <f>+'staffing plan'!B83</f>
        <v>Local Government Operations Officer VI</v>
      </c>
      <c r="F90">
        <f>+'staffing plan'!C83</f>
        <v>22</v>
      </c>
      <c r="G90" s="131">
        <f>+'staffing plan'!AH83</f>
        <v>783828</v>
      </c>
      <c r="H90" s="131">
        <f>+'staffing plan'!AI83</f>
        <v>783828</v>
      </c>
      <c r="I90" s="131">
        <f>+'staffing plan'!AJ83</f>
        <v>1</v>
      </c>
      <c r="J90" t="str">
        <f>+'staffing plan'!AW83</f>
        <v>TENEZA, Valentino Barbieto</v>
      </c>
      <c r="K90" t="e">
        <f>+'staffing plan'!#REF!</f>
        <v>#REF!</v>
      </c>
      <c r="L90" t="e">
        <f>+'staffing plan'!#REF!</f>
        <v>#REF!</v>
      </c>
      <c r="M90" t="str">
        <f>+'staffing plan'!AX83</f>
        <v>Abra</v>
      </c>
      <c r="N90" t="str">
        <f>+'staffing plan'!AY83</f>
        <v>M</v>
      </c>
      <c r="O90" s="145" t="e">
        <f>+'staffing plan'!#REF!</f>
        <v>#REF!</v>
      </c>
      <c r="P90" s="145" t="e">
        <f>+'staffing plan'!#REF!</f>
        <v>#REF!</v>
      </c>
      <c r="Q90" s="145" t="e">
        <f>+'staffing plan'!#REF!</f>
        <v>#REF!</v>
      </c>
      <c r="R90">
        <f>+'staffing plan'!BP83</f>
        <v>0</v>
      </c>
      <c r="S90">
        <v>89</v>
      </c>
    </row>
    <row r="91" spans="2:19" hidden="1">
      <c r="B91">
        <f t="shared" si="5"/>
        <v>2017</v>
      </c>
      <c r="C91">
        <f>+'staffing plan'!BK84</f>
        <v>43070</v>
      </c>
      <c r="D91" t="str">
        <f>'staffing plan'!A84</f>
        <v>OSEC-DILGB-LGOO6-4-2017</v>
      </c>
      <c r="E91" t="str">
        <f>+'staffing plan'!B84</f>
        <v>Local Government Operations Officer VI</v>
      </c>
      <c r="F91">
        <f>+'staffing plan'!C84</f>
        <v>22</v>
      </c>
      <c r="G91" s="131">
        <f>+'staffing plan'!AH84</f>
        <v>783828</v>
      </c>
      <c r="H91" s="131">
        <f>+'staffing plan'!AI84</f>
        <v>783828</v>
      </c>
      <c r="I91" s="131">
        <f>+'staffing plan'!AJ84</f>
        <v>1</v>
      </c>
      <c r="J91" t="str">
        <f>+'staffing plan'!AW84</f>
        <v>ABADEZA, Charisma Salimbay</v>
      </c>
      <c r="K91" t="e">
        <f>+'staffing plan'!#REF!</f>
        <v>#REF!</v>
      </c>
      <c r="L91" t="e">
        <f>+'staffing plan'!#REF!</f>
        <v>#REF!</v>
      </c>
      <c r="M91" t="str">
        <f>+'staffing plan'!AX84</f>
        <v>Abra</v>
      </c>
      <c r="N91" t="str">
        <f>+'staffing plan'!AY84</f>
        <v>F</v>
      </c>
      <c r="O91" s="145" t="e">
        <f>+'staffing plan'!#REF!</f>
        <v>#REF!</v>
      </c>
      <c r="P91" s="145" t="e">
        <f>+'staffing plan'!#REF!</f>
        <v>#REF!</v>
      </c>
      <c r="Q91" s="145" t="e">
        <f>+'staffing plan'!#REF!</f>
        <v>#REF!</v>
      </c>
      <c r="R91">
        <f>+'staffing plan'!BP84</f>
        <v>0</v>
      </c>
      <c r="S91">
        <v>90</v>
      </c>
    </row>
    <row r="92" spans="2:19" hidden="1">
      <c r="B92">
        <f t="shared" si="5"/>
        <v>2017</v>
      </c>
      <c r="C92">
        <f>+'staffing plan'!BK85</f>
        <v>43070</v>
      </c>
      <c r="D92" t="str">
        <f>'staffing plan'!A85</f>
        <v>OSEC-DILGB-LGOO6-5-2017</v>
      </c>
      <c r="E92" t="str">
        <f>+'staffing plan'!B85</f>
        <v>Local Government Operations Officer VI</v>
      </c>
      <c r="F92">
        <f>+'staffing plan'!C85</f>
        <v>22</v>
      </c>
      <c r="G92" s="131">
        <f>+'staffing plan'!AH85</f>
        <v>783828</v>
      </c>
      <c r="H92" s="131">
        <f>+'staffing plan'!AI85</f>
        <v>783828</v>
      </c>
      <c r="I92" s="131">
        <f>+'staffing plan'!AJ85</f>
        <v>1</v>
      </c>
      <c r="J92" t="str">
        <f>+'staffing plan'!AW85</f>
        <v>LAPASTORA, Ameurfina Castillo</v>
      </c>
      <c r="K92" t="e">
        <f>+'staffing plan'!#REF!</f>
        <v>#REF!</v>
      </c>
      <c r="L92" t="e">
        <f>+'staffing plan'!#REF!</f>
        <v>#REF!</v>
      </c>
      <c r="M92" t="str">
        <f>+'staffing plan'!AX85</f>
        <v>Abra</v>
      </c>
      <c r="N92" t="str">
        <f>+'staffing plan'!AY85</f>
        <v>F</v>
      </c>
      <c r="O92" s="145" t="e">
        <f>+'staffing plan'!#REF!</f>
        <v>#REF!</v>
      </c>
      <c r="P92" s="145" t="e">
        <f>+'staffing plan'!#REF!</f>
        <v>#REF!</v>
      </c>
      <c r="Q92" s="145" t="e">
        <f>+'staffing plan'!#REF!</f>
        <v>#REF!</v>
      </c>
      <c r="R92">
        <f>+'staffing plan'!BP85</f>
        <v>0</v>
      </c>
      <c r="S92">
        <v>91</v>
      </c>
    </row>
    <row r="93" spans="2:19" hidden="1">
      <c r="B93">
        <f t="shared" si="5"/>
        <v>2019</v>
      </c>
      <c r="C93">
        <f>+'staffing plan'!BK167</f>
        <v>43518</v>
      </c>
      <c r="D93" t="str">
        <f>'staffing plan'!A167</f>
        <v>OSEC-DILGB-LGOO5-903-1998</v>
      </c>
      <c r="E93" t="str">
        <f>+'staffing plan'!B167</f>
        <v>Local Government Operations Officer V</v>
      </c>
      <c r="F93">
        <f>+'staffing plan'!C167</f>
        <v>20</v>
      </c>
      <c r="G93" s="131">
        <f>+'staffing plan'!AH167</f>
        <v>613860</v>
      </c>
      <c r="H93" s="131">
        <f>+'staffing plan'!AI167</f>
        <v>613860</v>
      </c>
      <c r="I93" s="131">
        <f>+'staffing plan'!AJ167</f>
        <v>1</v>
      </c>
      <c r="J93" t="str">
        <f>+'staffing plan'!AW167</f>
        <v>SAGUIYOD, Rose-Ann Ballangan</v>
      </c>
      <c r="K93" t="e">
        <f>+'staffing plan'!#REF!</f>
        <v>#REF!</v>
      </c>
      <c r="L93" t="e">
        <f>+'staffing plan'!#REF!</f>
        <v>#REF!</v>
      </c>
      <c r="M93" t="str">
        <f>+'staffing plan'!AX167</f>
        <v>Abra</v>
      </c>
      <c r="N93" t="str">
        <f>+'staffing plan'!AY167</f>
        <v>F</v>
      </c>
      <c r="O93" s="145" t="e">
        <f>+'staffing plan'!#REF!</f>
        <v>#REF!</v>
      </c>
      <c r="P93" s="145" t="e">
        <f>+'staffing plan'!#REF!</f>
        <v>#REF!</v>
      </c>
      <c r="Q93" s="145" t="e">
        <f>+'staffing plan'!#REF!</f>
        <v>#REF!</v>
      </c>
      <c r="R93">
        <f>+'staffing plan'!BP167</f>
        <v>0</v>
      </c>
      <c r="S93">
        <v>92</v>
      </c>
    </row>
    <row r="94" spans="2:19" hidden="1">
      <c r="B94">
        <f t="shared" si="5"/>
        <v>2017</v>
      </c>
      <c r="C94">
        <f>+'staffing plan'!BK86</f>
        <v>43070</v>
      </c>
      <c r="D94" t="str">
        <f>'staffing plan'!A86</f>
        <v>OSEC-DILGB-LGOO6-6-2017</v>
      </c>
      <c r="E94" t="str">
        <f>+'staffing plan'!B86</f>
        <v>Local Government Operations Officer VI</v>
      </c>
      <c r="F94">
        <f>+'staffing plan'!C86</f>
        <v>22</v>
      </c>
      <c r="G94" s="131">
        <f>+'staffing plan'!AH86</f>
        <v>783828</v>
      </c>
      <c r="H94" s="131">
        <f>+'staffing plan'!AI86</f>
        <v>783828</v>
      </c>
      <c r="I94" s="131">
        <f>+'staffing plan'!AJ86</f>
        <v>1</v>
      </c>
      <c r="J94" t="str">
        <f>+'staffing plan'!AW86</f>
        <v>BERNARDEZ, Viva Ascension Zapata</v>
      </c>
      <c r="K94" t="e">
        <f>+'staffing plan'!#REF!</f>
        <v>#REF!</v>
      </c>
      <c r="L94" t="e">
        <f>+'staffing plan'!#REF!</f>
        <v>#REF!</v>
      </c>
      <c r="M94" t="str">
        <f>+'staffing plan'!AX86</f>
        <v>Abra</v>
      </c>
      <c r="N94" t="str">
        <f>+'staffing plan'!AY86</f>
        <v>F</v>
      </c>
      <c r="O94" s="145" t="e">
        <f>+'staffing plan'!#REF!</f>
        <v>#REF!</v>
      </c>
      <c r="P94" s="145" t="e">
        <f>+'staffing plan'!#REF!</f>
        <v>#REF!</v>
      </c>
      <c r="Q94" s="145" t="e">
        <f>+'staffing plan'!#REF!</f>
        <v>#REF!</v>
      </c>
      <c r="R94">
        <f>+'staffing plan'!BP86</f>
        <v>0</v>
      </c>
      <c r="S94">
        <v>93</v>
      </c>
    </row>
    <row r="95" spans="2:19" hidden="1">
      <c r="B95">
        <f t="shared" si="5"/>
        <v>2017</v>
      </c>
      <c r="C95">
        <f>+'staffing plan'!BK87</f>
        <v>43070</v>
      </c>
      <c r="D95" t="str">
        <f>'staffing plan'!A87</f>
        <v>OSEC-DILGB-LGOO6-7-2017</v>
      </c>
      <c r="E95" t="str">
        <f>+'staffing plan'!B87</f>
        <v>Local Government Operations Officer VI</v>
      </c>
      <c r="F95">
        <f>+'staffing plan'!C87</f>
        <v>22</v>
      </c>
      <c r="G95" s="131">
        <f>+'staffing plan'!AH87</f>
        <v>783828</v>
      </c>
      <c r="H95" s="131">
        <f>+'staffing plan'!AI87</f>
        <v>783828</v>
      </c>
      <c r="I95" s="131">
        <f>+'staffing plan'!AJ87</f>
        <v>1</v>
      </c>
      <c r="J95" t="str">
        <f>+'staffing plan'!AW87</f>
        <v>TURQUEZA, Ephraim Pascua</v>
      </c>
      <c r="K95" t="e">
        <f>+'staffing plan'!#REF!</f>
        <v>#REF!</v>
      </c>
      <c r="L95" t="e">
        <f>+'staffing plan'!#REF!</f>
        <v>#REF!</v>
      </c>
      <c r="M95" t="str">
        <f>+'staffing plan'!AX87</f>
        <v>Abra</v>
      </c>
      <c r="N95" t="str">
        <f>+'staffing plan'!AY87</f>
        <v>M</v>
      </c>
      <c r="O95" s="145" t="e">
        <f>+'staffing plan'!#REF!</f>
        <v>#REF!</v>
      </c>
      <c r="P95" s="145" t="e">
        <f>+'staffing plan'!#REF!</f>
        <v>#REF!</v>
      </c>
      <c r="Q95" s="145" t="e">
        <f>+'staffing plan'!#REF!</f>
        <v>#REF!</v>
      </c>
      <c r="R95">
        <f>+'staffing plan'!BP87</f>
        <v>0</v>
      </c>
      <c r="S95">
        <v>94</v>
      </c>
    </row>
    <row r="96" spans="2:19" hidden="1">
      <c r="B96">
        <f t="shared" si="5"/>
        <v>2017</v>
      </c>
      <c r="C96">
        <f>+'staffing plan'!BK156</f>
        <v>43070</v>
      </c>
      <c r="D96" t="str">
        <f>'staffing plan'!A156</f>
        <v>OSEC-DILGB-LGOO6-72-2017</v>
      </c>
      <c r="E96" t="str">
        <f>+'staffing plan'!B156</f>
        <v>Local Government Operations Officer VI</v>
      </c>
      <c r="F96">
        <f>+'staffing plan'!C156</f>
        <v>22</v>
      </c>
      <c r="G96" s="131">
        <f>+'staffing plan'!AH156</f>
        <v>783828</v>
      </c>
      <c r="H96" s="131">
        <f>+'staffing plan'!AI156</f>
        <v>783828</v>
      </c>
      <c r="I96" s="131">
        <f>+'staffing plan'!AJ156</f>
        <v>1</v>
      </c>
      <c r="J96" t="str">
        <f>+'staffing plan'!AW156</f>
        <v>MINA, Bramie Madarcos</v>
      </c>
      <c r="K96" t="e">
        <f>+'staffing plan'!#REF!</f>
        <v>#REF!</v>
      </c>
      <c r="L96" t="e">
        <f>+'staffing plan'!#REF!</f>
        <v>#REF!</v>
      </c>
      <c r="M96" t="str">
        <f>+'staffing plan'!AX156</f>
        <v>Abra</v>
      </c>
      <c r="N96" t="str">
        <f>+'staffing plan'!AY156</f>
        <v>M</v>
      </c>
      <c r="O96" s="145" t="e">
        <f>+'staffing plan'!#REF!</f>
        <v>#REF!</v>
      </c>
      <c r="P96" s="145" t="e">
        <f>+'staffing plan'!#REF!</f>
        <v>#REF!</v>
      </c>
      <c r="Q96" s="145" t="e">
        <f>+'staffing plan'!#REF!</f>
        <v>#REF!</v>
      </c>
      <c r="R96" t="str">
        <f>+'staffing plan'!BP156</f>
        <v>Shifting</v>
      </c>
      <c r="S96">
        <v>95</v>
      </c>
    </row>
    <row r="97" spans="2:19" hidden="1">
      <c r="B97">
        <f t="shared" si="5"/>
        <v>2017</v>
      </c>
      <c r="C97">
        <f>+'staffing plan'!BK88</f>
        <v>43070</v>
      </c>
      <c r="D97" t="str">
        <f>'staffing plan'!A88</f>
        <v>OSEC-DILGB-LGOO6-8-2017</v>
      </c>
      <c r="E97" t="str">
        <f>+'staffing plan'!B88</f>
        <v>Local Government Operations Officer VI</v>
      </c>
      <c r="F97">
        <f>+'staffing plan'!C88</f>
        <v>22</v>
      </c>
      <c r="G97" s="131">
        <f>+'staffing plan'!AH88</f>
        <v>783828</v>
      </c>
      <c r="H97" s="131">
        <f>+'staffing plan'!AI88</f>
        <v>783828</v>
      </c>
      <c r="I97" s="131">
        <f>+'staffing plan'!AJ88</f>
        <v>1</v>
      </c>
      <c r="J97" t="str">
        <f>+'staffing plan'!AW88</f>
        <v>LINGBAOAN, Joel Barbasa</v>
      </c>
      <c r="K97" t="e">
        <f>+'staffing plan'!#REF!</f>
        <v>#REF!</v>
      </c>
      <c r="L97" t="e">
        <f>+'staffing plan'!#REF!</f>
        <v>#REF!</v>
      </c>
      <c r="M97" t="str">
        <f>+'staffing plan'!AX88</f>
        <v>Abra</v>
      </c>
      <c r="N97" t="str">
        <f>+'staffing plan'!AY88</f>
        <v>M</v>
      </c>
      <c r="O97" s="145" t="e">
        <f>+'staffing plan'!#REF!</f>
        <v>#REF!</v>
      </c>
      <c r="P97" s="145" t="e">
        <f>+'staffing plan'!#REF!</f>
        <v>#REF!</v>
      </c>
      <c r="Q97" s="145" t="e">
        <f>+'staffing plan'!#REF!</f>
        <v>#REF!</v>
      </c>
      <c r="R97">
        <f>+'staffing plan'!BP88</f>
        <v>0</v>
      </c>
      <c r="S97">
        <v>96</v>
      </c>
    </row>
    <row r="98" spans="2:19" hidden="1">
      <c r="B98">
        <f t="shared" si="5"/>
        <v>2017</v>
      </c>
      <c r="C98">
        <f>+'staffing plan'!BK89</f>
        <v>43070</v>
      </c>
      <c r="D98" t="str">
        <f>'staffing plan'!A89</f>
        <v>OSEC-DILGB-LGOO6-9-2017</v>
      </c>
      <c r="E98" t="str">
        <f>+'staffing plan'!B89</f>
        <v>Local Government Operations Officer VI</v>
      </c>
      <c r="F98">
        <f>+'staffing plan'!C89</f>
        <v>22</v>
      </c>
      <c r="G98" s="131">
        <f>+'staffing plan'!AH89</f>
        <v>783828</v>
      </c>
      <c r="H98" s="131">
        <f>+'staffing plan'!AI89</f>
        <v>783828</v>
      </c>
      <c r="I98" s="131">
        <f>+'staffing plan'!AJ89</f>
        <v>1</v>
      </c>
      <c r="J98" t="str">
        <f>+'staffing plan'!AW89</f>
        <v>CASTILLO, Mila Benedito</v>
      </c>
      <c r="K98" t="e">
        <f>+'staffing plan'!#REF!</f>
        <v>#REF!</v>
      </c>
      <c r="L98" t="e">
        <f>+'staffing plan'!#REF!</f>
        <v>#REF!</v>
      </c>
      <c r="M98" t="str">
        <f>+'staffing plan'!AX89</f>
        <v>Abra</v>
      </c>
      <c r="N98" t="str">
        <f>+'staffing plan'!AY89</f>
        <v>F</v>
      </c>
      <c r="O98" s="145" t="e">
        <f>+'staffing plan'!#REF!</f>
        <v>#REF!</v>
      </c>
      <c r="P98" s="145" t="e">
        <f>+'staffing plan'!#REF!</f>
        <v>#REF!</v>
      </c>
      <c r="Q98" s="145" t="e">
        <f>+'staffing plan'!#REF!</f>
        <v>#REF!</v>
      </c>
      <c r="R98">
        <f>+'staffing plan'!BP89</f>
        <v>0</v>
      </c>
      <c r="S98">
        <v>97</v>
      </c>
    </row>
    <row r="99" spans="2:19" hidden="1">
      <c r="B99">
        <f t="shared" si="5"/>
        <v>2017</v>
      </c>
      <c r="C99">
        <f>+'staffing plan'!BK92</f>
        <v>43070</v>
      </c>
      <c r="D99" t="str">
        <f>'staffing plan'!A92</f>
        <v>OSEC-DILGB-LGOO6-10-2017</v>
      </c>
      <c r="E99" t="str">
        <f>+'staffing plan'!B92</f>
        <v>Local Government Operations Officer VI</v>
      </c>
      <c r="F99">
        <f>+'staffing plan'!C92</f>
        <v>22</v>
      </c>
      <c r="G99" s="131">
        <f>+'staffing plan'!AH92</f>
        <v>783828</v>
      </c>
      <c r="H99" s="131">
        <f>+'staffing plan'!AI92</f>
        <v>783828</v>
      </c>
      <c r="I99" s="131">
        <f>+'staffing plan'!AJ92</f>
        <v>1</v>
      </c>
      <c r="J99" t="str">
        <f>+'staffing plan'!AW92</f>
        <v>CALINA, Crescencio II Benauro</v>
      </c>
      <c r="K99" t="e">
        <f>+'staffing plan'!#REF!</f>
        <v>#REF!</v>
      </c>
      <c r="L99" t="e">
        <f>+'staffing plan'!#REF!</f>
        <v>#REF!</v>
      </c>
      <c r="M99" t="str">
        <f>+'staffing plan'!AX92</f>
        <v>Abra</v>
      </c>
      <c r="N99" t="str">
        <f>+'staffing plan'!AY92</f>
        <v>M</v>
      </c>
      <c r="O99" s="145" t="e">
        <f>+'staffing plan'!#REF!</f>
        <v>#REF!</v>
      </c>
      <c r="P99" s="145" t="e">
        <f>+'staffing plan'!#REF!</f>
        <v>#REF!</v>
      </c>
      <c r="Q99" s="145" t="e">
        <f>+'staffing plan'!#REF!</f>
        <v>#REF!</v>
      </c>
      <c r="R99">
        <f>+'staffing plan'!BP92</f>
        <v>0</v>
      </c>
      <c r="S99">
        <v>98</v>
      </c>
    </row>
    <row r="100" spans="2:19" hidden="1">
      <c r="B100">
        <f t="shared" si="5"/>
        <v>2017</v>
      </c>
      <c r="C100">
        <f>+'staffing plan'!BK93</f>
        <v>43070</v>
      </c>
      <c r="D100" t="str">
        <f>'staffing plan'!A93</f>
        <v>OSEC-DILGB-LGOO6-11-2017</v>
      </c>
      <c r="E100" t="str">
        <f>+'staffing plan'!B93</f>
        <v>Local Government Operations Officer VI</v>
      </c>
      <c r="F100">
        <f>+'staffing plan'!C93</f>
        <v>22</v>
      </c>
      <c r="G100" s="131">
        <f>+'staffing plan'!AH93</f>
        <v>783828</v>
      </c>
      <c r="H100" s="131">
        <f>+'staffing plan'!AI93</f>
        <v>783828</v>
      </c>
      <c r="I100" s="131">
        <f>+'staffing plan'!AJ93</f>
        <v>1</v>
      </c>
      <c r="J100" t="str">
        <f>+'staffing plan'!AW93</f>
        <v>CARIÑO, Erma Hernandez</v>
      </c>
      <c r="K100" t="e">
        <f>+'staffing plan'!#REF!</f>
        <v>#REF!</v>
      </c>
      <c r="L100" t="e">
        <f>+'staffing plan'!#REF!</f>
        <v>#REF!</v>
      </c>
      <c r="M100" t="str">
        <f>+'staffing plan'!AX93</f>
        <v>Abra</v>
      </c>
      <c r="N100" t="str">
        <f>+'staffing plan'!AY93</f>
        <v>F</v>
      </c>
      <c r="O100" s="145" t="e">
        <f>+'staffing plan'!#REF!</f>
        <v>#REF!</v>
      </c>
      <c r="P100" s="145" t="e">
        <f>+'staffing plan'!#REF!</f>
        <v>#REF!</v>
      </c>
      <c r="Q100" s="145" t="e">
        <f>+'staffing plan'!#REF!</f>
        <v>#REF!</v>
      </c>
      <c r="R100">
        <f>+'staffing plan'!BP93</f>
        <v>0</v>
      </c>
      <c r="S100">
        <v>99</v>
      </c>
    </row>
    <row r="101" spans="2:19" hidden="1">
      <c r="B101">
        <f t="shared" si="5"/>
        <v>2017</v>
      </c>
      <c r="C101">
        <f>+'staffing plan'!BK95</f>
        <v>43070</v>
      </c>
      <c r="D101" t="str">
        <f>'staffing plan'!A95</f>
        <v>OSEC-DILGB-LGOO6-12-2017</v>
      </c>
      <c r="E101" t="str">
        <f>+'staffing plan'!B95</f>
        <v>Local Government Operations Officer VI</v>
      </c>
      <c r="F101">
        <f>+'staffing plan'!C95</f>
        <v>22</v>
      </c>
      <c r="G101" s="131">
        <f>+'staffing plan'!AH95</f>
        <v>783828</v>
      </c>
      <c r="H101" s="131">
        <f>+'staffing plan'!AI95</f>
        <v>783828</v>
      </c>
      <c r="I101" s="131">
        <f>+'staffing plan'!AJ95</f>
        <v>1</v>
      </c>
      <c r="J101" t="str">
        <f>+'staffing plan'!AW95</f>
        <v>HERNANDEZ, Jean  Smith</v>
      </c>
      <c r="K101" t="e">
        <f>+'staffing plan'!#REF!</f>
        <v>#REF!</v>
      </c>
      <c r="L101" t="e">
        <f>+'staffing plan'!#REF!</f>
        <v>#REF!</v>
      </c>
      <c r="M101" t="str">
        <f>+'staffing plan'!AX95</f>
        <v>Abra</v>
      </c>
      <c r="N101" t="str">
        <f>+'staffing plan'!AY95</f>
        <v>F</v>
      </c>
      <c r="O101" s="145" t="e">
        <f>+'staffing plan'!#REF!</f>
        <v>#REF!</v>
      </c>
      <c r="P101" s="145" t="e">
        <f>+'staffing plan'!#REF!</f>
        <v>#REF!</v>
      </c>
      <c r="Q101" s="145" t="e">
        <f>+'staffing plan'!#REF!</f>
        <v>#REF!</v>
      </c>
      <c r="R101" t="str">
        <f>+'staffing plan'!BP95</f>
        <v>Shifting</v>
      </c>
      <c r="S101">
        <v>100</v>
      </c>
    </row>
    <row r="102" spans="2:19" hidden="1">
      <c r="B102">
        <f t="shared" si="5"/>
        <v>2017</v>
      </c>
      <c r="C102">
        <f>+'staffing plan'!BK96</f>
        <v>43070</v>
      </c>
      <c r="D102" t="str">
        <f>'staffing plan'!A96</f>
        <v>OSEC-DILGB-LGOO6-13-2017</v>
      </c>
      <c r="E102" t="str">
        <f>+'staffing plan'!B96</f>
        <v>Local Government Operations Officer VI</v>
      </c>
      <c r="F102">
        <f>+'staffing plan'!C96</f>
        <v>22</v>
      </c>
      <c r="G102" s="131">
        <f>+'staffing plan'!AH96</f>
        <v>783828</v>
      </c>
      <c r="H102" s="131">
        <f>+'staffing plan'!AI96</f>
        <v>783828</v>
      </c>
      <c r="I102" s="131">
        <f>+'staffing plan'!AJ96</f>
        <v>1</v>
      </c>
      <c r="J102" t="str">
        <f>+'staffing plan'!AW96</f>
        <v>TRINIDAD, Bernabe Bejarin</v>
      </c>
      <c r="K102" t="e">
        <f>+'staffing plan'!#REF!</f>
        <v>#REF!</v>
      </c>
      <c r="L102" t="e">
        <f>+'staffing plan'!#REF!</f>
        <v>#REF!</v>
      </c>
      <c r="M102" t="str">
        <f>+'staffing plan'!AX96</f>
        <v>Abra</v>
      </c>
      <c r="N102" t="str">
        <f>+'staffing plan'!AY96</f>
        <v>M</v>
      </c>
      <c r="O102" s="145" t="e">
        <f>+'staffing plan'!#REF!</f>
        <v>#REF!</v>
      </c>
      <c r="P102" s="145" t="e">
        <f>+'staffing plan'!#REF!</f>
        <v>#REF!</v>
      </c>
      <c r="Q102" s="145" t="e">
        <f>+'staffing plan'!#REF!</f>
        <v>#REF!</v>
      </c>
      <c r="R102">
        <f>+'staffing plan'!BP96</f>
        <v>0</v>
      </c>
      <c r="S102">
        <v>101</v>
      </c>
    </row>
    <row r="103" spans="2:19" hidden="1">
      <c r="B103">
        <f t="shared" si="5"/>
        <v>2017</v>
      </c>
      <c r="C103">
        <f>+'staffing plan'!BK98</f>
        <v>43070</v>
      </c>
      <c r="D103" t="str">
        <f>'staffing plan'!A98</f>
        <v>OSEC-DILGB-LGOO6-14-2017</v>
      </c>
      <c r="E103" t="str">
        <f>+'staffing plan'!B98</f>
        <v>Local Government Operations Officer VI</v>
      </c>
      <c r="F103">
        <f>+'staffing plan'!C98</f>
        <v>22</v>
      </c>
      <c r="G103" s="131">
        <f>+'staffing plan'!AH98</f>
        <v>783828</v>
      </c>
      <c r="H103" s="131">
        <f>+'staffing plan'!AI98</f>
        <v>783828</v>
      </c>
      <c r="I103" s="131">
        <f>+'staffing plan'!AJ98</f>
        <v>1</v>
      </c>
      <c r="J103" t="str">
        <f>+'staffing plan'!AW98</f>
        <v>ABANCE, Mary Jane Samonte</v>
      </c>
      <c r="K103" t="e">
        <f>+'staffing plan'!#REF!</f>
        <v>#REF!</v>
      </c>
      <c r="L103" t="e">
        <f>+'staffing plan'!#REF!</f>
        <v>#REF!</v>
      </c>
      <c r="M103" t="str">
        <f>+'staffing plan'!AX98</f>
        <v>Abra</v>
      </c>
      <c r="N103" t="str">
        <f>+'staffing plan'!AY98</f>
        <v>F</v>
      </c>
      <c r="O103" s="145" t="e">
        <f>+'staffing plan'!#REF!</f>
        <v>#REF!</v>
      </c>
      <c r="P103" s="145" t="e">
        <f>+'staffing plan'!#REF!</f>
        <v>#REF!</v>
      </c>
      <c r="Q103" s="145" t="e">
        <f>+'staffing plan'!#REF!</f>
        <v>#REF!</v>
      </c>
      <c r="R103">
        <f>+'staffing plan'!BP98</f>
        <v>0</v>
      </c>
      <c r="S103">
        <v>102</v>
      </c>
    </row>
    <row r="104" spans="2:19" hidden="1">
      <c r="B104">
        <f t="shared" si="5"/>
        <v>2017</v>
      </c>
      <c r="C104">
        <f>+'staffing plan'!BK99</f>
        <v>43087</v>
      </c>
      <c r="D104" t="str">
        <f>'staffing plan'!A99</f>
        <v>OSEC-DILGB-LGOO6-15-2017</v>
      </c>
      <c r="E104" t="str">
        <f>+'staffing plan'!B99</f>
        <v>Local Government Operations Officer VI</v>
      </c>
      <c r="F104">
        <f>+'staffing plan'!C99</f>
        <v>22</v>
      </c>
      <c r="G104" s="131">
        <f>+'staffing plan'!AH99</f>
        <v>783828</v>
      </c>
      <c r="H104" s="131">
        <f>+'staffing plan'!AI99</f>
        <v>783828</v>
      </c>
      <c r="I104" s="131">
        <f>+'staffing plan'!AJ99</f>
        <v>1</v>
      </c>
      <c r="J104" t="str">
        <f>+'staffing plan'!AW99</f>
        <v>WALANG, Marlon Silvada</v>
      </c>
      <c r="K104" t="e">
        <f>+'staffing plan'!#REF!</f>
        <v>#REF!</v>
      </c>
      <c r="L104" t="e">
        <f>+'staffing plan'!#REF!</f>
        <v>#REF!</v>
      </c>
      <c r="M104" t="str">
        <f>+'staffing plan'!AX99</f>
        <v>Abra</v>
      </c>
      <c r="N104" t="str">
        <f>+'staffing plan'!AY99</f>
        <v>M</v>
      </c>
      <c r="O104" s="145" t="e">
        <f>+'staffing plan'!#REF!</f>
        <v>#REF!</v>
      </c>
      <c r="P104" s="145" t="e">
        <f>+'staffing plan'!#REF!</f>
        <v>#REF!</v>
      </c>
      <c r="Q104" s="145" t="e">
        <f>+'staffing plan'!#REF!</f>
        <v>#REF!</v>
      </c>
      <c r="R104">
        <f>+'staffing plan'!BP99</f>
        <v>0</v>
      </c>
      <c r="S104">
        <v>103</v>
      </c>
    </row>
    <row r="105" spans="2:19" hidden="1">
      <c r="B105">
        <f t="shared" si="5"/>
        <v>2017</v>
      </c>
      <c r="C105">
        <f>+'staffing plan'!BK100</f>
        <v>43070</v>
      </c>
      <c r="D105" t="str">
        <f>'staffing plan'!A100</f>
        <v>OSEC-DILGB-LGOO6-16-2017</v>
      </c>
      <c r="E105" t="str">
        <f>+'staffing plan'!B100</f>
        <v>Local Government Operations Officer VI</v>
      </c>
      <c r="F105">
        <f>+'staffing plan'!C100</f>
        <v>22</v>
      </c>
      <c r="G105" s="131">
        <f>+'staffing plan'!AH100</f>
        <v>783828</v>
      </c>
      <c r="H105" s="131">
        <f>+'staffing plan'!AI100</f>
        <v>783828</v>
      </c>
      <c r="I105" s="131">
        <f>+'staffing plan'!AJ100</f>
        <v>1</v>
      </c>
      <c r="J105" t="str">
        <f>+'staffing plan'!AW100</f>
        <v>BARRERAS, Carlito Tejero</v>
      </c>
      <c r="K105" t="e">
        <f>+'staffing plan'!#REF!</f>
        <v>#REF!</v>
      </c>
      <c r="L105" t="e">
        <f>+'staffing plan'!#REF!</f>
        <v>#REF!</v>
      </c>
      <c r="M105" t="str">
        <f>+'staffing plan'!AX100</f>
        <v>Abra</v>
      </c>
      <c r="N105" t="str">
        <f>+'staffing plan'!AY100</f>
        <v>M</v>
      </c>
      <c r="O105" s="145" t="e">
        <f>+'staffing plan'!#REF!</f>
        <v>#REF!</v>
      </c>
      <c r="P105" s="145" t="e">
        <f>+'staffing plan'!#REF!</f>
        <v>#REF!</v>
      </c>
      <c r="Q105" s="145" t="e">
        <f>+'staffing plan'!#REF!</f>
        <v>#REF!</v>
      </c>
      <c r="R105">
        <f>+'staffing plan'!BP100</f>
        <v>0</v>
      </c>
      <c r="S105">
        <v>104</v>
      </c>
    </row>
    <row r="106" spans="2:19" hidden="1">
      <c r="B106">
        <f t="shared" si="5"/>
        <v>2017</v>
      </c>
      <c r="C106">
        <f>+'staffing plan'!BK101</f>
        <v>43070</v>
      </c>
      <c r="D106" t="str">
        <f>'staffing plan'!A101</f>
        <v>OSEC-DILGB-LGOO6-17-2017</v>
      </c>
      <c r="E106" t="str">
        <f>+'staffing plan'!B101</f>
        <v>Local Government Operations Officer VI</v>
      </c>
      <c r="F106">
        <f>+'staffing plan'!C101</f>
        <v>22</v>
      </c>
      <c r="G106" s="131">
        <f>+'staffing plan'!AH101</f>
        <v>783828</v>
      </c>
      <c r="H106" s="131">
        <f>+'staffing plan'!AI101</f>
        <v>783828</v>
      </c>
      <c r="I106" s="131">
        <f>+'staffing plan'!AJ101</f>
        <v>1</v>
      </c>
      <c r="J106" t="str">
        <f>+'staffing plan'!AW101</f>
        <v>VENUS, Nolito Domingo</v>
      </c>
      <c r="K106" t="e">
        <f>+'staffing plan'!#REF!</f>
        <v>#REF!</v>
      </c>
      <c r="L106" t="e">
        <f>+'staffing plan'!#REF!</f>
        <v>#REF!</v>
      </c>
      <c r="M106" t="str">
        <f>+'staffing plan'!AX101</f>
        <v>Abra</v>
      </c>
      <c r="N106" t="str">
        <f>+'staffing plan'!AY101</f>
        <v>M</v>
      </c>
      <c r="O106" s="145" t="e">
        <f>+'staffing plan'!#REF!</f>
        <v>#REF!</v>
      </c>
      <c r="P106" s="145" t="e">
        <f>+'staffing plan'!#REF!</f>
        <v>#REF!</v>
      </c>
      <c r="Q106" s="145" t="e">
        <f>+'staffing plan'!#REF!</f>
        <v>#REF!</v>
      </c>
      <c r="R106">
        <f>+'staffing plan'!BP101</f>
        <v>0</v>
      </c>
      <c r="S106">
        <v>105</v>
      </c>
    </row>
    <row r="107" spans="2:19" hidden="1">
      <c r="B107">
        <f t="shared" si="5"/>
        <v>2017</v>
      </c>
      <c r="C107">
        <f>+'staffing plan'!BK105</f>
        <v>43070</v>
      </c>
      <c r="D107" t="str">
        <f>'staffing plan'!A105</f>
        <v>OSEC-DILGB-LGOO6-21-2017</v>
      </c>
      <c r="E107" t="str">
        <f>+'staffing plan'!B105</f>
        <v>Local Government Operations Officer VI</v>
      </c>
      <c r="F107">
        <f>+'staffing plan'!C105</f>
        <v>22</v>
      </c>
      <c r="G107" s="131">
        <f>+'staffing plan'!AH105</f>
        <v>783828</v>
      </c>
      <c r="H107" s="131">
        <f>+'staffing plan'!AI105</f>
        <v>783828</v>
      </c>
      <c r="I107" s="131">
        <f>+'staffing plan'!AJ105</f>
        <v>1</v>
      </c>
      <c r="J107" t="str">
        <f>+'staffing plan'!AW105</f>
        <v>GARCIA, Evelyn Arizabal</v>
      </c>
      <c r="K107" t="e">
        <f>+'staffing plan'!#REF!</f>
        <v>#REF!</v>
      </c>
      <c r="L107" t="e">
        <f>+'staffing plan'!#REF!</f>
        <v>#REF!</v>
      </c>
      <c r="M107" t="str">
        <f>+'staffing plan'!AX105</f>
        <v>Abra</v>
      </c>
      <c r="N107" t="str">
        <f>+'staffing plan'!AY105</f>
        <v>F</v>
      </c>
      <c r="O107" s="145" t="e">
        <f>+'staffing plan'!#REF!</f>
        <v>#REF!</v>
      </c>
      <c r="P107" s="145" t="e">
        <f>+'staffing plan'!#REF!</f>
        <v>#REF!</v>
      </c>
      <c r="Q107" s="145" t="e">
        <f>+'staffing plan'!#REF!</f>
        <v>#REF!</v>
      </c>
      <c r="R107">
        <f>+'staffing plan'!BP105</f>
        <v>0</v>
      </c>
      <c r="S107">
        <v>106</v>
      </c>
    </row>
    <row r="108" spans="2:19" hidden="1">
      <c r="B108">
        <f t="shared" si="5"/>
        <v>2018</v>
      </c>
      <c r="C108">
        <f>+'staffing plan'!BK168</f>
        <v>43129</v>
      </c>
      <c r="D108" t="str">
        <f>'staffing plan'!A168</f>
        <v>OSEC-DILGB-LGOO5-921-1998</v>
      </c>
      <c r="E108" t="str">
        <f>+'staffing plan'!B168</f>
        <v>Local Government Operations Officer V</v>
      </c>
      <c r="F108">
        <f>+'staffing plan'!C168</f>
        <v>20</v>
      </c>
      <c r="G108" s="131">
        <f>+'staffing plan'!AH168</f>
        <v>613860</v>
      </c>
      <c r="H108" s="131">
        <f>+'staffing plan'!AI168</f>
        <v>613860</v>
      </c>
      <c r="I108" s="131">
        <f>+'staffing plan'!AJ168</f>
        <v>1</v>
      </c>
      <c r="J108" t="str">
        <f>+'staffing plan'!AW168</f>
        <v>TRINIDAD, Santos Beñas</v>
      </c>
      <c r="K108" t="e">
        <f>+'staffing plan'!#REF!</f>
        <v>#REF!</v>
      </c>
      <c r="L108" t="e">
        <f>+'staffing plan'!#REF!</f>
        <v>#REF!</v>
      </c>
      <c r="M108" t="str">
        <f>+'staffing plan'!AX168</f>
        <v>Abra</v>
      </c>
      <c r="N108" t="str">
        <f>+'staffing plan'!AY168</f>
        <v>M</v>
      </c>
      <c r="O108" s="145" t="e">
        <f>+'staffing plan'!#REF!</f>
        <v>#REF!</v>
      </c>
      <c r="P108" s="145" t="e">
        <f>+'staffing plan'!#REF!</f>
        <v>#REF!</v>
      </c>
      <c r="Q108" s="145" t="e">
        <f>+'staffing plan'!#REF!</f>
        <v>#REF!</v>
      </c>
      <c r="R108" t="str">
        <f>+'staffing plan'!BP168</f>
        <v>Abra</v>
      </c>
      <c r="S108">
        <v>107</v>
      </c>
    </row>
    <row r="109" spans="2:19" hidden="1">
      <c r="B109">
        <f t="shared" si="5"/>
        <v>2017</v>
      </c>
      <c r="C109">
        <f>+'staffing plan'!BK102</f>
        <v>43070</v>
      </c>
      <c r="D109" t="str">
        <f>'staffing plan'!A102</f>
        <v>OSEC-DILGB-LGOO6-18-2017</v>
      </c>
      <c r="E109" t="str">
        <f>+'staffing plan'!B102</f>
        <v>Local Government Operations Officer VI</v>
      </c>
      <c r="F109">
        <f>+'staffing plan'!C102</f>
        <v>22</v>
      </c>
      <c r="G109" s="131">
        <f>+'staffing plan'!AH102</f>
        <v>783828</v>
      </c>
      <c r="H109" s="131">
        <f>+'staffing plan'!AI102</f>
        <v>783828</v>
      </c>
      <c r="I109" s="131">
        <f>+'staffing plan'!AJ102</f>
        <v>1</v>
      </c>
      <c r="J109" t="str">
        <f>+'staffing plan'!AW102</f>
        <v>VENUS, Normita Cruz</v>
      </c>
      <c r="K109" t="e">
        <f>+'staffing plan'!#REF!</f>
        <v>#REF!</v>
      </c>
      <c r="L109" t="e">
        <f>+'staffing plan'!#REF!</f>
        <v>#REF!</v>
      </c>
      <c r="M109" t="str">
        <f>+'staffing plan'!AX102</f>
        <v>Abra</v>
      </c>
      <c r="N109" t="str">
        <f>+'staffing plan'!AY102</f>
        <v>F</v>
      </c>
      <c r="O109" s="145" t="e">
        <f>+'staffing plan'!#REF!</f>
        <v>#REF!</v>
      </c>
      <c r="P109" s="145" t="e">
        <f>+'staffing plan'!#REF!</f>
        <v>#REF!</v>
      </c>
      <c r="Q109" s="145" t="e">
        <f>+'staffing plan'!#REF!</f>
        <v>#REF!</v>
      </c>
      <c r="R109">
        <f>+'staffing plan'!BP102</f>
        <v>0</v>
      </c>
      <c r="S109">
        <v>108</v>
      </c>
    </row>
    <row r="110" spans="2:19" hidden="1">
      <c r="B110">
        <f t="shared" si="5"/>
        <v>2017</v>
      </c>
      <c r="C110">
        <f>+'staffing plan'!BK103</f>
        <v>43070</v>
      </c>
      <c r="D110" t="str">
        <f>'staffing plan'!A103</f>
        <v>OSEC-DILGB-LGOO6-19-2017</v>
      </c>
      <c r="E110" t="str">
        <f>+'staffing plan'!B103</f>
        <v>Local Government Operations Officer VI</v>
      </c>
      <c r="F110">
        <f>+'staffing plan'!C103</f>
        <v>22</v>
      </c>
      <c r="G110" s="131">
        <f>+'staffing plan'!AH103</f>
        <v>783828</v>
      </c>
      <c r="H110" s="131">
        <f>+'staffing plan'!AI103</f>
        <v>783828</v>
      </c>
      <c r="I110" s="131">
        <f>+'staffing plan'!AJ103</f>
        <v>1</v>
      </c>
      <c r="J110" t="str">
        <f>+'staffing plan'!AW103</f>
        <v>IDOS, Dexter Las-o</v>
      </c>
      <c r="K110" t="e">
        <f>+'staffing plan'!#REF!</f>
        <v>#REF!</v>
      </c>
      <c r="L110" t="e">
        <f>+'staffing plan'!#REF!</f>
        <v>#REF!</v>
      </c>
      <c r="M110" t="str">
        <f>+'staffing plan'!AX103</f>
        <v>Abra</v>
      </c>
      <c r="N110" t="str">
        <f>+'staffing plan'!AY103</f>
        <v>M</v>
      </c>
      <c r="O110" s="145" t="e">
        <f>+'staffing plan'!#REF!</f>
        <v>#REF!</v>
      </c>
      <c r="P110" s="145" t="e">
        <f>+'staffing plan'!#REF!</f>
        <v>#REF!</v>
      </c>
      <c r="Q110" s="145" t="e">
        <f>+'staffing plan'!#REF!</f>
        <v>#REF!</v>
      </c>
      <c r="R110" t="str">
        <f>+'staffing plan'!BP103</f>
        <v>Shifting</v>
      </c>
      <c r="S110">
        <v>109</v>
      </c>
    </row>
    <row r="111" spans="2:19" hidden="1">
      <c r="B111">
        <f t="shared" si="5"/>
        <v>2012</v>
      </c>
      <c r="C111">
        <f>+'staffing plan'!BK169</f>
        <v>41138</v>
      </c>
      <c r="D111" t="str">
        <f>'staffing plan'!A169</f>
        <v>OSEC-DILGB-LGOO5-925-1998</v>
      </c>
      <c r="E111" t="str">
        <f>+'staffing plan'!B169</f>
        <v>Local Government Operations Officer V</v>
      </c>
      <c r="F111">
        <f>+'staffing plan'!C169</f>
        <v>20</v>
      </c>
      <c r="G111" s="131">
        <f>+'staffing plan'!AH169</f>
        <v>613860</v>
      </c>
      <c r="H111" s="131">
        <f>+'staffing plan'!AI169</f>
        <v>634056</v>
      </c>
      <c r="I111" s="131">
        <f>+'staffing plan'!AJ169</f>
        <v>3</v>
      </c>
      <c r="J111" t="str">
        <f>+'staffing plan'!AW169</f>
        <v>MANGANGEY, Ma. Teresa Ancheta</v>
      </c>
      <c r="K111" t="e">
        <f>+'staffing plan'!#REF!</f>
        <v>#REF!</v>
      </c>
      <c r="L111" t="e">
        <f>+'staffing plan'!#REF!</f>
        <v>#REF!</v>
      </c>
      <c r="M111" t="str">
        <f>+'staffing plan'!AX169</f>
        <v>Benguet</v>
      </c>
      <c r="N111" t="str">
        <f>+'staffing plan'!AY169</f>
        <v>F</v>
      </c>
      <c r="O111" s="145" t="e">
        <f>+'staffing plan'!#REF!</f>
        <v>#REF!</v>
      </c>
      <c r="P111" s="145" t="e">
        <f>+'staffing plan'!#REF!</f>
        <v>#REF!</v>
      </c>
      <c r="Q111" s="145" t="e">
        <f>+'staffing plan'!#REF!</f>
        <v>#REF!</v>
      </c>
      <c r="R111">
        <f>+'staffing plan'!BP169</f>
        <v>0</v>
      </c>
      <c r="S111">
        <v>110</v>
      </c>
    </row>
    <row r="112" spans="2:19" hidden="1">
      <c r="B112">
        <f t="shared" si="5"/>
        <v>2016</v>
      </c>
      <c r="C112">
        <f>+'staffing plan'!BK157</f>
        <v>42597</v>
      </c>
      <c r="D112" t="str">
        <f>'staffing plan'!A157</f>
        <v>OSEC-DILGB-LGOO6-73-2017</v>
      </c>
      <c r="E112" t="str">
        <f>+'staffing plan'!B157</f>
        <v>Local Government Operations Officer VI</v>
      </c>
      <c r="F112">
        <f>+'staffing plan'!C157</f>
        <v>22</v>
      </c>
      <c r="G112" s="131">
        <f>+'staffing plan'!AH157</f>
        <v>783828</v>
      </c>
      <c r="H112" s="131">
        <f>+'staffing plan'!AI157</f>
        <v>783828</v>
      </c>
      <c r="I112" s="131">
        <f>+'staffing plan'!AJ157</f>
        <v>1</v>
      </c>
      <c r="J112" t="str">
        <f>+'staffing plan'!AW157</f>
        <v>WAGIAN, Cecilia Daupan</v>
      </c>
      <c r="K112" t="e">
        <f>+'staffing plan'!#REF!</f>
        <v>#REF!</v>
      </c>
      <c r="L112" t="e">
        <f>+'staffing plan'!#REF!</f>
        <v>#REF!</v>
      </c>
      <c r="M112" t="str">
        <f>+'staffing plan'!AX157</f>
        <v>Benguet</v>
      </c>
      <c r="N112" t="str">
        <f>+'staffing plan'!AY157</f>
        <v>F</v>
      </c>
      <c r="O112" s="145" t="e">
        <f>+'staffing plan'!#REF!</f>
        <v>#REF!</v>
      </c>
      <c r="P112" s="145" t="e">
        <f>+'staffing plan'!#REF!</f>
        <v>#REF!</v>
      </c>
      <c r="Q112" s="145" t="e">
        <f>+'staffing plan'!#REF!</f>
        <v>#REF!</v>
      </c>
      <c r="R112" t="str">
        <f>+'staffing plan'!BP157</f>
        <v>Transfer from PM 1/3/18</v>
      </c>
      <c r="S112">
        <v>111</v>
      </c>
    </row>
    <row r="113" spans="2:19" hidden="1">
      <c r="B113">
        <f t="shared" si="5"/>
        <v>2017</v>
      </c>
      <c r="C113">
        <f>+'staffing plan'!BK111</f>
        <v>43070</v>
      </c>
      <c r="D113" t="str">
        <f>'staffing plan'!A111</f>
        <v>OSEC-DILGB-LGOO6-27-2017</v>
      </c>
      <c r="E113" t="str">
        <f>+'staffing plan'!B111</f>
        <v>Local Government Operations Officer VI</v>
      </c>
      <c r="F113">
        <f>+'staffing plan'!C111</f>
        <v>22</v>
      </c>
      <c r="G113" s="131">
        <f>+'staffing plan'!AH111</f>
        <v>783828</v>
      </c>
      <c r="H113" s="131">
        <f>+'staffing plan'!AI111</f>
        <v>783828</v>
      </c>
      <c r="I113" s="131">
        <f>+'staffing plan'!AJ111</f>
        <v>1</v>
      </c>
      <c r="J113" t="str">
        <f>+'staffing plan'!AW111</f>
        <v>CHAN, Virginia Lucas</v>
      </c>
      <c r="K113" t="e">
        <f>+'staffing plan'!#REF!</f>
        <v>#REF!</v>
      </c>
      <c r="L113" t="e">
        <f>+'staffing plan'!#REF!</f>
        <v>#REF!</v>
      </c>
      <c r="M113" t="str">
        <f>+'staffing plan'!AX111</f>
        <v>Benguet</v>
      </c>
      <c r="N113" t="str">
        <f>+'staffing plan'!AY111</f>
        <v>F</v>
      </c>
      <c r="O113" s="145" t="e">
        <f>+'staffing plan'!#REF!</f>
        <v>#REF!</v>
      </c>
      <c r="P113" s="145" t="e">
        <f>+'staffing plan'!#REF!</f>
        <v>#REF!</v>
      </c>
      <c r="Q113" s="145" t="e">
        <f>+'staffing plan'!#REF!</f>
        <v>#REF!</v>
      </c>
      <c r="R113">
        <f>+'staffing plan'!BP111</f>
        <v>0</v>
      </c>
      <c r="S113">
        <v>112</v>
      </c>
    </row>
    <row r="114" spans="2:19" hidden="1">
      <c r="B114">
        <f t="shared" si="5"/>
        <v>2017</v>
      </c>
      <c r="C114">
        <f>+'staffing plan'!BK112</f>
        <v>43087</v>
      </c>
      <c r="D114" t="str">
        <f>'staffing plan'!A112</f>
        <v>OSEC-DILGB-LGOO6-28-2017</v>
      </c>
      <c r="E114" t="str">
        <f>+'staffing plan'!B112</f>
        <v>Local Government Operations Officer VI</v>
      </c>
      <c r="F114">
        <f>+'staffing plan'!C112</f>
        <v>22</v>
      </c>
      <c r="G114" s="131">
        <f>+'staffing plan'!AH112</f>
        <v>783828</v>
      </c>
      <c r="H114" s="131">
        <f>+'staffing plan'!AI112</f>
        <v>783828</v>
      </c>
      <c r="I114" s="131">
        <f>+'staffing plan'!AJ112</f>
        <v>1</v>
      </c>
      <c r="J114" t="str">
        <f>+'staffing plan'!AW112</f>
        <v>SAHOY, Jonilou Fukai</v>
      </c>
      <c r="K114" t="e">
        <f>+'staffing plan'!#REF!</f>
        <v>#REF!</v>
      </c>
      <c r="L114" t="e">
        <f>+'staffing plan'!#REF!</f>
        <v>#REF!</v>
      </c>
      <c r="M114" t="str">
        <f>+'staffing plan'!AX112</f>
        <v>Benguet</v>
      </c>
      <c r="N114" t="str">
        <f>+'staffing plan'!AY112</f>
        <v>F</v>
      </c>
      <c r="O114" s="145" t="e">
        <f>+'staffing plan'!#REF!</f>
        <v>#REF!</v>
      </c>
      <c r="P114" s="145" t="e">
        <f>+'staffing plan'!#REF!</f>
        <v>#REF!</v>
      </c>
      <c r="Q114" s="145" t="e">
        <f>+'staffing plan'!#REF!</f>
        <v>#REF!</v>
      </c>
      <c r="R114">
        <f>+'staffing plan'!BP112</f>
        <v>0</v>
      </c>
      <c r="S114">
        <v>113</v>
      </c>
    </row>
    <row r="115" spans="2:19" hidden="1">
      <c r="B115">
        <f t="shared" si="5"/>
        <v>2017</v>
      </c>
      <c r="C115">
        <f>+'staffing plan'!BK113</f>
        <v>43070</v>
      </c>
      <c r="D115" t="str">
        <f>'staffing plan'!A113</f>
        <v>OSEC-DILGB-LGOO6-29-2017</v>
      </c>
      <c r="E115" t="str">
        <f>+'staffing plan'!B113</f>
        <v>Local Government Operations Officer VI</v>
      </c>
      <c r="F115">
        <f>+'staffing plan'!C113</f>
        <v>22</v>
      </c>
      <c r="G115" s="131">
        <f>+'staffing plan'!AH113</f>
        <v>783828</v>
      </c>
      <c r="H115" s="131">
        <f>+'staffing plan'!AI113</f>
        <v>783828</v>
      </c>
      <c r="I115" s="131">
        <f>+'staffing plan'!AJ113</f>
        <v>1</v>
      </c>
      <c r="J115" t="str">
        <f>+'staffing plan'!AW113</f>
        <v>ATING, Janet Belingon</v>
      </c>
      <c r="K115" t="e">
        <f>+'staffing plan'!#REF!</f>
        <v>#REF!</v>
      </c>
      <c r="L115" t="e">
        <f>+'staffing plan'!#REF!</f>
        <v>#REF!</v>
      </c>
      <c r="M115" t="str">
        <f>+'staffing plan'!AX113</f>
        <v>Benguet</v>
      </c>
      <c r="N115" t="str">
        <f>+'staffing plan'!AY113</f>
        <v>F</v>
      </c>
      <c r="O115" s="145" t="e">
        <f>+'staffing plan'!#REF!</f>
        <v>#REF!</v>
      </c>
      <c r="P115" s="145" t="e">
        <f>+'staffing plan'!#REF!</f>
        <v>#REF!</v>
      </c>
      <c r="Q115" s="145" t="e">
        <f>+'staffing plan'!#REF!</f>
        <v>#REF!</v>
      </c>
      <c r="R115">
        <f>+'staffing plan'!BP113</f>
        <v>0</v>
      </c>
      <c r="S115">
        <v>114</v>
      </c>
    </row>
    <row r="116" spans="2:19" hidden="1">
      <c r="B116">
        <f t="shared" si="5"/>
        <v>2017</v>
      </c>
      <c r="C116">
        <f>+'staffing plan'!BK114</f>
        <v>43070</v>
      </c>
      <c r="D116" t="str">
        <f>'staffing plan'!A114</f>
        <v>OSEC-DILGB-LGOO6-30-2017</v>
      </c>
      <c r="E116" t="str">
        <f>+'staffing plan'!B114</f>
        <v>Local Government Operations Officer VI</v>
      </c>
      <c r="F116">
        <f>+'staffing plan'!C114</f>
        <v>22</v>
      </c>
      <c r="G116" s="131">
        <f>+'staffing plan'!AH114</f>
        <v>783828</v>
      </c>
      <c r="H116" s="131">
        <f>+'staffing plan'!AI114</f>
        <v>783828</v>
      </c>
      <c r="I116" s="131">
        <f>+'staffing plan'!AJ114</f>
        <v>1</v>
      </c>
      <c r="J116" t="str">
        <f>+'staffing plan'!AW114</f>
        <v>ULEP, Brigitte  Adeban</v>
      </c>
      <c r="K116" t="e">
        <f>+'staffing plan'!#REF!</f>
        <v>#REF!</v>
      </c>
      <c r="L116" t="e">
        <f>+'staffing plan'!#REF!</f>
        <v>#REF!</v>
      </c>
      <c r="M116" t="str">
        <f>+'staffing plan'!AX114</f>
        <v>Benguet</v>
      </c>
      <c r="N116" t="str">
        <f>+'staffing plan'!AY114</f>
        <v>F</v>
      </c>
      <c r="O116" s="145" t="e">
        <f>+'staffing plan'!#REF!</f>
        <v>#REF!</v>
      </c>
      <c r="P116" s="145" t="e">
        <f>+'staffing plan'!#REF!</f>
        <v>#REF!</v>
      </c>
      <c r="Q116" s="145" t="e">
        <f>+'staffing plan'!#REF!</f>
        <v>#REF!</v>
      </c>
      <c r="R116">
        <f>+'staffing plan'!BP114</f>
        <v>0</v>
      </c>
      <c r="S116">
        <v>115</v>
      </c>
    </row>
    <row r="117" spans="2:19" hidden="1">
      <c r="B117">
        <f t="shared" si="5"/>
        <v>2017</v>
      </c>
      <c r="C117">
        <f>+'staffing plan'!BK115</f>
        <v>43070</v>
      </c>
      <c r="D117" t="str">
        <f>'staffing plan'!A115</f>
        <v>OSEC-DILGB-LGOO6-31-2017</v>
      </c>
      <c r="E117" t="str">
        <f>+'staffing plan'!B115</f>
        <v>Local Government Operations Officer VI</v>
      </c>
      <c r="F117">
        <f>+'staffing plan'!C115</f>
        <v>22</v>
      </c>
      <c r="G117" s="131">
        <f>+'staffing plan'!AH115</f>
        <v>783828</v>
      </c>
      <c r="H117" s="131">
        <f>+'staffing plan'!AI115</f>
        <v>783828</v>
      </c>
      <c r="I117" s="131">
        <f>+'staffing plan'!AJ115</f>
        <v>1</v>
      </c>
      <c r="J117" t="str">
        <f>+'staffing plan'!AW115</f>
        <v>ATING, Cesar Uemura</v>
      </c>
      <c r="K117" t="e">
        <f>+'staffing plan'!#REF!</f>
        <v>#REF!</v>
      </c>
      <c r="L117" t="e">
        <f>+'staffing plan'!#REF!</f>
        <v>#REF!</v>
      </c>
      <c r="M117" t="str">
        <f>+'staffing plan'!AX115</f>
        <v>Benguet</v>
      </c>
      <c r="N117" t="str">
        <f>+'staffing plan'!AY115</f>
        <v>M</v>
      </c>
      <c r="O117" s="145" t="e">
        <f>+'staffing plan'!#REF!</f>
        <v>#REF!</v>
      </c>
      <c r="P117" s="145" t="e">
        <f>+'staffing plan'!#REF!</f>
        <v>#REF!</v>
      </c>
      <c r="Q117" s="145" t="e">
        <f>+'staffing plan'!#REF!</f>
        <v>#REF!</v>
      </c>
      <c r="R117" t="str">
        <f>+'staffing plan'!BP115</f>
        <v>Shifting</v>
      </c>
      <c r="S117">
        <v>116</v>
      </c>
    </row>
    <row r="118" spans="2:19" hidden="1">
      <c r="B118">
        <f t="shared" si="5"/>
        <v>2017</v>
      </c>
      <c r="C118">
        <f>+'staffing plan'!BK116</f>
        <v>43070</v>
      </c>
      <c r="D118" t="str">
        <f>'staffing plan'!A116</f>
        <v>OSEC-DILGB-LGOO6-32-2017</v>
      </c>
      <c r="E118" t="str">
        <f>+'staffing plan'!B116</f>
        <v>Local Government Operations Officer VI</v>
      </c>
      <c r="F118">
        <f>+'staffing plan'!C116</f>
        <v>22</v>
      </c>
      <c r="G118" s="131">
        <f>+'staffing plan'!AH116</f>
        <v>783828</v>
      </c>
      <c r="H118" s="131">
        <f>+'staffing plan'!AI116</f>
        <v>783828</v>
      </c>
      <c r="I118" s="131">
        <f>+'staffing plan'!AJ116</f>
        <v>1</v>
      </c>
      <c r="J118" t="str">
        <f>+'staffing plan'!AW116</f>
        <v>LUMA-ANG, Randy Thomas</v>
      </c>
      <c r="K118" t="e">
        <f>+'staffing plan'!#REF!</f>
        <v>#REF!</v>
      </c>
      <c r="L118" t="e">
        <f>+'staffing plan'!#REF!</f>
        <v>#REF!</v>
      </c>
      <c r="M118" t="str">
        <f>+'staffing plan'!AX116</f>
        <v>Benguet</v>
      </c>
      <c r="N118" t="str">
        <f>+'staffing plan'!AY116</f>
        <v>M</v>
      </c>
      <c r="O118" s="145" t="e">
        <f>+'staffing plan'!#REF!</f>
        <v>#REF!</v>
      </c>
      <c r="P118" s="145" t="e">
        <f>+'staffing plan'!#REF!</f>
        <v>#REF!</v>
      </c>
      <c r="Q118" s="145" t="e">
        <f>+'staffing plan'!#REF!</f>
        <v>#REF!</v>
      </c>
      <c r="R118">
        <f>+'staffing plan'!BP116</f>
        <v>0</v>
      </c>
      <c r="S118">
        <v>117</v>
      </c>
    </row>
    <row r="119" spans="2:19" hidden="1">
      <c r="B119">
        <f t="shared" si="5"/>
        <v>2002</v>
      </c>
      <c r="C119">
        <f>+'staffing plan'!BK170</f>
        <v>37453</v>
      </c>
      <c r="D119" t="str">
        <f>'staffing plan'!A170</f>
        <v>OSEC-DILGB-LGOO5-934-1998</v>
      </c>
      <c r="E119" t="str">
        <f>+'staffing plan'!B170</f>
        <v>Local Government Operations Officer V</v>
      </c>
      <c r="F119">
        <f>+'staffing plan'!C170</f>
        <v>20</v>
      </c>
      <c r="G119" s="131">
        <f>+'staffing plan'!AH170</f>
        <v>613860</v>
      </c>
      <c r="H119" s="131">
        <f>+'staffing plan'!AI170</f>
        <v>665616</v>
      </c>
      <c r="I119" s="131">
        <f>+'staffing plan'!AJ170</f>
        <v>6</v>
      </c>
      <c r="J119" t="str">
        <f>+'staffing plan'!AW170</f>
        <v>OLANGCAY, Elizabeth Saguid</v>
      </c>
      <c r="K119" t="e">
        <f>+'staffing plan'!#REF!</f>
        <v>#REF!</v>
      </c>
      <c r="L119" t="e">
        <f>+'staffing plan'!#REF!</f>
        <v>#REF!</v>
      </c>
      <c r="M119" t="str">
        <f>+'staffing plan'!AX170</f>
        <v>Benguet</v>
      </c>
      <c r="N119" t="str">
        <f>+'staffing plan'!AY170</f>
        <v>F</v>
      </c>
      <c r="O119" s="145" t="e">
        <f>+'staffing plan'!#REF!</f>
        <v>#REF!</v>
      </c>
      <c r="P119" s="145" t="e">
        <f>+'staffing plan'!#REF!</f>
        <v>#REF!</v>
      </c>
      <c r="Q119" s="145" t="e">
        <f>+'staffing plan'!#REF!</f>
        <v>#REF!</v>
      </c>
      <c r="R119" t="str">
        <f>+'staffing plan'!BP170</f>
        <v>Shifting</v>
      </c>
      <c r="S119">
        <v>118</v>
      </c>
    </row>
    <row r="120" spans="2:19" hidden="1">
      <c r="B120">
        <f t="shared" si="5"/>
        <v>2017</v>
      </c>
      <c r="C120">
        <f>+'staffing plan'!BK117</f>
        <v>43070</v>
      </c>
      <c r="D120" t="str">
        <f>'staffing plan'!A117</f>
        <v>OSEC-DILGB-LGOO6-33-2017</v>
      </c>
      <c r="E120" t="str">
        <f>+'staffing plan'!B117</f>
        <v>Local Government Operations Officer VI</v>
      </c>
      <c r="F120">
        <f>+'staffing plan'!C117</f>
        <v>22</v>
      </c>
      <c r="G120" s="131">
        <f>+'staffing plan'!AH117</f>
        <v>783828</v>
      </c>
      <c r="H120" s="131">
        <f>+'staffing plan'!AI117</f>
        <v>783828</v>
      </c>
      <c r="I120" s="131">
        <f>+'staffing plan'!AJ117</f>
        <v>1</v>
      </c>
      <c r="J120" t="str">
        <f>+'staffing plan'!AW117</f>
        <v>CAWIS, Odemar Mendoza</v>
      </c>
      <c r="K120" t="e">
        <f>+'staffing plan'!#REF!</f>
        <v>#REF!</v>
      </c>
      <c r="L120" t="e">
        <f>+'staffing plan'!#REF!</f>
        <v>#REF!</v>
      </c>
      <c r="M120" t="str">
        <f>+'staffing plan'!AX117</f>
        <v>Benguet</v>
      </c>
      <c r="N120" t="str">
        <f>+'staffing plan'!AY117</f>
        <v>M</v>
      </c>
      <c r="O120" s="145" t="e">
        <f>+'staffing plan'!#REF!</f>
        <v>#REF!</v>
      </c>
      <c r="P120" s="145" t="e">
        <f>+'staffing plan'!#REF!</f>
        <v>#REF!</v>
      </c>
      <c r="Q120" s="145" t="e">
        <f>+'staffing plan'!#REF!</f>
        <v>#REF!</v>
      </c>
      <c r="R120">
        <f>+'staffing plan'!BP117</f>
        <v>0</v>
      </c>
      <c r="S120">
        <v>119</v>
      </c>
    </row>
    <row r="121" spans="2:19" hidden="1">
      <c r="B121">
        <f t="shared" si="5"/>
        <v>2017</v>
      </c>
      <c r="C121">
        <f>+'staffing plan'!BK118</f>
        <v>43070</v>
      </c>
      <c r="D121" t="str">
        <f>'staffing plan'!A118</f>
        <v>OSEC-DILGB-LGOO6-34-2017</v>
      </c>
      <c r="E121" t="str">
        <f>+'staffing plan'!B118</f>
        <v>Local Government Operations Officer VI</v>
      </c>
      <c r="F121">
        <f>+'staffing plan'!C118</f>
        <v>22</v>
      </c>
      <c r="G121" s="131">
        <f>+'staffing plan'!AH118</f>
        <v>783828</v>
      </c>
      <c r="H121" s="131">
        <f>+'staffing plan'!AI118</f>
        <v>783828</v>
      </c>
      <c r="I121" s="131">
        <f>+'staffing plan'!AJ118</f>
        <v>1</v>
      </c>
      <c r="J121" t="str">
        <f>+'staffing plan'!AW118</f>
        <v>CARDENAS, Cheryl Rose Flores</v>
      </c>
      <c r="K121" t="e">
        <f>+'staffing plan'!#REF!</f>
        <v>#REF!</v>
      </c>
      <c r="L121" t="e">
        <f>+'staffing plan'!#REF!</f>
        <v>#REF!</v>
      </c>
      <c r="M121" t="str">
        <f>+'staffing plan'!AX118</f>
        <v>Benguet</v>
      </c>
      <c r="N121" t="str">
        <f>+'staffing plan'!AY118</f>
        <v>F</v>
      </c>
      <c r="O121" s="145" t="e">
        <f>+'staffing plan'!#REF!</f>
        <v>#REF!</v>
      </c>
      <c r="P121" s="145" t="e">
        <f>+'staffing plan'!#REF!</f>
        <v>#REF!</v>
      </c>
      <c r="Q121" s="145" t="e">
        <f>+'staffing plan'!#REF!</f>
        <v>#REF!</v>
      </c>
      <c r="R121" t="str">
        <f>+'staffing plan'!BP118</f>
        <v>Shifting</v>
      </c>
      <c r="S121">
        <v>120</v>
      </c>
    </row>
    <row r="122" spans="2:19" hidden="1">
      <c r="B122">
        <f t="shared" si="5"/>
        <v>2017</v>
      </c>
      <c r="C122">
        <f>+'staffing plan'!BK119</f>
        <v>43070</v>
      </c>
      <c r="D122" t="str">
        <f>'staffing plan'!A119</f>
        <v>OSEC-DILGB-LGOO6-35-2017</v>
      </c>
      <c r="E122" t="str">
        <f>+'staffing plan'!B119</f>
        <v>Local Government Operations Officer VI</v>
      </c>
      <c r="F122">
        <f>+'staffing plan'!C119</f>
        <v>22</v>
      </c>
      <c r="G122" s="131">
        <f>+'staffing plan'!AH119</f>
        <v>783828</v>
      </c>
      <c r="H122" s="131">
        <f>+'staffing plan'!AI119</f>
        <v>783828</v>
      </c>
      <c r="I122" s="131">
        <f>+'staffing plan'!AJ119</f>
        <v>1</v>
      </c>
      <c r="J122" t="str">
        <f>+'staffing plan'!AW119</f>
        <v>EBES, Linston Bolislis</v>
      </c>
      <c r="K122" t="e">
        <f>+'staffing plan'!#REF!</f>
        <v>#REF!</v>
      </c>
      <c r="L122" t="e">
        <f>+'staffing plan'!#REF!</f>
        <v>#REF!</v>
      </c>
      <c r="M122" t="str">
        <f>+'staffing plan'!AX119</f>
        <v>Benguet</v>
      </c>
      <c r="N122" t="str">
        <f>+'staffing plan'!AY119</f>
        <v>M</v>
      </c>
      <c r="O122" s="145" t="e">
        <f>+'staffing plan'!#REF!</f>
        <v>#REF!</v>
      </c>
      <c r="P122" s="145" t="e">
        <f>+'staffing plan'!#REF!</f>
        <v>#REF!</v>
      </c>
      <c r="Q122" s="145" t="e">
        <f>+'staffing plan'!#REF!</f>
        <v>#REF!</v>
      </c>
      <c r="R122">
        <f>+'staffing plan'!BP119</f>
        <v>0</v>
      </c>
      <c r="S122">
        <v>121</v>
      </c>
    </row>
    <row r="123" spans="2:19" hidden="1">
      <c r="B123">
        <f t="shared" si="5"/>
        <v>2017</v>
      </c>
      <c r="C123">
        <f>+'staffing plan'!BK145</f>
        <v>43070</v>
      </c>
      <c r="D123" t="str">
        <f>'staffing plan'!A145</f>
        <v>OSEC-DILGB-LGOO6-61-2017</v>
      </c>
      <c r="E123" t="str">
        <f>+'staffing plan'!B145</f>
        <v>Local Government Operations Officer VI</v>
      </c>
      <c r="F123">
        <f>+'staffing plan'!C145</f>
        <v>22</v>
      </c>
      <c r="G123" s="131">
        <f>+'staffing plan'!AH145</f>
        <v>783828</v>
      </c>
      <c r="H123" s="131">
        <f>+'staffing plan'!AI145</f>
        <v>783828</v>
      </c>
      <c r="I123" s="131">
        <f>+'staffing plan'!AJ145</f>
        <v>1</v>
      </c>
      <c r="J123" t="str">
        <f>+'staffing plan'!AW145</f>
        <v>PEEL, Lourdes Claire Fanusan</v>
      </c>
      <c r="K123" t="e">
        <f>+'staffing plan'!#REF!</f>
        <v>#REF!</v>
      </c>
      <c r="L123" t="e">
        <f>+'staffing plan'!#REF!</f>
        <v>#REF!</v>
      </c>
      <c r="M123" t="str">
        <f>+'staffing plan'!AX145</f>
        <v>Mt. Province</v>
      </c>
      <c r="N123" t="str">
        <f>+'staffing plan'!AY145</f>
        <v>F</v>
      </c>
      <c r="O123" s="145" t="e">
        <f>+'staffing plan'!#REF!</f>
        <v>#REF!</v>
      </c>
      <c r="P123" s="145" t="e">
        <f>+'staffing plan'!#REF!</f>
        <v>#REF!</v>
      </c>
      <c r="Q123" s="145" t="e">
        <f>+'staffing plan'!#REF!</f>
        <v>#REF!</v>
      </c>
      <c r="R123">
        <f>+'staffing plan'!BP145</f>
        <v>0</v>
      </c>
      <c r="S123">
        <v>122</v>
      </c>
    </row>
    <row r="124" spans="2:19" hidden="1">
      <c r="B124">
        <f t="shared" si="5"/>
        <v>2017</v>
      </c>
      <c r="C124">
        <f>+'staffing plan'!BK146</f>
        <v>43070</v>
      </c>
      <c r="D124" t="str">
        <f>'staffing plan'!A146</f>
        <v>OSEC-DILGB-LGOO6-62-2017</v>
      </c>
      <c r="E124" t="str">
        <f>+'staffing plan'!B146</f>
        <v>Local Government Operations Officer VI</v>
      </c>
      <c r="F124">
        <f>+'staffing plan'!C146</f>
        <v>22</v>
      </c>
      <c r="G124" s="131">
        <f>+'staffing plan'!AH146</f>
        <v>783828</v>
      </c>
      <c r="H124" s="131">
        <f>+'staffing plan'!AI146</f>
        <v>783828</v>
      </c>
      <c r="I124" s="131">
        <f>+'staffing plan'!AJ146</f>
        <v>1</v>
      </c>
      <c r="J124" t="str">
        <f>+'staffing plan'!AW146</f>
        <v>FEGCAN, Erwin Gerald Talusig</v>
      </c>
      <c r="K124" t="e">
        <f>+'staffing plan'!#REF!</f>
        <v>#REF!</v>
      </c>
      <c r="L124" t="e">
        <f>+'staffing plan'!#REF!</f>
        <v>#REF!</v>
      </c>
      <c r="M124" t="str">
        <f>+'staffing plan'!AX146</f>
        <v>Mt. Province</v>
      </c>
      <c r="N124" t="str">
        <f>+'staffing plan'!AY146</f>
        <v>M</v>
      </c>
      <c r="O124" s="145" t="e">
        <f>+'staffing plan'!#REF!</f>
        <v>#REF!</v>
      </c>
      <c r="P124" s="145" t="e">
        <f>+'staffing plan'!#REF!</f>
        <v>#REF!</v>
      </c>
      <c r="Q124" s="145" t="e">
        <f>+'staffing plan'!#REF!</f>
        <v>#REF!</v>
      </c>
      <c r="R124">
        <f>+'staffing plan'!BP146</f>
        <v>0</v>
      </c>
      <c r="S124">
        <v>123</v>
      </c>
    </row>
    <row r="125" spans="2:19" hidden="1">
      <c r="B125">
        <f t="shared" si="5"/>
        <v>2018</v>
      </c>
      <c r="C125">
        <f>+'staffing plan'!BK147</f>
        <v>43168</v>
      </c>
      <c r="D125" t="str">
        <f>'staffing plan'!A147</f>
        <v>OSEC-DILGB-LGOO6-63-2017</v>
      </c>
      <c r="E125" t="str">
        <f>+'staffing plan'!B147</f>
        <v>Local Government Operations Officer VI</v>
      </c>
      <c r="F125">
        <f>+'staffing plan'!C147</f>
        <v>22</v>
      </c>
      <c r="G125" s="131">
        <f>+'staffing plan'!AH147</f>
        <v>783828</v>
      </c>
      <c r="H125" s="131">
        <f>+'staffing plan'!AI147</f>
        <v>783828</v>
      </c>
      <c r="I125" s="131">
        <f>+'staffing plan'!AJ147</f>
        <v>1</v>
      </c>
      <c r="J125" t="str">
        <f>+'staffing plan'!AW147</f>
        <v>MANGANGEY, Robert Jr.  Palog</v>
      </c>
      <c r="K125" t="e">
        <f>+'staffing plan'!#REF!</f>
        <v>#REF!</v>
      </c>
      <c r="L125" t="e">
        <f>+'staffing plan'!#REF!</f>
        <v>#REF!</v>
      </c>
      <c r="M125" t="str">
        <f>+'staffing plan'!AX147</f>
        <v>Mt. Province</v>
      </c>
      <c r="N125" t="str">
        <f>+'staffing plan'!AY147</f>
        <v>M</v>
      </c>
      <c r="O125" s="145" t="e">
        <f>+'staffing plan'!#REF!</f>
        <v>#REF!</v>
      </c>
      <c r="P125" s="145" t="e">
        <f>+'staffing plan'!#REF!</f>
        <v>#REF!</v>
      </c>
      <c r="Q125" s="145" t="e">
        <f>+'staffing plan'!#REF!</f>
        <v>#REF!</v>
      </c>
      <c r="R125" t="str">
        <f>+'staffing plan'!BP147</f>
        <v>Shifting</v>
      </c>
      <c r="S125">
        <v>124</v>
      </c>
    </row>
    <row r="126" spans="2:19" hidden="1">
      <c r="B126">
        <f t="shared" si="5"/>
        <v>2018</v>
      </c>
      <c r="C126">
        <f>+'staffing plan'!BK171</f>
        <v>43283</v>
      </c>
      <c r="D126" t="str">
        <f>'staffing plan'!A171</f>
        <v>OSEC-DILGB-LGOO5-943-1998</v>
      </c>
      <c r="E126" t="str">
        <f>+'staffing plan'!B171</f>
        <v>Local Government Operations Officer V</v>
      </c>
      <c r="F126">
        <f>+'staffing plan'!C171</f>
        <v>20</v>
      </c>
      <c r="G126" s="131">
        <f>+'staffing plan'!AH171</f>
        <v>613860</v>
      </c>
      <c r="H126" s="131">
        <f>+'staffing plan'!AI171</f>
        <v>613860</v>
      </c>
      <c r="I126" s="131">
        <f>+'staffing plan'!AJ171</f>
        <v>1</v>
      </c>
      <c r="J126" t="str">
        <f>+'staffing plan'!AW171</f>
        <v>BACWADEN, Perry  Daoas</v>
      </c>
      <c r="K126" t="e">
        <f>+'staffing plan'!#REF!</f>
        <v>#REF!</v>
      </c>
      <c r="L126" t="e">
        <f>+'staffing plan'!#REF!</f>
        <v>#REF!</v>
      </c>
      <c r="M126" t="str">
        <f>+'staffing plan'!AX171</f>
        <v>Mt. Province</v>
      </c>
      <c r="N126" t="str">
        <f>+'staffing plan'!AY171</f>
        <v>M</v>
      </c>
      <c r="O126" s="145" t="e">
        <f>+'staffing plan'!#REF!</f>
        <v>#REF!</v>
      </c>
      <c r="P126" s="145" t="e">
        <f>+'staffing plan'!#REF!</f>
        <v>#REF!</v>
      </c>
      <c r="Q126" s="145" t="e">
        <f>+'staffing plan'!#REF!</f>
        <v>#REF!</v>
      </c>
      <c r="R126">
        <f>+'staffing plan'!BP171</f>
        <v>0</v>
      </c>
      <c r="S126">
        <v>125</v>
      </c>
    </row>
    <row r="127" spans="2:19" hidden="1">
      <c r="B127">
        <f t="shared" si="5"/>
        <v>2017</v>
      </c>
      <c r="C127">
        <f>+'staffing plan'!BK148</f>
        <v>43070</v>
      </c>
      <c r="D127" t="str">
        <f>'staffing plan'!A148</f>
        <v>OSEC-DILGB-LGOO6-64-2017</v>
      </c>
      <c r="E127" t="str">
        <f>+'staffing plan'!B148</f>
        <v>Local Government Operations Officer VI</v>
      </c>
      <c r="F127">
        <f>+'staffing plan'!C148</f>
        <v>22</v>
      </c>
      <c r="G127" s="131">
        <f>+'staffing plan'!AH148</f>
        <v>783828</v>
      </c>
      <c r="H127" s="131">
        <f>+'staffing plan'!AI148</f>
        <v>783828</v>
      </c>
      <c r="I127" s="131">
        <f>+'staffing plan'!AJ148</f>
        <v>1</v>
      </c>
      <c r="J127" t="str">
        <f>+'staffing plan'!AW148</f>
        <v>FA-ED, Jill  Fanged</v>
      </c>
      <c r="K127" t="e">
        <f>+'staffing plan'!#REF!</f>
        <v>#REF!</v>
      </c>
      <c r="L127" t="e">
        <f>+'staffing plan'!#REF!</f>
        <v>#REF!</v>
      </c>
      <c r="M127" t="str">
        <f>+'staffing plan'!AX148</f>
        <v>Mt. Province</v>
      </c>
      <c r="N127" t="str">
        <f>+'staffing plan'!AY148</f>
        <v>F</v>
      </c>
      <c r="O127" s="145" t="e">
        <f>+'staffing plan'!#REF!</f>
        <v>#REF!</v>
      </c>
      <c r="P127" s="145" t="e">
        <f>+'staffing plan'!#REF!</f>
        <v>#REF!</v>
      </c>
      <c r="Q127" s="145" t="e">
        <f>+'staffing plan'!#REF!</f>
        <v>#REF!</v>
      </c>
      <c r="R127">
        <f>+'staffing plan'!BP148</f>
        <v>0</v>
      </c>
      <c r="S127">
        <v>126</v>
      </c>
    </row>
    <row r="128" spans="2:19" hidden="1">
      <c r="B128">
        <f t="shared" si="5"/>
        <v>2017</v>
      </c>
      <c r="C128">
        <f>+'staffing plan'!BK149</f>
        <v>43087</v>
      </c>
      <c r="D128" t="str">
        <f>'staffing plan'!A149</f>
        <v>OSEC-DILGB-LGOO6-65-2017</v>
      </c>
      <c r="E128" t="str">
        <f>+'staffing plan'!B149</f>
        <v>Local Government Operations Officer VI</v>
      </c>
      <c r="F128">
        <f>+'staffing plan'!C149</f>
        <v>22</v>
      </c>
      <c r="G128" s="131">
        <f>+'staffing plan'!AH149</f>
        <v>783828</v>
      </c>
      <c r="H128" s="131">
        <f>+'staffing plan'!AI149</f>
        <v>783828</v>
      </c>
      <c r="I128" s="131">
        <f>+'staffing plan'!AJ149</f>
        <v>1</v>
      </c>
      <c r="J128" t="str">
        <f>+'staffing plan'!AW149</f>
        <v>BASCO, Raymundo Jacinto Pandoyos</v>
      </c>
      <c r="K128" t="e">
        <f>+'staffing plan'!#REF!</f>
        <v>#REF!</v>
      </c>
      <c r="L128" t="e">
        <f>+'staffing plan'!#REF!</f>
        <v>#REF!</v>
      </c>
      <c r="M128" t="str">
        <f>+'staffing plan'!AX149</f>
        <v>Mt. Province</v>
      </c>
      <c r="N128" t="str">
        <f>+'staffing plan'!AY149</f>
        <v>M</v>
      </c>
      <c r="O128" s="145" t="e">
        <f>+'staffing plan'!#REF!</f>
        <v>#REF!</v>
      </c>
      <c r="P128" s="145" t="e">
        <f>+'staffing plan'!#REF!</f>
        <v>#REF!</v>
      </c>
      <c r="Q128" s="145" t="e">
        <f>+'staffing plan'!#REF!</f>
        <v>#REF!</v>
      </c>
      <c r="R128">
        <f>+'staffing plan'!BP149</f>
        <v>0</v>
      </c>
      <c r="S128">
        <v>127</v>
      </c>
    </row>
    <row r="129" spans="2:19" hidden="1">
      <c r="B129">
        <f t="shared" si="5"/>
        <v>2017</v>
      </c>
      <c r="C129">
        <f>+'staffing plan'!BK150</f>
        <v>43070</v>
      </c>
      <c r="D129" t="str">
        <f>'staffing plan'!A150</f>
        <v>OSEC-DILGB-LGOO6-66-2017</v>
      </c>
      <c r="E129" t="str">
        <f>+'staffing plan'!B150</f>
        <v>Local Government Operations Officer VI</v>
      </c>
      <c r="F129">
        <f>+'staffing plan'!C150</f>
        <v>22</v>
      </c>
      <c r="G129" s="131">
        <f>+'staffing plan'!AH150</f>
        <v>783828</v>
      </c>
      <c r="H129" s="131">
        <f>+'staffing plan'!AI150</f>
        <v>783828</v>
      </c>
      <c r="I129" s="131">
        <f>+'staffing plan'!AJ150</f>
        <v>1</v>
      </c>
      <c r="J129" t="str">
        <f>+'staffing plan'!AW150</f>
        <v>PILUDEN, Judy Colabot</v>
      </c>
      <c r="K129" t="e">
        <f>+'staffing plan'!#REF!</f>
        <v>#REF!</v>
      </c>
      <c r="L129" t="e">
        <f>+'staffing plan'!#REF!</f>
        <v>#REF!</v>
      </c>
      <c r="M129" t="str">
        <f>+'staffing plan'!AX150</f>
        <v>Mt. Province</v>
      </c>
      <c r="N129" t="str">
        <f>+'staffing plan'!AY150</f>
        <v>F</v>
      </c>
      <c r="O129" s="145" t="e">
        <f>+'staffing plan'!#REF!</f>
        <v>#REF!</v>
      </c>
      <c r="P129" s="145" t="e">
        <f>+'staffing plan'!#REF!</f>
        <v>#REF!</v>
      </c>
      <c r="Q129" s="145" t="e">
        <f>+'staffing plan'!#REF!</f>
        <v>#REF!</v>
      </c>
      <c r="R129">
        <f>+'staffing plan'!BP150</f>
        <v>0</v>
      </c>
      <c r="S129">
        <v>128</v>
      </c>
    </row>
    <row r="130" spans="2:19" hidden="1">
      <c r="B130">
        <f t="shared" si="5"/>
        <v>2018</v>
      </c>
      <c r="C130">
        <f>+'staffing plan'!BK172</f>
        <v>43129</v>
      </c>
      <c r="D130" t="str">
        <f>'staffing plan'!A172</f>
        <v>OSEC-DILGB-LGOO5-947-1998</v>
      </c>
      <c r="E130" t="str">
        <f>+'staffing plan'!B172</f>
        <v>Local Government Operations Officer V</v>
      </c>
      <c r="F130">
        <f>+'staffing plan'!C172</f>
        <v>20</v>
      </c>
      <c r="G130" s="131">
        <f>+'staffing plan'!AH172</f>
        <v>613860</v>
      </c>
      <c r="H130" s="131">
        <f>+'staffing plan'!AI172</f>
        <v>613860</v>
      </c>
      <c r="I130" s="131">
        <f>+'staffing plan'!AJ172</f>
        <v>1</v>
      </c>
      <c r="J130" t="str">
        <f>+'staffing plan'!AW172</f>
        <v>LICYAYO, Jennifer Lablabong</v>
      </c>
      <c r="K130" t="e">
        <f>+'staffing plan'!#REF!</f>
        <v>#REF!</v>
      </c>
      <c r="L130" t="e">
        <f>+'staffing plan'!#REF!</f>
        <v>#REF!</v>
      </c>
      <c r="M130" t="str">
        <f>+'staffing plan'!AX172</f>
        <v>Mt. Province</v>
      </c>
      <c r="N130" t="str">
        <f>+'staffing plan'!AY172</f>
        <v>F</v>
      </c>
      <c r="O130" s="145" t="e">
        <f>+'staffing plan'!#REF!</f>
        <v>#REF!</v>
      </c>
      <c r="P130" s="145" t="e">
        <f>+'staffing plan'!#REF!</f>
        <v>#REF!</v>
      </c>
      <c r="Q130" s="145" t="e">
        <f>+'staffing plan'!#REF!</f>
        <v>#REF!</v>
      </c>
      <c r="R130" t="str">
        <f>+'staffing plan'!BP172</f>
        <v>MP Prov</v>
      </c>
      <c r="S130">
        <v>129</v>
      </c>
    </row>
    <row r="131" spans="2:19" hidden="1">
      <c r="B131">
        <f t="shared" si="5"/>
        <v>2017</v>
      </c>
      <c r="C131">
        <f>+'staffing plan'!BK151</f>
        <v>43089</v>
      </c>
      <c r="D131" t="str">
        <f>'staffing plan'!A151</f>
        <v>OSEC-DILGB-LGOO6-67-2017</v>
      </c>
      <c r="E131" t="str">
        <f>+'staffing plan'!B151</f>
        <v>Local Government Operations Officer VI</v>
      </c>
      <c r="F131">
        <f>+'staffing plan'!C151</f>
        <v>22</v>
      </c>
      <c r="G131" s="131">
        <f>+'staffing plan'!AH151</f>
        <v>783828</v>
      </c>
      <c r="H131" s="131">
        <f>+'staffing plan'!AI151</f>
        <v>783828</v>
      </c>
      <c r="I131" s="131">
        <f>+'staffing plan'!AJ151</f>
        <v>1</v>
      </c>
      <c r="J131" t="str">
        <f>+'staffing plan'!AW151</f>
        <v>MAYMAYA, Johnny Jr.  Mukay</v>
      </c>
      <c r="K131" t="e">
        <f>+'staffing plan'!#REF!</f>
        <v>#REF!</v>
      </c>
      <c r="L131" t="e">
        <f>+'staffing plan'!#REF!</f>
        <v>#REF!</v>
      </c>
      <c r="M131" t="str">
        <f>+'staffing plan'!AX151</f>
        <v>Mt. Province</v>
      </c>
      <c r="N131" t="str">
        <f>+'staffing plan'!AY151</f>
        <v>M</v>
      </c>
      <c r="O131" s="145" t="e">
        <f>+'staffing plan'!#REF!</f>
        <v>#REF!</v>
      </c>
      <c r="P131" s="145" t="e">
        <f>+'staffing plan'!#REF!</f>
        <v>#REF!</v>
      </c>
      <c r="Q131" s="145" t="e">
        <f>+'staffing plan'!#REF!</f>
        <v>#REF!</v>
      </c>
      <c r="R131" t="str">
        <f>+'staffing plan'!BP151</f>
        <v>Shifting</v>
      </c>
      <c r="S131">
        <v>130</v>
      </c>
    </row>
    <row r="132" spans="2:19" hidden="1">
      <c r="B132">
        <f t="shared" si="5"/>
        <v>2017</v>
      </c>
      <c r="C132">
        <f>+'staffing plan'!BK127</f>
        <v>43070</v>
      </c>
      <c r="D132" t="str">
        <f>'staffing plan'!A127</f>
        <v>OSEC-DILGB-LGOO6-43-2017</v>
      </c>
      <c r="E132" t="str">
        <f>+'staffing plan'!B127</f>
        <v>Local Government Operations OFFICER VI</v>
      </c>
      <c r="F132">
        <f>+'staffing plan'!C127</f>
        <v>22</v>
      </c>
      <c r="G132" s="131">
        <f>+'staffing plan'!AH127</f>
        <v>783828</v>
      </c>
      <c r="H132" s="131">
        <f>+'staffing plan'!AI127</f>
        <v>783828</v>
      </c>
      <c r="I132" s="131">
        <f>+'staffing plan'!AJ127</f>
        <v>1</v>
      </c>
      <c r="J132" t="str">
        <f>+'staffing plan'!AW127</f>
        <v>CABANAYAN, Carol Chulipa</v>
      </c>
      <c r="K132" t="e">
        <f>+'staffing plan'!#REF!</f>
        <v>#REF!</v>
      </c>
      <c r="L132" t="e">
        <f>+'staffing plan'!#REF!</f>
        <v>#REF!</v>
      </c>
      <c r="M132" t="str">
        <f>+'staffing plan'!AX127</f>
        <v>Ifugao</v>
      </c>
      <c r="N132" t="str">
        <f>+'staffing plan'!AY127</f>
        <v>F</v>
      </c>
      <c r="O132" s="145" t="e">
        <f>+'staffing plan'!#REF!</f>
        <v>#REF!</v>
      </c>
      <c r="P132" s="145" t="e">
        <f>+'staffing plan'!#REF!</f>
        <v>#REF!</v>
      </c>
      <c r="Q132" s="145" t="e">
        <f>+'staffing plan'!#REF!</f>
        <v>#REF!</v>
      </c>
      <c r="R132">
        <f>+'staffing plan'!BP127</f>
        <v>0</v>
      </c>
      <c r="S132">
        <v>131</v>
      </c>
    </row>
    <row r="133" spans="2:19" hidden="1">
      <c r="B133">
        <f t="shared" si="5"/>
        <v>2017</v>
      </c>
      <c r="C133">
        <f>+'staffing plan'!BK128</f>
        <v>43070</v>
      </c>
      <c r="D133" t="str">
        <f>'staffing plan'!A128</f>
        <v>OSEC-DILGB-LGOO6-44-2017</v>
      </c>
      <c r="E133" t="str">
        <f>+'staffing plan'!B128</f>
        <v>Local Government Operations OFFICER VI</v>
      </c>
      <c r="F133">
        <f>+'staffing plan'!C128</f>
        <v>22</v>
      </c>
      <c r="G133" s="131">
        <f>+'staffing plan'!AH128</f>
        <v>783828</v>
      </c>
      <c r="H133" s="131">
        <f>+'staffing plan'!AI128</f>
        <v>783828</v>
      </c>
      <c r="I133" s="131">
        <f>+'staffing plan'!AJ128</f>
        <v>1</v>
      </c>
      <c r="J133" t="str">
        <f>+'staffing plan'!AW128</f>
        <v>PAGADDUT, Jimmy Bantiyan</v>
      </c>
      <c r="K133" t="e">
        <f>+'staffing plan'!#REF!</f>
        <v>#REF!</v>
      </c>
      <c r="L133" t="e">
        <f>+'staffing plan'!#REF!</f>
        <v>#REF!</v>
      </c>
      <c r="M133" t="str">
        <f>+'staffing plan'!AX128</f>
        <v>Ifugao</v>
      </c>
      <c r="N133" t="str">
        <f>+'staffing plan'!AY128</f>
        <v>M</v>
      </c>
      <c r="O133" s="145" t="e">
        <f>+'staffing plan'!#REF!</f>
        <v>#REF!</v>
      </c>
      <c r="P133" s="145" t="e">
        <f>+'staffing plan'!#REF!</f>
        <v>#REF!</v>
      </c>
      <c r="Q133" s="145" t="e">
        <f>+'staffing plan'!#REF!</f>
        <v>#REF!</v>
      </c>
      <c r="R133" t="str">
        <f>+'staffing plan'!BP128</f>
        <v>Shifting</v>
      </c>
      <c r="S133">
        <v>132</v>
      </c>
    </row>
    <row r="134" spans="2:19" hidden="1">
      <c r="B134">
        <f t="shared" si="5"/>
        <v>2018</v>
      </c>
      <c r="C134">
        <f>+'staffing plan'!BK173</f>
        <v>43129</v>
      </c>
      <c r="D134" t="str">
        <f>'staffing plan'!A173</f>
        <v>OSEC-DILGB-LGOO5-952-1998</v>
      </c>
      <c r="E134" t="str">
        <f>+'staffing plan'!B173</f>
        <v>Local Government Operations Officer V</v>
      </c>
      <c r="F134">
        <f>+'staffing plan'!C173</f>
        <v>20</v>
      </c>
      <c r="G134" s="131">
        <f>+'staffing plan'!AH173</f>
        <v>613860</v>
      </c>
      <c r="H134" s="131">
        <f>+'staffing plan'!AI173</f>
        <v>613860</v>
      </c>
      <c r="I134" s="131">
        <f>+'staffing plan'!AJ173</f>
        <v>1</v>
      </c>
      <c r="J134" t="str">
        <f>+'staffing plan'!AW173</f>
        <v>ANGGADNA, Mario Jr. Domingo</v>
      </c>
      <c r="K134" t="e">
        <f>+'staffing plan'!#REF!</f>
        <v>#REF!</v>
      </c>
      <c r="L134" t="e">
        <f>+'staffing plan'!#REF!</f>
        <v>#REF!</v>
      </c>
      <c r="M134" t="str">
        <f>+'staffing plan'!AX173</f>
        <v>Ifugao</v>
      </c>
      <c r="N134" t="str">
        <f>+'staffing plan'!AY173</f>
        <v>M</v>
      </c>
      <c r="O134" s="145" t="e">
        <f>+'staffing plan'!#REF!</f>
        <v>#REF!</v>
      </c>
      <c r="P134" s="145" t="e">
        <f>+'staffing plan'!#REF!</f>
        <v>#REF!</v>
      </c>
      <c r="Q134" s="145" t="e">
        <f>+'staffing plan'!#REF!</f>
        <v>#REF!</v>
      </c>
      <c r="R134" t="str">
        <f>+'staffing plan'!BP173</f>
        <v>Shifting</v>
      </c>
      <c r="S134">
        <v>133</v>
      </c>
    </row>
    <row r="135" spans="2:19" hidden="1">
      <c r="B135">
        <f t="shared" si="5"/>
        <v>2017</v>
      </c>
      <c r="C135">
        <f>+'staffing plan'!BK129</f>
        <v>43070</v>
      </c>
      <c r="D135" t="str">
        <f>'staffing plan'!A129</f>
        <v>OSEC-DILGB-LGOO6-45-2017</v>
      </c>
      <c r="E135" t="str">
        <f>+'staffing plan'!B129</f>
        <v>Local Government Operations OFFICER VI</v>
      </c>
      <c r="F135">
        <f>+'staffing plan'!C129</f>
        <v>22</v>
      </c>
      <c r="G135" s="131">
        <f>+'staffing plan'!AH129</f>
        <v>783828</v>
      </c>
      <c r="H135" s="131">
        <f>+'staffing plan'!AI129</f>
        <v>783828</v>
      </c>
      <c r="I135" s="131">
        <f>+'staffing plan'!AJ129</f>
        <v>1</v>
      </c>
      <c r="J135" t="str">
        <f>+'staffing plan'!AW129</f>
        <v>BULAYUNGAN, Isabel Allaga</v>
      </c>
      <c r="K135" t="e">
        <f>+'staffing plan'!#REF!</f>
        <v>#REF!</v>
      </c>
      <c r="L135" t="e">
        <f>+'staffing plan'!#REF!</f>
        <v>#REF!</v>
      </c>
      <c r="M135" t="str">
        <f>+'staffing plan'!AX129</f>
        <v>Ifugao</v>
      </c>
      <c r="N135" t="str">
        <f>+'staffing plan'!AY129</f>
        <v>F</v>
      </c>
      <c r="O135" s="145" t="e">
        <f>+'staffing plan'!#REF!</f>
        <v>#REF!</v>
      </c>
      <c r="P135" s="145" t="e">
        <f>+'staffing plan'!#REF!</f>
        <v>#REF!</v>
      </c>
      <c r="Q135" s="145" t="e">
        <f>+'staffing plan'!#REF!</f>
        <v>#REF!</v>
      </c>
      <c r="R135">
        <f>+'staffing plan'!BP129</f>
        <v>0</v>
      </c>
      <c r="S135">
        <v>134</v>
      </c>
    </row>
    <row r="136" spans="2:19" hidden="1">
      <c r="B136">
        <f t="shared" si="5"/>
        <v>2017</v>
      </c>
      <c r="C136">
        <f>+'staffing plan'!BK130</f>
        <v>43070</v>
      </c>
      <c r="D136" t="str">
        <f>'staffing plan'!A130</f>
        <v>OSEC-DILGB-LGOO6-46-2017</v>
      </c>
      <c r="E136" t="str">
        <f>+'staffing plan'!B130</f>
        <v>Local Government Operations OFFICER VI</v>
      </c>
      <c r="F136">
        <f>+'staffing plan'!C130</f>
        <v>22</v>
      </c>
      <c r="G136" s="131">
        <f>+'staffing plan'!AH130</f>
        <v>783828</v>
      </c>
      <c r="H136" s="131">
        <f>+'staffing plan'!AI130</f>
        <v>783828</v>
      </c>
      <c r="I136" s="131">
        <f>+'staffing plan'!AJ130</f>
        <v>1</v>
      </c>
      <c r="J136" t="str">
        <f>+'staffing plan'!AW130</f>
        <v>MONAYAO, Jeda Paulha</v>
      </c>
      <c r="K136" t="e">
        <f>+'staffing plan'!#REF!</f>
        <v>#REF!</v>
      </c>
      <c r="L136" t="e">
        <f>+'staffing plan'!#REF!</f>
        <v>#REF!</v>
      </c>
      <c r="M136" t="str">
        <f>+'staffing plan'!AX130</f>
        <v>Ifugao</v>
      </c>
      <c r="N136" t="str">
        <f>+'staffing plan'!AY130</f>
        <v>F</v>
      </c>
      <c r="O136" s="145" t="e">
        <f>+'staffing plan'!#REF!</f>
        <v>#REF!</v>
      </c>
      <c r="P136" s="145" t="e">
        <f>+'staffing plan'!#REF!</f>
        <v>#REF!</v>
      </c>
      <c r="Q136" s="145" t="e">
        <f>+'staffing plan'!#REF!</f>
        <v>#REF!</v>
      </c>
      <c r="R136" t="str">
        <f>+'staffing plan'!BP130</f>
        <v>Shifting</v>
      </c>
      <c r="S136">
        <v>135</v>
      </c>
    </row>
    <row r="137" spans="2:19" hidden="1">
      <c r="B137">
        <f t="shared" si="5"/>
        <v>2017</v>
      </c>
      <c r="C137">
        <f>+'staffing plan'!BK131</f>
        <v>43070</v>
      </c>
      <c r="D137" t="str">
        <f>'staffing plan'!A131</f>
        <v>OSEC-DILGB-LGOO6-47-2017</v>
      </c>
      <c r="E137" t="str">
        <f>+'staffing plan'!B131</f>
        <v>Local Government Operations OFFICER VI</v>
      </c>
      <c r="F137">
        <f>+'staffing plan'!C131</f>
        <v>22</v>
      </c>
      <c r="G137" s="131">
        <f>+'staffing plan'!AH131</f>
        <v>783828</v>
      </c>
      <c r="H137" s="131">
        <f>+'staffing plan'!AI131</f>
        <v>783828</v>
      </c>
      <c r="I137" s="131">
        <f>+'staffing plan'!AJ131</f>
        <v>1</v>
      </c>
      <c r="J137" t="str">
        <f>+'staffing plan'!AW131</f>
        <v>DONG-E, Regina Tayaban</v>
      </c>
      <c r="K137" t="e">
        <f>+'staffing plan'!#REF!</f>
        <v>#REF!</v>
      </c>
      <c r="L137" t="e">
        <f>+'staffing plan'!#REF!</f>
        <v>#REF!</v>
      </c>
      <c r="M137" t="str">
        <f>+'staffing plan'!AX131</f>
        <v>Ifugao</v>
      </c>
      <c r="N137" t="str">
        <f>+'staffing plan'!AY131</f>
        <v>F</v>
      </c>
      <c r="O137" s="145" t="e">
        <f>+'staffing plan'!#REF!</f>
        <v>#REF!</v>
      </c>
      <c r="P137" s="145" t="e">
        <f>+'staffing plan'!#REF!</f>
        <v>#REF!</v>
      </c>
      <c r="Q137" s="145" t="e">
        <f>+'staffing plan'!#REF!</f>
        <v>#REF!</v>
      </c>
      <c r="R137" t="str">
        <f>+'staffing plan'!BP131</f>
        <v>Shifting</v>
      </c>
      <c r="S137">
        <v>136</v>
      </c>
    </row>
    <row r="138" spans="2:19" hidden="1">
      <c r="B138">
        <f t="shared" si="5"/>
        <v>2001</v>
      </c>
      <c r="C138">
        <f>+'staffing plan'!BK174</f>
        <v>36951</v>
      </c>
      <c r="D138" t="str">
        <f>'staffing plan'!A174</f>
        <v>OSEC-DILGB-LGOO5-957-1998</v>
      </c>
      <c r="E138" t="str">
        <f>+'staffing plan'!B174</f>
        <v>Local Government Operations Officer V</v>
      </c>
      <c r="F138">
        <f>+'staffing plan'!C174</f>
        <v>20</v>
      </c>
      <c r="G138" s="131">
        <f>+'staffing plan'!AH174</f>
        <v>613860</v>
      </c>
      <c r="H138" s="131">
        <f>+'staffing plan'!AI174</f>
        <v>665616</v>
      </c>
      <c r="I138" s="131">
        <f>+'staffing plan'!AJ174</f>
        <v>6</v>
      </c>
      <c r="J138" t="str">
        <f>+'staffing plan'!AW174</f>
        <v>NARCIZA, Florita Garcia</v>
      </c>
      <c r="K138" t="e">
        <f>+'staffing plan'!#REF!</f>
        <v>#REF!</v>
      </c>
      <c r="L138" t="e">
        <f>+'staffing plan'!#REF!</f>
        <v>#REF!</v>
      </c>
      <c r="M138" t="str">
        <f>+'staffing plan'!AX174</f>
        <v>Ifugao</v>
      </c>
      <c r="N138" t="str">
        <f>+'staffing plan'!AY174</f>
        <v>F</v>
      </c>
      <c r="O138" s="145" t="e">
        <f>+'staffing plan'!#REF!</f>
        <v>#REF!</v>
      </c>
      <c r="P138" s="145" t="e">
        <f>+'staffing plan'!#REF!</f>
        <v>#REF!</v>
      </c>
      <c r="Q138" s="145" t="e">
        <f>+'staffing plan'!#REF!</f>
        <v>#REF!</v>
      </c>
      <c r="R138" t="str">
        <f>+'staffing plan'!BP174</f>
        <v>Shifting</v>
      </c>
      <c r="S138">
        <v>137</v>
      </c>
    </row>
    <row r="139" spans="2:19" hidden="1">
      <c r="B139">
        <f t="shared" si="5"/>
        <v>2017</v>
      </c>
      <c r="C139">
        <f>+'staffing plan'!BK132</f>
        <v>43070</v>
      </c>
      <c r="D139" t="str">
        <f>'staffing plan'!A132</f>
        <v>OSEC-DILGB-LGOO6-48-2017</v>
      </c>
      <c r="E139" t="str">
        <f>+'staffing plan'!B132</f>
        <v>Local Government Operations OFFICER VI</v>
      </c>
      <c r="F139">
        <f>+'staffing plan'!C132</f>
        <v>22</v>
      </c>
      <c r="G139" s="131">
        <f>+'staffing plan'!AH132</f>
        <v>783828</v>
      </c>
      <c r="H139" s="131">
        <f>+'staffing plan'!AI132</f>
        <v>783828</v>
      </c>
      <c r="I139" s="131">
        <f>+'staffing plan'!AJ132</f>
        <v>1</v>
      </c>
      <c r="J139" t="str">
        <f>+'staffing plan'!AW132</f>
        <v>BANGO, Emmanuel Hiadan</v>
      </c>
      <c r="K139" t="e">
        <f>+'staffing plan'!#REF!</f>
        <v>#REF!</v>
      </c>
      <c r="L139" t="e">
        <f>+'staffing plan'!#REF!</f>
        <v>#REF!</v>
      </c>
      <c r="M139" t="str">
        <f>+'staffing plan'!AX132</f>
        <v>Ifugao</v>
      </c>
      <c r="N139" t="str">
        <f>+'staffing plan'!AY132</f>
        <v>M</v>
      </c>
      <c r="O139" s="145" t="e">
        <f>+'staffing plan'!#REF!</f>
        <v>#REF!</v>
      </c>
      <c r="P139" s="145" t="e">
        <f>+'staffing plan'!#REF!</f>
        <v>#REF!</v>
      </c>
      <c r="Q139" s="145" t="e">
        <f>+'staffing plan'!#REF!</f>
        <v>#REF!</v>
      </c>
      <c r="R139">
        <f>+'staffing plan'!BP132</f>
        <v>0</v>
      </c>
      <c r="S139">
        <v>138</v>
      </c>
    </row>
    <row r="140" spans="2:19" hidden="1">
      <c r="B140">
        <f t="shared" si="5"/>
        <v>2017</v>
      </c>
      <c r="C140">
        <f>+'staffing plan'!BK133</f>
        <v>43070</v>
      </c>
      <c r="D140" t="str">
        <f>'staffing plan'!A133</f>
        <v>OSEC-DILGB-LGOO6-49-2017</v>
      </c>
      <c r="E140" t="str">
        <f>+'staffing plan'!B133</f>
        <v>Local Government Operations OFFICER VI</v>
      </c>
      <c r="F140">
        <f>+'staffing plan'!C133</f>
        <v>22</v>
      </c>
      <c r="G140" s="131">
        <f>+'staffing plan'!AH133</f>
        <v>783828</v>
      </c>
      <c r="H140" s="131">
        <f>+'staffing plan'!AI133</f>
        <v>783828</v>
      </c>
      <c r="I140" s="131">
        <f>+'staffing plan'!AJ133</f>
        <v>1</v>
      </c>
      <c r="J140" t="str">
        <f>+'staffing plan'!AW133</f>
        <v>ADAWE, Guillaume Lebbet</v>
      </c>
      <c r="K140" t="e">
        <f>+'staffing plan'!#REF!</f>
        <v>#REF!</v>
      </c>
      <c r="L140" t="e">
        <f>+'staffing plan'!#REF!</f>
        <v>#REF!</v>
      </c>
      <c r="M140" t="str">
        <f>+'staffing plan'!AX133</f>
        <v>Ifugao</v>
      </c>
      <c r="N140" t="str">
        <f>+'staffing plan'!AY133</f>
        <v>M</v>
      </c>
      <c r="O140" s="145" t="e">
        <f>+'staffing plan'!#REF!</f>
        <v>#REF!</v>
      </c>
      <c r="P140" s="145" t="e">
        <f>+'staffing plan'!#REF!</f>
        <v>#REF!</v>
      </c>
      <c r="Q140" s="145" t="e">
        <f>+'staffing plan'!#REF!</f>
        <v>#REF!</v>
      </c>
      <c r="R140">
        <f>+'staffing plan'!BP133</f>
        <v>0</v>
      </c>
      <c r="S140">
        <v>139</v>
      </c>
    </row>
    <row r="141" spans="2:19" hidden="1">
      <c r="B141">
        <f t="shared" si="5"/>
        <v>2017</v>
      </c>
      <c r="C141">
        <f>+'staffing plan'!BK138</f>
        <v>43070</v>
      </c>
      <c r="D141" t="str">
        <f>'staffing plan'!A138</f>
        <v>OSEC-DILGB-LGOO6-54-2017</v>
      </c>
      <c r="E141" t="str">
        <f>+'staffing plan'!B138</f>
        <v>Local Government Operations OFFICER VI</v>
      </c>
      <c r="F141">
        <f>+'staffing plan'!C138</f>
        <v>22</v>
      </c>
      <c r="G141" s="131">
        <f>+'staffing plan'!AH138</f>
        <v>783828</v>
      </c>
      <c r="H141" s="131">
        <f>+'staffing plan'!AI138</f>
        <v>783828</v>
      </c>
      <c r="I141" s="131">
        <f>+'staffing plan'!AJ138</f>
        <v>1</v>
      </c>
      <c r="J141" t="str">
        <f>+'staffing plan'!AW138</f>
        <v>LUCAS, Chris Berana</v>
      </c>
      <c r="K141" t="e">
        <f>+'staffing plan'!#REF!</f>
        <v>#REF!</v>
      </c>
      <c r="L141" t="e">
        <f>+'staffing plan'!#REF!</f>
        <v>#REF!</v>
      </c>
      <c r="M141" t="str">
        <f>+'staffing plan'!AX138</f>
        <v>Kalinga</v>
      </c>
      <c r="N141" t="str">
        <f>+'staffing plan'!AY138</f>
        <v>M</v>
      </c>
      <c r="O141" s="145" t="e">
        <f>+'staffing plan'!#REF!</f>
        <v>#REF!</v>
      </c>
      <c r="P141" s="145" t="e">
        <f>+'staffing plan'!#REF!</f>
        <v>#REF!</v>
      </c>
      <c r="Q141" s="145" t="e">
        <f>+'staffing plan'!#REF!</f>
        <v>#REF!</v>
      </c>
      <c r="R141">
        <f>+'staffing plan'!BP138</f>
        <v>0</v>
      </c>
      <c r="S141">
        <v>140</v>
      </c>
    </row>
    <row r="142" spans="2:19" hidden="1">
      <c r="B142">
        <f t="shared" si="5"/>
        <v>2017</v>
      </c>
      <c r="C142">
        <f>+'staffing plan'!BK120</f>
        <v>43070</v>
      </c>
      <c r="D142" t="str">
        <f>'staffing plan'!A120</f>
        <v>OSEC-DILGB-LGOO6-36-2017</v>
      </c>
      <c r="E142" t="str">
        <f>+'staffing plan'!B120</f>
        <v>Local Government Operations Officer VI</v>
      </c>
      <c r="F142">
        <f>+'staffing plan'!C120</f>
        <v>22</v>
      </c>
      <c r="G142" s="131">
        <f>+'staffing plan'!AH120</f>
        <v>783828</v>
      </c>
      <c r="H142" s="131">
        <f>+'staffing plan'!AI120</f>
        <v>783828</v>
      </c>
      <c r="I142" s="131">
        <f>+'staffing plan'!AJ120</f>
        <v>1</v>
      </c>
      <c r="J142" t="str">
        <f>+'staffing plan'!AW120</f>
        <v>VENUS, Norman Domingo</v>
      </c>
      <c r="K142" t="e">
        <f>+'staffing plan'!#REF!</f>
        <v>#REF!</v>
      </c>
      <c r="L142" t="e">
        <f>+'staffing plan'!#REF!</f>
        <v>#REF!</v>
      </c>
      <c r="M142" t="str">
        <f>+'staffing plan'!AX120</f>
        <v>Apayao</v>
      </c>
      <c r="N142" t="str">
        <f>+'staffing plan'!AY120</f>
        <v>M</v>
      </c>
      <c r="O142" s="145" t="e">
        <f>+'staffing plan'!#REF!</f>
        <v>#REF!</v>
      </c>
      <c r="P142" s="145" t="e">
        <f>+'staffing plan'!#REF!</f>
        <v>#REF!</v>
      </c>
      <c r="Q142" s="145" t="e">
        <f>+'staffing plan'!#REF!</f>
        <v>#REF!</v>
      </c>
      <c r="R142">
        <f>+'staffing plan'!BP120</f>
        <v>0</v>
      </c>
      <c r="S142">
        <v>141</v>
      </c>
    </row>
    <row r="143" spans="2:19" hidden="1">
      <c r="B143">
        <f t="shared" si="5"/>
        <v>2017</v>
      </c>
      <c r="C143">
        <f>+'staffing plan'!BK121</f>
        <v>43087</v>
      </c>
      <c r="D143" t="str">
        <f>'staffing plan'!A121</f>
        <v>OSEC-DILGB-LGOO6-37-2017</v>
      </c>
      <c r="E143" t="str">
        <f>+'staffing plan'!B121</f>
        <v>Local Government Operations Officer VI</v>
      </c>
      <c r="F143">
        <f>+'staffing plan'!C121</f>
        <v>22</v>
      </c>
      <c r="G143" s="131">
        <f>+'staffing plan'!AH121</f>
        <v>783828</v>
      </c>
      <c r="H143" s="131">
        <f>+'staffing plan'!AI121</f>
        <v>783828</v>
      </c>
      <c r="I143" s="131">
        <f>+'staffing plan'!AJ121</f>
        <v>1</v>
      </c>
      <c r="J143" t="str">
        <f>+'staffing plan'!AW121</f>
        <v>VISITACION, Rhiener Cardenas</v>
      </c>
      <c r="K143" t="e">
        <f>+'staffing plan'!#REF!</f>
        <v>#REF!</v>
      </c>
      <c r="L143" t="e">
        <f>+'staffing plan'!#REF!</f>
        <v>#REF!</v>
      </c>
      <c r="M143" t="str">
        <f>+'staffing plan'!AX121</f>
        <v>Apayao</v>
      </c>
      <c r="N143" t="str">
        <f>+'staffing plan'!AY121</f>
        <v>M</v>
      </c>
      <c r="O143" s="145" t="e">
        <f>+'staffing plan'!#REF!</f>
        <v>#REF!</v>
      </c>
      <c r="P143" s="145" t="e">
        <f>+'staffing plan'!#REF!</f>
        <v>#REF!</v>
      </c>
      <c r="Q143" s="145" t="e">
        <f>+'staffing plan'!#REF!</f>
        <v>#REF!</v>
      </c>
      <c r="R143">
        <f>+'staffing plan'!BP121</f>
        <v>0</v>
      </c>
      <c r="S143">
        <v>142</v>
      </c>
    </row>
    <row r="144" spans="2:19" hidden="1">
      <c r="B144">
        <f t="shared" si="5"/>
        <v>2018</v>
      </c>
      <c r="C144">
        <f>+'staffing plan'!BK175</f>
        <v>43131</v>
      </c>
      <c r="D144" t="str">
        <f>'staffing plan'!A175</f>
        <v>OSEC-DILGB-LGOO5-965-1998</v>
      </c>
      <c r="E144" t="str">
        <f>+'staffing plan'!B175</f>
        <v>Local Government Operations Officer V</v>
      </c>
      <c r="F144">
        <f>+'staffing plan'!C175</f>
        <v>20</v>
      </c>
      <c r="G144" s="131">
        <f>+'staffing plan'!AH175</f>
        <v>613860</v>
      </c>
      <c r="H144" s="131">
        <f>+'staffing plan'!AI175</f>
        <v>613860</v>
      </c>
      <c r="I144" s="131">
        <f>+'staffing plan'!AJ175</f>
        <v>1</v>
      </c>
      <c r="J144" t="str">
        <f>+'staffing plan'!AW175</f>
        <v>ELVEÑA, Hanna Lynel Gullayan</v>
      </c>
      <c r="K144" t="e">
        <f>+'staffing plan'!#REF!</f>
        <v>#REF!</v>
      </c>
      <c r="L144" t="e">
        <f>+'staffing plan'!#REF!</f>
        <v>#REF!</v>
      </c>
      <c r="M144" t="str">
        <f>+'staffing plan'!AX175</f>
        <v>Kalinga</v>
      </c>
      <c r="N144" t="str">
        <f>+'staffing plan'!AY175</f>
        <v>F</v>
      </c>
      <c r="O144" s="145" t="e">
        <f>+'staffing plan'!#REF!</f>
        <v>#REF!</v>
      </c>
      <c r="P144" s="145" t="e">
        <f>+'staffing plan'!#REF!</f>
        <v>#REF!</v>
      </c>
      <c r="Q144" s="145" t="e">
        <f>+'staffing plan'!#REF!</f>
        <v>#REF!</v>
      </c>
      <c r="R144" t="str">
        <f>+'staffing plan'!BP175</f>
        <v>Kalinga</v>
      </c>
      <c r="S144">
        <v>143</v>
      </c>
    </row>
    <row r="145" spans="2:19" hidden="1">
      <c r="B145">
        <f t="shared" si="5"/>
        <v>2017</v>
      </c>
      <c r="C145">
        <f>+'staffing plan'!BK139</f>
        <v>43087</v>
      </c>
      <c r="D145" t="str">
        <f>'staffing plan'!A139</f>
        <v>OSEC-DILGB-LGOO6-55-2017</v>
      </c>
      <c r="E145" t="str">
        <f>+'staffing plan'!B139</f>
        <v>Local Government Operations OFFICER VI</v>
      </c>
      <c r="F145">
        <f>+'staffing plan'!C139</f>
        <v>22</v>
      </c>
      <c r="G145" s="131">
        <f>+'staffing plan'!AH139</f>
        <v>783828</v>
      </c>
      <c r="H145" s="131">
        <f>+'staffing plan'!AI139</f>
        <v>783828</v>
      </c>
      <c r="I145" s="131">
        <f>+'staffing plan'!AJ139</f>
        <v>1</v>
      </c>
      <c r="J145" t="str">
        <f>+'staffing plan'!AW139</f>
        <v>ACUAT, Alexander Gacuya</v>
      </c>
      <c r="K145" t="e">
        <f>+'staffing plan'!#REF!</f>
        <v>#REF!</v>
      </c>
      <c r="L145" t="e">
        <f>+'staffing plan'!#REF!</f>
        <v>#REF!</v>
      </c>
      <c r="M145" t="str">
        <f>+'staffing plan'!AX139</f>
        <v>Kalinga</v>
      </c>
      <c r="N145" t="str">
        <f>+'staffing plan'!AY139</f>
        <v>M</v>
      </c>
      <c r="O145" s="145" t="e">
        <f>+'staffing plan'!#REF!</f>
        <v>#REF!</v>
      </c>
      <c r="P145" s="145" t="e">
        <f>+'staffing plan'!#REF!</f>
        <v>#REF!</v>
      </c>
      <c r="Q145" s="145" t="e">
        <f>+'staffing plan'!#REF!</f>
        <v>#REF!</v>
      </c>
      <c r="R145">
        <f>+'staffing plan'!BP139</f>
        <v>0</v>
      </c>
      <c r="S145">
        <v>144</v>
      </c>
    </row>
    <row r="146" spans="2:19" hidden="1">
      <c r="B146">
        <f t="shared" si="5"/>
        <v>2017</v>
      </c>
      <c r="C146">
        <f>+'staffing plan'!BK140</f>
        <v>43070</v>
      </c>
      <c r="D146" t="str">
        <f>'staffing plan'!A140</f>
        <v>OSEC-DILGB-LGOO6-56-2017</v>
      </c>
      <c r="E146" t="str">
        <f>+'staffing plan'!B140</f>
        <v>Local Government Operations OFFICER VI</v>
      </c>
      <c r="F146">
        <f>+'staffing plan'!C140</f>
        <v>22</v>
      </c>
      <c r="G146" s="131">
        <f>+'staffing plan'!AH140</f>
        <v>783828</v>
      </c>
      <c r="H146" s="131">
        <f>+'staffing plan'!AI140</f>
        <v>783828</v>
      </c>
      <c r="I146" s="131">
        <f>+'staffing plan'!AJ140</f>
        <v>1</v>
      </c>
      <c r="J146" t="str">
        <f>+'staffing plan'!AW140</f>
        <v>LORENZO, Elizabeth Perpetua Baylon</v>
      </c>
      <c r="K146" t="e">
        <f>+'staffing plan'!#REF!</f>
        <v>#REF!</v>
      </c>
      <c r="L146" t="e">
        <f>+'staffing plan'!#REF!</f>
        <v>#REF!</v>
      </c>
      <c r="M146" t="str">
        <f>+'staffing plan'!AX140</f>
        <v>Kalinga</v>
      </c>
      <c r="N146" t="str">
        <f>+'staffing plan'!AY140</f>
        <v>F</v>
      </c>
      <c r="O146" s="145" t="e">
        <f>+'staffing plan'!#REF!</f>
        <v>#REF!</v>
      </c>
      <c r="P146" s="145" t="e">
        <f>+'staffing plan'!#REF!</f>
        <v>#REF!</v>
      </c>
      <c r="Q146" s="145" t="e">
        <f>+'staffing plan'!#REF!</f>
        <v>#REF!</v>
      </c>
      <c r="R146" t="str">
        <f>+'staffing plan'!BP140</f>
        <v>Shifting</v>
      </c>
      <c r="S146">
        <v>145</v>
      </c>
    </row>
    <row r="147" spans="2:19" hidden="1">
      <c r="B147">
        <f t="shared" si="5"/>
        <v>2017</v>
      </c>
      <c r="C147">
        <f>+'staffing plan'!BK141</f>
        <v>43087</v>
      </c>
      <c r="D147" t="str">
        <f>'staffing plan'!A141</f>
        <v>OSEC-DILGB-LGOO6-57-2017</v>
      </c>
      <c r="E147" t="str">
        <f>+'staffing plan'!B141</f>
        <v>Local Government Operations OFFICER VI</v>
      </c>
      <c r="F147">
        <f>+'staffing plan'!C141</f>
        <v>22</v>
      </c>
      <c r="G147" s="131">
        <f>+'staffing plan'!AH141</f>
        <v>783828</v>
      </c>
      <c r="H147" s="131">
        <f>+'staffing plan'!AI141</f>
        <v>783828</v>
      </c>
      <c r="I147" s="131">
        <f>+'staffing plan'!AJ141</f>
        <v>1</v>
      </c>
      <c r="J147" t="str">
        <f>+'staffing plan'!AW141</f>
        <v>LACUESTA, Helen Espita</v>
      </c>
      <c r="K147" t="e">
        <f>+'staffing plan'!#REF!</f>
        <v>#REF!</v>
      </c>
      <c r="L147" t="e">
        <f>+'staffing plan'!#REF!</f>
        <v>#REF!</v>
      </c>
      <c r="M147" t="str">
        <f>+'staffing plan'!AX141</f>
        <v>Kalinga</v>
      </c>
      <c r="N147" t="str">
        <f>+'staffing plan'!AY141</f>
        <v>F</v>
      </c>
      <c r="O147" s="145" t="e">
        <f>+'staffing plan'!#REF!</f>
        <v>#REF!</v>
      </c>
      <c r="P147" s="145" t="e">
        <f>+'staffing plan'!#REF!</f>
        <v>#REF!</v>
      </c>
      <c r="Q147" s="145" t="e">
        <f>+'staffing plan'!#REF!</f>
        <v>#REF!</v>
      </c>
      <c r="R147" t="str">
        <f>+'staffing plan'!BP141</f>
        <v>Shifting</v>
      </c>
      <c r="S147">
        <v>146</v>
      </c>
    </row>
    <row r="148" spans="2:19" hidden="1">
      <c r="B148">
        <f t="shared" si="5"/>
        <v>2017</v>
      </c>
      <c r="C148">
        <f>+'staffing plan'!BK142</f>
        <v>43070</v>
      </c>
      <c r="D148" t="str">
        <f>'staffing plan'!A142</f>
        <v>OSEC-DILGB-LGOO6-58-2017</v>
      </c>
      <c r="E148" t="str">
        <f>+'staffing plan'!B142</f>
        <v>Local Government Operations OFFICER VI</v>
      </c>
      <c r="F148">
        <f>+'staffing plan'!C142</f>
        <v>22</v>
      </c>
      <c r="G148" s="131">
        <f>+'staffing plan'!AH142</f>
        <v>783828</v>
      </c>
      <c r="H148" s="131">
        <f>+'staffing plan'!AI142</f>
        <v>783828</v>
      </c>
      <c r="I148" s="131">
        <f>+'staffing plan'!AJ142</f>
        <v>1</v>
      </c>
      <c r="J148" t="str">
        <f>+'staffing plan'!AW142</f>
        <v>ATING, Lucas Alsiyao</v>
      </c>
      <c r="K148" t="e">
        <f>+'staffing plan'!#REF!</f>
        <v>#REF!</v>
      </c>
      <c r="L148" t="e">
        <f>+'staffing plan'!#REF!</f>
        <v>#REF!</v>
      </c>
      <c r="M148" t="str">
        <f>+'staffing plan'!AX142</f>
        <v>Kalinga</v>
      </c>
      <c r="N148" t="str">
        <f>+'staffing plan'!AY142</f>
        <v>M</v>
      </c>
      <c r="O148" s="145" t="e">
        <f>+'staffing plan'!#REF!</f>
        <v>#REF!</v>
      </c>
      <c r="P148" s="145" t="e">
        <f>+'staffing plan'!#REF!</f>
        <v>#REF!</v>
      </c>
      <c r="Q148" s="145" t="e">
        <f>+'staffing plan'!#REF!</f>
        <v>#REF!</v>
      </c>
      <c r="R148">
        <f>+'staffing plan'!BP142</f>
        <v>0</v>
      </c>
      <c r="S148">
        <v>147</v>
      </c>
    </row>
    <row r="149" spans="2:19" hidden="1">
      <c r="B149">
        <f t="shared" si="5"/>
        <v>2017</v>
      </c>
      <c r="C149">
        <f>+'staffing plan'!BK122</f>
        <v>43070</v>
      </c>
      <c r="D149" t="str">
        <f>'staffing plan'!A122</f>
        <v>OSEC-DILGB-LGOO6-38-2017</v>
      </c>
      <c r="E149" t="str">
        <f>+'staffing plan'!B122</f>
        <v>Local Government Operations Officer VI</v>
      </c>
      <c r="F149">
        <f>+'staffing plan'!C122</f>
        <v>22</v>
      </c>
      <c r="G149" s="131">
        <f>+'staffing plan'!AH122</f>
        <v>783828</v>
      </c>
      <c r="H149" s="131">
        <f>+'staffing plan'!AI122</f>
        <v>783828</v>
      </c>
      <c r="I149" s="131">
        <f>+'staffing plan'!AJ122</f>
        <v>1</v>
      </c>
      <c r="J149" t="str">
        <f>+'staffing plan'!AW122</f>
        <v>EUGENIO, Cecile Cagurangan</v>
      </c>
      <c r="K149" t="e">
        <f>+'staffing plan'!#REF!</f>
        <v>#REF!</v>
      </c>
      <c r="L149" t="e">
        <f>+'staffing plan'!#REF!</f>
        <v>#REF!</v>
      </c>
      <c r="M149" t="str">
        <f>+'staffing plan'!AX122</f>
        <v>Apayao</v>
      </c>
      <c r="N149" t="str">
        <f>+'staffing plan'!AY122</f>
        <v>F</v>
      </c>
      <c r="O149" s="145" t="e">
        <f>+'staffing plan'!#REF!</f>
        <v>#REF!</v>
      </c>
      <c r="P149" s="145" t="e">
        <f>+'staffing plan'!#REF!</f>
        <v>#REF!</v>
      </c>
      <c r="Q149" s="145" t="e">
        <f>+'staffing plan'!#REF!</f>
        <v>#REF!</v>
      </c>
      <c r="R149">
        <f>+'staffing plan'!BP122</f>
        <v>0</v>
      </c>
      <c r="S149">
        <v>148</v>
      </c>
    </row>
    <row r="150" spans="2:19" hidden="1">
      <c r="B150">
        <f t="shared" si="5"/>
        <v>2017</v>
      </c>
      <c r="C150">
        <f>+'staffing plan'!BK143</f>
        <v>43070</v>
      </c>
      <c r="D150" t="str">
        <f>'staffing plan'!A143</f>
        <v>OSEC-DILGB-LGOO6-59-2017</v>
      </c>
      <c r="E150" t="str">
        <f>+'staffing plan'!B143</f>
        <v>Local Government Operations OFFICER VI</v>
      </c>
      <c r="F150">
        <f>+'staffing plan'!C143</f>
        <v>22</v>
      </c>
      <c r="G150" s="131">
        <f>+'staffing plan'!AH143</f>
        <v>783828</v>
      </c>
      <c r="H150" s="131">
        <f>+'staffing plan'!AI143</f>
        <v>783828</v>
      </c>
      <c r="I150" s="131">
        <f>+'staffing plan'!AJ143</f>
        <v>1</v>
      </c>
      <c r="J150" t="str">
        <f>+'staffing plan'!AW143</f>
        <v>BAWANTA, Gemma Oga-oy</v>
      </c>
      <c r="K150" t="e">
        <f>+'staffing plan'!#REF!</f>
        <v>#REF!</v>
      </c>
      <c r="L150" t="e">
        <f>+'staffing plan'!#REF!</f>
        <v>#REF!</v>
      </c>
      <c r="M150" t="str">
        <f>+'staffing plan'!AX143</f>
        <v>Kalinga</v>
      </c>
      <c r="N150" t="str">
        <f>+'staffing plan'!AY143</f>
        <v>F</v>
      </c>
      <c r="O150" s="145" t="e">
        <f>+'staffing plan'!#REF!</f>
        <v>#REF!</v>
      </c>
      <c r="P150" s="145" t="e">
        <f>+'staffing plan'!#REF!</f>
        <v>#REF!</v>
      </c>
      <c r="Q150" s="145" t="e">
        <f>+'staffing plan'!#REF!</f>
        <v>#REF!</v>
      </c>
      <c r="R150">
        <f>+'staffing plan'!BP143</f>
        <v>0</v>
      </c>
      <c r="S150">
        <v>149</v>
      </c>
    </row>
    <row r="151" spans="2:19" hidden="1">
      <c r="B151">
        <f t="shared" ref="B151:B214" si="6">(YEAR(C151))</f>
        <v>2016</v>
      </c>
      <c r="C151">
        <f>+'staffing plan'!BK176</f>
        <v>42430</v>
      </c>
      <c r="D151" t="str">
        <f>'staffing plan'!A176</f>
        <v>OSEC-DILGB-LGOO5-972-1998</v>
      </c>
      <c r="E151" t="str">
        <f>+'staffing plan'!B176</f>
        <v>Local Government Operations Officer V</v>
      </c>
      <c r="F151">
        <f>+'staffing plan'!C176</f>
        <v>20</v>
      </c>
      <c r="G151" s="131">
        <f>+'staffing plan'!AH176</f>
        <v>613860</v>
      </c>
      <c r="H151" s="131">
        <f>+'staffing plan'!AI176</f>
        <v>613860</v>
      </c>
      <c r="I151" s="131">
        <f>+'staffing plan'!AJ176</f>
        <v>1</v>
      </c>
      <c r="J151" t="str">
        <f>+'staffing plan'!AW176</f>
        <v>ESTELON, Juvy Jane Dumapay</v>
      </c>
      <c r="K151" t="e">
        <f>+'staffing plan'!#REF!</f>
        <v>#REF!</v>
      </c>
      <c r="L151" t="e">
        <f>+'staffing plan'!#REF!</f>
        <v>#REF!</v>
      </c>
      <c r="M151" t="str">
        <f>+'staffing plan'!AX176</f>
        <v>Apayao</v>
      </c>
      <c r="N151" t="str">
        <f>+'staffing plan'!AY176</f>
        <v>F</v>
      </c>
      <c r="O151" s="145" t="e">
        <f>+'staffing plan'!#REF!</f>
        <v>#REF!</v>
      </c>
      <c r="P151" s="145" t="e">
        <f>+'staffing plan'!#REF!</f>
        <v>#REF!</v>
      </c>
      <c r="Q151" s="145" t="e">
        <f>+'staffing plan'!#REF!</f>
        <v>#REF!</v>
      </c>
      <c r="R151" t="str">
        <f>+'staffing plan'!BP176</f>
        <v>Shifting</v>
      </c>
      <c r="S151">
        <v>150</v>
      </c>
    </row>
    <row r="152" spans="2:19" hidden="1">
      <c r="B152">
        <f t="shared" si="6"/>
        <v>2017</v>
      </c>
      <c r="C152">
        <f>+'staffing plan'!BK144</f>
        <v>43070</v>
      </c>
      <c r="D152" t="str">
        <f>'staffing plan'!A144</f>
        <v>OSEC-DILGB-LGOO6-60-2017</v>
      </c>
      <c r="E152" t="str">
        <f>+'staffing plan'!B144</f>
        <v>Local Government Operations OFFICER VI</v>
      </c>
      <c r="F152">
        <f>+'staffing plan'!C144</f>
        <v>22</v>
      </c>
      <c r="G152" s="131">
        <f>+'staffing plan'!AH144</f>
        <v>783828</v>
      </c>
      <c r="H152" s="131">
        <f>+'staffing plan'!AI144</f>
        <v>783828</v>
      </c>
      <c r="I152" s="131">
        <f>+'staffing plan'!AJ144</f>
        <v>1</v>
      </c>
      <c r="J152" t="str">
        <f>+'staffing plan'!AW144</f>
        <v>GAYUDAN, Franchita Lucob</v>
      </c>
      <c r="K152" t="e">
        <f>+'staffing plan'!#REF!</f>
        <v>#REF!</v>
      </c>
      <c r="L152" t="e">
        <f>+'staffing plan'!#REF!</f>
        <v>#REF!</v>
      </c>
      <c r="M152" t="str">
        <f>+'staffing plan'!AX144</f>
        <v>Kalinga</v>
      </c>
      <c r="N152" t="str">
        <f>+'staffing plan'!AY144</f>
        <v>F</v>
      </c>
      <c r="O152" s="145" t="e">
        <f>+'staffing plan'!#REF!</f>
        <v>#REF!</v>
      </c>
      <c r="P152" s="145" t="e">
        <f>+'staffing plan'!#REF!</f>
        <v>#REF!</v>
      </c>
      <c r="Q152" s="145" t="e">
        <f>+'staffing plan'!#REF!</f>
        <v>#REF!</v>
      </c>
      <c r="R152" t="str">
        <f>+'staffing plan'!BP144</f>
        <v>Shifting</v>
      </c>
      <c r="S152">
        <v>151</v>
      </c>
    </row>
    <row r="153" spans="2:19" hidden="1">
      <c r="B153">
        <f t="shared" si="6"/>
        <v>2017</v>
      </c>
      <c r="C153">
        <f>+'staffing plan'!BK123</f>
        <v>43070</v>
      </c>
      <c r="D153" t="str">
        <f>'staffing plan'!A123</f>
        <v>OSEC-DILGB-LGOO6-39-2017</v>
      </c>
      <c r="E153" t="str">
        <f>+'staffing plan'!B123</f>
        <v>Local Government Operations Officer VI</v>
      </c>
      <c r="F153">
        <f>+'staffing plan'!C123</f>
        <v>22</v>
      </c>
      <c r="G153" s="131">
        <f>+'staffing plan'!AH123</f>
        <v>783828</v>
      </c>
      <c r="H153" s="131">
        <f>+'staffing plan'!AI123</f>
        <v>783828</v>
      </c>
      <c r="I153" s="131">
        <f>+'staffing plan'!AJ123</f>
        <v>1</v>
      </c>
      <c r="J153" t="str">
        <f>+'staffing plan'!AW123</f>
        <v>BEGTANG, Roderick Domingo</v>
      </c>
      <c r="K153" t="e">
        <f>+'staffing plan'!#REF!</f>
        <v>#REF!</v>
      </c>
      <c r="L153" t="e">
        <f>+'staffing plan'!#REF!</f>
        <v>#REF!</v>
      </c>
      <c r="M153" t="str">
        <f>+'staffing plan'!AX123</f>
        <v>Apayao</v>
      </c>
      <c r="N153" t="str">
        <f>+'staffing plan'!AY123</f>
        <v>M</v>
      </c>
      <c r="O153" s="145" t="e">
        <f>+'staffing plan'!#REF!</f>
        <v>#REF!</v>
      </c>
      <c r="P153" s="145" t="e">
        <f>+'staffing plan'!#REF!</f>
        <v>#REF!</v>
      </c>
      <c r="Q153" s="145" t="e">
        <f>+'staffing plan'!#REF!</f>
        <v>#REF!</v>
      </c>
      <c r="R153" t="str">
        <f>+'staffing plan'!BP123</f>
        <v>Shifting</v>
      </c>
      <c r="S153">
        <v>152</v>
      </c>
    </row>
    <row r="154" spans="2:19" hidden="1">
      <c r="B154">
        <f t="shared" si="6"/>
        <v>2007</v>
      </c>
      <c r="C154">
        <f>+'staffing plan'!BK177</f>
        <v>39170</v>
      </c>
      <c r="D154" t="str">
        <f>'staffing plan'!A177</f>
        <v>OSEC-DILGB-LGOO5-976-1998</v>
      </c>
      <c r="E154" t="str">
        <f>+'staffing plan'!B177</f>
        <v>Local Government Operations Officer V</v>
      </c>
      <c r="F154">
        <f>+'staffing plan'!C177</f>
        <v>20</v>
      </c>
      <c r="G154" s="131">
        <f>+'staffing plan'!AH177</f>
        <v>613860</v>
      </c>
      <c r="H154" s="131">
        <f>+'staffing plan'!AI177</f>
        <v>644400</v>
      </c>
      <c r="I154" s="131">
        <f>+'staffing plan'!AJ177</f>
        <v>4</v>
      </c>
      <c r="J154" t="str">
        <f>+'staffing plan'!AW177</f>
        <v>NEHYEBAN, Arellano Lestino</v>
      </c>
      <c r="K154" t="e">
        <f>+'staffing plan'!#REF!</f>
        <v>#REF!</v>
      </c>
      <c r="L154" t="e">
        <f>+'staffing plan'!#REF!</f>
        <v>#REF!</v>
      </c>
      <c r="M154" t="str">
        <f>+'staffing plan'!AX177</f>
        <v>Ifugao</v>
      </c>
      <c r="N154" t="str">
        <f>+'staffing plan'!AY177</f>
        <v>M</v>
      </c>
      <c r="O154" s="145" t="e">
        <f>+'staffing plan'!#REF!</f>
        <v>#REF!</v>
      </c>
      <c r="P154" s="145" t="e">
        <f>+'staffing plan'!#REF!</f>
        <v>#REF!</v>
      </c>
      <c r="Q154" s="145" t="e">
        <f>+'staffing plan'!#REF!</f>
        <v>#REF!</v>
      </c>
      <c r="R154">
        <f>+'staffing plan'!BP177</f>
        <v>0</v>
      </c>
      <c r="S154">
        <v>153</v>
      </c>
    </row>
    <row r="155" spans="2:19" hidden="1">
      <c r="B155">
        <f t="shared" si="6"/>
        <v>2017</v>
      </c>
      <c r="C155">
        <f>+'staffing plan'!BK134</f>
        <v>43087</v>
      </c>
      <c r="D155" t="str">
        <f>'staffing plan'!A134</f>
        <v>OSEC-DILGB-LGOO6-50-2017</v>
      </c>
      <c r="E155" t="str">
        <f>+'staffing plan'!B134</f>
        <v>Local Government Operations OFFICER VI</v>
      </c>
      <c r="F155">
        <f>+'staffing plan'!C134</f>
        <v>22</v>
      </c>
      <c r="G155" s="131">
        <f>+'staffing plan'!AH134</f>
        <v>783828</v>
      </c>
      <c r="H155" s="131">
        <f>+'staffing plan'!AI134</f>
        <v>783828</v>
      </c>
      <c r="I155" s="131">
        <f>+'staffing plan'!AJ134</f>
        <v>1</v>
      </c>
      <c r="J155" t="str">
        <f>+'staffing plan'!AW134</f>
        <v>APLOSEN, Roselle Nanglegan</v>
      </c>
      <c r="K155" t="e">
        <f>+'staffing plan'!#REF!</f>
        <v>#REF!</v>
      </c>
      <c r="L155" t="e">
        <f>+'staffing plan'!#REF!</f>
        <v>#REF!</v>
      </c>
      <c r="M155" t="str">
        <f>+'staffing plan'!AX134</f>
        <v>Ifugao</v>
      </c>
      <c r="N155" t="str">
        <f>+'staffing plan'!AY134</f>
        <v>F</v>
      </c>
      <c r="O155" s="145" t="e">
        <f>+'staffing plan'!#REF!</f>
        <v>#REF!</v>
      </c>
      <c r="P155" s="145" t="e">
        <f>+'staffing plan'!#REF!</f>
        <v>#REF!</v>
      </c>
      <c r="Q155" s="145" t="e">
        <f>+'staffing plan'!#REF!</f>
        <v>#REF!</v>
      </c>
      <c r="R155">
        <f>+'staffing plan'!BP134</f>
        <v>0</v>
      </c>
      <c r="S155">
        <v>154</v>
      </c>
    </row>
    <row r="156" spans="2:19" hidden="1">
      <c r="B156">
        <f t="shared" si="6"/>
        <v>2017</v>
      </c>
      <c r="C156">
        <f>+'staffing plan'!BK106</f>
        <v>43070</v>
      </c>
      <c r="D156" t="str">
        <f>'staffing plan'!A106</f>
        <v>OSEC-DILGB-LGOO6-22-2017</v>
      </c>
      <c r="E156" t="str">
        <f>+'staffing plan'!B106</f>
        <v>Local Government Operations Officer VI</v>
      </c>
      <c r="F156">
        <f>+'staffing plan'!C106</f>
        <v>22</v>
      </c>
      <c r="G156" s="131">
        <f>+'staffing plan'!AH106</f>
        <v>783828</v>
      </c>
      <c r="H156" s="131">
        <f>+'staffing plan'!AI106</f>
        <v>783828</v>
      </c>
      <c r="I156" s="131">
        <f>+'staffing plan'!AJ106</f>
        <v>1</v>
      </c>
      <c r="J156" t="str">
        <f>+'staffing plan'!AW106</f>
        <v>RULLAN, Dan Joel Suaya</v>
      </c>
      <c r="K156" t="e">
        <f>+'staffing plan'!#REF!</f>
        <v>#REF!</v>
      </c>
      <c r="L156" t="e">
        <f>+'staffing plan'!#REF!</f>
        <v>#REF!</v>
      </c>
      <c r="M156" t="str">
        <f>+'staffing plan'!AX106</f>
        <v>Abra</v>
      </c>
      <c r="N156" t="str">
        <f>+'staffing plan'!AY106</f>
        <v>M</v>
      </c>
      <c r="O156" s="145" t="e">
        <f>+'staffing plan'!#REF!</f>
        <v>#REF!</v>
      </c>
      <c r="P156" s="145" t="e">
        <f>+'staffing plan'!#REF!</f>
        <v>#REF!</v>
      </c>
      <c r="Q156" s="145" t="e">
        <f>+'staffing plan'!#REF!</f>
        <v>#REF!</v>
      </c>
      <c r="R156">
        <f>+'staffing plan'!BP106</f>
        <v>0</v>
      </c>
      <c r="S156">
        <v>155</v>
      </c>
    </row>
    <row r="157" spans="2:19" hidden="1">
      <c r="B157">
        <f t="shared" si="6"/>
        <v>2017</v>
      </c>
      <c r="C157">
        <f>+'staffing plan'!BK107</f>
        <v>43070</v>
      </c>
      <c r="D157" t="str">
        <f>'staffing plan'!A107</f>
        <v>OSEC-DILGB-LGOO6-23-2017</v>
      </c>
      <c r="E157" t="str">
        <f>+'staffing plan'!B107</f>
        <v>Local Government Operations Officer VI</v>
      </c>
      <c r="F157">
        <f>+'staffing plan'!C107</f>
        <v>22</v>
      </c>
      <c r="G157" s="131">
        <f>+'staffing plan'!AH107</f>
        <v>783828</v>
      </c>
      <c r="H157" s="131">
        <f>+'staffing plan'!AI107</f>
        <v>783828</v>
      </c>
      <c r="I157" s="131">
        <f>+'staffing plan'!AJ107</f>
        <v>1</v>
      </c>
      <c r="J157" t="str">
        <f>+'staffing plan'!AW107</f>
        <v>WACNANG, Dayan Salimbay</v>
      </c>
      <c r="K157" t="e">
        <f>+'staffing plan'!#REF!</f>
        <v>#REF!</v>
      </c>
      <c r="L157" t="e">
        <f>+'staffing plan'!#REF!</f>
        <v>#REF!</v>
      </c>
      <c r="M157" t="str">
        <f>+'staffing plan'!AX107</f>
        <v>Abra</v>
      </c>
      <c r="N157" t="str">
        <f>+'staffing plan'!AY107</f>
        <v>M</v>
      </c>
      <c r="O157" s="145" t="e">
        <f>+'staffing plan'!#REF!</f>
        <v>#REF!</v>
      </c>
      <c r="P157" s="145" t="e">
        <f>+'staffing plan'!#REF!</f>
        <v>#REF!</v>
      </c>
      <c r="Q157" s="145" t="e">
        <f>+'staffing plan'!#REF!</f>
        <v>#REF!</v>
      </c>
      <c r="R157">
        <f>+'staffing plan'!BP107</f>
        <v>0</v>
      </c>
      <c r="S157">
        <v>156</v>
      </c>
    </row>
    <row r="158" spans="2:19" hidden="1">
      <c r="B158">
        <f t="shared" si="6"/>
        <v>2017</v>
      </c>
      <c r="C158">
        <f>+'staffing plan'!BK108</f>
        <v>43070</v>
      </c>
      <c r="D158" t="str">
        <f>'staffing plan'!A108</f>
        <v>OSEC-DILGB-LGOO6-24-2017</v>
      </c>
      <c r="E158" t="str">
        <f>+'staffing plan'!B108</f>
        <v>Local Government Operations Officer VI</v>
      </c>
      <c r="F158">
        <f>+'staffing plan'!C108</f>
        <v>22</v>
      </c>
      <c r="G158" s="131">
        <f>+'staffing plan'!AH108</f>
        <v>783828</v>
      </c>
      <c r="H158" s="131">
        <f>+'staffing plan'!AI108</f>
        <v>783828</v>
      </c>
      <c r="I158" s="131">
        <f>+'staffing plan'!AJ108</f>
        <v>1</v>
      </c>
      <c r="J158" t="str">
        <f>+'staffing plan'!AW108</f>
        <v>MONREAL, Prescila Alzate</v>
      </c>
      <c r="K158" t="e">
        <f>+'staffing plan'!#REF!</f>
        <v>#REF!</v>
      </c>
      <c r="L158" t="e">
        <f>+'staffing plan'!#REF!</f>
        <v>#REF!</v>
      </c>
      <c r="M158" t="str">
        <f>+'staffing plan'!AX108</f>
        <v>Abra</v>
      </c>
      <c r="N158" t="str">
        <f>+'staffing plan'!AY108</f>
        <v>F</v>
      </c>
      <c r="O158" s="145" t="e">
        <f>+'staffing plan'!#REF!</f>
        <v>#REF!</v>
      </c>
      <c r="P158" s="145" t="e">
        <f>+'staffing plan'!#REF!</f>
        <v>#REF!</v>
      </c>
      <c r="Q158" s="145" t="e">
        <f>+'staffing plan'!#REF!</f>
        <v>#REF!</v>
      </c>
      <c r="R158">
        <f>+'staffing plan'!BP108</f>
        <v>0</v>
      </c>
      <c r="S158">
        <v>157</v>
      </c>
    </row>
    <row r="159" spans="2:19" hidden="1">
      <c r="B159">
        <f t="shared" si="6"/>
        <v>2017</v>
      </c>
      <c r="C159">
        <f>+'staffing plan'!BK124</f>
        <v>43070</v>
      </c>
      <c r="D159" t="str">
        <f>'staffing plan'!A124</f>
        <v>OSEC-DILGB-LGOO6-40-2017</v>
      </c>
      <c r="E159" t="str">
        <f>+'staffing plan'!B124</f>
        <v>Local Government Operations Officer VI</v>
      </c>
      <c r="F159">
        <f>+'staffing plan'!C124</f>
        <v>22</v>
      </c>
      <c r="G159" s="131">
        <f>+'staffing plan'!AH124</f>
        <v>783828</v>
      </c>
      <c r="H159" s="131">
        <f>+'staffing plan'!AI124</f>
        <v>783828</v>
      </c>
      <c r="I159" s="131">
        <f>+'staffing plan'!AJ124</f>
        <v>1</v>
      </c>
      <c r="J159" t="str">
        <f>+'staffing plan'!AW124</f>
        <v>MANACNIS, Euchols Plazo</v>
      </c>
      <c r="K159" t="e">
        <f>+'staffing plan'!#REF!</f>
        <v>#REF!</v>
      </c>
      <c r="L159" t="e">
        <f>+'staffing plan'!#REF!</f>
        <v>#REF!</v>
      </c>
      <c r="M159" t="str">
        <f>+'staffing plan'!AX124</f>
        <v>Benguet</v>
      </c>
      <c r="N159" t="str">
        <f>+'staffing plan'!AY124</f>
        <v>M</v>
      </c>
      <c r="O159" s="145" t="e">
        <f>+'staffing plan'!#REF!</f>
        <v>#REF!</v>
      </c>
      <c r="P159" s="145" t="e">
        <f>+'staffing plan'!#REF!</f>
        <v>#REF!</v>
      </c>
      <c r="Q159" s="145" t="e">
        <f>+'staffing plan'!#REF!</f>
        <v>#REF!</v>
      </c>
      <c r="R159" t="str">
        <f>+'staffing plan'!BP124</f>
        <v>Shifting</v>
      </c>
      <c r="S159">
        <v>158</v>
      </c>
    </row>
    <row r="160" spans="2:19" hidden="1">
      <c r="B160">
        <f t="shared" si="6"/>
        <v>2017</v>
      </c>
      <c r="C160">
        <f>+'staffing plan'!BK125</f>
        <v>43089</v>
      </c>
      <c r="D160" t="str">
        <f>'staffing plan'!A125</f>
        <v>OSEC-DILGB-LGOO6-41-2017</v>
      </c>
      <c r="E160" t="str">
        <f>+'staffing plan'!B125</f>
        <v>Local Government Operations Officer VI</v>
      </c>
      <c r="F160">
        <f>+'staffing plan'!C125</f>
        <v>22</v>
      </c>
      <c r="G160" s="131">
        <f>+'staffing plan'!AH125</f>
        <v>783828</v>
      </c>
      <c r="H160" s="131">
        <f>+'staffing plan'!AI125</f>
        <v>783828</v>
      </c>
      <c r="I160" s="131">
        <f>+'staffing plan'!AJ125</f>
        <v>1</v>
      </c>
      <c r="J160" t="str">
        <f>+'staffing plan'!AW125</f>
        <v>SAINGAN, Evelyn Mensi</v>
      </c>
      <c r="K160" t="e">
        <f>+'staffing plan'!#REF!</f>
        <v>#REF!</v>
      </c>
      <c r="L160" t="e">
        <f>+'staffing plan'!#REF!</f>
        <v>#REF!</v>
      </c>
      <c r="M160" t="str">
        <f>+'staffing plan'!AX125</f>
        <v>Benguet</v>
      </c>
      <c r="N160" t="str">
        <f>+'staffing plan'!AY125</f>
        <v>F</v>
      </c>
      <c r="O160" s="145" t="e">
        <f>+'staffing plan'!#REF!</f>
        <v>#REF!</v>
      </c>
      <c r="P160" s="145" t="e">
        <f>+'staffing plan'!#REF!</f>
        <v>#REF!</v>
      </c>
      <c r="Q160" s="145" t="e">
        <f>+'staffing plan'!#REF!</f>
        <v>#REF!</v>
      </c>
      <c r="R160" t="str">
        <f>+'staffing plan'!BP125</f>
        <v>Shifting</v>
      </c>
      <c r="S160">
        <v>159</v>
      </c>
    </row>
    <row r="161" spans="2:19" hidden="1">
      <c r="B161">
        <f t="shared" si="6"/>
        <v>2013</v>
      </c>
      <c r="C161">
        <f>+'staffing plan'!BK178</f>
        <v>41487</v>
      </c>
      <c r="D161" t="str">
        <f>'staffing plan'!A178</f>
        <v>OSEC-DILGB-LGOO5-983-1998</v>
      </c>
      <c r="E161" t="str">
        <f>+'staffing plan'!B178</f>
        <v>Local Government Operations Officer V</v>
      </c>
      <c r="F161">
        <f>+'staffing plan'!C178</f>
        <v>20</v>
      </c>
      <c r="G161" s="131">
        <f>+'staffing plan'!AH178</f>
        <v>613860</v>
      </c>
      <c r="H161" s="131">
        <f>+'staffing plan'!AI178</f>
        <v>623868</v>
      </c>
      <c r="I161" s="131">
        <f>+'staffing plan'!AJ178</f>
        <v>2</v>
      </c>
      <c r="J161" t="str">
        <f>+'staffing plan'!AW178</f>
        <v>GUMANGAN, Juliet Bugagon</v>
      </c>
      <c r="K161" t="e">
        <f>+'staffing plan'!#REF!</f>
        <v>#REF!</v>
      </c>
      <c r="L161" t="e">
        <f>+'staffing plan'!#REF!</f>
        <v>#REF!</v>
      </c>
      <c r="M161" t="str">
        <f>+'staffing plan'!AX178</f>
        <v>Benguet</v>
      </c>
      <c r="N161" t="str">
        <f>+'staffing plan'!AY178</f>
        <v>F</v>
      </c>
      <c r="O161" s="145" t="e">
        <f>+'staffing plan'!#REF!</f>
        <v>#REF!</v>
      </c>
      <c r="P161" s="145" t="e">
        <f>+'staffing plan'!#REF!</f>
        <v>#REF!</v>
      </c>
      <c r="Q161" s="145" t="e">
        <f>+'staffing plan'!#REF!</f>
        <v>#REF!</v>
      </c>
      <c r="R161">
        <f>+'staffing plan'!BP178</f>
        <v>0</v>
      </c>
      <c r="S161">
        <v>160</v>
      </c>
    </row>
    <row r="162" spans="2:19" hidden="1">
      <c r="B162">
        <f t="shared" si="6"/>
        <v>2017</v>
      </c>
      <c r="C162">
        <f>+'staffing plan'!BK152</f>
        <v>43070</v>
      </c>
      <c r="D162" t="str">
        <f>'staffing plan'!A152</f>
        <v>OSEC-DILGB-LGOO6-68-2017</v>
      </c>
      <c r="E162" t="str">
        <f>+'staffing plan'!B152</f>
        <v>Local Government Operations Officer VI</v>
      </c>
      <c r="F162">
        <f>+'staffing plan'!C152</f>
        <v>22</v>
      </c>
      <c r="G162" s="131">
        <f>+'staffing plan'!AH152</f>
        <v>783828</v>
      </c>
      <c r="H162" s="131">
        <f>+'staffing plan'!AI152</f>
        <v>783828</v>
      </c>
      <c r="I162" s="131">
        <f>+'staffing plan'!AJ152</f>
        <v>1</v>
      </c>
      <c r="J162" t="str">
        <f>+'staffing plan'!AW152</f>
        <v>GUIAWAN, Maria Addalay</v>
      </c>
      <c r="K162" t="e">
        <f>+'staffing plan'!#REF!</f>
        <v>#REF!</v>
      </c>
      <c r="L162" t="e">
        <f>+'staffing plan'!#REF!</f>
        <v>#REF!</v>
      </c>
      <c r="M162" t="str">
        <f>+'staffing plan'!AX152</f>
        <v>Mt. Province</v>
      </c>
      <c r="N162" t="str">
        <f>+'staffing plan'!AY152</f>
        <v>F</v>
      </c>
      <c r="O162" s="145" t="e">
        <f>+'staffing plan'!#REF!</f>
        <v>#REF!</v>
      </c>
      <c r="P162" s="145" t="e">
        <f>+'staffing plan'!#REF!</f>
        <v>#REF!</v>
      </c>
      <c r="Q162" s="145" t="e">
        <f>+'staffing plan'!#REF!</f>
        <v>#REF!</v>
      </c>
      <c r="R162" t="str">
        <f>+'staffing plan'!BP152</f>
        <v>Shifting</v>
      </c>
      <c r="S162">
        <v>161</v>
      </c>
    </row>
    <row r="163" spans="2:19" hidden="1">
      <c r="B163">
        <f t="shared" si="6"/>
        <v>2018</v>
      </c>
      <c r="C163">
        <f>+'staffing plan'!BK158</f>
        <v>43109</v>
      </c>
      <c r="D163" t="str">
        <f>'staffing plan'!A158</f>
        <v>OSEC-DILGB-LGOO6-74-2017</v>
      </c>
      <c r="E163" t="str">
        <f>+'staffing plan'!B158</f>
        <v>Local Government Operations Officer VI</v>
      </c>
      <c r="F163">
        <f>+'staffing plan'!C158</f>
        <v>22</v>
      </c>
      <c r="G163" s="131">
        <f>+'staffing plan'!AH158</f>
        <v>783828</v>
      </c>
      <c r="H163" s="131">
        <f>+'staffing plan'!AI158</f>
        <v>783828</v>
      </c>
      <c r="I163" s="131">
        <f>+'staffing plan'!AJ158</f>
        <v>1</v>
      </c>
      <c r="J163" t="str">
        <f>+'staffing plan'!AW158</f>
        <v>FIAR-OD, Ray Bomas-ang</v>
      </c>
      <c r="K163" t="e">
        <f>+'staffing plan'!#REF!</f>
        <v>#REF!</v>
      </c>
      <c r="L163" t="e">
        <f>+'staffing plan'!#REF!</f>
        <v>#REF!</v>
      </c>
      <c r="M163" t="str">
        <f>+'staffing plan'!AX158</f>
        <v>Mt. Province</v>
      </c>
      <c r="N163" t="str">
        <f>+'staffing plan'!AY158</f>
        <v>M</v>
      </c>
      <c r="O163" s="145" t="e">
        <f>+'staffing plan'!#REF!</f>
        <v>#REF!</v>
      </c>
      <c r="P163" s="145" t="e">
        <f>+'staffing plan'!#REF!</f>
        <v>#REF!</v>
      </c>
      <c r="Q163" s="145" t="e">
        <f>+'staffing plan'!#REF!</f>
        <v>#REF!</v>
      </c>
      <c r="R163" t="str">
        <f>+'staffing plan'!BP158</f>
        <v>Promotion</v>
      </c>
      <c r="S163">
        <v>162</v>
      </c>
    </row>
    <row r="164" spans="2:19" hidden="1">
      <c r="B164">
        <f t="shared" si="6"/>
        <v>2017</v>
      </c>
      <c r="C164">
        <f>+'staffing plan'!BK153</f>
        <v>43070</v>
      </c>
      <c r="D164" t="str">
        <f>'staffing plan'!A153</f>
        <v>OSEC-DILGB-LGOO6-69-2017</v>
      </c>
      <c r="E164" t="str">
        <f>+'staffing plan'!B153</f>
        <v>Local Government Operations Officer VI</v>
      </c>
      <c r="F164">
        <f>+'staffing plan'!C153</f>
        <v>22</v>
      </c>
      <c r="G164" s="131">
        <f>+'staffing plan'!AH153</f>
        <v>783828</v>
      </c>
      <c r="H164" s="131">
        <f>+'staffing plan'!AI153</f>
        <v>783828</v>
      </c>
      <c r="I164" s="131">
        <f>+'staffing plan'!AJ153</f>
        <v>1</v>
      </c>
      <c r="J164" t="str">
        <f>+'staffing plan'!AW153</f>
        <v>BASILIO, Caridad  Ballang</v>
      </c>
      <c r="K164" t="e">
        <f>+'staffing plan'!#REF!</f>
        <v>#REF!</v>
      </c>
      <c r="L164" t="e">
        <f>+'staffing plan'!#REF!</f>
        <v>#REF!</v>
      </c>
      <c r="M164" t="str">
        <f>+'staffing plan'!AX153</f>
        <v>Mt. Province</v>
      </c>
      <c r="N164" t="str">
        <f>+'staffing plan'!AY153</f>
        <v>F</v>
      </c>
      <c r="O164" s="145" t="e">
        <f>+'staffing plan'!#REF!</f>
        <v>#REF!</v>
      </c>
      <c r="P164" s="145" t="e">
        <f>+'staffing plan'!#REF!</f>
        <v>#REF!</v>
      </c>
      <c r="Q164" s="145" t="e">
        <f>+'staffing plan'!#REF!</f>
        <v>#REF!</v>
      </c>
      <c r="R164">
        <f>+'staffing plan'!BP153</f>
        <v>0</v>
      </c>
      <c r="S164">
        <v>163</v>
      </c>
    </row>
    <row r="165" spans="2:19" hidden="1">
      <c r="B165">
        <f t="shared" si="6"/>
        <v>2017</v>
      </c>
      <c r="C165">
        <f>+'staffing plan'!BK135</f>
        <v>43070</v>
      </c>
      <c r="D165" t="str">
        <f>'staffing plan'!A135</f>
        <v>OSEC-DILGB-LGOO6-51-2017</v>
      </c>
      <c r="E165" t="str">
        <f>+'staffing plan'!B135</f>
        <v>Local Government Operations OFFICER VI</v>
      </c>
      <c r="F165">
        <f>+'staffing plan'!C135</f>
        <v>22</v>
      </c>
      <c r="G165" s="131">
        <f>+'staffing plan'!AH135</f>
        <v>783828</v>
      </c>
      <c r="H165" s="131">
        <f>+'staffing plan'!AI135</f>
        <v>783828</v>
      </c>
      <c r="I165" s="131">
        <f>+'staffing plan'!AJ135</f>
        <v>1</v>
      </c>
      <c r="J165" t="str">
        <f>+'staffing plan'!AW135</f>
        <v>UMALCO, Wilbert Mayam-o</v>
      </c>
      <c r="K165" t="e">
        <f>+'staffing plan'!#REF!</f>
        <v>#REF!</v>
      </c>
      <c r="L165" t="e">
        <f>+'staffing plan'!#REF!</f>
        <v>#REF!</v>
      </c>
      <c r="M165" t="str">
        <f>+'staffing plan'!AX135</f>
        <v>Ifugao</v>
      </c>
      <c r="N165" t="str">
        <f>+'staffing plan'!AY135</f>
        <v>M</v>
      </c>
      <c r="O165" s="145" t="e">
        <f>+'staffing plan'!#REF!</f>
        <v>#REF!</v>
      </c>
      <c r="P165" s="145" t="e">
        <f>+'staffing plan'!#REF!</f>
        <v>#REF!</v>
      </c>
      <c r="Q165" s="145" t="e">
        <f>+'staffing plan'!#REF!</f>
        <v>#REF!</v>
      </c>
      <c r="R165">
        <f>+'staffing plan'!BP135</f>
        <v>0</v>
      </c>
      <c r="S165">
        <v>164</v>
      </c>
    </row>
    <row r="166" spans="2:19" hidden="1">
      <c r="B166">
        <f t="shared" si="6"/>
        <v>2017</v>
      </c>
      <c r="C166">
        <f>+'staffing plan'!BK136</f>
        <v>43070</v>
      </c>
      <c r="D166" t="str">
        <f>'staffing plan'!A136</f>
        <v>OSEC-DILGB-LGOO6-52-2017</v>
      </c>
      <c r="E166" t="str">
        <f>+'staffing plan'!B136</f>
        <v>Local Government Operations OFFICER VI</v>
      </c>
      <c r="F166">
        <f>+'staffing plan'!C136</f>
        <v>22</v>
      </c>
      <c r="G166" s="131">
        <f>+'staffing plan'!AH136</f>
        <v>783828</v>
      </c>
      <c r="H166" s="131">
        <f>+'staffing plan'!AI136</f>
        <v>783828</v>
      </c>
      <c r="I166" s="131">
        <f>+'staffing plan'!AJ136</f>
        <v>1</v>
      </c>
      <c r="J166" t="str">
        <f>+'staffing plan'!AW136</f>
        <v>LINDAWAN, Gilbert Nayahangan</v>
      </c>
      <c r="K166" t="e">
        <f>+'staffing plan'!#REF!</f>
        <v>#REF!</v>
      </c>
      <c r="L166" t="e">
        <f>+'staffing plan'!#REF!</f>
        <v>#REF!</v>
      </c>
      <c r="M166" t="str">
        <f>+'staffing plan'!AX136</f>
        <v>Ifugao</v>
      </c>
      <c r="N166" t="str">
        <f>+'staffing plan'!AY136</f>
        <v>M</v>
      </c>
      <c r="O166" s="145" t="e">
        <f>+'staffing plan'!#REF!</f>
        <v>#REF!</v>
      </c>
      <c r="P166" s="145" t="e">
        <f>+'staffing plan'!#REF!</f>
        <v>#REF!</v>
      </c>
      <c r="Q166" s="145" t="e">
        <f>+'staffing plan'!#REF!</f>
        <v>#REF!</v>
      </c>
      <c r="R166">
        <f>+'staffing plan'!BP136</f>
        <v>0</v>
      </c>
      <c r="S166">
        <v>165</v>
      </c>
    </row>
    <row r="167" spans="2:19" hidden="1">
      <c r="B167">
        <f t="shared" si="6"/>
        <v>2017</v>
      </c>
      <c r="C167">
        <f>+'staffing plan'!BK137</f>
        <v>43070</v>
      </c>
      <c r="D167" t="str">
        <f>'staffing plan'!A137</f>
        <v>OSEC-DILGB-LGOO6-53-2017</v>
      </c>
      <c r="E167" t="str">
        <f>+'staffing plan'!B137</f>
        <v>Local Government Operations OFFICER VI</v>
      </c>
      <c r="F167">
        <f>+'staffing plan'!C137</f>
        <v>22</v>
      </c>
      <c r="G167" s="131">
        <f>+'staffing plan'!AH137</f>
        <v>783828</v>
      </c>
      <c r="H167" s="131">
        <f>+'staffing plan'!AI137</f>
        <v>783828</v>
      </c>
      <c r="I167" s="131">
        <f>+'staffing plan'!AJ137</f>
        <v>1</v>
      </c>
      <c r="J167" t="str">
        <f>+'staffing plan'!AW137</f>
        <v>MARCAIDA, Linda Himoldang</v>
      </c>
      <c r="K167" t="e">
        <f>+'staffing plan'!#REF!</f>
        <v>#REF!</v>
      </c>
      <c r="L167" t="e">
        <f>+'staffing plan'!#REF!</f>
        <v>#REF!</v>
      </c>
      <c r="M167" t="str">
        <f>+'staffing plan'!AX137</f>
        <v>Ifugao</v>
      </c>
      <c r="N167" t="str">
        <f>+'staffing plan'!AY137</f>
        <v>F</v>
      </c>
      <c r="O167" s="145" t="e">
        <f>+'staffing plan'!#REF!</f>
        <v>#REF!</v>
      </c>
      <c r="P167" s="145" t="e">
        <f>+'staffing plan'!#REF!</f>
        <v>#REF!</v>
      </c>
      <c r="Q167" s="145" t="e">
        <f>+'staffing plan'!#REF!</f>
        <v>#REF!</v>
      </c>
      <c r="R167">
        <f>+'staffing plan'!BP137</f>
        <v>0</v>
      </c>
      <c r="S167">
        <v>166</v>
      </c>
    </row>
    <row r="168" spans="2:19" hidden="1">
      <c r="B168" t="e">
        <f t="shared" si="6"/>
        <v>#REF!</v>
      </c>
      <c r="C168" t="e">
        <f>+'staffing plan'!#REF!</f>
        <v>#REF!</v>
      </c>
      <c r="D168" t="str">
        <f>'staffing plan'!A179</f>
        <v>OSEC-DILGB-LGOO5-991-1998</v>
      </c>
      <c r="E168" t="str">
        <f>+'staffing plan'!B179</f>
        <v>Local Government Operations Officer V</v>
      </c>
      <c r="F168">
        <f>+'staffing plan'!C179</f>
        <v>20</v>
      </c>
      <c r="G168" s="131">
        <f>+'staffing plan'!AH179</f>
        <v>613860</v>
      </c>
      <c r="H168" s="131">
        <f>+'staffing plan'!AI179</f>
        <v>0</v>
      </c>
      <c r="I168" s="131">
        <f>+'staffing plan'!AJ179</f>
        <v>0</v>
      </c>
      <c r="J168" t="str">
        <f>+'staffing plan'!AW179</f>
        <v xml:space="preserve">Vacant CHUNANON,  </v>
      </c>
      <c r="K168" t="e">
        <f>+'staffing plan'!#REF!</f>
        <v>#REF!</v>
      </c>
      <c r="L168" t="e">
        <f>+'staffing plan'!#REF!</f>
        <v>#REF!</v>
      </c>
      <c r="M168" t="e">
        <f>+'staffing plan'!#REF!</f>
        <v>#REF!</v>
      </c>
      <c r="N168" t="e">
        <f>+'staffing plan'!#REF!</f>
        <v>#REF!</v>
      </c>
      <c r="O168" s="145" t="e">
        <f>+'staffing plan'!#REF!</f>
        <v>#REF!</v>
      </c>
      <c r="P168" s="145" t="e">
        <f>+'staffing plan'!#REF!</f>
        <v>#REF!</v>
      </c>
      <c r="Q168" s="145" t="e">
        <f>+'staffing plan'!#REF!</f>
        <v>#REF!</v>
      </c>
      <c r="R168">
        <f>+'staffing plan'!BP179</f>
        <v>0</v>
      </c>
      <c r="S168">
        <v>167</v>
      </c>
    </row>
    <row r="169" spans="2:19" hidden="1">
      <c r="B169">
        <f t="shared" si="6"/>
        <v>2018</v>
      </c>
      <c r="C169">
        <f>+'staffing plan'!BK126</f>
        <v>43103</v>
      </c>
      <c r="D169" t="str">
        <f>'staffing plan'!A126</f>
        <v>OSEC-DILGB-LGOO6-42-2017</v>
      </c>
      <c r="E169" t="str">
        <f>+'staffing plan'!B126</f>
        <v>Local Government Operations Officer VI</v>
      </c>
      <c r="F169">
        <f>+'staffing plan'!C126</f>
        <v>22</v>
      </c>
      <c r="G169" s="131">
        <f>+'staffing plan'!AH126</f>
        <v>783828</v>
      </c>
      <c r="H169" s="131">
        <f>+'staffing plan'!AI126</f>
        <v>783828</v>
      </c>
      <c r="I169" s="131">
        <f>+'staffing plan'!AJ126</f>
        <v>1</v>
      </c>
      <c r="J169" t="str">
        <f>+'staffing plan'!AW126</f>
        <v>CENU, Merina Bagasol</v>
      </c>
      <c r="K169" t="e">
        <f>+'staffing plan'!#REF!</f>
        <v>#REF!</v>
      </c>
      <c r="L169" t="e">
        <f>+'staffing plan'!#REF!</f>
        <v>#REF!</v>
      </c>
      <c r="M169" t="str">
        <f>+'staffing plan'!AX126</f>
        <v>Apayao</v>
      </c>
      <c r="N169" t="str">
        <f>+'staffing plan'!AY126</f>
        <v>F</v>
      </c>
      <c r="O169" s="145" t="e">
        <f>+'staffing plan'!#REF!</f>
        <v>#REF!</v>
      </c>
      <c r="P169" s="145" t="e">
        <f>+'staffing plan'!#REF!</f>
        <v>#REF!</v>
      </c>
      <c r="Q169" s="145" t="e">
        <f>+'staffing plan'!#REF!</f>
        <v>#REF!</v>
      </c>
      <c r="R169" t="str">
        <f>+'staffing plan'!BP126</f>
        <v>Shifting</v>
      </c>
      <c r="S169">
        <v>168</v>
      </c>
    </row>
    <row r="170" spans="2:19" hidden="1">
      <c r="B170">
        <f t="shared" si="6"/>
        <v>2014</v>
      </c>
      <c r="C170">
        <f>+'staffing plan'!BK180</f>
        <v>41869</v>
      </c>
      <c r="D170" t="str">
        <f>'staffing plan'!A180</f>
        <v>OSEC-DILGB-LGOO5-993-1998</v>
      </c>
      <c r="E170" t="str">
        <f>+'staffing plan'!B180</f>
        <v>Local Government Operations Officer V</v>
      </c>
      <c r="F170">
        <f>+'staffing plan'!C180</f>
        <v>20</v>
      </c>
      <c r="G170" s="131">
        <f>+'staffing plan'!AH180</f>
        <v>613860</v>
      </c>
      <c r="H170" s="131">
        <f>+'staffing plan'!AI180</f>
        <v>623868</v>
      </c>
      <c r="I170" s="131">
        <f>+'staffing plan'!AJ180</f>
        <v>2</v>
      </c>
      <c r="J170" t="str">
        <f>+'staffing plan'!AW180</f>
        <v>ALVAREZ, Kristoffer Dave Rigonan</v>
      </c>
      <c r="K170" t="e">
        <f>+'staffing plan'!#REF!</f>
        <v>#REF!</v>
      </c>
      <c r="L170" t="e">
        <f>+'staffing plan'!#REF!</f>
        <v>#REF!</v>
      </c>
      <c r="M170" t="str">
        <f>+'staffing plan'!AX180</f>
        <v>Apayao</v>
      </c>
      <c r="N170" t="str">
        <f>+'staffing plan'!AY180</f>
        <v>M</v>
      </c>
      <c r="O170" s="145" t="e">
        <f>+'staffing plan'!#REF!</f>
        <v>#REF!</v>
      </c>
      <c r="P170" s="145" t="e">
        <f>+'staffing plan'!#REF!</f>
        <v>#REF!</v>
      </c>
      <c r="Q170" s="145" t="e">
        <f>+'staffing plan'!#REF!</f>
        <v>#REF!</v>
      </c>
      <c r="R170" t="str">
        <f>+'staffing plan'!BP180</f>
        <v>Shifting</v>
      </c>
      <c r="S170">
        <v>169</v>
      </c>
    </row>
    <row r="171" spans="2:19">
      <c r="B171">
        <f t="shared" si="6"/>
        <v>2018</v>
      </c>
      <c r="C171">
        <f>+'staffing plan'!BK181</f>
        <v>43168</v>
      </c>
      <c r="D171" t="str">
        <f>'staffing plan'!A181</f>
        <v>OSEC-DILGB-LGOO3-129-1998</v>
      </c>
      <c r="E171" t="str">
        <f>+'staffing plan'!B181</f>
        <v>Local Government Operations Officer III</v>
      </c>
      <c r="F171">
        <f>+'staffing plan'!C181</f>
        <v>15</v>
      </c>
      <c r="G171" s="131">
        <f>+'staffing plan'!AH181</f>
        <v>366372</v>
      </c>
      <c r="H171" s="131">
        <f>+'staffing plan'!AI181</f>
        <v>366372</v>
      </c>
      <c r="I171" s="131">
        <f>+'staffing plan'!AJ181</f>
        <v>1</v>
      </c>
      <c r="J171" t="str">
        <f>+'staffing plan'!AW181</f>
        <v>DUMALSIN, Joan-Ana Jacinto</v>
      </c>
      <c r="K171" t="e">
        <f>+'staffing plan'!#REF!</f>
        <v>#REF!</v>
      </c>
      <c r="L171" t="e">
        <f>+'staffing plan'!#REF!</f>
        <v>#REF!</v>
      </c>
      <c r="M171" t="str">
        <f>+'staffing plan'!AX181</f>
        <v>Baguio City</v>
      </c>
      <c r="N171" t="str">
        <f>+'staffing plan'!AY181</f>
        <v>F</v>
      </c>
      <c r="O171" s="145" t="e">
        <f>+'staffing plan'!#REF!</f>
        <v>#REF!</v>
      </c>
      <c r="P171" s="145" t="e">
        <f>+'staffing plan'!#REF!</f>
        <v>#REF!</v>
      </c>
      <c r="Q171" s="145" t="e">
        <f>+'staffing plan'!#REF!</f>
        <v>#REF!</v>
      </c>
      <c r="R171">
        <f>+'staffing plan'!BP181</f>
        <v>0</v>
      </c>
      <c r="S171">
        <v>170</v>
      </c>
    </row>
    <row r="172" spans="2:19">
      <c r="B172">
        <f t="shared" si="6"/>
        <v>2019</v>
      </c>
      <c r="C172">
        <f>+'staffing plan'!BK182</f>
        <v>43497</v>
      </c>
      <c r="D172" t="str">
        <f>'staffing plan'!A182</f>
        <v>OSEC-DILGB-LGOO3-130-1998</v>
      </c>
      <c r="E172" t="str">
        <f>+'staffing plan'!B182</f>
        <v>Local Government Operations Officer III</v>
      </c>
      <c r="F172">
        <f>+'staffing plan'!C182</f>
        <v>15</v>
      </c>
      <c r="G172" s="131">
        <f>+'staffing plan'!AH182</f>
        <v>366372</v>
      </c>
      <c r="H172" s="131">
        <f>+'staffing plan'!AI182</f>
        <v>366372</v>
      </c>
      <c r="I172" s="131">
        <f>+'staffing plan'!AJ182</f>
        <v>1</v>
      </c>
      <c r="J172" t="str">
        <f>+'staffing plan'!AW182</f>
        <v>GAYASO, Jereille Decoran</v>
      </c>
      <c r="K172" t="e">
        <f>+'staffing plan'!#REF!</f>
        <v>#REF!</v>
      </c>
      <c r="L172" t="e">
        <f>+'staffing plan'!#REF!</f>
        <v>#REF!</v>
      </c>
      <c r="M172" t="str">
        <f>+'staffing plan'!AX182</f>
        <v>Baguio City</v>
      </c>
      <c r="N172" t="str">
        <f>+'staffing plan'!AY182</f>
        <v>M</v>
      </c>
      <c r="O172" s="145" t="e">
        <f>+'staffing plan'!#REF!</f>
        <v>#REF!</v>
      </c>
      <c r="P172" s="145" t="e">
        <f>+'staffing plan'!#REF!</f>
        <v>#REF!</v>
      </c>
      <c r="Q172" s="145" t="e">
        <f>+'staffing plan'!#REF!</f>
        <v>#REF!</v>
      </c>
      <c r="R172">
        <f>+'staffing plan'!BP182</f>
        <v>0</v>
      </c>
      <c r="S172">
        <v>171</v>
      </c>
    </row>
    <row r="173" spans="2:19" hidden="1">
      <c r="B173">
        <f t="shared" si="6"/>
        <v>2019</v>
      </c>
      <c r="C173">
        <f>+'staffing plan'!BK183</f>
        <v>43515</v>
      </c>
      <c r="D173" t="str">
        <f>'staffing plan'!A183</f>
        <v>OSEC-DILGB-LGOO3-131-1998</v>
      </c>
      <c r="E173" t="str">
        <f>+'staffing plan'!B183</f>
        <v>Local Government Operations Officer III</v>
      </c>
      <c r="F173">
        <f>+'staffing plan'!C183</f>
        <v>15</v>
      </c>
      <c r="G173" s="131">
        <f>+'staffing plan'!AH183</f>
        <v>366372</v>
      </c>
      <c r="H173" s="131">
        <f>+'staffing plan'!AI183</f>
        <v>366372</v>
      </c>
      <c r="I173" s="131">
        <f>+'staffing plan'!AJ183</f>
        <v>1</v>
      </c>
      <c r="J173" t="str">
        <f>+'staffing plan'!AW183</f>
        <v>BURAGA, Shaquile Laniog</v>
      </c>
      <c r="K173" t="e">
        <f>+'staffing plan'!#REF!</f>
        <v>#REF!</v>
      </c>
      <c r="L173" t="e">
        <f>+'staffing plan'!#REF!</f>
        <v>#REF!</v>
      </c>
      <c r="M173" t="str">
        <f>+'staffing plan'!AX183</f>
        <v>Baguio City</v>
      </c>
      <c r="N173" t="str">
        <f>+'staffing plan'!AY183</f>
        <v>M</v>
      </c>
      <c r="O173" s="145" t="e">
        <f>+'staffing plan'!#REF!</f>
        <v>#REF!</v>
      </c>
      <c r="P173" s="145" t="e">
        <f>+'staffing plan'!#REF!</f>
        <v>#REF!</v>
      </c>
      <c r="Q173" s="145" t="e">
        <f>+'staffing plan'!#REF!</f>
        <v>#REF!</v>
      </c>
      <c r="R173">
        <f>+'staffing plan'!BP183</f>
        <v>0</v>
      </c>
      <c r="S173">
        <v>172</v>
      </c>
    </row>
    <row r="174" spans="2:19" hidden="1">
      <c r="B174">
        <f t="shared" si="6"/>
        <v>2018</v>
      </c>
      <c r="C174">
        <f>+'staffing plan'!BK184</f>
        <v>43168</v>
      </c>
      <c r="D174" t="str">
        <f>'staffing plan'!A184</f>
        <v>OSEC-DILGB-LGOO3-241-2010</v>
      </c>
      <c r="E174" t="str">
        <f>+'staffing plan'!B184</f>
        <v>Local Government Operations Officer III</v>
      </c>
      <c r="F174">
        <f>+'staffing plan'!C184</f>
        <v>15</v>
      </c>
      <c r="G174" s="131">
        <f>+'staffing plan'!AH184</f>
        <v>366372</v>
      </c>
      <c r="H174" s="131">
        <f>+'staffing plan'!AI184</f>
        <v>366372</v>
      </c>
      <c r="I174" s="131">
        <f>+'staffing plan'!AJ184</f>
        <v>1</v>
      </c>
      <c r="J174" t="str">
        <f>+'staffing plan'!AW184</f>
        <v>DOGUI-IS, Thyrza Shoey Leusen</v>
      </c>
      <c r="K174" t="e">
        <f>+'staffing plan'!#REF!</f>
        <v>#REF!</v>
      </c>
      <c r="L174" t="e">
        <f>+'staffing plan'!#REF!</f>
        <v>#REF!</v>
      </c>
      <c r="M174" t="str">
        <f>+'staffing plan'!AX184</f>
        <v>Kalinga</v>
      </c>
      <c r="N174" t="str">
        <f>+'staffing plan'!AY184</f>
        <v>F</v>
      </c>
      <c r="O174" s="145" t="e">
        <f>+'staffing plan'!#REF!</f>
        <v>#REF!</v>
      </c>
      <c r="P174" s="145" t="e">
        <f>+'staffing plan'!#REF!</f>
        <v>#REF!</v>
      </c>
      <c r="Q174" s="145" t="e">
        <f>+'staffing plan'!#REF!</f>
        <v>#REF!</v>
      </c>
      <c r="R174">
        <f>+'staffing plan'!BP184</f>
        <v>0</v>
      </c>
      <c r="S174">
        <v>173</v>
      </c>
    </row>
    <row r="175" spans="2:19" hidden="1">
      <c r="B175">
        <f t="shared" si="6"/>
        <v>2014</v>
      </c>
      <c r="C175">
        <f>+'staffing plan'!BK185</f>
        <v>41927</v>
      </c>
      <c r="D175" t="str">
        <f>'staffing plan'!A185</f>
        <v>OSEC-DILGB-LGOO2-6-1998</v>
      </c>
      <c r="E175" t="str">
        <f>+'staffing plan'!B185</f>
        <v>Local Government Operations Officer II</v>
      </c>
      <c r="F175">
        <f>+'staffing plan'!C185</f>
        <v>13</v>
      </c>
      <c r="G175" s="131">
        <f>+'staffing plan'!AH185</f>
        <v>302784</v>
      </c>
      <c r="H175" s="131">
        <f>+'staffing plan'!AI185</f>
        <v>306540</v>
      </c>
      <c r="I175" s="131">
        <f>+'staffing plan'!AJ185</f>
        <v>2</v>
      </c>
      <c r="J175" t="str">
        <f>+'staffing plan'!AW185</f>
        <v>LAYUGAN, Elizabeth Barros</v>
      </c>
      <c r="K175" t="e">
        <f>+'staffing plan'!#REF!</f>
        <v>#REF!</v>
      </c>
      <c r="L175" t="e">
        <f>+'staffing plan'!#REF!</f>
        <v>#REF!</v>
      </c>
      <c r="M175" t="str">
        <f>+'staffing plan'!AX185</f>
        <v>Abra</v>
      </c>
      <c r="N175" t="str">
        <f>+'staffing plan'!AY185</f>
        <v>F</v>
      </c>
      <c r="O175" s="145" t="e">
        <f>+'staffing plan'!#REF!</f>
        <v>#REF!</v>
      </c>
      <c r="P175" s="145" t="e">
        <f>+'staffing plan'!#REF!</f>
        <v>#REF!</v>
      </c>
      <c r="Q175" s="145" t="e">
        <f>+'staffing plan'!#REF!</f>
        <v>#REF!</v>
      </c>
      <c r="R175">
        <f>+'staffing plan'!BP185</f>
        <v>0</v>
      </c>
      <c r="S175">
        <v>174</v>
      </c>
    </row>
    <row r="176" spans="2:19" hidden="1">
      <c r="B176">
        <f t="shared" si="6"/>
        <v>2018</v>
      </c>
      <c r="C176">
        <f>+'staffing plan'!BK186</f>
        <v>43395</v>
      </c>
      <c r="D176" t="str">
        <f>'staffing plan'!A186</f>
        <v>OSEC-DILGB-LGOO2-7-1998</v>
      </c>
      <c r="E176" t="str">
        <f>+'staffing plan'!B186</f>
        <v>Local Government Operations Officer II</v>
      </c>
      <c r="F176">
        <f>+'staffing plan'!C186</f>
        <v>13</v>
      </c>
      <c r="G176" s="131">
        <f>+'staffing plan'!AH186</f>
        <v>302784</v>
      </c>
      <c r="H176" s="131">
        <f>+'staffing plan'!AI186</f>
        <v>302784</v>
      </c>
      <c r="I176" s="131">
        <f>+'staffing plan'!AJ186</f>
        <v>1</v>
      </c>
      <c r="J176" t="str">
        <f>+'staffing plan'!AW186</f>
        <v>ATUAN, Valentine Lugawe</v>
      </c>
      <c r="K176" t="e">
        <f>+'staffing plan'!#REF!</f>
        <v>#REF!</v>
      </c>
      <c r="L176" t="e">
        <f>+'staffing plan'!#REF!</f>
        <v>#REF!</v>
      </c>
      <c r="M176" t="str">
        <f>+'staffing plan'!AX186</f>
        <v>Ifugao</v>
      </c>
      <c r="N176" t="str">
        <f>+'staffing plan'!AY186</f>
        <v>M</v>
      </c>
      <c r="O176" s="145" t="e">
        <f>+'staffing plan'!#REF!</f>
        <v>#REF!</v>
      </c>
      <c r="P176" s="145" t="e">
        <f>+'staffing plan'!#REF!</f>
        <v>#REF!</v>
      </c>
      <c r="Q176" s="145" t="e">
        <f>+'staffing plan'!#REF!</f>
        <v>#REF!</v>
      </c>
      <c r="R176">
        <f>+'staffing plan'!BP186</f>
        <v>0</v>
      </c>
      <c r="S176">
        <v>175</v>
      </c>
    </row>
    <row r="177" spans="2:19">
      <c r="B177">
        <f t="shared" si="6"/>
        <v>2015</v>
      </c>
      <c r="C177">
        <f>+'staffing plan'!BK187</f>
        <v>42293</v>
      </c>
      <c r="D177" t="str">
        <f>'staffing plan'!A187</f>
        <v>OSEC-DILGB-LGOO2-10-1998</v>
      </c>
      <c r="E177" t="str">
        <f>+'staffing plan'!B187</f>
        <v>Local Government Operations Officer II</v>
      </c>
      <c r="F177">
        <f>+'staffing plan'!C187</f>
        <v>13</v>
      </c>
      <c r="G177" s="131">
        <f>+'staffing plan'!AH187</f>
        <v>302784</v>
      </c>
      <c r="H177" s="131">
        <f>+'staffing plan'!AI187</f>
        <v>306540</v>
      </c>
      <c r="I177" s="131">
        <f>+'staffing plan'!AJ187</f>
        <v>2</v>
      </c>
      <c r="J177" t="str">
        <f>+'staffing plan'!AW187</f>
        <v>TENEBRO, JR Adame</v>
      </c>
      <c r="K177" t="e">
        <f>+'staffing plan'!#REF!</f>
        <v>#REF!</v>
      </c>
      <c r="L177" t="e">
        <f>+'staffing plan'!#REF!</f>
        <v>#REF!</v>
      </c>
      <c r="M177" t="str">
        <f>+'staffing plan'!AX187</f>
        <v>Abra</v>
      </c>
      <c r="N177" t="str">
        <f>+'staffing plan'!AY187</f>
        <v>M</v>
      </c>
      <c r="O177" s="145" t="e">
        <f>+'staffing plan'!#REF!</f>
        <v>#REF!</v>
      </c>
      <c r="P177" s="145" t="e">
        <f>+'staffing plan'!#REF!</f>
        <v>#REF!</v>
      </c>
      <c r="Q177" s="145" t="e">
        <f>+'staffing plan'!#REF!</f>
        <v>#REF!</v>
      </c>
      <c r="R177">
        <f>+'staffing plan'!BP187</f>
        <v>0</v>
      </c>
      <c r="S177">
        <v>176</v>
      </c>
    </row>
    <row r="178" spans="2:19">
      <c r="B178">
        <f t="shared" si="6"/>
        <v>2015</v>
      </c>
      <c r="C178">
        <f>+'staffing plan'!BK188</f>
        <v>42186</v>
      </c>
      <c r="D178" t="str">
        <f>'staffing plan'!A188</f>
        <v>OSEC-DILGB-LGOO2-12-1998</v>
      </c>
      <c r="E178" t="str">
        <f>+'staffing plan'!B188</f>
        <v>Local Government Operations Officer II</v>
      </c>
      <c r="F178">
        <f>+'staffing plan'!C188</f>
        <v>13</v>
      </c>
      <c r="G178" s="131">
        <f>+'staffing plan'!AH188</f>
        <v>302784</v>
      </c>
      <c r="H178" s="131">
        <f>+'staffing plan'!AI188</f>
        <v>306540</v>
      </c>
      <c r="I178" s="131">
        <f>+'staffing plan'!AJ188</f>
        <v>2</v>
      </c>
      <c r="J178" t="str">
        <f>+'staffing plan'!AW188</f>
        <v>PARTIDO, Alfrainer Ferras</v>
      </c>
      <c r="K178" t="e">
        <f>+'staffing plan'!#REF!</f>
        <v>#REF!</v>
      </c>
      <c r="L178" t="e">
        <f>+'staffing plan'!#REF!</f>
        <v>#REF!</v>
      </c>
      <c r="M178" t="str">
        <f>+'staffing plan'!AX188</f>
        <v>Abra</v>
      </c>
      <c r="N178" t="str">
        <f>+'staffing plan'!AY188</f>
        <v>M</v>
      </c>
      <c r="O178" s="145" t="e">
        <f>+'staffing plan'!#REF!</f>
        <v>#REF!</v>
      </c>
      <c r="P178" s="145" t="e">
        <f>+'staffing plan'!#REF!</f>
        <v>#REF!</v>
      </c>
      <c r="Q178" s="145" t="e">
        <f>+'staffing plan'!#REF!</f>
        <v>#REF!</v>
      </c>
      <c r="R178">
        <f>+'staffing plan'!BP188</f>
        <v>0</v>
      </c>
      <c r="S178">
        <v>177</v>
      </c>
    </row>
    <row r="179" spans="2:19" hidden="1">
      <c r="B179">
        <f t="shared" si="6"/>
        <v>1900</v>
      </c>
      <c r="C179">
        <f>+'staffing plan'!BK189</f>
        <v>0</v>
      </c>
      <c r="D179" t="str">
        <f>'staffing plan'!A189</f>
        <v>OSEC-DILGB-LGOO2-14-1998</v>
      </c>
      <c r="E179" t="str">
        <f>+'staffing plan'!B189</f>
        <v>Local Government Operations Officer II</v>
      </c>
      <c r="F179">
        <f>+'staffing plan'!C189</f>
        <v>13</v>
      </c>
      <c r="G179" s="131">
        <f>+'staffing plan'!AH189</f>
        <v>302784</v>
      </c>
      <c r="H179" s="131">
        <f>+'staffing plan'!AI189</f>
        <v>0</v>
      </c>
      <c r="I179" s="131">
        <f>+'staffing plan'!AJ189</f>
        <v>0</v>
      </c>
      <c r="J179" t="str">
        <f>+'staffing plan'!AW189</f>
        <v xml:space="preserve">Vacant SAGUIYOD,  </v>
      </c>
      <c r="K179" t="e">
        <f>+'staffing plan'!#REF!</f>
        <v>#REF!</v>
      </c>
      <c r="L179" t="e">
        <f>+'staffing plan'!#REF!</f>
        <v>#REF!</v>
      </c>
      <c r="M179">
        <f>+'staffing plan'!AX189</f>
        <v>0</v>
      </c>
      <c r="N179">
        <f>+'staffing plan'!AY189</f>
        <v>0</v>
      </c>
      <c r="O179" s="145" t="e">
        <f>+'staffing plan'!#REF!</f>
        <v>#REF!</v>
      </c>
      <c r="P179" s="145" t="e">
        <f>+'staffing plan'!#REF!</f>
        <v>#REF!</v>
      </c>
      <c r="Q179" s="145" t="e">
        <f>+'staffing plan'!#REF!</f>
        <v>#REF!</v>
      </c>
      <c r="R179">
        <f>+'staffing plan'!BP189</f>
        <v>0</v>
      </c>
      <c r="S179">
        <v>178</v>
      </c>
    </row>
    <row r="180" spans="2:19" hidden="1">
      <c r="B180">
        <f t="shared" si="6"/>
        <v>2018</v>
      </c>
      <c r="C180">
        <f>+'staffing plan'!BK190</f>
        <v>43367</v>
      </c>
      <c r="D180" t="str">
        <f>'staffing plan'!A190</f>
        <v>OSEC-DILGB-LGOO2-15-1998</v>
      </c>
      <c r="E180" t="str">
        <f>+'staffing plan'!B190</f>
        <v>Local Government Operations Officer II</v>
      </c>
      <c r="F180">
        <f>+'staffing plan'!C190</f>
        <v>13</v>
      </c>
      <c r="G180" s="131">
        <f>+'staffing plan'!AH190</f>
        <v>302784</v>
      </c>
      <c r="H180" s="131">
        <f>+'staffing plan'!AI190</f>
        <v>302784</v>
      </c>
      <c r="I180" s="131">
        <f>+'staffing plan'!AJ190</f>
        <v>1</v>
      </c>
      <c r="J180" t="str">
        <f>+'staffing plan'!AW190</f>
        <v>ANUA, Rochelle Foronda</v>
      </c>
      <c r="K180" t="e">
        <f>+'staffing plan'!#REF!</f>
        <v>#REF!</v>
      </c>
      <c r="L180" t="e">
        <f>+'staffing plan'!#REF!</f>
        <v>#REF!</v>
      </c>
      <c r="M180" t="str">
        <f>+'staffing plan'!AX190</f>
        <v>Apayao</v>
      </c>
      <c r="N180" t="str">
        <f>+'staffing plan'!AY190</f>
        <v>F</v>
      </c>
      <c r="O180" s="145" t="e">
        <f>+'staffing plan'!#REF!</f>
        <v>#REF!</v>
      </c>
      <c r="P180" s="145" t="e">
        <f>+'staffing plan'!#REF!</f>
        <v>#REF!</v>
      </c>
      <c r="Q180" s="145" t="e">
        <f>+'staffing plan'!#REF!</f>
        <v>#REF!</v>
      </c>
      <c r="R180">
        <f>+'staffing plan'!BP190</f>
        <v>0</v>
      </c>
      <c r="S180">
        <v>179</v>
      </c>
    </row>
    <row r="181" spans="2:19" hidden="1">
      <c r="B181">
        <f t="shared" si="6"/>
        <v>2014</v>
      </c>
      <c r="C181">
        <f>+'staffing plan'!BK191</f>
        <v>41932</v>
      </c>
      <c r="D181" t="str">
        <f>'staffing plan'!A191</f>
        <v>OSEC-DILGB-LGOO2-17-1998</v>
      </c>
      <c r="E181" t="str">
        <f>+'staffing plan'!B191</f>
        <v>Local Government Operations Officer II</v>
      </c>
      <c r="F181">
        <f>+'staffing plan'!C191</f>
        <v>13</v>
      </c>
      <c r="G181" s="131">
        <f>+'staffing plan'!AH191</f>
        <v>302784</v>
      </c>
      <c r="H181" s="131">
        <f>+'staffing plan'!AI191</f>
        <v>306540</v>
      </c>
      <c r="I181" s="131">
        <f>+'staffing plan'!AJ191</f>
        <v>2</v>
      </c>
      <c r="J181" t="str">
        <f>+'staffing plan'!AW191</f>
        <v>DOGUP, Trisha Marie Alangsab</v>
      </c>
      <c r="K181" t="e">
        <f>+'staffing plan'!#REF!</f>
        <v>#REF!</v>
      </c>
      <c r="L181" t="e">
        <f>+'staffing plan'!#REF!</f>
        <v>#REF!</v>
      </c>
      <c r="M181" t="str">
        <f>+'staffing plan'!AX191</f>
        <v>Mt. Province</v>
      </c>
      <c r="N181" t="str">
        <f>+'staffing plan'!AY191</f>
        <v>F</v>
      </c>
      <c r="O181" s="145" t="e">
        <f>+'staffing plan'!#REF!</f>
        <v>#REF!</v>
      </c>
      <c r="P181" s="145" t="e">
        <f>+'staffing plan'!#REF!</f>
        <v>#REF!</v>
      </c>
      <c r="Q181" s="145" t="e">
        <f>+'staffing plan'!#REF!</f>
        <v>#REF!</v>
      </c>
      <c r="R181">
        <f>+'staffing plan'!BP191</f>
        <v>0</v>
      </c>
      <c r="S181">
        <v>180</v>
      </c>
    </row>
    <row r="182" spans="2:19" hidden="1">
      <c r="B182">
        <f t="shared" si="6"/>
        <v>2019</v>
      </c>
      <c r="C182">
        <f>+'staffing plan'!BK192</f>
        <v>43497</v>
      </c>
      <c r="D182" t="str">
        <f>'staffing plan'!A192</f>
        <v>OSEC-DILGB-LGOO2-18-1998</v>
      </c>
      <c r="E182" t="str">
        <f>+'staffing plan'!B192</f>
        <v>Local Government Operations Officer II</v>
      </c>
      <c r="F182">
        <f>+'staffing plan'!C192</f>
        <v>13</v>
      </c>
      <c r="G182" s="131">
        <f>+'staffing plan'!AH192</f>
        <v>302784</v>
      </c>
      <c r="H182" s="131">
        <f>+'staffing plan'!AI192</f>
        <v>302784</v>
      </c>
      <c r="I182" s="131">
        <f>+'staffing plan'!AJ192</f>
        <v>1</v>
      </c>
      <c r="J182" t="str">
        <f>+'staffing plan'!AW192</f>
        <v>ESCAD, Laura Valencia</v>
      </c>
      <c r="K182" t="e">
        <f>+'staffing plan'!#REF!</f>
        <v>#REF!</v>
      </c>
      <c r="L182" t="e">
        <f>+'staffing plan'!#REF!</f>
        <v>#REF!</v>
      </c>
      <c r="M182" t="str">
        <f>+'staffing plan'!AX192</f>
        <v>Benguet</v>
      </c>
      <c r="N182" t="str">
        <f>+'staffing plan'!AY192</f>
        <v>F</v>
      </c>
      <c r="O182" s="145" t="e">
        <f>+'staffing plan'!#REF!</f>
        <v>#REF!</v>
      </c>
      <c r="P182" s="145" t="e">
        <f>+'staffing plan'!#REF!</f>
        <v>#REF!</v>
      </c>
      <c r="Q182" s="145" t="e">
        <f>+'staffing plan'!#REF!</f>
        <v>#REF!</v>
      </c>
      <c r="R182">
        <f>+'staffing plan'!BP192</f>
        <v>0</v>
      </c>
      <c r="S182">
        <v>181</v>
      </c>
    </row>
    <row r="183" spans="2:19" hidden="1">
      <c r="B183">
        <f t="shared" si="6"/>
        <v>2018</v>
      </c>
      <c r="C183">
        <f>+'staffing plan'!BK193</f>
        <v>43367</v>
      </c>
      <c r="D183" t="str">
        <f>'staffing plan'!A193</f>
        <v>OSEC-DILGB-LGOO2-20-1998</v>
      </c>
      <c r="E183" t="str">
        <f>+'staffing plan'!B193</f>
        <v>Local Government Operations Officer II</v>
      </c>
      <c r="F183">
        <f>+'staffing plan'!C193</f>
        <v>13</v>
      </c>
      <c r="G183" s="131">
        <f>+'staffing plan'!AH193</f>
        <v>302784</v>
      </c>
      <c r="H183" s="131">
        <f>+'staffing plan'!AI193</f>
        <v>302784</v>
      </c>
      <c r="I183" s="131">
        <f>+'staffing plan'!AJ193</f>
        <v>1</v>
      </c>
      <c r="J183" t="str">
        <f>+'staffing plan'!AW193</f>
        <v>LADYONG, Faith Urbino</v>
      </c>
      <c r="K183" t="e">
        <f>+'staffing plan'!#REF!</f>
        <v>#REF!</v>
      </c>
      <c r="L183" t="e">
        <f>+'staffing plan'!#REF!</f>
        <v>#REF!</v>
      </c>
      <c r="M183" t="str">
        <f>+'staffing plan'!AX193</f>
        <v>Kalinga</v>
      </c>
      <c r="N183" t="str">
        <f>+'staffing plan'!AY193</f>
        <v>F</v>
      </c>
      <c r="O183" s="145" t="e">
        <f>+'staffing plan'!#REF!</f>
        <v>#REF!</v>
      </c>
      <c r="P183" s="145" t="e">
        <f>+'staffing plan'!#REF!</f>
        <v>#REF!</v>
      </c>
      <c r="Q183" s="145" t="e">
        <f>+'staffing plan'!#REF!</f>
        <v>#REF!</v>
      </c>
      <c r="R183">
        <f>+'staffing plan'!BP193</f>
        <v>0</v>
      </c>
      <c r="S183">
        <v>182</v>
      </c>
    </row>
    <row r="184" spans="2:19" hidden="1">
      <c r="B184">
        <f t="shared" si="6"/>
        <v>2016</v>
      </c>
      <c r="C184">
        <f>+'staffing plan'!BK194</f>
        <v>42452</v>
      </c>
      <c r="D184" t="str">
        <f>'staffing plan'!A194</f>
        <v>OSEC-DILGB-LGOO2-22-1998</v>
      </c>
      <c r="E184" t="str">
        <f>+'staffing plan'!B194</f>
        <v>Local Government Operations Officer II</v>
      </c>
      <c r="F184">
        <f>+'staffing plan'!C194</f>
        <v>13</v>
      </c>
      <c r="G184" s="131">
        <f>+'staffing plan'!AH194</f>
        <v>302784</v>
      </c>
      <c r="H184" s="131">
        <f>+'staffing plan'!AI194</f>
        <v>302784</v>
      </c>
      <c r="I184" s="131">
        <f>+'staffing plan'!AJ194</f>
        <v>1</v>
      </c>
      <c r="J184" t="str">
        <f>+'staffing plan'!AW194</f>
        <v>ANDANAN, Jaleemar Bosque</v>
      </c>
      <c r="K184" t="e">
        <f>+'staffing plan'!#REF!</f>
        <v>#REF!</v>
      </c>
      <c r="L184" t="e">
        <f>+'staffing plan'!#REF!</f>
        <v>#REF!</v>
      </c>
      <c r="M184" t="str">
        <f>+'staffing plan'!AX194</f>
        <v>Abra</v>
      </c>
      <c r="N184" t="str">
        <f>+'staffing plan'!AY194</f>
        <v>F</v>
      </c>
      <c r="O184" s="145" t="e">
        <f>+'staffing plan'!#REF!</f>
        <v>#REF!</v>
      </c>
      <c r="P184" s="145" t="e">
        <f>+'staffing plan'!#REF!</f>
        <v>#REF!</v>
      </c>
      <c r="Q184" s="145" t="e">
        <f>+'staffing plan'!#REF!</f>
        <v>#REF!</v>
      </c>
      <c r="R184">
        <f>+'staffing plan'!BP194</f>
        <v>0</v>
      </c>
      <c r="S184">
        <v>183</v>
      </c>
    </row>
    <row r="185" spans="2:19" hidden="1">
      <c r="B185">
        <f t="shared" si="6"/>
        <v>2014</v>
      </c>
      <c r="C185">
        <f>+'staffing plan'!BK195</f>
        <v>41913</v>
      </c>
      <c r="D185" t="str">
        <f>'staffing plan'!A195</f>
        <v>OSEC-DILGB-LGOO2-23-1998</v>
      </c>
      <c r="E185" t="str">
        <f>+'staffing plan'!B195</f>
        <v>Local Government Operations Officer II</v>
      </c>
      <c r="F185">
        <f>+'staffing plan'!C195</f>
        <v>13</v>
      </c>
      <c r="G185" s="131">
        <f>+'staffing plan'!AH195</f>
        <v>302784</v>
      </c>
      <c r="H185" s="131">
        <f>+'staffing plan'!AI195</f>
        <v>306540</v>
      </c>
      <c r="I185" s="131">
        <f>+'staffing plan'!AJ195</f>
        <v>2</v>
      </c>
      <c r="J185" t="str">
        <f>+'staffing plan'!AW195</f>
        <v>ALCANTARA, Joey Paul Bistayan</v>
      </c>
      <c r="K185" t="e">
        <f>+'staffing plan'!#REF!</f>
        <v>#REF!</v>
      </c>
      <c r="L185" t="e">
        <f>+'staffing plan'!#REF!</f>
        <v>#REF!</v>
      </c>
      <c r="M185" t="str">
        <f>+'staffing plan'!AX195</f>
        <v>Apayao</v>
      </c>
      <c r="N185" t="str">
        <f>+'staffing plan'!AY195</f>
        <v>M</v>
      </c>
      <c r="O185" s="145" t="e">
        <f>+'staffing plan'!#REF!</f>
        <v>#REF!</v>
      </c>
      <c r="P185" s="145" t="e">
        <f>+'staffing plan'!#REF!</f>
        <v>#REF!</v>
      </c>
      <c r="Q185" s="145" t="e">
        <f>+'staffing plan'!#REF!</f>
        <v>#REF!</v>
      </c>
      <c r="R185">
        <f>+'staffing plan'!BP195</f>
        <v>0</v>
      </c>
      <c r="S185">
        <v>184</v>
      </c>
    </row>
    <row r="186" spans="2:19" hidden="1">
      <c r="B186">
        <f t="shared" si="6"/>
        <v>1900</v>
      </c>
      <c r="C186">
        <f>+'staffing plan'!BK196</f>
        <v>0</v>
      </c>
      <c r="D186" t="str">
        <f>'staffing plan'!A196</f>
        <v>OSEC-DILGB-LGOO2-25-1998</v>
      </c>
      <c r="E186" t="str">
        <f>+'staffing plan'!B196</f>
        <v>Local Government Operations Officer II</v>
      </c>
      <c r="F186">
        <f>+'staffing plan'!C196</f>
        <v>13</v>
      </c>
      <c r="G186" s="131">
        <f>+'staffing plan'!AH196</f>
        <v>302784</v>
      </c>
      <c r="H186" s="131">
        <f>+'staffing plan'!AI196</f>
        <v>0</v>
      </c>
      <c r="I186" s="131">
        <f>+'staffing plan'!AJ196</f>
        <v>0</v>
      </c>
      <c r="J186" t="str">
        <f>+'staffing plan'!AW196</f>
        <v xml:space="preserve">vacant GAYASO,  </v>
      </c>
      <c r="K186" t="e">
        <f>+'staffing plan'!#REF!</f>
        <v>#REF!</v>
      </c>
      <c r="L186" t="e">
        <f>+'staffing plan'!#REF!</f>
        <v>#REF!</v>
      </c>
      <c r="M186">
        <f>+'staffing plan'!AX196</f>
        <v>0</v>
      </c>
      <c r="N186">
        <f>+'staffing plan'!AY196</f>
        <v>0</v>
      </c>
      <c r="O186" s="145" t="e">
        <f>+'staffing plan'!#REF!</f>
        <v>#REF!</v>
      </c>
      <c r="P186" s="145" t="e">
        <f>+'staffing plan'!#REF!</f>
        <v>#REF!</v>
      </c>
      <c r="Q186" s="145" t="e">
        <f>+'staffing plan'!#REF!</f>
        <v>#REF!</v>
      </c>
      <c r="R186">
        <f>+'staffing plan'!BP196</f>
        <v>0</v>
      </c>
      <c r="S186">
        <v>185</v>
      </c>
    </row>
    <row r="187" spans="2:19" hidden="1">
      <c r="B187">
        <f t="shared" si="6"/>
        <v>2019</v>
      </c>
      <c r="C187">
        <f>+'staffing plan'!BK197</f>
        <v>43497</v>
      </c>
      <c r="D187" t="str">
        <f>'staffing plan'!A197</f>
        <v>OSEC-DILGB-LGOO2-27-1998</v>
      </c>
      <c r="E187" t="str">
        <f>+'staffing plan'!B197</f>
        <v>Local Government Operations Officer II</v>
      </c>
      <c r="F187">
        <f>+'staffing plan'!C197</f>
        <v>13</v>
      </c>
      <c r="G187" s="131">
        <f>+'staffing plan'!AH197</f>
        <v>302784</v>
      </c>
      <c r="H187" s="131">
        <f>+'staffing plan'!AI197</f>
        <v>302784</v>
      </c>
      <c r="I187" s="131">
        <f>+'staffing plan'!AJ197</f>
        <v>1</v>
      </c>
      <c r="J187" t="str">
        <f>+'staffing plan'!AW197</f>
        <v>GARNACE, Baldo Jr Nolasco</v>
      </c>
      <c r="K187" t="e">
        <f>+'staffing plan'!#REF!</f>
        <v>#REF!</v>
      </c>
      <c r="L187" t="e">
        <f>+'staffing plan'!#REF!</f>
        <v>#REF!</v>
      </c>
      <c r="M187" t="str">
        <f>+'staffing plan'!AX197</f>
        <v>Kalinga</v>
      </c>
      <c r="N187" t="str">
        <f>+'staffing plan'!AY197</f>
        <v>M</v>
      </c>
      <c r="O187" s="145" t="e">
        <f>+'staffing plan'!#REF!</f>
        <v>#REF!</v>
      </c>
      <c r="P187" s="145" t="e">
        <f>+'staffing plan'!#REF!</f>
        <v>#REF!</v>
      </c>
      <c r="Q187" s="145" t="e">
        <f>+'staffing plan'!#REF!</f>
        <v>#REF!</v>
      </c>
      <c r="R187">
        <f>+'staffing plan'!BP197</f>
        <v>0</v>
      </c>
      <c r="S187">
        <v>186</v>
      </c>
    </row>
    <row r="188" spans="2:19" hidden="1">
      <c r="B188">
        <f t="shared" si="6"/>
        <v>2017</v>
      </c>
      <c r="C188">
        <f>+'staffing plan'!BK198</f>
        <v>42851</v>
      </c>
      <c r="D188" t="str">
        <f>'staffing plan'!A198</f>
        <v>OSEC-DILGB-LGOO2-28-1998</v>
      </c>
      <c r="E188" t="str">
        <f>+'staffing plan'!B198</f>
        <v>Local Government Operations Officer II</v>
      </c>
      <c r="F188">
        <f>+'staffing plan'!C198</f>
        <v>13</v>
      </c>
      <c r="G188" s="131">
        <f>+'staffing plan'!AH198</f>
        <v>302784</v>
      </c>
      <c r="H188" s="131">
        <f>+'staffing plan'!AI198</f>
        <v>302784</v>
      </c>
      <c r="I188" s="131">
        <f>+'staffing plan'!AJ198</f>
        <v>1</v>
      </c>
      <c r="J188" t="str">
        <f>+'staffing plan'!AW198</f>
        <v>BANGANAN, Imelda Farnigan</v>
      </c>
      <c r="K188" t="e">
        <f>+'staffing plan'!#REF!</f>
        <v>#REF!</v>
      </c>
      <c r="L188" t="e">
        <f>+'staffing plan'!#REF!</f>
        <v>#REF!</v>
      </c>
      <c r="M188" t="str">
        <f>+'staffing plan'!AX198</f>
        <v>Mt. Province</v>
      </c>
      <c r="N188" t="str">
        <f>+'staffing plan'!AY198</f>
        <v>F</v>
      </c>
      <c r="O188" s="145" t="e">
        <f>+'staffing plan'!#REF!</f>
        <v>#REF!</v>
      </c>
      <c r="P188" s="145" t="e">
        <f>+'staffing plan'!#REF!</f>
        <v>#REF!</v>
      </c>
      <c r="Q188" s="145" t="e">
        <f>+'staffing plan'!#REF!</f>
        <v>#REF!</v>
      </c>
      <c r="R188">
        <f>+'staffing plan'!BP198</f>
        <v>0</v>
      </c>
      <c r="S188">
        <v>187</v>
      </c>
    </row>
    <row r="189" spans="2:19" hidden="1">
      <c r="B189">
        <f t="shared" si="6"/>
        <v>2014</v>
      </c>
      <c r="C189">
        <f>+'staffing plan'!BK199</f>
        <v>41913</v>
      </c>
      <c r="D189" t="str">
        <f>'staffing plan'!A199</f>
        <v>OSEC-DILGB-LGOO2-30-1998</v>
      </c>
      <c r="E189" t="str">
        <f>+'staffing plan'!B199</f>
        <v>Local Government Operations Officer II</v>
      </c>
      <c r="F189">
        <f>+'staffing plan'!C199</f>
        <v>13</v>
      </c>
      <c r="G189" s="131">
        <f>+'staffing plan'!AH199</f>
        <v>302784</v>
      </c>
      <c r="H189" s="131">
        <f>+'staffing plan'!AI199</f>
        <v>306540</v>
      </c>
      <c r="I189" s="131">
        <f>+'staffing plan'!AJ199</f>
        <v>2</v>
      </c>
      <c r="J189" t="str">
        <f>+'staffing plan'!AW199</f>
        <v>NAMINGIT, Gyda Hoggang</v>
      </c>
      <c r="K189" t="e">
        <f>+'staffing plan'!#REF!</f>
        <v>#REF!</v>
      </c>
      <c r="L189" t="e">
        <f>+'staffing plan'!#REF!</f>
        <v>#REF!</v>
      </c>
      <c r="M189" t="str">
        <f>+'staffing plan'!AX199</f>
        <v>Ifugao</v>
      </c>
      <c r="N189" t="str">
        <f>+'staffing plan'!AY199</f>
        <v>F</v>
      </c>
      <c r="O189" s="145" t="e">
        <f>+'staffing plan'!#REF!</f>
        <v>#REF!</v>
      </c>
      <c r="P189" s="145" t="e">
        <f>+'staffing plan'!#REF!</f>
        <v>#REF!</v>
      </c>
      <c r="Q189" s="145" t="e">
        <f>+'staffing plan'!#REF!</f>
        <v>#REF!</v>
      </c>
      <c r="R189">
        <f>+'staffing plan'!BP199</f>
        <v>0</v>
      </c>
      <c r="S189">
        <v>188</v>
      </c>
    </row>
    <row r="190" spans="2:19" hidden="1">
      <c r="B190">
        <f t="shared" si="6"/>
        <v>2016</v>
      </c>
      <c r="C190">
        <f>+'staffing plan'!BK200</f>
        <v>42662</v>
      </c>
      <c r="D190" t="str">
        <f>'staffing plan'!A200</f>
        <v>OSEC-DILGB-LGOO2-32-1998</v>
      </c>
      <c r="E190" t="str">
        <f>+'staffing plan'!B200</f>
        <v>Local Government Operations Officer II</v>
      </c>
      <c r="F190">
        <f>+'staffing plan'!C200</f>
        <v>13</v>
      </c>
      <c r="G190" s="131">
        <f>+'staffing plan'!AH200</f>
        <v>302784</v>
      </c>
      <c r="H190" s="131">
        <f>+'staffing plan'!AI200</f>
        <v>302784</v>
      </c>
      <c r="I190" s="131">
        <f>+'staffing plan'!AJ200</f>
        <v>1</v>
      </c>
      <c r="J190" t="str">
        <f>+'staffing plan'!AW200</f>
        <v>BALANAY, Mark Anthony Gumabay</v>
      </c>
      <c r="K190" t="e">
        <f>+'staffing plan'!#REF!</f>
        <v>#REF!</v>
      </c>
      <c r="L190" t="e">
        <f>+'staffing plan'!#REF!</f>
        <v>#REF!</v>
      </c>
      <c r="M190" t="str">
        <f>+'staffing plan'!AX200</f>
        <v>Abra</v>
      </c>
      <c r="N190" t="str">
        <f>+'staffing plan'!AY200</f>
        <v>M</v>
      </c>
      <c r="O190" s="145" t="e">
        <f>+'staffing plan'!#REF!</f>
        <v>#REF!</v>
      </c>
      <c r="P190" s="145" t="e">
        <f>+'staffing plan'!#REF!</f>
        <v>#REF!</v>
      </c>
      <c r="Q190" s="145" t="e">
        <f>+'staffing plan'!#REF!</f>
        <v>#REF!</v>
      </c>
      <c r="R190">
        <f>+'staffing plan'!BP200</f>
        <v>0</v>
      </c>
      <c r="S190">
        <v>189</v>
      </c>
    </row>
    <row r="191" spans="2:19" hidden="1">
      <c r="B191">
        <f t="shared" si="6"/>
        <v>2018</v>
      </c>
      <c r="C191">
        <f>+'staffing plan'!BK201</f>
        <v>43397</v>
      </c>
      <c r="D191" t="str">
        <f>'staffing plan'!A201</f>
        <v>OSEC-DILGB-LGOO2-33-1998</v>
      </c>
      <c r="E191" t="str">
        <f>+'staffing plan'!B201</f>
        <v>Local Government Operations Officer II</v>
      </c>
      <c r="F191">
        <f>+'staffing plan'!C201</f>
        <v>13</v>
      </c>
      <c r="G191" s="131">
        <f>+'staffing plan'!AH201</f>
        <v>302784</v>
      </c>
      <c r="H191" s="131">
        <f>+'staffing plan'!AI201</f>
        <v>302784</v>
      </c>
      <c r="I191" s="131">
        <f>+'staffing plan'!AJ201</f>
        <v>1</v>
      </c>
      <c r="J191" t="str">
        <f>+'staffing plan'!AW201</f>
        <v>ANAPEN, Humphrey Dumayas</v>
      </c>
      <c r="K191" t="e">
        <f>+'staffing plan'!#REF!</f>
        <v>#REF!</v>
      </c>
      <c r="L191" t="e">
        <f>+'staffing plan'!#REF!</f>
        <v>#REF!</v>
      </c>
      <c r="M191" t="str">
        <f>+'staffing plan'!AX201</f>
        <v>Ifugao</v>
      </c>
      <c r="N191" t="str">
        <f>+'staffing plan'!AY201</f>
        <v>M</v>
      </c>
      <c r="O191" s="145" t="e">
        <f>+'staffing plan'!#REF!</f>
        <v>#REF!</v>
      </c>
      <c r="P191" s="145" t="e">
        <f>+'staffing plan'!#REF!</f>
        <v>#REF!</v>
      </c>
      <c r="Q191" s="145" t="e">
        <f>+'staffing plan'!#REF!</f>
        <v>#REF!</v>
      </c>
      <c r="R191">
        <f>+'staffing plan'!BP201</f>
        <v>0</v>
      </c>
      <c r="S191">
        <v>190</v>
      </c>
    </row>
    <row r="192" spans="2:19" hidden="1">
      <c r="B192">
        <f t="shared" si="6"/>
        <v>2014</v>
      </c>
      <c r="C192">
        <f>+'staffing plan'!BK202</f>
        <v>41913</v>
      </c>
      <c r="D192" t="str">
        <f>'staffing plan'!A202</f>
        <v>OSEC-DILGB-LGOO2-37-1998</v>
      </c>
      <c r="E192" t="str">
        <f>+'staffing plan'!B202</f>
        <v>Local Government Operations Officer II</v>
      </c>
      <c r="F192">
        <f>+'staffing plan'!C202</f>
        <v>13</v>
      </c>
      <c r="G192" s="131">
        <f>+'staffing plan'!AH202</f>
        <v>302784</v>
      </c>
      <c r="H192" s="131">
        <f>+'staffing plan'!AI202</f>
        <v>306540</v>
      </c>
      <c r="I192" s="131">
        <f>+'staffing plan'!AJ202</f>
        <v>2</v>
      </c>
      <c r="J192" t="str">
        <f>+'staffing plan'!AW202</f>
        <v>UCOL, Edward Errol Bumanglag</v>
      </c>
      <c r="K192" t="e">
        <f>+'staffing plan'!#REF!</f>
        <v>#REF!</v>
      </c>
      <c r="L192" t="e">
        <f>+'staffing plan'!#REF!</f>
        <v>#REF!</v>
      </c>
      <c r="M192" t="str">
        <f>+'staffing plan'!AX202</f>
        <v>Apayao</v>
      </c>
      <c r="N192" t="str">
        <f>+'staffing plan'!AY202</f>
        <v>M</v>
      </c>
      <c r="O192" s="145" t="e">
        <f>+'staffing plan'!#REF!</f>
        <v>#REF!</v>
      </c>
      <c r="P192" s="145" t="e">
        <f>+'staffing plan'!#REF!</f>
        <v>#REF!</v>
      </c>
      <c r="Q192" s="145" t="e">
        <f>+'staffing plan'!#REF!</f>
        <v>#REF!</v>
      </c>
      <c r="R192">
        <f>+'staffing plan'!BP202</f>
        <v>0</v>
      </c>
      <c r="S192">
        <v>191</v>
      </c>
    </row>
    <row r="193" spans="2:19" hidden="1">
      <c r="B193">
        <f t="shared" si="6"/>
        <v>2019</v>
      </c>
      <c r="C193">
        <f>+'staffing plan'!BK203</f>
        <v>43497</v>
      </c>
      <c r="D193" t="str">
        <f>'staffing plan'!A203</f>
        <v>OSEC-DILGB-LGOO2-38-1998</v>
      </c>
      <c r="E193" t="str">
        <f>+'staffing plan'!B203</f>
        <v>Local Government Operations Officer II</v>
      </c>
      <c r="F193">
        <f>+'staffing plan'!C203</f>
        <v>13</v>
      </c>
      <c r="G193" s="131">
        <f>+'staffing plan'!AH203</f>
        <v>302784</v>
      </c>
      <c r="H193" s="131">
        <f>+'staffing plan'!AI203</f>
        <v>302784</v>
      </c>
      <c r="I193" s="131">
        <f>+'staffing plan'!AJ203</f>
        <v>1</v>
      </c>
      <c r="J193" t="str">
        <f>+'staffing plan'!AW203</f>
        <v>FABAG, Sheren Sagsago</v>
      </c>
      <c r="K193" t="e">
        <f>+'staffing plan'!#REF!</f>
        <v>#REF!</v>
      </c>
      <c r="L193" t="e">
        <f>+'staffing plan'!#REF!</f>
        <v>#REF!</v>
      </c>
      <c r="M193" t="str">
        <f>+'staffing plan'!AX203</f>
        <v>Mt. Province</v>
      </c>
      <c r="N193" t="str">
        <f>+'staffing plan'!AY203</f>
        <v>F</v>
      </c>
      <c r="O193" s="145" t="e">
        <f>+'staffing plan'!#REF!</f>
        <v>#REF!</v>
      </c>
      <c r="P193" s="145" t="e">
        <f>+'staffing plan'!#REF!</f>
        <v>#REF!</v>
      </c>
      <c r="Q193" s="145" t="e">
        <f>+'staffing plan'!#REF!</f>
        <v>#REF!</v>
      </c>
      <c r="R193">
        <f>+'staffing plan'!BP203</f>
        <v>0</v>
      </c>
      <c r="S193">
        <v>192</v>
      </c>
    </row>
    <row r="194" spans="2:19" hidden="1">
      <c r="B194">
        <f t="shared" si="6"/>
        <v>2017</v>
      </c>
      <c r="C194">
        <f>+'staffing plan'!BK204</f>
        <v>42863</v>
      </c>
      <c r="D194" t="str">
        <f>'staffing plan'!A204</f>
        <v>OSEC-DILGB-LGOO2-40-1998</v>
      </c>
      <c r="E194" t="str">
        <f>+'staffing plan'!B204</f>
        <v>Local Government Operations Officer II</v>
      </c>
      <c r="F194">
        <f>+'staffing plan'!C204</f>
        <v>13</v>
      </c>
      <c r="G194" s="131">
        <f>+'staffing plan'!AH204</f>
        <v>302784</v>
      </c>
      <c r="H194" s="131">
        <f>+'staffing plan'!AI204</f>
        <v>302784</v>
      </c>
      <c r="I194" s="131">
        <f>+'staffing plan'!AJ204</f>
        <v>1</v>
      </c>
      <c r="J194" t="str">
        <f>+'staffing plan'!AW204</f>
        <v>LIGLIGON, Randolph Lacamang</v>
      </c>
      <c r="K194" t="e">
        <f>+'staffing plan'!#REF!</f>
        <v>#REF!</v>
      </c>
      <c r="L194" t="e">
        <f>+'staffing plan'!#REF!</f>
        <v>#REF!</v>
      </c>
      <c r="M194" t="str">
        <f>+'staffing plan'!AX204</f>
        <v>Benguet</v>
      </c>
      <c r="N194" t="str">
        <f>+'staffing plan'!AY204</f>
        <v>M</v>
      </c>
      <c r="O194" s="145" t="e">
        <f>+'staffing plan'!#REF!</f>
        <v>#REF!</v>
      </c>
      <c r="P194" s="145" t="e">
        <f>+'staffing plan'!#REF!</f>
        <v>#REF!</v>
      </c>
      <c r="Q194" s="145" t="e">
        <f>+'staffing plan'!#REF!</f>
        <v>#REF!</v>
      </c>
      <c r="R194">
        <f>+'staffing plan'!BP204</f>
        <v>0</v>
      </c>
      <c r="S194">
        <v>193</v>
      </c>
    </row>
    <row r="195" spans="2:19">
      <c r="B195">
        <f t="shared" si="6"/>
        <v>2019</v>
      </c>
      <c r="C195">
        <f>+'staffing plan'!BK205</f>
        <v>43544</v>
      </c>
      <c r="D195" t="str">
        <f>'staffing plan'!A205</f>
        <v>OSEC-DILGB-ADAS2-65-2005</v>
      </c>
      <c r="E195" t="str">
        <f>+'staffing plan'!B205</f>
        <v>Administrative Assistant II</v>
      </c>
      <c r="F195">
        <f>+'staffing plan'!C205</f>
        <v>8</v>
      </c>
      <c r="G195" s="131">
        <f>+'staffing plan'!AH205</f>
        <v>201096</v>
      </c>
      <c r="H195" s="131">
        <f>+'staffing plan'!AI205</f>
        <v>201096</v>
      </c>
      <c r="I195" s="131">
        <f>+'staffing plan'!AJ205</f>
        <v>1</v>
      </c>
      <c r="J195" t="str">
        <f>+'staffing plan'!AW205</f>
        <v>MACLI-ING, Giezzel Danglipen</v>
      </c>
      <c r="K195" t="e">
        <f>+'staffing plan'!#REF!</f>
        <v>#REF!</v>
      </c>
      <c r="L195" t="e">
        <f>+'staffing plan'!#REF!</f>
        <v>#REF!</v>
      </c>
      <c r="M195" t="str">
        <f>+'staffing plan'!AX205</f>
        <v>Apayao</v>
      </c>
      <c r="N195" t="str">
        <f>+'staffing plan'!AY205</f>
        <v>F</v>
      </c>
      <c r="O195" s="145" t="e">
        <f>+'staffing plan'!#REF!</f>
        <v>#REF!</v>
      </c>
      <c r="P195" s="145" t="e">
        <f>+'staffing plan'!#REF!</f>
        <v>#REF!</v>
      </c>
      <c r="Q195" s="145" t="e">
        <f>+'staffing plan'!#REF!</f>
        <v>#REF!</v>
      </c>
      <c r="R195">
        <f>+'staffing plan'!BP205</f>
        <v>0</v>
      </c>
      <c r="S195">
        <v>194</v>
      </c>
    </row>
    <row r="196" spans="2:19" hidden="1">
      <c r="B196">
        <f t="shared" si="6"/>
        <v>1900</v>
      </c>
      <c r="C196">
        <f>+'staffing plan'!BK206</f>
        <v>0</v>
      </c>
      <c r="D196" t="str">
        <f>'staffing plan'!A206</f>
        <v>OSEC-DILGB-ADAS2-66-2005</v>
      </c>
      <c r="E196" t="str">
        <f>+'staffing plan'!B206</f>
        <v>Administrative Assistant II</v>
      </c>
      <c r="F196">
        <f>+'staffing plan'!C206</f>
        <v>8</v>
      </c>
      <c r="G196" s="131">
        <f>+'staffing plan'!AH206</f>
        <v>201096</v>
      </c>
      <c r="H196" s="131">
        <f>+'staffing plan'!AI206</f>
        <v>0</v>
      </c>
      <c r="I196" s="131">
        <f>+'staffing plan'!AJ206</f>
        <v>0</v>
      </c>
      <c r="J196" t="str">
        <f>+'staffing plan'!AW206</f>
        <v xml:space="preserve">Vacant DOMASING,  </v>
      </c>
      <c r="K196" t="e">
        <f>+'staffing plan'!#REF!</f>
        <v>#REF!</v>
      </c>
      <c r="L196" t="e">
        <f>+'staffing plan'!#REF!</f>
        <v>#REF!</v>
      </c>
      <c r="M196">
        <f>+'staffing plan'!AX206</f>
        <v>0</v>
      </c>
      <c r="N196">
        <f>+'staffing plan'!AY206</f>
        <v>0</v>
      </c>
      <c r="O196" s="145" t="e">
        <f>+'staffing plan'!#REF!</f>
        <v>#REF!</v>
      </c>
      <c r="P196" s="145" t="e">
        <f>+'staffing plan'!#REF!</f>
        <v>#REF!</v>
      </c>
      <c r="Q196" s="145" t="e">
        <f>+'staffing plan'!#REF!</f>
        <v>#REF!</v>
      </c>
      <c r="R196">
        <f>+'staffing plan'!BP206</f>
        <v>0</v>
      </c>
      <c r="S196">
        <v>195</v>
      </c>
    </row>
    <row r="197" spans="2:19" hidden="1">
      <c r="B197">
        <f t="shared" si="6"/>
        <v>2003</v>
      </c>
      <c r="C197">
        <f>+'staffing plan'!BK207</f>
        <v>37655</v>
      </c>
      <c r="D197" t="str">
        <f>'staffing plan'!A207</f>
        <v>OSEC-DILGB-ADAS2-67-2005</v>
      </c>
      <c r="E197" t="str">
        <f>+'staffing plan'!B207</f>
        <v>Administrative Assistant II</v>
      </c>
      <c r="F197">
        <f>+'staffing plan'!C207</f>
        <v>8</v>
      </c>
      <c r="G197" s="131">
        <f>+'staffing plan'!AH207</f>
        <v>201096</v>
      </c>
      <c r="H197" s="131">
        <f>+'staffing plan'!AI207</f>
        <v>210348</v>
      </c>
      <c r="I197" s="131">
        <f>+'staffing plan'!AJ207</f>
        <v>6</v>
      </c>
      <c r="J197" t="str">
        <f>+'staffing plan'!AW207</f>
        <v>TOMAS, Prescilla Kitan</v>
      </c>
      <c r="K197" t="e">
        <f>+'staffing plan'!#REF!</f>
        <v>#REF!</v>
      </c>
      <c r="L197" t="e">
        <f>+'staffing plan'!#REF!</f>
        <v>#REF!</v>
      </c>
      <c r="M197" t="str">
        <f>+'staffing plan'!AX207</f>
        <v>Benguet</v>
      </c>
      <c r="N197" t="str">
        <f>+'staffing plan'!AY207</f>
        <v>F</v>
      </c>
      <c r="O197" s="145" t="e">
        <f>+'staffing plan'!#REF!</f>
        <v>#REF!</v>
      </c>
      <c r="P197" s="145" t="e">
        <f>+'staffing plan'!#REF!</f>
        <v>#REF!</v>
      </c>
      <c r="Q197" s="145" t="e">
        <f>+'staffing plan'!#REF!</f>
        <v>#REF!</v>
      </c>
      <c r="R197" t="str">
        <f>+'staffing plan'!BP207</f>
        <v>change of item 1-25-18</v>
      </c>
      <c r="S197">
        <v>196</v>
      </c>
    </row>
    <row r="198" spans="2:19">
      <c r="B198">
        <f t="shared" si="6"/>
        <v>2019</v>
      </c>
      <c r="C198">
        <f>+'staffing plan'!BK208</f>
        <v>43556</v>
      </c>
      <c r="D198" t="str">
        <f>'staffing plan'!A208</f>
        <v>OSEC-DILGB-ADAS2-68-2005</v>
      </c>
      <c r="E198" t="str">
        <f>+'staffing plan'!B208</f>
        <v>Administrative Assistant II</v>
      </c>
      <c r="F198">
        <f>+'staffing plan'!C208</f>
        <v>8</v>
      </c>
      <c r="G198" s="131">
        <f>+'staffing plan'!AH208</f>
        <v>201096</v>
      </c>
      <c r="H198" s="131">
        <f>+'staffing plan'!AI208</f>
        <v>201096</v>
      </c>
      <c r="I198" s="131">
        <f>+'staffing plan'!AJ208</f>
        <v>1</v>
      </c>
      <c r="J198" t="str">
        <f>+'staffing plan'!AW208</f>
        <v>DEPALOG, Kharla Lhyn Bagwan</v>
      </c>
      <c r="K198" t="e">
        <f>+'staffing plan'!#REF!</f>
        <v>#REF!</v>
      </c>
      <c r="L198" t="e">
        <f>+'staffing plan'!#REF!</f>
        <v>#REF!</v>
      </c>
      <c r="M198" t="str">
        <f>+'staffing plan'!AX208</f>
        <v>Mt. Province</v>
      </c>
      <c r="N198" t="str">
        <f>+'staffing plan'!AY208</f>
        <v>F</v>
      </c>
      <c r="O198" s="145" t="e">
        <f>+'staffing plan'!#REF!</f>
        <v>#REF!</v>
      </c>
      <c r="P198" s="145" t="e">
        <f>+'staffing plan'!#REF!</f>
        <v>#REF!</v>
      </c>
      <c r="Q198" s="145" t="e">
        <f>+'staffing plan'!#REF!</f>
        <v>#REF!</v>
      </c>
      <c r="R198">
        <f>+'staffing plan'!BP208</f>
        <v>0</v>
      </c>
      <c r="S198">
        <v>197</v>
      </c>
    </row>
    <row r="199" spans="2:19" hidden="1">
      <c r="B199">
        <f t="shared" si="6"/>
        <v>1989</v>
      </c>
      <c r="C199">
        <f>+'staffing plan'!BK209</f>
        <v>32580</v>
      </c>
      <c r="D199" t="str">
        <f>'staffing plan'!A209</f>
        <v>OSEC-DILGB-ADAS2-70-2005</v>
      </c>
      <c r="E199" t="str">
        <f>+'staffing plan'!B209</f>
        <v>Administrative Assistant II</v>
      </c>
      <c r="F199">
        <f>+'staffing plan'!C209</f>
        <v>8</v>
      </c>
      <c r="G199" s="131">
        <f>+'staffing plan'!AH209</f>
        <v>201096</v>
      </c>
      <c r="H199" s="131">
        <f>+'staffing plan'!AI209</f>
        <v>214176</v>
      </c>
      <c r="I199" s="131">
        <f>+'staffing plan'!AJ209</f>
        <v>8</v>
      </c>
      <c r="J199" t="str">
        <f>+'staffing plan'!AW209</f>
        <v>ALCAYNA, Dennis Bantiyan</v>
      </c>
      <c r="K199" t="e">
        <f>+'staffing plan'!#REF!</f>
        <v>#REF!</v>
      </c>
      <c r="L199" t="e">
        <f>+'staffing plan'!#REF!</f>
        <v>#REF!</v>
      </c>
      <c r="M199" t="str">
        <f>+'staffing plan'!AX209</f>
        <v>Ifugao</v>
      </c>
      <c r="N199" t="str">
        <f>+'staffing plan'!AY209</f>
        <v>M</v>
      </c>
      <c r="O199" s="145" t="e">
        <f>+'staffing plan'!#REF!</f>
        <v>#REF!</v>
      </c>
      <c r="P199" s="145" t="e">
        <f>+'staffing plan'!#REF!</f>
        <v>#REF!</v>
      </c>
      <c r="Q199" s="145" t="e">
        <f>+'staffing plan'!#REF!</f>
        <v>#REF!</v>
      </c>
      <c r="R199">
        <f>+'staffing plan'!BP209</f>
        <v>0</v>
      </c>
      <c r="S199">
        <v>198</v>
      </c>
    </row>
    <row r="200" spans="2:19" hidden="1">
      <c r="B200">
        <f t="shared" si="6"/>
        <v>1998</v>
      </c>
      <c r="C200">
        <f>+'staffing plan'!BK210</f>
        <v>36084</v>
      </c>
      <c r="D200" t="str">
        <f>'staffing plan'!A210</f>
        <v>OSEC-DILGB-ADAS2-71-2005</v>
      </c>
      <c r="E200" t="str">
        <f>+'staffing plan'!B210</f>
        <v>Administrative Assistant II</v>
      </c>
      <c r="F200">
        <f>+'staffing plan'!C210</f>
        <v>8</v>
      </c>
      <c r="G200" s="131">
        <f>+'staffing plan'!AH210</f>
        <v>201096</v>
      </c>
      <c r="H200" s="131">
        <f>+'staffing plan'!AI210</f>
        <v>212256</v>
      </c>
      <c r="I200" s="131">
        <f>+'staffing plan'!AJ210</f>
        <v>7</v>
      </c>
      <c r="J200" t="str">
        <f>+'staffing plan'!AW210</f>
        <v>TAMI-ING, Marilyn Kilayon</v>
      </c>
      <c r="K200" t="e">
        <f>+'staffing plan'!#REF!</f>
        <v>#REF!</v>
      </c>
      <c r="L200" t="e">
        <f>+'staffing plan'!#REF!</f>
        <v>#REF!</v>
      </c>
      <c r="M200" t="str">
        <f>+'staffing plan'!AX210</f>
        <v>Mt. Province</v>
      </c>
      <c r="N200" t="str">
        <f>+'staffing plan'!AY210</f>
        <v>F</v>
      </c>
      <c r="O200" s="145" t="e">
        <f>+'staffing plan'!#REF!</f>
        <v>#REF!</v>
      </c>
      <c r="P200" s="145" t="e">
        <f>+'staffing plan'!#REF!</f>
        <v>#REF!</v>
      </c>
      <c r="Q200" s="145" t="e">
        <f>+'staffing plan'!#REF!</f>
        <v>#REF!</v>
      </c>
      <c r="R200">
        <f>+'staffing plan'!BP210</f>
        <v>0</v>
      </c>
      <c r="S200">
        <v>199</v>
      </c>
    </row>
    <row r="201" spans="2:19" hidden="1">
      <c r="B201">
        <f t="shared" si="6"/>
        <v>1991</v>
      </c>
      <c r="C201">
        <f>+'staffing plan'!BK211</f>
        <v>33484</v>
      </c>
      <c r="D201" t="str">
        <f>'staffing plan'!A211</f>
        <v>OSEC-DILGB-ADAS2-73-2005</v>
      </c>
      <c r="E201" t="str">
        <f>+'staffing plan'!B211</f>
        <v>Administrative Assistant II</v>
      </c>
      <c r="F201">
        <f>+'staffing plan'!C211</f>
        <v>8</v>
      </c>
      <c r="G201" s="131">
        <f>+'staffing plan'!AH211</f>
        <v>201096</v>
      </c>
      <c r="H201" s="131">
        <f>+'staffing plan'!AI211</f>
        <v>214176</v>
      </c>
      <c r="I201" s="131">
        <f>+'staffing plan'!AJ211</f>
        <v>8</v>
      </c>
      <c r="J201" t="str">
        <f>+'staffing plan'!AW211</f>
        <v>PACAMO, Ruby Quemerista</v>
      </c>
      <c r="K201" t="e">
        <f>+'staffing plan'!#REF!</f>
        <v>#REF!</v>
      </c>
      <c r="L201" t="e">
        <f>+'staffing plan'!#REF!</f>
        <v>#REF!</v>
      </c>
      <c r="M201" t="str">
        <f>+'staffing plan'!AX211</f>
        <v>Abra</v>
      </c>
      <c r="N201" t="str">
        <f>+'staffing plan'!AY211</f>
        <v>F</v>
      </c>
      <c r="O201" s="145" t="e">
        <f>+'staffing plan'!#REF!</f>
        <v>#REF!</v>
      </c>
      <c r="P201" s="145" t="e">
        <f>+'staffing plan'!#REF!</f>
        <v>#REF!</v>
      </c>
      <c r="Q201" s="145" t="e">
        <f>+'staffing plan'!#REF!</f>
        <v>#REF!</v>
      </c>
      <c r="R201">
        <f>+'staffing plan'!BP211</f>
        <v>0</v>
      </c>
      <c r="S201">
        <v>200</v>
      </c>
    </row>
    <row r="202" spans="2:19" hidden="1">
      <c r="B202">
        <f t="shared" si="6"/>
        <v>1996</v>
      </c>
      <c r="C202">
        <f>+'staffing plan'!BK212</f>
        <v>35096</v>
      </c>
      <c r="D202" t="str">
        <f>'staffing plan'!A212</f>
        <v>OSEC-DILGB-ADAS2-74-2005</v>
      </c>
      <c r="E202" t="str">
        <f>+'staffing plan'!B212</f>
        <v>Administrative Assistant II</v>
      </c>
      <c r="F202">
        <f>+'staffing plan'!C212</f>
        <v>8</v>
      </c>
      <c r="G202" s="131">
        <f>+'staffing plan'!AH212</f>
        <v>201096</v>
      </c>
      <c r="H202" s="131">
        <f>+'staffing plan'!AI212</f>
        <v>214176</v>
      </c>
      <c r="I202" s="131">
        <f>+'staffing plan'!AJ212</f>
        <v>8</v>
      </c>
      <c r="J202" t="str">
        <f>+'staffing plan'!AW212</f>
        <v>VICENTE, Dominga Aglano</v>
      </c>
      <c r="K202" t="e">
        <f>+'staffing plan'!#REF!</f>
        <v>#REF!</v>
      </c>
      <c r="L202" t="e">
        <f>+'staffing plan'!#REF!</f>
        <v>#REF!</v>
      </c>
      <c r="M202" t="str">
        <f>+'staffing plan'!AX212</f>
        <v>Benguet</v>
      </c>
      <c r="N202" t="str">
        <f>+'staffing plan'!AY212</f>
        <v>F</v>
      </c>
      <c r="O202" s="145" t="e">
        <f>+'staffing plan'!#REF!</f>
        <v>#REF!</v>
      </c>
      <c r="P202" s="145" t="e">
        <f>+'staffing plan'!#REF!</f>
        <v>#REF!</v>
      </c>
      <c r="Q202" s="145" t="e">
        <f>+'staffing plan'!#REF!</f>
        <v>#REF!</v>
      </c>
      <c r="R202">
        <f>+'staffing plan'!BP212</f>
        <v>0</v>
      </c>
      <c r="S202">
        <v>201</v>
      </c>
    </row>
    <row r="203" spans="2:19">
      <c r="B203">
        <f t="shared" si="6"/>
        <v>2019</v>
      </c>
      <c r="C203">
        <f>+'staffing plan'!BK213</f>
        <v>43544</v>
      </c>
      <c r="D203" t="str">
        <f>'staffing plan'!A213</f>
        <v>OSEC-DILGB-ADAS2-75-2005</v>
      </c>
      <c r="E203" t="str">
        <f>+'staffing plan'!B213</f>
        <v>Administrative Assistant II</v>
      </c>
      <c r="F203">
        <f>+'staffing plan'!C213</f>
        <v>8</v>
      </c>
      <c r="G203" s="131">
        <f>+'staffing plan'!AH213</f>
        <v>201096</v>
      </c>
      <c r="H203" s="131">
        <f>+'staffing plan'!AI213</f>
        <v>201096</v>
      </c>
      <c r="I203" s="131">
        <f>+'staffing plan'!AJ213</f>
        <v>1</v>
      </c>
      <c r="J203" t="str">
        <f>+'staffing plan'!AW213</f>
        <v>KILLIA-EN, Unice Lipawen</v>
      </c>
      <c r="K203" t="e">
        <f>+'staffing plan'!#REF!</f>
        <v>#REF!</v>
      </c>
      <c r="L203" t="e">
        <f>+'staffing plan'!#REF!</f>
        <v>#REF!</v>
      </c>
      <c r="M203" t="str">
        <f>+'staffing plan'!AX213</f>
        <v>Kalinga</v>
      </c>
      <c r="N203" t="str">
        <f>+'staffing plan'!AY213</f>
        <v>F</v>
      </c>
      <c r="O203" s="145" t="e">
        <f>+'staffing plan'!#REF!</f>
        <v>#REF!</v>
      </c>
      <c r="P203" s="145" t="e">
        <f>+'staffing plan'!#REF!</f>
        <v>#REF!</v>
      </c>
      <c r="Q203" s="145" t="e">
        <f>+'staffing plan'!#REF!</f>
        <v>#REF!</v>
      </c>
      <c r="R203">
        <f>+'staffing plan'!BP213</f>
        <v>0</v>
      </c>
      <c r="S203">
        <v>202</v>
      </c>
    </row>
    <row r="204" spans="2:19">
      <c r="B204">
        <f t="shared" si="6"/>
        <v>1997</v>
      </c>
      <c r="C204">
        <f>+'staffing plan'!BK214</f>
        <v>35643</v>
      </c>
      <c r="D204" t="str">
        <f>'staffing plan'!A214</f>
        <v>OSEC-DILGB-ADAS2-76-2005</v>
      </c>
      <c r="E204" t="str">
        <f>+'staffing plan'!B214</f>
        <v>Administrative Assistant II</v>
      </c>
      <c r="F204">
        <f>+'staffing plan'!C214</f>
        <v>8</v>
      </c>
      <c r="G204" s="131">
        <f>+'staffing plan'!AH214</f>
        <v>201096</v>
      </c>
      <c r="H204" s="131">
        <f>+'staffing plan'!AI214</f>
        <v>214176</v>
      </c>
      <c r="I204" s="131">
        <f>+'staffing plan'!AJ214</f>
        <v>8</v>
      </c>
      <c r="J204" t="str">
        <f>+'staffing plan'!AW214</f>
        <v>BINTUDAN, Rosemarie Bumidang</v>
      </c>
      <c r="K204" t="e">
        <f>+'staffing plan'!#REF!</f>
        <v>#REF!</v>
      </c>
      <c r="L204" t="e">
        <f>+'staffing plan'!#REF!</f>
        <v>#REF!</v>
      </c>
      <c r="M204" t="str">
        <f>+'staffing plan'!AX214</f>
        <v>Ifugao</v>
      </c>
      <c r="N204" t="str">
        <f>+'staffing plan'!AY214</f>
        <v>F</v>
      </c>
      <c r="O204" s="145" t="e">
        <f>+'staffing plan'!#REF!</f>
        <v>#REF!</v>
      </c>
      <c r="P204" s="145" t="e">
        <f>+'staffing plan'!#REF!</f>
        <v>#REF!</v>
      </c>
      <c r="Q204" s="145" t="e">
        <f>+'staffing plan'!#REF!</f>
        <v>#REF!</v>
      </c>
      <c r="R204">
        <f>+'staffing plan'!BP214</f>
        <v>0</v>
      </c>
      <c r="S204">
        <v>203</v>
      </c>
    </row>
    <row r="205" spans="2:19">
      <c r="B205">
        <f t="shared" si="6"/>
        <v>2015</v>
      </c>
      <c r="C205">
        <f>+'staffing plan'!BK215</f>
        <v>42289</v>
      </c>
      <c r="D205" t="str">
        <f>'staffing plan'!A215</f>
        <v>OSEC-DILGB-ADAS2-77-2005</v>
      </c>
      <c r="E205" t="str">
        <f>+'staffing plan'!B215</f>
        <v>Administrative Assistant II</v>
      </c>
      <c r="F205">
        <f>+'staffing plan'!C215</f>
        <v>8</v>
      </c>
      <c r="G205" s="131">
        <f>+'staffing plan'!AH215</f>
        <v>201096</v>
      </c>
      <c r="H205" s="131">
        <f>+'staffing plan'!AI215</f>
        <v>202920</v>
      </c>
      <c r="I205" s="131">
        <f>+'staffing plan'!AJ215</f>
        <v>2</v>
      </c>
      <c r="J205" t="str">
        <f>+'staffing plan'!AW215</f>
        <v>GALLEMA, Michelle  Ignacio</v>
      </c>
      <c r="K205" t="e">
        <f>+'staffing plan'!#REF!</f>
        <v>#REF!</v>
      </c>
      <c r="L205" t="e">
        <f>+'staffing plan'!#REF!</f>
        <v>#REF!</v>
      </c>
      <c r="M205" t="str">
        <f>+'staffing plan'!AX215</f>
        <v>Kalinga</v>
      </c>
      <c r="N205" t="str">
        <f>+'staffing plan'!AY215</f>
        <v>F</v>
      </c>
      <c r="O205" s="145" t="e">
        <f>+'staffing plan'!#REF!</f>
        <v>#REF!</v>
      </c>
      <c r="P205" s="145" t="e">
        <f>+'staffing plan'!#REF!</f>
        <v>#REF!</v>
      </c>
      <c r="Q205" s="145" t="e">
        <f>+'staffing plan'!#REF!</f>
        <v>#REF!</v>
      </c>
      <c r="R205">
        <f>+'staffing plan'!BP215</f>
        <v>0</v>
      </c>
      <c r="S205">
        <v>204</v>
      </c>
    </row>
    <row r="206" spans="2:19" hidden="1">
      <c r="B206">
        <f t="shared" si="6"/>
        <v>1996</v>
      </c>
      <c r="C206">
        <f>+'staffing plan'!BK216</f>
        <v>35254</v>
      </c>
      <c r="D206" t="str">
        <f>'staffing plan'!A216</f>
        <v>OSEC-DILGB-ADAS2-78-2005</v>
      </c>
      <c r="E206" t="str">
        <f>+'staffing plan'!B216</f>
        <v>Administrative Assistant II</v>
      </c>
      <c r="F206">
        <f>+'staffing plan'!C216</f>
        <v>8</v>
      </c>
      <c r="G206" s="131">
        <f>+'staffing plan'!AH216</f>
        <v>201096</v>
      </c>
      <c r="H206" s="131">
        <f>+'staffing plan'!AI216</f>
        <v>214176</v>
      </c>
      <c r="I206" s="131">
        <f>+'staffing plan'!AJ216</f>
        <v>8</v>
      </c>
      <c r="J206" t="str">
        <f>+'staffing plan'!AW216</f>
        <v>TAMOT, Judith Bermejo</v>
      </c>
      <c r="K206" t="e">
        <f>+'staffing plan'!#REF!</f>
        <v>#REF!</v>
      </c>
      <c r="L206" t="e">
        <f>+'staffing plan'!#REF!</f>
        <v>#REF!</v>
      </c>
      <c r="M206" t="str">
        <f>+'staffing plan'!AX216</f>
        <v>Apayao</v>
      </c>
      <c r="N206" t="str">
        <f>+'staffing plan'!AY216</f>
        <v>F</v>
      </c>
      <c r="O206" s="145" t="e">
        <f>+'staffing plan'!#REF!</f>
        <v>#REF!</v>
      </c>
      <c r="P206" s="145" t="e">
        <f>+'staffing plan'!#REF!</f>
        <v>#REF!</v>
      </c>
      <c r="Q206" s="145" t="e">
        <f>+'staffing plan'!#REF!</f>
        <v>#REF!</v>
      </c>
      <c r="R206">
        <f>+'staffing plan'!BP216</f>
        <v>0</v>
      </c>
      <c r="S206">
        <v>205</v>
      </c>
    </row>
    <row r="207" spans="2:19" hidden="1">
      <c r="B207">
        <f t="shared" si="6"/>
        <v>1975</v>
      </c>
      <c r="C207">
        <f>+'staffing plan'!BK217</f>
        <v>27442</v>
      </c>
      <c r="D207" t="str">
        <f>'staffing plan'!A217</f>
        <v>OSEC-DILGB-ADA6-95-2005</v>
      </c>
      <c r="E207" t="str">
        <f>+'staffing plan'!B217</f>
        <v>Administrative Aide VI</v>
      </c>
      <c r="F207">
        <f>+'staffing plan'!C217</f>
        <v>6</v>
      </c>
      <c r="G207" s="131">
        <f>+'staffing plan'!AH217</f>
        <v>178164</v>
      </c>
      <c r="H207" s="131">
        <f>+'staffing plan'!AI217</f>
        <v>187968</v>
      </c>
      <c r="I207" s="131">
        <f>+'staffing plan'!AJ217</f>
        <v>8</v>
      </c>
      <c r="J207" t="str">
        <f>+'staffing plan'!AW217</f>
        <v>DEDUQUE, Katherine  Pablo</v>
      </c>
      <c r="K207" t="e">
        <f>+'staffing plan'!#REF!</f>
        <v>#REF!</v>
      </c>
      <c r="L207" t="e">
        <f>+'staffing plan'!#REF!</f>
        <v>#REF!</v>
      </c>
      <c r="M207" t="str">
        <f>+'staffing plan'!AX217</f>
        <v>Regional Office</v>
      </c>
      <c r="N207" t="str">
        <f>+'staffing plan'!AY217</f>
        <v>F</v>
      </c>
      <c r="O207" s="145" t="e">
        <f>+'staffing plan'!#REF!</f>
        <v>#REF!</v>
      </c>
      <c r="P207" s="145" t="e">
        <f>+'staffing plan'!#REF!</f>
        <v>#REF!</v>
      </c>
      <c r="Q207" s="145" t="e">
        <f>+'staffing plan'!#REF!</f>
        <v>#REF!</v>
      </c>
      <c r="R207">
        <f>+'staffing plan'!BP217</f>
        <v>0</v>
      </c>
      <c r="S207">
        <v>206</v>
      </c>
    </row>
    <row r="208" spans="2:19">
      <c r="B208">
        <f t="shared" si="6"/>
        <v>2015</v>
      </c>
      <c r="C208">
        <f>+'staffing plan'!BK218</f>
        <v>42357</v>
      </c>
      <c r="D208" t="str">
        <f>'staffing plan'!A218</f>
        <v>OSEC-DILGB-ADA6-99-2005</v>
      </c>
      <c r="E208" t="str">
        <f>+'staffing plan'!B218</f>
        <v>Administrative Aide VI</v>
      </c>
      <c r="F208">
        <f>+'staffing plan'!C218</f>
        <v>6</v>
      </c>
      <c r="G208" s="131">
        <f>+'staffing plan'!AH218</f>
        <v>178164</v>
      </c>
      <c r="H208" s="131">
        <f>+'staffing plan'!AI218</f>
        <v>179532</v>
      </c>
      <c r="I208" s="131">
        <f>+'staffing plan'!AJ218</f>
        <v>2</v>
      </c>
      <c r="J208" t="str">
        <f>+'staffing plan'!AW218</f>
        <v>TAN, Corinne Marie Pauline Elveña</v>
      </c>
      <c r="K208" t="e">
        <f>+'staffing plan'!#REF!</f>
        <v>#REF!</v>
      </c>
      <c r="L208" t="e">
        <f>+'staffing plan'!#REF!</f>
        <v>#REF!</v>
      </c>
      <c r="M208" t="str">
        <f>+'staffing plan'!AX218</f>
        <v>Abra</v>
      </c>
      <c r="N208" t="str">
        <f>+'staffing plan'!AY218</f>
        <v>F</v>
      </c>
      <c r="O208" s="145" t="e">
        <f>+'staffing plan'!#REF!</f>
        <v>#REF!</v>
      </c>
      <c r="P208" s="145" t="e">
        <f>+'staffing plan'!#REF!</f>
        <v>#REF!</v>
      </c>
      <c r="Q208" s="145" t="e">
        <f>+'staffing plan'!#REF!</f>
        <v>#REF!</v>
      </c>
      <c r="R208">
        <f>+'staffing plan'!BP218</f>
        <v>0</v>
      </c>
      <c r="S208">
        <v>207</v>
      </c>
    </row>
    <row r="209" spans="2:19" hidden="1">
      <c r="B209">
        <f t="shared" si="6"/>
        <v>1993</v>
      </c>
      <c r="C209">
        <f>+'staffing plan'!BK219</f>
        <v>34151</v>
      </c>
      <c r="D209" t="str">
        <f>'staffing plan'!A219</f>
        <v>OSEC-DILGB-ADA6-100-2005</v>
      </c>
      <c r="E209" t="str">
        <f>+'staffing plan'!B219</f>
        <v>Administrative Aide VI</v>
      </c>
      <c r="F209">
        <f>+'staffing plan'!C219</f>
        <v>6</v>
      </c>
      <c r="G209" s="131">
        <f>+'staffing plan'!AH219</f>
        <v>178164</v>
      </c>
      <c r="H209" s="131">
        <f>+'staffing plan'!AI219</f>
        <v>187968</v>
      </c>
      <c r="I209" s="131">
        <f>+'staffing plan'!AJ219</f>
        <v>8</v>
      </c>
      <c r="J209" t="str">
        <f>+'staffing plan'!AW219</f>
        <v>LUCIO, Arthur Ambros</v>
      </c>
      <c r="K209" t="e">
        <f>+'staffing plan'!#REF!</f>
        <v>#REF!</v>
      </c>
      <c r="L209" t="e">
        <f>+'staffing plan'!#REF!</f>
        <v>#REF!</v>
      </c>
      <c r="M209" t="str">
        <f>+'staffing plan'!AX219</f>
        <v>Benguet</v>
      </c>
      <c r="N209" t="str">
        <f>+'staffing plan'!AY219</f>
        <v>M</v>
      </c>
      <c r="O209" s="145" t="e">
        <f>+'staffing plan'!#REF!</f>
        <v>#REF!</v>
      </c>
      <c r="P209" s="145" t="e">
        <f>+'staffing plan'!#REF!</f>
        <v>#REF!</v>
      </c>
      <c r="Q209" s="145" t="e">
        <f>+'staffing plan'!#REF!</f>
        <v>#REF!</v>
      </c>
      <c r="R209">
        <f>+'staffing plan'!BP219</f>
        <v>0</v>
      </c>
      <c r="S209">
        <v>208</v>
      </c>
    </row>
    <row r="210" spans="2:19" hidden="1">
      <c r="B210">
        <f t="shared" si="6"/>
        <v>1900</v>
      </c>
      <c r="C210">
        <f>+'staffing plan'!BK220</f>
        <v>0</v>
      </c>
      <c r="D210" t="str">
        <f>'staffing plan'!A220</f>
        <v>OSEC-DILGB-ADA6-101-2005</v>
      </c>
      <c r="E210" t="str">
        <f>+'staffing plan'!B220</f>
        <v>Administrative Aide VI</v>
      </c>
      <c r="F210">
        <f>+'staffing plan'!C220</f>
        <v>6</v>
      </c>
      <c r="G210" s="131">
        <f>+'staffing plan'!AH220</f>
        <v>178164</v>
      </c>
      <c r="H210" s="131">
        <f>+'staffing plan'!AI220</f>
        <v>0</v>
      </c>
      <c r="I210" s="131">
        <f>+'staffing plan'!AJ220</f>
        <v>0</v>
      </c>
      <c r="J210" t="str">
        <f>+'staffing plan'!AW220</f>
        <v xml:space="preserve">vacant FABAG,  </v>
      </c>
      <c r="K210" t="e">
        <f>+'staffing plan'!#REF!</f>
        <v>#REF!</v>
      </c>
      <c r="L210" t="e">
        <f>+'staffing plan'!#REF!</f>
        <v>#REF!</v>
      </c>
      <c r="M210">
        <f>+'staffing plan'!AX220</f>
        <v>0</v>
      </c>
      <c r="N210">
        <f>+'staffing plan'!AY220</f>
        <v>0</v>
      </c>
      <c r="O210" s="145" t="e">
        <f>+'staffing plan'!#REF!</f>
        <v>#REF!</v>
      </c>
      <c r="P210" s="145" t="e">
        <f>+'staffing plan'!#REF!</f>
        <v>#REF!</v>
      </c>
      <c r="Q210" s="145" t="e">
        <f>+'staffing plan'!#REF!</f>
        <v>#REF!</v>
      </c>
      <c r="R210">
        <f>+'staffing plan'!BP220</f>
        <v>0</v>
      </c>
      <c r="S210">
        <v>209</v>
      </c>
    </row>
    <row r="211" spans="2:19" hidden="1">
      <c r="B211">
        <f t="shared" si="6"/>
        <v>1989</v>
      </c>
      <c r="C211">
        <f>+'staffing plan'!BK221</f>
        <v>32672</v>
      </c>
      <c r="D211" t="str">
        <f>'staffing plan'!A221</f>
        <v>OSEC-DILGB-ADA6-102-2005</v>
      </c>
      <c r="E211" t="str">
        <f>+'staffing plan'!B221</f>
        <v>Administrative Aide VI</v>
      </c>
      <c r="F211">
        <f>+'staffing plan'!C221</f>
        <v>6</v>
      </c>
      <c r="G211" s="131">
        <f>+'staffing plan'!AH221</f>
        <v>178164</v>
      </c>
      <c r="H211" s="131">
        <f>+'staffing plan'!AI221</f>
        <v>187968</v>
      </c>
      <c r="I211" s="131">
        <f>+'staffing plan'!AJ221</f>
        <v>8</v>
      </c>
      <c r="J211" t="str">
        <f>+'staffing plan'!AW221</f>
        <v>GONZALES, Marlene Castro</v>
      </c>
      <c r="K211" t="e">
        <f>+'staffing plan'!#REF!</f>
        <v>#REF!</v>
      </c>
      <c r="L211" t="e">
        <f>+'staffing plan'!#REF!</f>
        <v>#REF!</v>
      </c>
      <c r="M211" t="str">
        <f>+'staffing plan'!AX221</f>
        <v>Regional Office</v>
      </c>
      <c r="N211" t="str">
        <f>+'staffing plan'!AY221</f>
        <v>F</v>
      </c>
      <c r="O211" s="145" t="e">
        <f>+'staffing plan'!#REF!</f>
        <v>#REF!</v>
      </c>
      <c r="P211" s="145" t="e">
        <f>+'staffing plan'!#REF!</f>
        <v>#REF!</v>
      </c>
      <c r="Q211" s="145" t="e">
        <f>+'staffing plan'!#REF!</f>
        <v>#REF!</v>
      </c>
      <c r="R211">
        <f>+'staffing plan'!BP221</f>
        <v>0</v>
      </c>
      <c r="S211">
        <v>210</v>
      </c>
    </row>
    <row r="212" spans="2:19" hidden="1">
      <c r="B212">
        <f t="shared" si="6"/>
        <v>1994</v>
      </c>
      <c r="C212">
        <f>+'staffing plan'!BK222</f>
        <v>34408</v>
      </c>
      <c r="D212" t="str">
        <f>'staffing plan'!A222</f>
        <v>OSEC-DILGB-ADA6-103-2005</v>
      </c>
      <c r="E212" t="str">
        <f>+'staffing plan'!B222</f>
        <v>Administrative Aide VI</v>
      </c>
      <c r="F212">
        <f>+'staffing plan'!C222</f>
        <v>6</v>
      </c>
      <c r="G212" s="131">
        <f>+'staffing plan'!AH222</f>
        <v>178164</v>
      </c>
      <c r="H212" s="131">
        <f>+'staffing plan'!AI222</f>
        <v>187968</v>
      </c>
      <c r="I212" s="131">
        <f>+'staffing plan'!AJ222</f>
        <v>8</v>
      </c>
      <c r="J212" t="str">
        <f>+'staffing plan'!AW222</f>
        <v>BACDAYAN, Wilfred Ramirez</v>
      </c>
      <c r="K212" t="e">
        <f>+'staffing plan'!#REF!</f>
        <v>#REF!</v>
      </c>
      <c r="L212" t="e">
        <f>+'staffing plan'!#REF!</f>
        <v>#REF!</v>
      </c>
      <c r="M212" t="str">
        <f>+'staffing plan'!AX222</f>
        <v>Kalinga</v>
      </c>
      <c r="N212" t="str">
        <f>+'staffing plan'!AY222</f>
        <v>M</v>
      </c>
      <c r="O212" s="145" t="e">
        <f>+'staffing plan'!#REF!</f>
        <v>#REF!</v>
      </c>
      <c r="P212" s="145" t="e">
        <f>+'staffing plan'!#REF!</f>
        <v>#REF!</v>
      </c>
      <c r="Q212" s="145" t="e">
        <f>+'staffing plan'!#REF!</f>
        <v>#REF!</v>
      </c>
      <c r="R212">
        <f>+'staffing plan'!BP222</f>
        <v>0</v>
      </c>
      <c r="S212">
        <v>211</v>
      </c>
    </row>
    <row r="213" spans="2:19" hidden="1">
      <c r="B213">
        <f t="shared" si="6"/>
        <v>1900</v>
      </c>
      <c r="C213">
        <f>+'staffing plan'!BK240</f>
        <v>0</v>
      </c>
      <c r="D213" t="str">
        <f>'staffing plan'!A240</f>
        <v>OSEC-DILGB-ADA4-___-20__</v>
      </c>
      <c r="E213" t="str">
        <f>+'staffing plan'!B240</f>
        <v>Administrative Aide VI</v>
      </c>
      <c r="F213">
        <f>+'staffing plan'!C240</f>
        <v>4</v>
      </c>
      <c r="G213" s="131">
        <f>+'staffing plan'!AH240</f>
        <v>158568</v>
      </c>
      <c r="H213" s="131">
        <f>+'staffing plan'!AI240</f>
        <v>0</v>
      </c>
      <c r="I213" s="131">
        <f>+'staffing plan'!AJ240</f>
        <v>0</v>
      </c>
      <c r="J213" t="str">
        <f>+'staffing plan'!AW240</f>
        <v>vacant Still no NOSCA
WITH PENDING REQUEST</v>
      </c>
      <c r="K213" t="e">
        <f>+'staffing plan'!#REF!</f>
        <v>#REF!</v>
      </c>
      <c r="L213" t="e">
        <f>+'staffing plan'!#REF!</f>
        <v>#REF!</v>
      </c>
      <c r="M213">
        <f>+'staffing plan'!AX240</f>
        <v>0</v>
      </c>
      <c r="N213">
        <f>+'staffing plan'!AY240</f>
        <v>0</v>
      </c>
      <c r="O213" s="145" t="e">
        <f>+'staffing plan'!#REF!</f>
        <v>#REF!</v>
      </c>
      <c r="P213" s="145" t="e">
        <f>+'staffing plan'!#REF!</f>
        <v>#REF!</v>
      </c>
      <c r="Q213" s="145" t="e">
        <f>+'staffing plan'!#REF!</f>
        <v>#REF!</v>
      </c>
      <c r="R213">
        <f>+'staffing plan'!BP240</f>
        <v>0</v>
      </c>
      <c r="S213">
        <v>212</v>
      </c>
    </row>
    <row r="214" spans="2:19">
      <c r="B214">
        <f t="shared" si="6"/>
        <v>1900</v>
      </c>
      <c r="C214">
        <f>+'staffing plan'!BK223</f>
        <v>0</v>
      </c>
      <c r="D214" t="str">
        <f>'staffing plan'!A223</f>
        <v>OSEC-DILGB-ADA4-88-2005</v>
      </c>
      <c r="E214" t="str">
        <f>+'staffing plan'!B223</f>
        <v>Administrative Aide IV</v>
      </c>
      <c r="F214">
        <f>+'staffing plan'!C223</f>
        <v>4</v>
      </c>
      <c r="G214" s="131">
        <f>+'staffing plan'!AH223</f>
        <v>158568</v>
      </c>
      <c r="H214" s="131">
        <f>+'staffing plan'!AI223</f>
        <v>0</v>
      </c>
      <c r="I214" s="131">
        <f>+'staffing plan'!AJ223</f>
        <v>0</v>
      </c>
      <c r="J214" t="str">
        <f>+'staffing plan'!AW223</f>
        <v xml:space="preserve">Vacant ANUA,  </v>
      </c>
      <c r="K214" t="e">
        <f>+'staffing plan'!#REF!</f>
        <v>#REF!</v>
      </c>
      <c r="L214" t="e">
        <f>+'staffing plan'!#REF!</f>
        <v>#REF!</v>
      </c>
      <c r="M214">
        <f>+'staffing plan'!AX223</f>
        <v>0</v>
      </c>
      <c r="N214">
        <f>+'staffing plan'!AY223</f>
        <v>0</v>
      </c>
      <c r="O214" s="145" t="e">
        <f>+'staffing plan'!#REF!</f>
        <v>#REF!</v>
      </c>
      <c r="P214" s="145" t="e">
        <f>+'staffing plan'!#REF!</f>
        <v>#REF!</v>
      </c>
      <c r="Q214" s="145" t="e">
        <f>+'staffing plan'!#REF!</f>
        <v>#REF!</v>
      </c>
      <c r="R214">
        <f>+'staffing plan'!BP223</f>
        <v>0</v>
      </c>
      <c r="S214">
        <v>213</v>
      </c>
    </row>
    <row r="215" spans="2:19" hidden="1">
      <c r="B215">
        <f t="shared" ref="B215:B230" si="7">(YEAR(C215))</f>
        <v>2016</v>
      </c>
      <c r="C215">
        <f>+'staffing plan'!BK224</f>
        <v>42452</v>
      </c>
      <c r="D215" t="str">
        <f>'staffing plan'!A224</f>
        <v>OSEC-DILGB-ADA4-89-2005</v>
      </c>
      <c r="E215" t="str">
        <f>+'staffing plan'!B224</f>
        <v>Administrative Aide IV</v>
      </c>
      <c r="F215">
        <f>+'staffing plan'!C224</f>
        <v>4</v>
      </c>
      <c r="G215" s="131">
        <f>+'staffing plan'!AH224</f>
        <v>158568</v>
      </c>
      <c r="H215" s="131">
        <f>+'staffing plan'!AI224</f>
        <v>158568</v>
      </c>
      <c r="I215" s="131">
        <f>+'staffing plan'!AJ224</f>
        <v>1</v>
      </c>
      <c r="J215" t="str">
        <f>+'staffing plan'!AW224</f>
        <v>PAZ, Daryll Jane Trinidad</v>
      </c>
      <c r="K215" t="e">
        <f>+'staffing plan'!#REF!</f>
        <v>#REF!</v>
      </c>
      <c r="L215" t="e">
        <f>+'staffing plan'!#REF!</f>
        <v>#REF!</v>
      </c>
      <c r="M215" t="str">
        <f>+'staffing plan'!AX224</f>
        <v>Abra</v>
      </c>
      <c r="N215" t="str">
        <f>+'staffing plan'!AY224</f>
        <v>F</v>
      </c>
      <c r="O215" s="145" t="e">
        <f>+'staffing plan'!#REF!</f>
        <v>#REF!</v>
      </c>
      <c r="P215" s="145" t="e">
        <f>+'staffing plan'!#REF!</f>
        <v>#REF!</v>
      </c>
      <c r="Q215" s="145" t="e">
        <f>+'staffing plan'!#REF!</f>
        <v>#REF!</v>
      </c>
      <c r="R215" t="str">
        <f>+'staffing plan'!BP224</f>
        <v>change of item 1-25-18</v>
      </c>
      <c r="S215">
        <v>214</v>
      </c>
    </row>
    <row r="216" spans="2:19" hidden="1">
      <c r="B216">
        <f t="shared" si="7"/>
        <v>1998</v>
      </c>
      <c r="C216">
        <f>+'staffing plan'!BK225</f>
        <v>36115</v>
      </c>
      <c r="D216" t="str">
        <f>'staffing plan'!A225</f>
        <v>OSEC-DILGB-ADA4-90-2005</v>
      </c>
      <c r="E216" t="str">
        <f>+'staffing plan'!B225</f>
        <v>Administrative Aide IV</v>
      </c>
      <c r="F216">
        <f>+'staffing plan'!C225</f>
        <v>4</v>
      </c>
      <c r="G216" s="131">
        <f>+'staffing plan'!AH225</f>
        <v>158568</v>
      </c>
      <c r="H216" s="131">
        <f>+'staffing plan'!AI225</f>
        <v>166020</v>
      </c>
      <c r="I216" s="131">
        <f>+'staffing plan'!AJ225</f>
        <v>7</v>
      </c>
      <c r="J216" t="str">
        <f>+'staffing plan'!AW225</f>
        <v>BALASO, Gina Garcia</v>
      </c>
      <c r="K216" t="e">
        <f>+'staffing plan'!#REF!</f>
        <v>#REF!</v>
      </c>
      <c r="L216" t="e">
        <f>+'staffing plan'!#REF!</f>
        <v>#REF!</v>
      </c>
      <c r="M216" t="str">
        <f>+'staffing plan'!AX225</f>
        <v>Benguet</v>
      </c>
      <c r="N216" t="str">
        <f>+'staffing plan'!AY225</f>
        <v>F</v>
      </c>
      <c r="O216" s="145" t="e">
        <f>+'staffing plan'!#REF!</f>
        <v>#REF!</v>
      </c>
      <c r="P216" s="145" t="e">
        <f>+'staffing plan'!#REF!</f>
        <v>#REF!</v>
      </c>
      <c r="Q216" s="145" t="e">
        <f>+'staffing plan'!#REF!</f>
        <v>#REF!</v>
      </c>
      <c r="R216">
        <f>+'staffing plan'!BP225</f>
        <v>0</v>
      </c>
      <c r="S216">
        <v>215</v>
      </c>
    </row>
    <row r="217" spans="2:19" hidden="1">
      <c r="B217">
        <f t="shared" si="7"/>
        <v>2018</v>
      </c>
      <c r="C217">
        <f>+'staffing plan'!BK226</f>
        <v>43193</v>
      </c>
      <c r="D217" t="str">
        <f>'staffing plan'!A226</f>
        <v>OSEC-DILGB-ADA4-91-2005</v>
      </c>
      <c r="E217" t="str">
        <f>+'staffing plan'!B226</f>
        <v>Administrative Aide IV</v>
      </c>
      <c r="F217">
        <f>+'staffing plan'!C226</f>
        <v>4</v>
      </c>
      <c r="G217" s="131">
        <f>+'staffing plan'!AH226</f>
        <v>158568</v>
      </c>
      <c r="H217" s="131">
        <f>+'staffing plan'!AI226</f>
        <v>158568</v>
      </c>
      <c r="I217" s="131">
        <f>+'staffing plan'!AJ226</f>
        <v>1</v>
      </c>
      <c r="J217" t="str">
        <f>+'staffing plan'!AW226</f>
        <v>LOMAS-E, Rose Mere Manarop</v>
      </c>
      <c r="K217" t="e">
        <f>+'staffing plan'!#REF!</f>
        <v>#REF!</v>
      </c>
      <c r="L217" t="e">
        <f>+'staffing plan'!#REF!</f>
        <v>#REF!</v>
      </c>
      <c r="M217" t="str">
        <f>+'staffing plan'!AX226</f>
        <v>Mt. Province</v>
      </c>
      <c r="N217" t="str">
        <f>+'staffing plan'!AY226</f>
        <v>F</v>
      </c>
      <c r="O217" s="145" t="e">
        <f>+'staffing plan'!#REF!</f>
        <v>#REF!</v>
      </c>
      <c r="P217" s="145" t="e">
        <f>+'staffing plan'!#REF!</f>
        <v>#REF!</v>
      </c>
      <c r="Q217" s="145" t="e">
        <f>+'staffing plan'!#REF!</f>
        <v>#REF!</v>
      </c>
      <c r="R217" t="str">
        <f>+'staffing plan'!BP226</f>
        <v>MP Prov</v>
      </c>
      <c r="S217">
        <v>216</v>
      </c>
    </row>
    <row r="218" spans="2:19">
      <c r="B218">
        <f t="shared" si="7"/>
        <v>2015</v>
      </c>
      <c r="C218">
        <f>+'staffing plan'!BK227</f>
        <v>42289</v>
      </c>
      <c r="D218" t="str">
        <f>'staffing plan'!A227</f>
        <v>OSEC-DILGB-ADA4-92-2005</v>
      </c>
      <c r="E218" t="str">
        <f>+'staffing plan'!B227</f>
        <v>Administrative Aide IV</v>
      </c>
      <c r="F218">
        <f>+'staffing plan'!C227</f>
        <v>4</v>
      </c>
      <c r="G218" s="131">
        <f>+'staffing plan'!AH227</f>
        <v>158568</v>
      </c>
      <c r="H218" s="131">
        <f>+'staffing plan'!AI227</f>
        <v>159792</v>
      </c>
      <c r="I218" s="131">
        <f>+'staffing plan'!AJ227</f>
        <v>2</v>
      </c>
      <c r="J218" t="str">
        <f>+'staffing plan'!AW227</f>
        <v>PATAUEG, Clifford Pungod</v>
      </c>
      <c r="K218" t="e">
        <f>+'staffing plan'!#REF!</f>
        <v>#REF!</v>
      </c>
      <c r="L218" t="e">
        <f>+'staffing plan'!#REF!</f>
        <v>#REF!</v>
      </c>
      <c r="M218" t="str">
        <f>+'staffing plan'!AX227</f>
        <v>Ifugao</v>
      </c>
      <c r="N218" t="str">
        <f>+'staffing plan'!AY227</f>
        <v>M</v>
      </c>
      <c r="O218" s="145" t="e">
        <f>+'staffing plan'!#REF!</f>
        <v>#REF!</v>
      </c>
      <c r="P218" s="145" t="e">
        <f>+'staffing plan'!#REF!</f>
        <v>#REF!</v>
      </c>
      <c r="Q218" s="145" t="e">
        <f>+'staffing plan'!#REF!</f>
        <v>#REF!</v>
      </c>
      <c r="R218" t="str">
        <f>+'staffing plan'!BP227</f>
        <v>Nurse</v>
      </c>
      <c r="S218">
        <v>217</v>
      </c>
    </row>
    <row r="219" spans="2:19" hidden="1">
      <c r="B219">
        <f t="shared" si="7"/>
        <v>2018</v>
      </c>
      <c r="C219">
        <f>+'staffing plan'!BK228</f>
        <v>43193</v>
      </c>
      <c r="D219" t="str">
        <f>'staffing plan'!A228</f>
        <v>OSEC-DILGB-ADA4-93-2005</v>
      </c>
      <c r="E219" t="str">
        <f>+'staffing plan'!B228</f>
        <v>Administrative Aide IV</v>
      </c>
      <c r="F219">
        <f>+'staffing plan'!C228</f>
        <v>4</v>
      </c>
      <c r="G219" s="131">
        <f>+'staffing plan'!AH228</f>
        <v>158568</v>
      </c>
      <c r="H219" s="131">
        <f>+'staffing plan'!AI228</f>
        <v>158568</v>
      </c>
      <c r="I219" s="131">
        <f>+'staffing plan'!AJ228</f>
        <v>1</v>
      </c>
      <c r="J219" t="str">
        <f>+'staffing plan'!AW228</f>
        <v>CAMPO, Nilo Palsic</v>
      </c>
      <c r="K219" t="e">
        <f>+'staffing plan'!#REF!</f>
        <v>#REF!</v>
      </c>
      <c r="L219" t="e">
        <f>+'staffing plan'!#REF!</f>
        <v>#REF!</v>
      </c>
      <c r="M219" t="str">
        <f>+'staffing plan'!AX228</f>
        <v>Apayao</v>
      </c>
      <c r="N219" t="str">
        <f>+'staffing plan'!AY228</f>
        <v>M</v>
      </c>
      <c r="O219" s="145" t="e">
        <f>+'staffing plan'!#REF!</f>
        <v>#REF!</v>
      </c>
      <c r="P219" s="145" t="e">
        <f>+'staffing plan'!#REF!</f>
        <v>#REF!</v>
      </c>
      <c r="Q219" s="145" t="e">
        <f>+'staffing plan'!#REF!</f>
        <v>#REF!</v>
      </c>
      <c r="R219" t="str">
        <f>+'staffing plan'!BP228</f>
        <v>apayao</v>
      </c>
      <c r="S219">
        <v>218</v>
      </c>
    </row>
    <row r="220" spans="2:19">
      <c r="B220">
        <f t="shared" si="7"/>
        <v>2012</v>
      </c>
      <c r="C220">
        <f>+'staffing plan'!BK229</f>
        <v>40910</v>
      </c>
      <c r="D220" t="str">
        <f>'staffing plan'!A229</f>
        <v>OSEC-DILGB-ADA4-94-2005</v>
      </c>
      <c r="E220" t="str">
        <f>+'staffing plan'!B229</f>
        <v>Administrative Aide IV</v>
      </c>
      <c r="F220">
        <f>+'staffing plan'!C229</f>
        <v>4</v>
      </c>
      <c r="G220" s="131">
        <f>+'staffing plan'!AH229</f>
        <v>158568</v>
      </c>
      <c r="H220" s="131">
        <f>+'staffing plan'!AI229</f>
        <v>161016</v>
      </c>
      <c r="I220" s="131">
        <f>+'staffing plan'!AJ229</f>
        <v>3</v>
      </c>
      <c r="J220" t="str">
        <f>+'staffing plan'!AW229</f>
        <v>ANGAWA, Lilet Ahuday</v>
      </c>
      <c r="K220" t="e">
        <f>+'staffing plan'!#REF!</f>
        <v>#REF!</v>
      </c>
      <c r="L220" t="e">
        <f>+'staffing plan'!#REF!</f>
        <v>#REF!</v>
      </c>
      <c r="M220" t="str">
        <f>+'staffing plan'!AX229</f>
        <v>Baguio City</v>
      </c>
      <c r="N220" t="str">
        <f>+'staffing plan'!AY229</f>
        <v>F</v>
      </c>
      <c r="O220" s="145" t="e">
        <f>+'staffing plan'!#REF!</f>
        <v>#REF!</v>
      </c>
      <c r="P220" s="145" t="e">
        <f>+'staffing plan'!#REF!</f>
        <v>#REF!</v>
      </c>
      <c r="Q220" s="145" t="e">
        <f>+'staffing plan'!#REF!</f>
        <v>#REF!</v>
      </c>
      <c r="R220">
        <f>+'staffing plan'!BP229</f>
        <v>0</v>
      </c>
      <c r="S220">
        <v>219</v>
      </c>
    </row>
    <row r="221" spans="2:19" hidden="1">
      <c r="B221">
        <f t="shared" si="7"/>
        <v>2002</v>
      </c>
      <c r="C221">
        <f>+'staffing plan'!BK230</f>
        <v>37305</v>
      </c>
      <c r="D221" t="str">
        <f>'staffing plan'!A230</f>
        <v>OSEC-DILGB-ADA3-62-2005</v>
      </c>
      <c r="E221" t="str">
        <f>+'staffing plan'!B230</f>
        <v>Administrative Aide III</v>
      </c>
      <c r="F221">
        <f>+'staffing plan'!C230</f>
        <v>3</v>
      </c>
      <c r="G221" s="131">
        <f>+'staffing plan'!AH230</f>
        <v>149592</v>
      </c>
      <c r="H221" s="131">
        <f>+'staffing plan'!AI230</f>
        <v>155424</v>
      </c>
      <c r="I221" s="131">
        <f>+'staffing plan'!AJ230</f>
        <v>6</v>
      </c>
      <c r="J221" t="str">
        <f>+'staffing plan'!AW230</f>
        <v>MICU, Benelito de Jesus</v>
      </c>
      <c r="K221" t="e">
        <f>+'staffing plan'!#REF!</f>
        <v>#REF!</v>
      </c>
      <c r="L221" t="e">
        <f>+'staffing plan'!#REF!</f>
        <v>#REF!</v>
      </c>
      <c r="M221" t="str">
        <f>+'staffing plan'!AX230</f>
        <v>Apayao</v>
      </c>
      <c r="N221" t="str">
        <f>+'staffing plan'!AY230</f>
        <v>M</v>
      </c>
      <c r="O221" s="145" t="e">
        <f>+'staffing plan'!#REF!</f>
        <v>#REF!</v>
      </c>
      <c r="P221" s="145" t="e">
        <f>+'staffing plan'!#REF!</f>
        <v>#REF!</v>
      </c>
      <c r="Q221" s="145" t="e">
        <f>+'staffing plan'!#REF!</f>
        <v>#REF!</v>
      </c>
      <c r="R221">
        <f>+'staffing plan'!BP230</f>
        <v>0</v>
      </c>
      <c r="S221">
        <v>220</v>
      </c>
    </row>
    <row r="222" spans="2:19" hidden="1">
      <c r="B222">
        <f t="shared" si="7"/>
        <v>1989</v>
      </c>
      <c r="C222">
        <f>+'staffing plan'!BK231</f>
        <v>32580</v>
      </c>
      <c r="D222" t="str">
        <f>'staffing plan'!A231</f>
        <v>OSEC-DILGB-ADA3-63-2005</v>
      </c>
      <c r="E222" t="str">
        <f>+'staffing plan'!B231</f>
        <v>Administrative Aide III</v>
      </c>
      <c r="F222">
        <f>+'staffing plan'!C231</f>
        <v>3</v>
      </c>
      <c r="G222" s="131">
        <f>+'staffing plan'!AH231</f>
        <v>149592</v>
      </c>
      <c r="H222" s="131">
        <f>+'staffing plan'!AI231</f>
        <v>157824</v>
      </c>
      <c r="I222" s="131">
        <f>+'staffing plan'!AJ231</f>
        <v>8</v>
      </c>
      <c r="J222" t="str">
        <f>+'staffing plan'!AW231</f>
        <v>BRIONES, Rolando Atmosfera</v>
      </c>
      <c r="K222" t="e">
        <f>+'staffing plan'!#REF!</f>
        <v>#REF!</v>
      </c>
      <c r="L222" t="e">
        <f>+'staffing plan'!#REF!</f>
        <v>#REF!</v>
      </c>
      <c r="M222" t="str">
        <f>+'staffing plan'!AX231</f>
        <v>Abra</v>
      </c>
      <c r="N222" t="str">
        <f>+'staffing plan'!AY231</f>
        <v>M</v>
      </c>
      <c r="O222" s="145" t="e">
        <f>+'staffing plan'!#REF!</f>
        <v>#REF!</v>
      </c>
      <c r="P222" s="145" t="e">
        <f>+'staffing plan'!#REF!</f>
        <v>#REF!</v>
      </c>
      <c r="Q222" s="145" t="e">
        <f>+'staffing plan'!#REF!</f>
        <v>#REF!</v>
      </c>
      <c r="R222">
        <f>+'staffing plan'!BP231</f>
        <v>0</v>
      </c>
      <c r="S222">
        <v>221</v>
      </c>
    </row>
    <row r="223" spans="2:19" hidden="1">
      <c r="B223">
        <f t="shared" si="7"/>
        <v>1900</v>
      </c>
      <c r="C223">
        <f>+'staffing plan'!BK232</f>
        <v>0</v>
      </c>
      <c r="D223" t="str">
        <f>'staffing plan'!A232</f>
        <v>OSEC-DILGB-ADA3-64-2005</v>
      </c>
      <c r="E223" t="str">
        <f>+'staffing plan'!B232</f>
        <v>Administrative Aide III</v>
      </c>
      <c r="F223">
        <f>+'staffing plan'!C232</f>
        <v>3</v>
      </c>
      <c r="G223" s="131">
        <f>+'staffing plan'!AH232</f>
        <v>149592</v>
      </c>
      <c r="H223" s="131">
        <f>+'staffing plan'!AI232</f>
        <v>0</v>
      </c>
      <c r="I223" s="131">
        <f>+'staffing plan'!AJ232</f>
        <v>0</v>
      </c>
      <c r="J223" t="str">
        <f>+'staffing plan'!AW232</f>
        <v>Vacant BALTING, Jason Saingan
CTI-FOR SCRAPPING</v>
      </c>
      <c r="K223" t="e">
        <f>+'staffing plan'!#REF!</f>
        <v>#REF!</v>
      </c>
      <c r="L223" t="e">
        <f>+'staffing plan'!#REF!</f>
        <v>#REF!</v>
      </c>
      <c r="M223">
        <f>+'staffing plan'!AX232</f>
        <v>0</v>
      </c>
      <c r="N223">
        <f>+'staffing plan'!AY232</f>
        <v>0</v>
      </c>
      <c r="O223" s="145" t="e">
        <f>+'staffing plan'!#REF!</f>
        <v>#REF!</v>
      </c>
      <c r="P223" s="145" t="e">
        <f>+'staffing plan'!#REF!</f>
        <v>#REF!</v>
      </c>
      <c r="Q223" s="145" t="e">
        <f>+'staffing plan'!#REF!</f>
        <v>#REF!</v>
      </c>
      <c r="R223">
        <f>+'staffing plan'!BP232</f>
        <v>0</v>
      </c>
      <c r="S223">
        <v>222</v>
      </c>
    </row>
    <row r="224" spans="2:19" hidden="1">
      <c r="B224">
        <f t="shared" si="7"/>
        <v>1900</v>
      </c>
      <c r="C224">
        <f>+'staffing plan'!BK233</f>
        <v>0</v>
      </c>
      <c r="D224" t="str">
        <f>'staffing plan'!A233</f>
        <v>OSEC-DILGB-ADA3-65-2005</v>
      </c>
      <c r="E224" t="str">
        <f>+'staffing plan'!B233</f>
        <v>Administrative Aide III</v>
      </c>
      <c r="F224">
        <f>+'staffing plan'!C233</f>
        <v>3</v>
      </c>
      <c r="G224" s="131">
        <f>+'staffing plan'!AH233</f>
        <v>149592</v>
      </c>
      <c r="H224" s="131">
        <f>+'staffing plan'!AI233</f>
        <v>0</v>
      </c>
      <c r="I224" s="131">
        <f>+'staffing plan'!AJ233</f>
        <v>0</v>
      </c>
      <c r="J224" t="str">
        <f>+'staffing plan'!AW233</f>
        <v>Vacant SANCHEZ, Roland Waking
CTI-FOR SCRAPPING</v>
      </c>
      <c r="K224" t="e">
        <f>+'staffing plan'!#REF!</f>
        <v>#REF!</v>
      </c>
      <c r="L224" t="e">
        <f>+'staffing plan'!#REF!</f>
        <v>#REF!</v>
      </c>
      <c r="M224">
        <f>+'staffing plan'!AX233</f>
        <v>0</v>
      </c>
      <c r="N224">
        <f>+'staffing plan'!AY233</f>
        <v>0</v>
      </c>
      <c r="O224" s="145" t="e">
        <f>+'staffing plan'!#REF!</f>
        <v>#REF!</v>
      </c>
      <c r="P224" s="145" t="e">
        <f>+'staffing plan'!#REF!</f>
        <v>#REF!</v>
      </c>
      <c r="Q224" s="145" t="e">
        <f>+'staffing plan'!#REF!</f>
        <v>#REF!</v>
      </c>
      <c r="R224">
        <f>+'staffing plan'!BP233</f>
        <v>0</v>
      </c>
      <c r="S224">
        <v>223</v>
      </c>
    </row>
    <row r="225" spans="1:19" hidden="1">
      <c r="B225">
        <f t="shared" si="7"/>
        <v>1990</v>
      </c>
      <c r="C225">
        <f>+'staffing plan'!BK234</f>
        <v>33175</v>
      </c>
      <c r="D225" t="str">
        <f>'staffing plan'!A234</f>
        <v>OSEC-DILGB-ADA2-57-2005</v>
      </c>
      <c r="E225" t="str">
        <f>+'staffing plan'!B234</f>
        <v xml:space="preserve">Administrative Aide II   </v>
      </c>
      <c r="F225">
        <f>+'staffing plan'!C234</f>
        <v>2</v>
      </c>
      <c r="G225" s="131">
        <f>+'staffing plan'!AH234</f>
        <v>141132</v>
      </c>
      <c r="H225" s="131">
        <f>+'staffing plan'!AI234</f>
        <v>148884</v>
      </c>
      <c r="I225" s="131">
        <f>+'staffing plan'!AJ234</f>
        <v>8</v>
      </c>
      <c r="J225" t="str">
        <f>+'staffing plan'!AW234</f>
        <v>FERNANDO, Marvin Flores</v>
      </c>
      <c r="K225" t="e">
        <f>+'staffing plan'!#REF!</f>
        <v>#REF!</v>
      </c>
      <c r="L225" t="e">
        <f>+'staffing plan'!#REF!</f>
        <v>#REF!</v>
      </c>
      <c r="M225" t="str">
        <f>+'staffing plan'!AX234</f>
        <v>Kalinga</v>
      </c>
      <c r="N225" t="str">
        <f>+'staffing plan'!AY234</f>
        <v>M</v>
      </c>
      <c r="O225" s="145" t="e">
        <f>+'staffing plan'!#REF!</f>
        <v>#REF!</v>
      </c>
      <c r="P225" s="145" t="e">
        <f>+'staffing plan'!#REF!</f>
        <v>#REF!</v>
      </c>
      <c r="Q225" s="145" t="e">
        <f>+'staffing plan'!#REF!</f>
        <v>#REF!</v>
      </c>
      <c r="R225">
        <f>+'staffing plan'!BP234</f>
        <v>0</v>
      </c>
      <c r="S225">
        <v>224</v>
      </c>
    </row>
    <row r="226" spans="1:19" hidden="1">
      <c r="B226">
        <f t="shared" si="7"/>
        <v>1900</v>
      </c>
      <c r="C226">
        <f>+'staffing plan'!BK235</f>
        <v>0</v>
      </c>
      <c r="D226" t="str">
        <f>'staffing plan'!A235</f>
        <v>OSEC-DILGB-ADA1-28-2005</v>
      </c>
      <c r="E226" t="str">
        <f>+'staffing plan'!B235</f>
        <v>Administrative Aide I</v>
      </c>
      <c r="F226">
        <f>+'staffing plan'!C235</f>
        <v>1</v>
      </c>
      <c r="G226" s="131">
        <f>+'staffing plan'!AH235</f>
        <v>132816</v>
      </c>
      <c r="H226" s="131">
        <f>+'staffing plan'!AI235</f>
        <v>0</v>
      </c>
      <c r="I226" s="131">
        <f>+'staffing plan'!AJ235</f>
        <v>0</v>
      </c>
      <c r="J226" t="e">
        <f>+'staffing plan'!#REF!</f>
        <v>#REF!</v>
      </c>
      <c r="K226" t="e">
        <f>+'staffing plan'!#REF!</f>
        <v>#REF!</v>
      </c>
      <c r="L226" t="e">
        <f>+'staffing plan'!#REF!</f>
        <v>#REF!</v>
      </c>
      <c r="M226">
        <f>+'staffing plan'!AX235</f>
        <v>0</v>
      </c>
      <c r="N226">
        <f>+'staffing plan'!AY235</f>
        <v>0</v>
      </c>
      <c r="O226" s="145" t="e">
        <f>+'staffing plan'!#REF!</f>
        <v>#REF!</v>
      </c>
      <c r="P226" s="145" t="e">
        <f>+'staffing plan'!#REF!</f>
        <v>#REF!</v>
      </c>
      <c r="Q226" s="145" t="e">
        <f>+'staffing plan'!#REF!</f>
        <v>#REF!</v>
      </c>
      <c r="R226">
        <f>+'staffing plan'!BP235</f>
        <v>0</v>
      </c>
      <c r="S226">
        <v>225</v>
      </c>
    </row>
    <row r="227" spans="1:19" hidden="1">
      <c r="B227">
        <f t="shared" si="7"/>
        <v>1996</v>
      </c>
      <c r="C227">
        <f>+'staffing plan'!BK236</f>
        <v>35254</v>
      </c>
      <c r="D227" t="str">
        <f>'staffing plan'!A236</f>
        <v>OSEC-DILGB-ADA1-29-2005</v>
      </c>
      <c r="E227" t="str">
        <f>+'staffing plan'!B236</f>
        <v>Administrative Aide I</v>
      </c>
      <c r="F227">
        <f>+'staffing plan'!C236</f>
        <v>1</v>
      </c>
      <c r="G227" s="131">
        <f>+'staffing plan'!AH236</f>
        <v>132816</v>
      </c>
      <c r="H227" s="131">
        <f>+'staffing plan'!AI236</f>
        <v>140784</v>
      </c>
      <c r="I227" s="131">
        <f>+'staffing plan'!AJ236</f>
        <v>8</v>
      </c>
      <c r="J227" t="str">
        <f>+'staffing plan'!AW236</f>
        <v>DANGEL, Merlyn Majuray</v>
      </c>
      <c r="K227" t="e">
        <f>+'staffing plan'!#REF!</f>
        <v>#REF!</v>
      </c>
      <c r="L227" t="e">
        <f>+'staffing plan'!#REF!</f>
        <v>#REF!</v>
      </c>
      <c r="M227" t="str">
        <f>+'staffing plan'!AX236</f>
        <v>Apayao</v>
      </c>
      <c r="N227" t="str">
        <f>+'staffing plan'!AY236</f>
        <v>F</v>
      </c>
      <c r="O227" s="145" t="e">
        <f>+'staffing plan'!#REF!</f>
        <v>#REF!</v>
      </c>
      <c r="P227" s="145" t="e">
        <f>+'staffing plan'!#REF!</f>
        <v>#REF!</v>
      </c>
      <c r="Q227" s="145" t="e">
        <f>+'staffing plan'!#REF!</f>
        <v>#REF!</v>
      </c>
      <c r="R227">
        <f>+'staffing plan'!BP236</f>
        <v>0</v>
      </c>
      <c r="S227">
        <v>226</v>
      </c>
    </row>
    <row r="228" spans="1:19" hidden="1">
      <c r="B228">
        <f t="shared" si="7"/>
        <v>1999</v>
      </c>
      <c r="C228">
        <f>+'staffing plan'!BK237</f>
        <v>36356</v>
      </c>
      <c r="D228" t="str">
        <f>'staffing plan'!A237</f>
        <v>OSEC-DILGB-ADA1-30-2005</v>
      </c>
      <c r="E228" t="str">
        <f>+'staffing plan'!B237</f>
        <v>Administrative Aide I</v>
      </c>
      <c r="F228">
        <f>+'staffing plan'!C237</f>
        <v>1</v>
      </c>
      <c r="G228" s="131">
        <f>+'staffing plan'!AH237</f>
        <v>132816</v>
      </c>
      <c r="H228" s="131">
        <f>+'staffing plan'!AI237</f>
        <v>139620</v>
      </c>
      <c r="I228" s="131">
        <f>+'staffing plan'!AJ237</f>
        <v>7</v>
      </c>
      <c r="J228" t="str">
        <f>+'staffing plan'!AW237</f>
        <v>LOMAS-E, Wilmon Finotton</v>
      </c>
      <c r="K228" t="e">
        <f>+'staffing plan'!#REF!</f>
        <v>#REF!</v>
      </c>
      <c r="L228" t="e">
        <f>+'staffing plan'!#REF!</f>
        <v>#REF!</v>
      </c>
      <c r="M228" t="str">
        <f>+'staffing plan'!AX237</f>
        <v>Mt. Province</v>
      </c>
      <c r="N228" t="str">
        <f>+'staffing plan'!AY237</f>
        <v>M</v>
      </c>
      <c r="O228" s="145" t="e">
        <f>+'staffing plan'!#REF!</f>
        <v>#REF!</v>
      </c>
      <c r="P228" s="145" t="e">
        <f>+'staffing plan'!#REF!</f>
        <v>#REF!</v>
      </c>
      <c r="Q228" s="145" t="e">
        <f>+'staffing plan'!#REF!</f>
        <v>#REF!</v>
      </c>
      <c r="R228">
        <f>+'staffing plan'!BP237</f>
        <v>0</v>
      </c>
      <c r="S228">
        <v>227</v>
      </c>
    </row>
    <row r="229" spans="1:19" hidden="1">
      <c r="B229">
        <f t="shared" si="7"/>
        <v>1994</v>
      </c>
      <c r="C229">
        <f>+'staffing plan'!BK238</f>
        <v>34408</v>
      </c>
      <c r="D229" t="str">
        <f>'staffing plan'!A238</f>
        <v>OSEC-DILGB-ADA1-32-2005</v>
      </c>
      <c r="E229" t="str">
        <f>+'staffing plan'!B238</f>
        <v>Administrative Aide I</v>
      </c>
      <c r="F229">
        <f>+'staffing plan'!C238</f>
        <v>1</v>
      </c>
      <c r="G229" s="131">
        <f>+'staffing plan'!AH238</f>
        <v>132816</v>
      </c>
      <c r="H229" s="131">
        <f>+'staffing plan'!AI238</f>
        <v>140784</v>
      </c>
      <c r="I229" s="131">
        <f>+'staffing plan'!AJ238</f>
        <v>8</v>
      </c>
      <c r="J229" t="str">
        <f>+'staffing plan'!AW238</f>
        <v>KIBAYEN, Nelson Malnawan</v>
      </c>
      <c r="K229" t="e">
        <f>+'staffing plan'!#REF!</f>
        <v>#REF!</v>
      </c>
      <c r="L229" t="e">
        <f>+'staffing plan'!#REF!</f>
        <v>#REF!</v>
      </c>
      <c r="M229" t="str">
        <f>+'staffing plan'!AX238</f>
        <v>Kalinga</v>
      </c>
      <c r="N229" t="str">
        <f>+'staffing plan'!AY238</f>
        <v>M</v>
      </c>
      <c r="O229" s="145" t="e">
        <f>+'staffing plan'!#REF!</f>
        <v>#REF!</v>
      </c>
      <c r="P229" s="145" t="e">
        <f>+'staffing plan'!#REF!</f>
        <v>#REF!</v>
      </c>
      <c r="Q229" s="145" t="e">
        <f>+'staffing plan'!#REF!</f>
        <v>#REF!</v>
      </c>
      <c r="R229">
        <f>+'staffing plan'!BP238</f>
        <v>0</v>
      </c>
      <c r="S229">
        <v>228</v>
      </c>
    </row>
    <row r="230" spans="1:19" hidden="1">
      <c r="B230">
        <f t="shared" si="7"/>
        <v>1900</v>
      </c>
      <c r="C230">
        <f>+'staffing plan'!BK239</f>
        <v>0</v>
      </c>
      <c r="D230" t="str">
        <f>'staffing plan'!A239</f>
        <v>OSEC-DILGB-ADA1-33-2005</v>
      </c>
      <c r="E230" t="str">
        <f>+'staffing plan'!B239</f>
        <v>Administrative Aide I</v>
      </c>
      <c r="F230">
        <f>+'staffing plan'!C239</f>
        <v>1</v>
      </c>
      <c r="G230" s="131">
        <f>+'staffing plan'!AH239</f>
        <v>132816</v>
      </c>
      <c r="H230" s="131">
        <f>+'staffing plan'!AI239</f>
        <v>0</v>
      </c>
      <c r="I230" s="131">
        <f>+'staffing plan'!AJ239</f>
        <v>0</v>
      </c>
      <c r="J230" t="e">
        <f>+'staffing plan'!#REF!</f>
        <v>#REF!</v>
      </c>
      <c r="K230" t="e">
        <f>+'staffing plan'!#REF!</f>
        <v>#REF!</v>
      </c>
      <c r="L230" t="e">
        <f>+'staffing plan'!#REF!</f>
        <v>#REF!</v>
      </c>
      <c r="M230">
        <f>+'staffing plan'!AX239</f>
        <v>0</v>
      </c>
      <c r="N230">
        <f>+'staffing plan'!AY239</f>
        <v>0</v>
      </c>
      <c r="O230" s="145" t="e">
        <f>+'staffing plan'!#REF!</f>
        <v>#REF!</v>
      </c>
      <c r="P230" s="145" t="e">
        <f>+'staffing plan'!#REF!</f>
        <v>#REF!</v>
      </c>
      <c r="Q230" s="145" t="e">
        <f>+'staffing plan'!#REF!</f>
        <v>#REF!</v>
      </c>
      <c r="R230">
        <f>+'staffing plan'!BP239</f>
        <v>0</v>
      </c>
      <c r="S230">
        <v>229</v>
      </c>
    </row>
    <row r="231" spans="1:19">
      <c r="G231" s="131"/>
      <c r="H231" s="131"/>
      <c r="I231" s="131"/>
    </row>
    <row r="232" spans="1:19">
      <c r="A232" s="150"/>
      <c r="B232" s="150" t="s">
        <v>2765</v>
      </c>
      <c r="C232" s="151" t="s">
        <v>18</v>
      </c>
      <c r="D232" s="152" t="s">
        <v>2204</v>
      </c>
      <c r="E232" s="153" t="s">
        <v>7</v>
      </c>
      <c r="F232" s="153" t="s">
        <v>8</v>
      </c>
      <c r="G232" s="154" t="s">
        <v>2810</v>
      </c>
      <c r="H232" s="154" t="s">
        <v>2811</v>
      </c>
      <c r="I232" s="153" t="s">
        <v>10</v>
      </c>
      <c r="J232" s="153" t="s">
        <v>13</v>
      </c>
      <c r="K232" s="153" t="s">
        <v>2806</v>
      </c>
      <c r="L232" s="153" t="s">
        <v>2805</v>
      </c>
      <c r="M232" s="152" t="s">
        <v>2216</v>
      </c>
      <c r="N232" s="153" t="s">
        <v>2202</v>
      </c>
      <c r="O232" s="153" t="s">
        <v>2813</v>
      </c>
      <c r="P232" s="153" t="s">
        <v>2812</v>
      </c>
      <c r="Q232" s="153" t="s">
        <v>2809</v>
      </c>
      <c r="R232" s="153" t="s">
        <v>21</v>
      </c>
      <c r="S232" s="144" t="s">
        <v>2814</v>
      </c>
    </row>
    <row r="233" spans="1:19">
      <c r="A233">
        <v>2015</v>
      </c>
      <c r="B233">
        <v>2015</v>
      </c>
      <c r="C233">
        <v>42313</v>
      </c>
      <c r="D233" t="s">
        <v>2241</v>
      </c>
      <c r="E233" t="s">
        <v>52</v>
      </c>
      <c r="F233">
        <v>28</v>
      </c>
      <c r="G233" s="131">
        <v>1379772</v>
      </c>
      <c r="H233" s="131">
        <v>1379772</v>
      </c>
      <c r="I233" s="131">
        <v>1</v>
      </c>
      <c r="J233" t="s">
        <v>2710</v>
      </c>
      <c r="K233" t="s">
        <v>1884</v>
      </c>
      <c r="L233" t="s">
        <v>2815</v>
      </c>
      <c r="M233" t="s">
        <v>57</v>
      </c>
      <c r="N233" t="s">
        <v>62</v>
      </c>
      <c r="O233" s="145">
        <v>114981</v>
      </c>
      <c r="P233" s="145">
        <v>116704</v>
      </c>
      <c r="Q233" s="145">
        <v>1723</v>
      </c>
      <c r="R233">
        <v>0</v>
      </c>
      <c r="S233" s="155">
        <f t="shared" ref="S233:S269" ca="1" si="8">DATE(YEAR(NOW()),MONTH(C233),DAY(C233))</f>
        <v>46331</v>
      </c>
    </row>
    <row r="234" spans="1:19">
      <c r="A234">
        <v>2006</v>
      </c>
      <c r="B234">
        <v>2012</v>
      </c>
      <c r="C234">
        <v>40969</v>
      </c>
      <c r="D234" t="s">
        <v>2264</v>
      </c>
      <c r="E234" t="s">
        <v>94</v>
      </c>
      <c r="F234">
        <v>19</v>
      </c>
      <c r="G234" s="131">
        <v>505188</v>
      </c>
      <c r="H234" s="131">
        <v>512760</v>
      </c>
      <c r="I234" s="131">
        <v>2</v>
      </c>
      <c r="J234" t="s">
        <v>381</v>
      </c>
      <c r="K234" t="s">
        <v>379</v>
      </c>
      <c r="L234" t="s">
        <v>2816</v>
      </c>
      <c r="M234" t="s">
        <v>57</v>
      </c>
      <c r="N234" t="s">
        <v>62</v>
      </c>
      <c r="O234" s="145">
        <v>42730</v>
      </c>
      <c r="P234" s="145">
        <v>43371</v>
      </c>
      <c r="Q234" s="145">
        <v>641</v>
      </c>
      <c r="R234">
        <v>0</v>
      </c>
      <c r="S234" s="155">
        <f t="shared" ca="1" si="8"/>
        <v>46082</v>
      </c>
    </row>
    <row r="235" spans="1:19">
      <c r="B235">
        <v>2012</v>
      </c>
      <c r="C235">
        <v>40969</v>
      </c>
      <c r="D235" t="s">
        <v>222</v>
      </c>
      <c r="E235" t="s">
        <v>151</v>
      </c>
      <c r="F235">
        <v>24</v>
      </c>
      <c r="G235" s="131">
        <v>879588</v>
      </c>
      <c r="H235" s="131">
        <v>892764</v>
      </c>
      <c r="I235" s="131">
        <v>2</v>
      </c>
      <c r="J235" t="s">
        <v>512</v>
      </c>
      <c r="K235" t="s">
        <v>510</v>
      </c>
      <c r="L235" t="s">
        <v>2828</v>
      </c>
      <c r="M235" t="s">
        <v>57</v>
      </c>
      <c r="N235" t="s">
        <v>62</v>
      </c>
      <c r="O235" s="145">
        <v>74397</v>
      </c>
      <c r="P235" s="145">
        <v>75512</v>
      </c>
      <c r="Q235" s="145">
        <v>1115</v>
      </c>
      <c r="R235">
        <v>0</v>
      </c>
      <c r="S235" s="155">
        <f t="shared" ca="1" si="8"/>
        <v>46082</v>
      </c>
    </row>
    <row r="236" spans="1:19">
      <c r="A236">
        <v>2007</v>
      </c>
      <c r="B236">
        <v>2012</v>
      </c>
      <c r="C236">
        <v>41149</v>
      </c>
      <c r="D236" t="s">
        <v>234</v>
      </c>
      <c r="E236" t="s">
        <v>165</v>
      </c>
      <c r="F236">
        <v>20</v>
      </c>
      <c r="G236" s="131">
        <v>564444</v>
      </c>
      <c r="H236" s="131">
        <v>572904</v>
      </c>
      <c r="I236" s="131">
        <v>2</v>
      </c>
      <c r="J236" t="s">
        <v>207</v>
      </c>
      <c r="K236" t="s">
        <v>205</v>
      </c>
      <c r="L236" t="s">
        <v>2831</v>
      </c>
      <c r="M236" t="s">
        <v>57</v>
      </c>
      <c r="N236" t="s">
        <v>100</v>
      </c>
      <c r="O236" s="145">
        <v>47742</v>
      </c>
      <c r="P236" s="145">
        <v>48457</v>
      </c>
      <c r="Q236" s="145">
        <v>715</v>
      </c>
      <c r="R236" t="s">
        <v>1207</v>
      </c>
      <c r="S236" s="155">
        <f t="shared" ca="1" si="8"/>
        <v>46262</v>
      </c>
    </row>
    <row r="237" spans="1:19">
      <c r="A237">
        <v>2004</v>
      </c>
      <c r="B237">
        <v>2012</v>
      </c>
      <c r="C237">
        <v>41138</v>
      </c>
      <c r="D237" t="s">
        <v>239</v>
      </c>
      <c r="E237" t="s">
        <v>165</v>
      </c>
      <c r="F237">
        <v>20</v>
      </c>
      <c r="G237" s="131">
        <v>564444</v>
      </c>
      <c r="H237" s="131">
        <v>572904</v>
      </c>
      <c r="I237" s="131">
        <v>2</v>
      </c>
      <c r="J237" t="s">
        <v>1162</v>
      </c>
      <c r="K237" t="s">
        <v>69</v>
      </c>
      <c r="L237" t="s">
        <v>2832</v>
      </c>
      <c r="M237" t="s">
        <v>57</v>
      </c>
      <c r="N237" t="s">
        <v>100</v>
      </c>
      <c r="O237" s="145">
        <v>47742</v>
      </c>
      <c r="P237" s="145">
        <v>48457</v>
      </c>
      <c r="Q237" s="145">
        <v>715</v>
      </c>
      <c r="R237" t="s">
        <v>1207</v>
      </c>
      <c r="S237" s="155">
        <f t="shared" ca="1" si="8"/>
        <v>46251</v>
      </c>
    </row>
    <row r="238" spans="1:19">
      <c r="A238">
        <v>1998</v>
      </c>
      <c r="B238">
        <v>2012</v>
      </c>
      <c r="C238">
        <v>41254</v>
      </c>
      <c r="D238" t="s">
        <v>254</v>
      </c>
      <c r="E238" t="s">
        <v>187</v>
      </c>
      <c r="F238">
        <v>18</v>
      </c>
      <c r="G238" s="131">
        <v>457020</v>
      </c>
      <c r="H238" s="131">
        <v>462516</v>
      </c>
      <c r="I238" s="131">
        <v>2</v>
      </c>
      <c r="J238" t="s">
        <v>2274</v>
      </c>
      <c r="K238" t="s">
        <v>1994</v>
      </c>
      <c r="L238" t="s">
        <v>2833</v>
      </c>
      <c r="M238" t="s">
        <v>57</v>
      </c>
      <c r="N238" t="s">
        <v>100</v>
      </c>
      <c r="O238" s="145">
        <v>38543</v>
      </c>
      <c r="P238" s="145">
        <v>39007</v>
      </c>
      <c r="Q238" s="145">
        <v>464</v>
      </c>
      <c r="R238" t="s">
        <v>2327</v>
      </c>
      <c r="S238" s="155">
        <f t="shared" ca="1" si="8"/>
        <v>46367</v>
      </c>
    </row>
    <row r="239" spans="1:19">
      <c r="B239">
        <v>2015</v>
      </c>
      <c r="C239">
        <v>42186</v>
      </c>
      <c r="D239" t="s">
        <v>2339</v>
      </c>
      <c r="E239" t="s">
        <v>273</v>
      </c>
      <c r="F239">
        <v>6</v>
      </c>
      <c r="G239" s="131">
        <v>172080</v>
      </c>
      <c r="H239" s="131">
        <v>172080</v>
      </c>
      <c r="I239" s="131">
        <v>1</v>
      </c>
      <c r="J239" t="s">
        <v>2693</v>
      </c>
      <c r="K239" t="s">
        <v>2127</v>
      </c>
      <c r="L239" t="s">
        <v>2836</v>
      </c>
      <c r="M239" t="s">
        <v>174</v>
      </c>
      <c r="N239" t="s">
        <v>100</v>
      </c>
      <c r="O239" s="145">
        <v>14340</v>
      </c>
      <c r="P239" s="145">
        <v>14459</v>
      </c>
      <c r="Q239" s="145">
        <v>119</v>
      </c>
      <c r="R239">
        <v>0</v>
      </c>
      <c r="S239" s="155">
        <f t="shared" ca="1" si="8"/>
        <v>46204</v>
      </c>
    </row>
    <row r="240" spans="1:19">
      <c r="B240">
        <v>2012</v>
      </c>
      <c r="C240">
        <v>40924</v>
      </c>
      <c r="D240" t="s">
        <v>276</v>
      </c>
      <c r="E240" t="s">
        <v>2189</v>
      </c>
      <c r="F240">
        <v>24</v>
      </c>
      <c r="G240" s="131">
        <v>879588</v>
      </c>
      <c r="H240" s="131">
        <v>892764</v>
      </c>
      <c r="I240" s="131">
        <v>2</v>
      </c>
      <c r="J240" t="s">
        <v>2713</v>
      </c>
      <c r="K240" t="s">
        <v>286</v>
      </c>
      <c r="L240" t="s">
        <v>2837</v>
      </c>
      <c r="M240" t="s">
        <v>57</v>
      </c>
      <c r="N240" t="s">
        <v>100</v>
      </c>
      <c r="O240" s="145">
        <v>74397</v>
      </c>
      <c r="P240" s="145">
        <v>75512</v>
      </c>
      <c r="Q240" s="145">
        <v>1115</v>
      </c>
      <c r="R240">
        <v>0</v>
      </c>
      <c r="S240" s="155">
        <f t="shared" ca="1" si="8"/>
        <v>46038</v>
      </c>
    </row>
    <row r="241" spans="2:19">
      <c r="B241">
        <v>2012</v>
      </c>
      <c r="C241">
        <v>41138</v>
      </c>
      <c r="D241" t="s">
        <v>283</v>
      </c>
      <c r="E241" t="s">
        <v>2190</v>
      </c>
      <c r="F241">
        <v>22</v>
      </c>
      <c r="G241" s="131">
        <v>704604</v>
      </c>
      <c r="H241" s="131">
        <v>715164</v>
      </c>
      <c r="I241" s="131">
        <v>2</v>
      </c>
      <c r="J241" t="s">
        <v>303</v>
      </c>
      <c r="K241" t="s">
        <v>301</v>
      </c>
      <c r="L241" t="s">
        <v>2838</v>
      </c>
      <c r="M241" t="s">
        <v>57</v>
      </c>
      <c r="N241" t="s">
        <v>62</v>
      </c>
      <c r="O241" s="145">
        <v>59597</v>
      </c>
      <c r="P241" s="145">
        <v>60491</v>
      </c>
      <c r="Q241" s="145">
        <v>894</v>
      </c>
      <c r="R241">
        <v>0</v>
      </c>
      <c r="S241" s="155">
        <f t="shared" ca="1" si="8"/>
        <v>46251</v>
      </c>
    </row>
    <row r="242" spans="2:19">
      <c r="B242">
        <v>2012</v>
      </c>
      <c r="C242">
        <v>41260</v>
      </c>
      <c r="D242" t="s">
        <v>298</v>
      </c>
      <c r="E242" t="s">
        <v>2191</v>
      </c>
      <c r="F242">
        <v>18</v>
      </c>
      <c r="G242" s="131">
        <v>457020</v>
      </c>
      <c r="H242" s="131">
        <v>462516</v>
      </c>
      <c r="I242" s="131">
        <v>2</v>
      </c>
      <c r="J242" t="s">
        <v>2707</v>
      </c>
      <c r="K242" t="s">
        <v>2012</v>
      </c>
      <c r="L242" t="s">
        <v>2840</v>
      </c>
      <c r="M242" t="s">
        <v>57</v>
      </c>
      <c r="N242" t="s">
        <v>100</v>
      </c>
      <c r="O242" s="145">
        <v>38543</v>
      </c>
      <c r="P242" s="145">
        <v>39007</v>
      </c>
      <c r="Q242" s="145">
        <v>464</v>
      </c>
      <c r="R242">
        <v>0</v>
      </c>
      <c r="S242" s="155">
        <f t="shared" ca="1" si="8"/>
        <v>46373</v>
      </c>
    </row>
    <row r="243" spans="2:19">
      <c r="B243">
        <v>2015</v>
      </c>
      <c r="C243">
        <v>42184</v>
      </c>
      <c r="D243" t="s">
        <v>305</v>
      </c>
      <c r="E243" t="s">
        <v>2191</v>
      </c>
      <c r="F243">
        <v>18</v>
      </c>
      <c r="G243" s="131">
        <v>457020</v>
      </c>
      <c r="H243" s="131">
        <v>457020</v>
      </c>
      <c r="I243" s="131">
        <v>1</v>
      </c>
      <c r="J243" t="s">
        <v>2332</v>
      </c>
      <c r="K243" t="s">
        <v>2064</v>
      </c>
      <c r="L243" t="s">
        <v>2841</v>
      </c>
      <c r="M243" t="s">
        <v>57</v>
      </c>
      <c r="N243" t="s">
        <v>62</v>
      </c>
      <c r="O243" s="145">
        <v>38085</v>
      </c>
      <c r="P243" s="145">
        <v>38543</v>
      </c>
      <c r="Q243" s="145">
        <v>458</v>
      </c>
      <c r="R243">
        <v>0</v>
      </c>
      <c r="S243" s="155">
        <f t="shared" ca="1" si="8"/>
        <v>46202</v>
      </c>
    </row>
    <row r="244" spans="2:19">
      <c r="B244">
        <v>2006</v>
      </c>
      <c r="C244">
        <v>38926</v>
      </c>
      <c r="D244" t="s">
        <v>311</v>
      </c>
      <c r="E244" t="s">
        <v>2191</v>
      </c>
      <c r="F244">
        <v>18</v>
      </c>
      <c r="G244" s="131">
        <v>457020</v>
      </c>
      <c r="H244" s="131">
        <v>473724</v>
      </c>
      <c r="I244" s="131">
        <v>4</v>
      </c>
      <c r="J244" t="s">
        <v>315</v>
      </c>
      <c r="K244" t="s">
        <v>313</v>
      </c>
      <c r="L244" t="s">
        <v>2842</v>
      </c>
      <c r="M244" t="s">
        <v>57</v>
      </c>
      <c r="N244" t="s">
        <v>62</v>
      </c>
      <c r="O244" s="145">
        <v>39477</v>
      </c>
      <c r="P244" s="145">
        <v>39952</v>
      </c>
      <c r="Q244" s="145">
        <v>475</v>
      </c>
      <c r="R244">
        <v>0</v>
      </c>
      <c r="S244" s="155">
        <f t="shared" ca="1" si="8"/>
        <v>46231</v>
      </c>
    </row>
    <row r="245" spans="2:19">
      <c r="B245">
        <v>2012</v>
      </c>
      <c r="C245">
        <v>41260</v>
      </c>
      <c r="D245" t="s">
        <v>324</v>
      </c>
      <c r="E245" t="s">
        <v>2192</v>
      </c>
      <c r="F245">
        <v>15</v>
      </c>
      <c r="G245" s="131">
        <v>348120</v>
      </c>
      <c r="H245" s="131">
        <v>352308</v>
      </c>
      <c r="I245" s="131">
        <v>2</v>
      </c>
      <c r="J245" t="s">
        <v>2716</v>
      </c>
      <c r="K245" t="s">
        <v>2003</v>
      </c>
      <c r="L245" t="s">
        <v>2844</v>
      </c>
      <c r="M245" t="s">
        <v>57</v>
      </c>
      <c r="N245" t="s">
        <v>100</v>
      </c>
      <c r="O245" s="145">
        <v>29359</v>
      </c>
      <c r="P245" s="145">
        <v>29713</v>
      </c>
      <c r="Q245" s="145">
        <v>354</v>
      </c>
      <c r="R245">
        <v>0</v>
      </c>
      <c r="S245" s="155">
        <f t="shared" ca="1" si="8"/>
        <v>46373</v>
      </c>
    </row>
    <row r="246" spans="2:19">
      <c r="B246">
        <v>2003</v>
      </c>
      <c r="C246">
        <v>37658</v>
      </c>
      <c r="D246" t="s">
        <v>350</v>
      </c>
      <c r="E246" t="s">
        <v>2377</v>
      </c>
      <c r="F246">
        <v>9</v>
      </c>
      <c r="G246" s="131">
        <v>209676</v>
      </c>
      <c r="H246" s="131">
        <v>217140</v>
      </c>
      <c r="I246" s="131">
        <v>5</v>
      </c>
      <c r="J246" t="s">
        <v>355</v>
      </c>
      <c r="K246" t="s">
        <v>353</v>
      </c>
      <c r="L246" t="s">
        <v>2848</v>
      </c>
      <c r="M246" t="s">
        <v>57</v>
      </c>
      <c r="N246" t="s">
        <v>62</v>
      </c>
      <c r="O246" s="145">
        <v>18095</v>
      </c>
      <c r="P246" s="145">
        <v>18253</v>
      </c>
      <c r="Q246" s="145">
        <v>158</v>
      </c>
      <c r="R246">
        <v>0</v>
      </c>
      <c r="S246" s="155">
        <f t="shared" ca="1" si="8"/>
        <v>46059</v>
      </c>
    </row>
    <row r="247" spans="2:19">
      <c r="B247">
        <v>2012</v>
      </c>
      <c r="C247">
        <v>41127</v>
      </c>
      <c r="D247" t="s">
        <v>2380</v>
      </c>
      <c r="E247" t="s">
        <v>370</v>
      </c>
      <c r="F247">
        <v>9</v>
      </c>
      <c r="G247" s="131">
        <v>209676</v>
      </c>
      <c r="H247" s="131">
        <v>211524</v>
      </c>
      <c r="I247" s="131">
        <v>2</v>
      </c>
      <c r="J247" t="s">
        <v>375</v>
      </c>
      <c r="K247" t="s">
        <v>373</v>
      </c>
      <c r="L247" t="s">
        <v>2849</v>
      </c>
      <c r="M247" t="s">
        <v>57</v>
      </c>
      <c r="N247" t="s">
        <v>100</v>
      </c>
      <c r="O247" s="145">
        <v>17627</v>
      </c>
      <c r="P247" s="145">
        <v>17781</v>
      </c>
      <c r="Q247" s="145">
        <v>154</v>
      </c>
      <c r="R247">
        <v>0</v>
      </c>
      <c r="S247" s="155">
        <f t="shared" ca="1" si="8"/>
        <v>46240</v>
      </c>
    </row>
    <row r="248" spans="2:19">
      <c r="B248">
        <v>2003</v>
      </c>
      <c r="C248">
        <v>37655</v>
      </c>
      <c r="D248" t="s">
        <v>357</v>
      </c>
      <c r="E248" t="s">
        <v>1170</v>
      </c>
      <c r="F248">
        <v>8</v>
      </c>
      <c r="G248" s="131">
        <v>195384</v>
      </c>
      <c r="H248" s="131">
        <v>202740</v>
      </c>
      <c r="I248" s="131">
        <v>5</v>
      </c>
      <c r="J248" t="s">
        <v>361</v>
      </c>
      <c r="K248" t="s">
        <v>359</v>
      </c>
      <c r="L248" t="s">
        <v>2850</v>
      </c>
      <c r="M248" t="s">
        <v>167</v>
      </c>
      <c r="N248" t="s">
        <v>100</v>
      </c>
      <c r="O248" s="145">
        <v>16895</v>
      </c>
      <c r="P248" s="145">
        <v>17051</v>
      </c>
      <c r="Q248" s="145">
        <v>156</v>
      </c>
      <c r="R248">
        <v>0</v>
      </c>
      <c r="S248" s="155">
        <f t="shared" ca="1" si="8"/>
        <v>46056</v>
      </c>
    </row>
    <row r="249" spans="2:19">
      <c r="B249">
        <v>2012</v>
      </c>
      <c r="C249">
        <v>41165</v>
      </c>
      <c r="D249" t="s">
        <v>472</v>
      </c>
      <c r="E249" t="s">
        <v>463</v>
      </c>
      <c r="F249">
        <v>26</v>
      </c>
      <c r="G249" s="131">
        <v>1105296</v>
      </c>
      <c r="H249" s="131">
        <v>1155744</v>
      </c>
      <c r="I249" s="131">
        <v>4</v>
      </c>
      <c r="J249" t="s">
        <v>2698</v>
      </c>
      <c r="K249" t="s">
        <v>168</v>
      </c>
      <c r="L249" t="s">
        <v>2862</v>
      </c>
      <c r="M249" t="s">
        <v>268</v>
      </c>
      <c r="N249" t="s">
        <v>62</v>
      </c>
      <c r="O249" s="145">
        <v>96312</v>
      </c>
      <c r="P249" s="145">
        <v>97755</v>
      </c>
      <c r="Q249" s="145">
        <v>1443</v>
      </c>
      <c r="R249">
        <v>0</v>
      </c>
      <c r="S249" s="155">
        <f t="shared" ca="1" si="8"/>
        <v>46278</v>
      </c>
    </row>
    <row r="250" spans="2:19">
      <c r="B250">
        <v>2012</v>
      </c>
      <c r="C250">
        <v>41068</v>
      </c>
      <c r="D250" t="s">
        <v>2875</v>
      </c>
      <c r="E250" t="s">
        <v>157</v>
      </c>
      <c r="F250">
        <v>22</v>
      </c>
      <c r="G250" s="131">
        <v>704604</v>
      </c>
      <c r="H250" s="131">
        <v>715164</v>
      </c>
      <c r="I250" s="131">
        <v>2</v>
      </c>
      <c r="J250" t="s">
        <v>913</v>
      </c>
      <c r="K250" t="s">
        <v>911</v>
      </c>
      <c r="L250" t="s">
        <v>2876</v>
      </c>
      <c r="M250" t="s">
        <v>167</v>
      </c>
      <c r="N250" t="s">
        <v>100</v>
      </c>
      <c r="O250" s="145">
        <v>59597</v>
      </c>
      <c r="P250" s="145">
        <v>60491</v>
      </c>
      <c r="Q250" s="145">
        <v>894</v>
      </c>
      <c r="R250">
        <v>0</v>
      </c>
      <c r="S250" s="155">
        <f t="shared" ca="1" si="8"/>
        <v>46181</v>
      </c>
    </row>
    <row r="251" spans="2:19">
      <c r="B251">
        <v>2015</v>
      </c>
      <c r="C251">
        <v>42354</v>
      </c>
      <c r="D251" t="s">
        <v>2528</v>
      </c>
      <c r="E251" t="s">
        <v>157</v>
      </c>
      <c r="F251">
        <v>22</v>
      </c>
      <c r="G251" s="131">
        <v>704604</v>
      </c>
      <c r="H251" s="131">
        <v>704604</v>
      </c>
      <c r="I251" s="131">
        <v>1</v>
      </c>
      <c r="J251" t="s">
        <v>237</v>
      </c>
      <c r="K251" t="s">
        <v>235</v>
      </c>
      <c r="L251" t="s">
        <v>2882</v>
      </c>
      <c r="M251" t="s">
        <v>181</v>
      </c>
      <c r="N251" t="s">
        <v>100</v>
      </c>
      <c r="O251" s="145">
        <v>58717</v>
      </c>
      <c r="P251" s="145">
        <v>59597</v>
      </c>
      <c r="Q251" s="145">
        <v>880</v>
      </c>
      <c r="R251">
        <v>0</v>
      </c>
      <c r="S251" s="155">
        <f t="shared" ca="1" si="8"/>
        <v>46372</v>
      </c>
    </row>
    <row r="252" spans="2:19">
      <c r="B252">
        <v>2015</v>
      </c>
      <c r="C252">
        <v>42289</v>
      </c>
      <c r="D252" t="s">
        <v>575</v>
      </c>
      <c r="E252" t="s">
        <v>165</v>
      </c>
      <c r="F252">
        <v>20</v>
      </c>
      <c r="G252" s="131">
        <v>564444</v>
      </c>
      <c r="H252" s="131">
        <v>564444</v>
      </c>
      <c r="I252" s="131">
        <v>1</v>
      </c>
      <c r="J252" t="s">
        <v>1490</v>
      </c>
      <c r="K252" t="s">
        <v>510</v>
      </c>
      <c r="L252" t="s">
        <v>2895</v>
      </c>
      <c r="M252" t="s">
        <v>408</v>
      </c>
      <c r="N252" t="s">
        <v>100</v>
      </c>
      <c r="O252" s="145">
        <v>47037</v>
      </c>
      <c r="P252" s="145">
        <v>47742</v>
      </c>
      <c r="Q252" s="145">
        <v>705</v>
      </c>
      <c r="R252" t="s">
        <v>1207</v>
      </c>
      <c r="S252" s="155">
        <f t="shared" ca="1" si="8"/>
        <v>46307</v>
      </c>
    </row>
    <row r="253" spans="2:19">
      <c r="B253">
        <v>2015</v>
      </c>
      <c r="C253">
        <v>42201</v>
      </c>
      <c r="D253" t="s">
        <v>1065</v>
      </c>
      <c r="E253" t="s">
        <v>1066</v>
      </c>
      <c r="F253">
        <v>15</v>
      </c>
      <c r="G253" s="131">
        <v>348120</v>
      </c>
      <c r="H253" s="131">
        <v>348120</v>
      </c>
      <c r="I253" s="131">
        <v>1</v>
      </c>
      <c r="J253" t="s">
        <v>2560</v>
      </c>
      <c r="K253" t="s">
        <v>2119</v>
      </c>
      <c r="L253" t="s">
        <v>2972</v>
      </c>
      <c r="M253" t="s">
        <v>189</v>
      </c>
      <c r="N253" t="s">
        <v>100</v>
      </c>
      <c r="O253" s="145">
        <v>29010</v>
      </c>
      <c r="P253" s="145">
        <v>29359</v>
      </c>
      <c r="Q253" s="145">
        <v>349</v>
      </c>
      <c r="R253">
        <v>0</v>
      </c>
      <c r="S253" s="155">
        <f t="shared" ca="1" si="8"/>
        <v>46219</v>
      </c>
    </row>
    <row r="254" spans="2:19">
      <c r="B254">
        <v>2015</v>
      </c>
      <c r="C254">
        <v>42289</v>
      </c>
      <c r="D254" t="s">
        <v>1067</v>
      </c>
      <c r="E254" t="s">
        <v>1066</v>
      </c>
      <c r="F254">
        <v>15</v>
      </c>
      <c r="G254" s="131">
        <v>348120</v>
      </c>
      <c r="H254" s="131">
        <v>348120</v>
      </c>
      <c r="I254" s="131">
        <v>1</v>
      </c>
      <c r="J254" t="s">
        <v>2561</v>
      </c>
      <c r="K254" t="s">
        <v>2048</v>
      </c>
      <c r="L254" t="s">
        <v>2562</v>
      </c>
      <c r="M254" t="s">
        <v>174</v>
      </c>
      <c r="N254" t="s">
        <v>62</v>
      </c>
      <c r="O254" s="145">
        <v>29010</v>
      </c>
      <c r="P254" s="145">
        <v>29359</v>
      </c>
      <c r="Q254" s="145">
        <v>349</v>
      </c>
      <c r="R254">
        <v>0</v>
      </c>
      <c r="S254" s="155">
        <f t="shared" ca="1" si="8"/>
        <v>46307</v>
      </c>
    </row>
    <row r="255" spans="2:19">
      <c r="B255">
        <v>2015</v>
      </c>
      <c r="C255">
        <v>42293</v>
      </c>
      <c r="D255" t="s">
        <v>1082</v>
      </c>
      <c r="E255" t="s">
        <v>1074</v>
      </c>
      <c r="F255">
        <v>13</v>
      </c>
      <c r="G255" s="131">
        <v>290688</v>
      </c>
      <c r="H255" s="131">
        <v>290688</v>
      </c>
      <c r="I255" s="131">
        <v>1</v>
      </c>
      <c r="J255" t="s">
        <v>2684</v>
      </c>
      <c r="K255" t="s">
        <v>2106</v>
      </c>
      <c r="L255" t="s">
        <v>2975</v>
      </c>
      <c r="M255" t="s">
        <v>408</v>
      </c>
      <c r="N255" t="s">
        <v>62</v>
      </c>
      <c r="O255" s="145">
        <v>24224</v>
      </c>
      <c r="P255" s="145">
        <v>24510</v>
      </c>
      <c r="Q255" s="145">
        <v>286</v>
      </c>
      <c r="R255">
        <v>0</v>
      </c>
      <c r="S255" s="155">
        <f t="shared" ca="1" si="8"/>
        <v>46311</v>
      </c>
    </row>
    <row r="256" spans="2:19">
      <c r="B256">
        <v>2015</v>
      </c>
      <c r="C256">
        <v>42186</v>
      </c>
      <c r="D256" t="s">
        <v>1084</v>
      </c>
      <c r="E256" t="s">
        <v>1074</v>
      </c>
      <c r="F256">
        <v>13</v>
      </c>
      <c r="G256" s="131">
        <v>290688</v>
      </c>
      <c r="H256" s="131">
        <v>290688</v>
      </c>
      <c r="I256" s="131">
        <v>1</v>
      </c>
      <c r="J256" t="s">
        <v>2623</v>
      </c>
      <c r="K256" t="s">
        <v>2095</v>
      </c>
      <c r="L256" t="s">
        <v>2976</v>
      </c>
      <c r="M256" t="s">
        <v>408</v>
      </c>
      <c r="N256" t="s">
        <v>62</v>
      </c>
      <c r="O256" s="145">
        <v>24224</v>
      </c>
      <c r="P256" s="145">
        <v>24510</v>
      </c>
      <c r="Q256" s="145">
        <v>286</v>
      </c>
      <c r="R256">
        <v>0</v>
      </c>
      <c r="S256" s="155">
        <f t="shared" ca="1" si="8"/>
        <v>46204</v>
      </c>
    </row>
    <row r="257" spans="2:19">
      <c r="B257">
        <v>2015</v>
      </c>
      <c r="C257">
        <v>42289</v>
      </c>
      <c r="D257" t="s">
        <v>377</v>
      </c>
      <c r="E257" t="s">
        <v>1170</v>
      </c>
      <c r="F257">
        <v>8</v>
      </c>
      <c r="G257" s="131">
        <v>195384</v>
      </c>
      <c r="H257" s="131">
        <v>195384</v>
      </c>
      <c r="I257" s="131">
        <v>1</v>
      </c>
      <c r="J257" t="s">
        <v>2609</v>
      </c>
      <c r="K257" t="s">
        <v>2130</v>
      </c>
      <c r="L257" t="s">
        <v>2996</v>
      </c>
      <c r="M257" t="s">
        <v>181</v>
      </c>
      <c r="N257" t="s">
        <v>62</v>
      </c>
      <c r="O257" s="145">
        <v>16282</v>
      </c>
      <c r="P257" s="145">
        <v>16433</v>
      </c>
      <c r="Q257" s="145">
        <v>151</v>
      </c>
      <c r="R257">
        <v>0</v>
      </c>
      <c r="S257" s="155">
        <f t="shared" ca="1" si="8"/>
        <v>46307</v>
      </c>
    </row>
    <row r="258" spans="2:19">
      <c r="B258">
        <v>2015</v>
      </c>
      <c r="C258">
        <v>42186</v>
      </c>
      <c r="D258" t="s">
        <v>1180</v>
      </c>
      <c r="E258" t="s">
        <v>1170</v>
      </c>
      <c r="F258">
        <v>8</v>
      </c>
      <c r="G258" s="131">
        <v>195384</v>
      </c>
      <c r="H258" s="131">
        <v>195384</v>
      </c>
      <c r="I258" s="131">
        <v>1</v>
      </c>
      <c r="J258" t="s">
        <v>2692</v>
      </c>
      <c r="K258" t="s">
        <v>2124</v>
      </c>
      <c r="L258" t="s">
        <v>2998</v>
      </c>
      <c r="M258" t="s">
        <v>268</v>
      </c>
      <c r="N258" t="s">
        <v>62</v>
      </c>
      <c r="O258" s="145">
        <v>16282</v>
      </c>
      <c r="P258" s="145">
        <v>16433</v>
      </c>
      <c r="Q258" s="145">
        <v>151</v>
      </c>
      <c r="R258">
        <v>0</v>
      </c>
      <c r="S258" s="155">
        <f t="shared" ca="1" si="8"/>
        <v>46204</v>
      </c>
    </row>
    <row r="259" spans="2:19">
      <c r="B259">
        <v>2015</v>
      </c>
      <c r="C259">
        <v>42289</v>
      </c>
      <c r="D259" t="s">
        <v>1213</v>
      </c>
      <c r="E259" t="s">
        <v>1170</v>
      </c>
      <c r="F259">
        <v>8</v>
      </c>
      <c r="G259" s="131">
        <v>195384</v>
      </c>
      <c r="H259" s="131">
        <v>195384</v>
      </c>
      <c r="I259" s="131">
        <v>1</v>
      </c>
      <c r="J259" t="s">
        <v>2697</v>
      </c>
      <c r="K259" t="s">
        <v>2135</v>
      </c>
      <c r="L259" t="s">
        <v>3003</v>
      </c>
      <c r="M259" t="s">
        <v>211</v>
      </c>
      <c r="N259" t="s">
        <v>100</v>
      </c>
      <c r="O259" s="145">
        <v>16282</v>
      </c>
      <c r="P259" s="145">
        <v>16433</v>
      </c>
      <c r="Q259" s="145">
        <v>151</v>
      </c>
      <c r="R259">
        <v>0</v>
      </c>
      <c r="S259" s="155">
        <f t="shared" ca="1" si="8"/>
        <v>46307</v>
      </c>
    </row>
    <row r="260" spans="2:19">
      <c r="B260">
        <v>1997</v>
      </c>
      <c r="C260">
        <v>35643</v>
      </c>
      <c r="D260" t="s">
        <v>1218</v>
      </c>
      <c r="E260" t="s">
        <v>1170</v>
      </c>
      <c r="F260">
        <v>8</v>
      </c>
      <c r="G260" s="131">
        <v>195384</v>
      </c>
      <c r="H260" s="131">
        <v>206508</v>
      </c>
      <c r="I260" s="131">
        <v>7</v>
      </c>
      <c r="J260" t="s">
        <v>1221</v>
      </c>
      <c r="K260" t="s">
        <v>1219</v>
      </c>
      <c r="L260" t="s">
        <v>3004</v>
      </c>
      <c r="M260" t="s">
        <v>174</v>
      </c>
      <c r="N260" t="s">
        <v>100</v>
      </c>
      <c r="O260" s="145">
        <v>17209</v>
      </c>
      <c r="P260" s="145">
        <v>17369</v>
      </c>
      <c r="Q260" s="145">
        <v>160</v>
      </c>
      <c r="R260">
        <v>0</v>
      </c>
      <c r="S260" s="155">
        <f t="shared" ca="1" si="8"/>
        <v>46235</v>
      </c>
    </row>
    <row r="261" spans="2:19">
      <c r="B261">
        <v>2015</v>
      </c>
      <c r="C261">
        <v>42289</v>
      </c>
      <c r="D261" t="s">
        <v>1223</v>
      </c>
      <c r="E261" t="s">
        <v>1170</v>
      </c>
      <c r="F261">
        <v>8</v>
      </c>
      <c r="G261" s="131">
        <v>195384</v>
      </c>
      <c r="H261" s="131">
        <v>195384</v>
      </c>
      <c r="I261" s="131">
        <v>1</v>
      </c>
      <c r="J261" t="s">
        <v>3005</v>
      </c>
      <c r="K261" t="s">
        <v>2133</v>
      </c>
      <c r="L261" t="s">
        <v>3006</v>
      </c>
      <c r="M261" t="s">
        <v>211</v>
      </c>
      <c r="N261" t="s">
        <v>100</v>
      </c>
      <c r="O261" s="145">
        <v>16282</v>
      </c>
      <c r="P261" s="145">
        <v>16433</v>
      </c>
      <c r="Q261" s="145">
        <v>151</v>
      </c>
      <c r="R261">
        <v>0</v>
      </c>
      <c r="S261" s="155">
        <f t="shared" ca="1" si="8"/>
        <v>46307</v>
      </c>
    </row>
    <row r="262" spans="2:19">
      <c r="B262">
        <v>2015</v>
      </c>
      <c r="C262">
        <v>42318</v>
      </c>
      <c r="D262" t="s">
        <v>1251</v>
      </c>
      <c r="E262" t="s">
        <v>273</v>
      </c>
      <c r="F262">
        <v>6</v>
      </c>
      <c r="G262" s="131">
        <v>172080</v>
      </c>
      <c r="H262" s="131">
        <v>172080</v>
      </c>
      <c r="I262" s="131">
        <v>1</v>
      </c>
      <c r="J262" t="s">
        <v>3009</v>
      </c>
      <c r="K262" t="s">
        <v>2143</v>
      </c>
      <c r="L262" t="s">
        <v>3010</v>
      </c>
      <c r="M262" t="s">
        <v>408</v>
      </c>
      <c r="N262" t="s">
        <v>100</v>
      </c>
      <c r="O262" s="145">
        <v>14340</v>
      </c>
      <c r="P262" s="145">
        <v>14459</v>
      </c>
      <c r="Q262" s="145">
        <v>119</v>
      </c>
      <c r="R262">
        <v>0</v>
      </c>
      <c r="S262" s="155">
        <f t="shared" ca="1" si="8"/>
        <v>46336</v>
      </c>
    </row>
    <row r="263" spans="2:19">
      <c r="B263">
        <v>2015</v>
      </c>
      <c r="C263">
        <v>42186</v>
      </c>
      <c r="D263" t="s">
        <v>1275</v>
      </c>
      <c r="E263" t="s">
        <v>455</v>
      </c>
      <c r="F263">
        <v>4</v>
      </c>
      <c r="G263" s="131">
        <v>152088</v>
      </c>
      <c r="H263" s="131">
        <v>152088</v>
      </c>
      <c r="I263" s="131">
        <v>1</v>
      </c>
      <c r="J263" t="s">
        <v>2686</v>
      </c>
      <c r="K263" t="s">
        <v>2121</v>
      </c>
      <c r="L263" t="s">
        <v>3015</v>
      </c>
      <c r="M263" t="s">
        <v>181</v>
      </c>
      <c r="N263" t="s">
        <v>100</v>
      </c>
      <c r="O263" s="145">
        <v>12674</v>
      </c>
      <c r="P263" s="145">
        <v>12778</v>
      </c>
      <c r="Q263" s="145">
        <v>104</v>
      </c>
      <c r="R263">
        <v>0</v>
      </c>
      <c r="S263" s="155">
        <f t="shared" ca="1" si="8"/>
        <v>46204</v>
      </c>
    </row>
    <row r="264" spans="2:19">
      <c r="B264">
        <v>2015</v>
      </c>
      <c r="C264">
        <v>42289</v>
      </c>
      <c r="D264" t="s">
        <v>1284</v>
      </c>
      <c r="E264" t="s">
        <v>455</v>
      </c>
      <c r="F264">
        <v>4</v>
      </c>
      <c r="G264" s="131">
        <v>152088</v>
      </c>
      <c r="H264" s="131">
        <v>152088</v>
      </c>
      <c r="I264" s="131">
        <v>1</v>
      </c>
      <c r="J264" t="s">
        <v>2695</v>
      </c>
      <c r="K264" t="s">
        <v>2141</v>
      </c>
      <c r="L264" t="s">
        <v>3020</v>
      </c>
      <c r="M264" t="s">
        <v>174</v>
      </c>
      <c r="N264" t="s">
        <v>62</v>
      </c>
      <c r="O264" s="145">
        <v>12674</v>
      </c>
      <c r="P264" s="145">
        <v>12778</v>
      </c>
      <c r="Q264" s="145">
        <v>104</v>
      </c>
      <c r="R264" t="s">
        <v>2632</v>
      </c>
      <c r="S264" s="155">
        <f t="shared" ca="1" si="8"/>
        <v>46307</v>
      </c>
    </row>
    <row r="265" spans="2:19">
      <c r="B265">
        <v>2012</v>
      </c>
      <c r="C265">
        <v>40910</v>
      </c>
      <c r="D265" t="s">
        <v>1290</v>
      </c>
      <c r="E265" t="s">
        <v>455</v>
      </c>
      <c r="F265">
        <v>4</v>
      </c>
      <c r="G265" s="131">
        <v>152088</v>
      </c>
      <c r="H265" s="131">
        <v>153336</v>
      </c>
      <c r="I265" s="131">
        <v>2</v>
      </c>
      <c r="J265" t="s">
        <v>2689</v>
      </c>
      <c r="K265" t="s">
        <v>2014</v>
      </c>
      <c r="L265" t="s">
        <v>3021</v>
      </c>
      <c r="M265" t="s">
        <v>189</v>
      </c>
      <c r="N265" t="s">
        <v>100</v>
      </c>
      <c r="O265" s="145">
        <v>12778</v>
      </c>
      <c r="P265" s="145">
        <v>12884</v>
      </c>
      <c r="Q265" s="145">
        <v>106</v>
      </c>
      <c r="R265">
        <v>0</v>
      </c>
      <c r="S265" s="155">
        <f t="shared" ca="1" si="8"/>
        <v>46024</v>
      </c>
    </row>
    <row r="266" spans="2:19">
      <c r="G266" s="131"/>
      <c r="H266" s="131"/>
      <c r="I266" s="131"/>
      <c r="O266" s="145"/>
      <c r="P266" s="145"/>
      <c r="Q266" s="145"/>
      <c r="S266" s="155">
        <f t="shared" ca="1" si="8"/>
        <v>46022</v>
      </c>
    </row>
    <row r="267" spans="2:19">
      <c r="G267" s="131"/>
      <c r="H267" s="131"/>
      <c r="I267" s="131"/>
      <c r="O267" s="145"/>
      <c r="P267" s="145"/>
      <c r="Q267" s="145"/>
      <c r="S267" s="155">
        <f t="shared" ca="1" si="8"/>
        <v>46022</v>
      </c>
    </row>
    <row r="268" spans="2:19">
      <c r="G268" s="131"/>
      <c r="H268" s="131"/>
      <c r="I268" s="131"/>
      <c r="O268" s="145"/>
      <c r="P268" s="145"/>
      <c r="Q268" s="145"/>
      <c r="S268" s="155">
        <f t="shared" ca="1" si="8"/>
        <v>46022</v>
      </c>
    </row>
    <row r="269" spans="2:19">
      <c r="G269" s="131"/>
      <c r="H269" s="131"/>
      <c r="I269" s="131"/>
      <c r="O269" s="145"/>
      <c r="P269" s="145"/>
      <c r="Q269" s="145"/>
      <c r="S269" s="155">
        <f t="shared" ca="1" si="8"/>
        <v>46022</v>
      </c>
    </row>
    <row r="270" spans="2:19">
      <c r="S270" s="155">
        <f t="shared" ref="S270:S294" ca="1" si="9">DATE(YEAR(NOW())+1,MONTH(C270),DAY(C270))</f>
        <v>46387</v>
      </c>
    </row>
    <row r="271" spans="2:19">
      <c r="S271" s="155">
        <f t="shared" ca="1" si="9"/>
        <v>46387</v>
      </c>
    </row>
    <row r="272" spans="2:19">
      <c r="S272" s="155">
        <f t="shared" ca="1" si="9"/>
        <v>46387</v>
      </c>
    </row>
    <row r="273" spans="19:19">
      <c r="S273" s="155">
        <f t="shared" ca="1" si="9"/>
        <v>46387</v>
      </c>
    </row>
    <row r="274" spans="19:19">
      <c r="S274" s="155">
        <f t="shared" ca="1" si="9"/>
        <v>46387</v>
      </c>
    </row>
    <row r="275" spans="19:19">
      <c r="S275" s="155">
        <f t="shared" ca="1" si="9"/>
        <v>46387</v>
      </c>
    </row>
    <row r="276" spans="19:19">
      <c r="S276" s="155">
        <f t="shared" ca="1" si="9"/>
        <v>46387</v>
      </c>
    </row>
    <row r="277" spans="19:19">
      <c r="S277" s="155">
        <f t="shared" ca="1" si="9"/>
        <v>46387</v>
      </c>
    </row>
    <row r="278" spans="19:19">
      <c r="S278" s="155">
        <f t="shared" ca="1" si="9"/>
        <v>46387</v>
      </c>
    </row>
    <row r="279" spans="19:19">
      <c r="S279" s="155">
        <f t="shared" ca="1" si="9"/>
        <v>46387</v>
      </c>
    </row>
    <row r="280" spans="19:19">
      <c r="S280" s="155">
        <f t="shared" ca="1" si="9"/>
        <v>46387</v>
      </c>
    </row>
    <row r="281" spans="19:19">
      <c r="S281" s="155">
        <f t="shared" ca="1" si="9"/>
        <v>46387</v>
      </c>
    </row>
    <row r="282" spans="19:19">
      <c r="S282" s="155">
        <f t="shared" ca="1" si="9"/>
        <v>46387</v>
      </c>
    </row>
    <row r="283" spans="19:19">
      <c r="S283" s="155">
        <f t="shared" ca="1" si="9"/>
        <v>46387</v>
      </c>
    </row>
    <row r="284" spans="19:19">
      <c r="S284" s="155">
        <f t="shared" ca="1" si="9"/>
        <v>46387</v>
      </c>
    </row>
    <row r="285" spans="19:19">
      <c r="S285" s="155">
        <f t="shared" ca="1" si="9"/>
        <v>46387</v>
      </c>
    </row>
    <row r="286" spans="19:19">
      <c r="S286" s="155">
        <f t="shared" ca="1" si="9"/>
        <v>46387</v>
      </c>
    </row>
    <row r="287" spans="19:19">
      <c r="S287" s="155">
        <f t="shared" ca="1" si="9"/>
        <v>46387</v>
      </c>
    </row>
    <row r="288" spans="19:19">
      <c r="S288" s="155">
        <f t="shared" ca="1" si="9"/>
        <v>46387</v>
      </c>
    </row>
    <row r="289" spans="19:19">
      <c r="S289" s="155">
        <f t="shared" ca="1" si="9"/>
        <v>46387</v>
      </c>
    </row>
    <row r="290" spans="19:19">
      <c r="S290" s="155">
        <f t="shared" ca="1" si="9"/>
        <v>46387</v>
      </c>
    </row>
    <row r="291" spans="19:19">
      <c r="S291" s="155">
        <f t="shared" ca="1" si="9"/>
        <v>46387</v>
      </c>
    </row>
    <row r="292" spans="19:19">
      <c r="S292" s="155">
        <f t="shared" ca="1" si="9"/>
        <v>46387</v>
      </c>
    </row>
    <row r="293" spans="19:19">
      <c r="S293" s="155">
        <f t="shared" ca="1" si="9"/>
        <v>46387</v>
      </c>
    </row>
    <row r="294" spans="19:19">
      <c r="S294" s="155">
        <f t="shared" ca="1" si="9"/>
        <v>46387</v>
      </c>
    </row>
  </sheetData>
  <autoFilter ref="A1:Y230" xr:uid="{00000000-0009-0000-0000-000010000000}">
    <filterColumn colId="1">
      <filters>
        <filter val="1997"/>
        <filter val="2003"/>
        <filter val="2006"/>
        <filter val="2012"/>
        <filter val="2015"/>
      </filters>
    </filterColumn>
  </autoFilter>
  <dataValidations count="1">
    <dataValidation allowBlank="1" showInputMessage="1" showErrorMessage="1" sqref="C1:XFD1048576" xr:uid="{00000000-0002-0000-1000-000000000000}"/>
  </dataValidations>
  <pageMargins left="0.69930555555555596" right="0.69930555555555596" top="0.75" bottom="0.75"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filterMode="1"/>
  <dimension ref="A1:Y327"/>
  <sheetViews>
    <sheetView topLeftCell="B233" zoomScale="112" zoomScaleNormal="112" workbookViewId="0">
      <selection activeCell="B233" sqref="B233:R327"/>
    </sheetView>
  </sheetViews>
  <sheetFormatPr defaultColWidth="9" defaultRowHeight="14.4"/>
  <cols>
    <col min="3" max="3" width="13.109375" customWidth="1"/>
    <col min="4" max="4" width="27.109375" customWidth="1"/>
    <col min="5" max="5" width="36.88671875" customWidth="1"/>
    <col min="6" max="6" width="3.88671875" customWidth="1"/>
    <col min="7" max="8" width="13.109375" customWidth="1"/>
    <col min="9" max="9" width="6.109375" customWidth="1"/>
    <col min="10" max="13" width="13.109375" customWidth="1"/>
    <col min="14" max="14" width="4.33203125" customWidth="1"/>
    <col min="15" max="15" width="11.109375" customWidth="1"/>
    <col min="16" max="16" width="11.44140625" customWidth="1"/>
    <col min="17" max="17" width="11.109375" customWidth="1"/>
    <col min="18" max="18" width="13.109375" customWidth="1"/>
    <col min="19" max="19" width="15.33203125" customWidth="1"/>
  </cols>
  <sheetData>
    <row r="1" spans="1:25" ht="18.75" customHeight="1">
      <c r="A1" t="s">
        <v>2765</v>
      </c>
      <c r="B1" t="s">
        <v>2765</v>
      </c>
      <c r="C1" s="138" t="s">
        <v>18</v>
      </c>
      <c r="D1" s="139" t="s">
        <v>2204</v>
      </c>
      <c r="E1" s="140" t="s">
        <v>7</v>
      </c>
      <c r="F1" s="141" t="s">
        <v>8</v>
      </c>
      <c r="G1" s="142" t="s">
        <v>2810</v>
      </c>
      <c r="H1" s="142" t="s">
        <v>2811</v>
      </c>
      <c r="I1" s="143" t="s">
        <v>10</v>
      </c>
      <c r="J1" s="143" t="s">
        <v>2201</v>
      </c>
      <c r="K1" s="144" t="s">
        <v>2806</v>
      </c>
      <c r="L1" s="144" t="s">
        <v>2805</v>
      </c>
      <c r="M1" s="139" t="s">
        <v>2216</v>
      </c>
      <c r="N1" s="143" t="s">
        <v>2202</v>
      </c>
      <c r="O1" s="141" t="s">
        <v>2813</v>
      </c>
      <c r="P1" s="141" t="s">
        <v>2812</v>
      </c>
      <c r="Q1" s="141" t="s">
        <v>2809</v>
      </c>
      <c r="R1" s="146" t="s">
        <v>21</v>
      </c>
      <c r="S1" s="147"/>
      <c r="T1" s="148"/>
      <c r="U1" s="148"/>
      <c r="V1" s="148"/>
      <c r="W1" s="148"/>
      <c r="X1" s="148"/>
      <c r="Y1" s="149"/>
    </row>
    <row r="2" spans="1:25" hidden="1">
      <c r="A2">
        <v>2015</v>
      </c>
      <c r="B2">
        <f t="shared" ref="B2:B38" si="0">(YEAR(C2))</f>
        <v>2018</v>
      </c>
      <c r="C2">
        <f>+'staffing plan'!BK12</f>
        <v>43146</v>
      </c>
      <c r="D2" t="str">
        <f>'staffing plan'!A12</f>
        <v>OSEC-DILGB-DIR4-18-1998</v>
      </c>
      <c r="E2" t="str">
        <f>+'staffing plan'!B12</f>
        <v>Director IV</v>
      </c>
      <c r="F2">
        <f>+'staffing plan'!C12</f>
        <v>28</v>
      </c>
      <c r="G2" s="131">
        <f>+'staffing plan'!AH12</f>
        <v>1646340</v>
      </c>
      <c r="H2" s="131">
        <f>+'staffing plan'!AI12</f>
        <v>1673208</v>
      </c>
      <c r="I2" s="131">
        <f>+'staffing plan'!AJ12</f>
        <v>2</v>
      </c>
      <c r="J2" t="str">
        <f>+'staffing plan'!AW12</f>
        <v>IRINGAN, Marlo Lingan</v>
      </c>
      <c r="K2" t="str">
        <f>+'staffing plan'!AR12</f>
        <v>IRINGAN</v>
      </c>
      <c r="L2" t="str">
        <f>UPPER('staffing plan'!AV12)</f>
        <v>MARLO L. IRINGAN</v>
      </c>
      <c r="M2" t="str">
        <f>+'staffing plan'!AX12</f>
        <v>Regional Office</v>
      </c>
      <c r="N2" t="str">
        <f>+'staffing plan'!AY12</f>
        <v>M</v>
      </c>
      <c r="O2" s="145" t="e">
        <f>+'staffing plan'!#REF!</f>
        <v>#REF!</v>
      </c>
      <c r="P2" s="145" t="e">
        <f>+'staffing plan'!#REF!</f>
        <v>#REF!</v>
      </c>
      <c r="Q2" s="145" t="e">
        <f>+'staffing plan'!#REF!</f>
        <v>#REF!</v>
      </c>
      <c r="R2">
        <f>+'staffing plan'!BP12</f>
        <v>0</v>
      </c>
      <c r="S2">
        <v>1</v>
      </c>
    </row>
    <row r="3" spans="1:25">
      <c r="A3">
        <f t="shared" ref="A3:A9" si="1">+A2-3</f>
        <v>2012</v>
      </c>
      <c r="B3">
        <f t="shared" si="0"/>
        <v>2019</v>
      </c>
      <c r="C3">
        <f>+'staffing plan'!BK13</f>
        <v>43549</v>
      </c>
      <c r="D3" t="str">
        <f>'staffing plan'!A13</f>
        <v>OSEC-DILGB-DIR3-4-1998</v>
      </c>
      <c r="E3" t="str">
        <f>+'staffing plan'!B13</f>
        <v>Director III</v>
      </c>
      <c r="F3">
        <f>+'staffing plan'!C13</f>
        <v>27</v>
      </c>
      <c r="G3" s="131">
        <f>+'staffing plan'!AH13</f>
        <v>1456932</v>
      </c>
      <c r="H3" s="131">
        <f>+'staffing plan'!AI13</f>
        <v>1480716</v>
      </c>
      <c r="I3" s="131">
        <f>+'staffing plan'!AJ13</f>
        <v>2</v>
      </c>
      <c r="J3" t="str">
        <f>+'staffing plan'!AW13</f>
        <v>SAN JOSE, Araceli Arruejo</v>
      </c>
      <c r="K3" t="str">
        <f>+'staffing plan'!AR13</f>
        <v>SAN JOSE</v>
      </c>
      <c r="L3" t="str">
        <f>UPPER('staffing plan'!AV13)</f>
        <v>ARACELI A. SAN JOSE</v>
      </c>
      <c r="M3" t="str">
        <f>+'staffing plan'!AX13</f>
        <v>Regional Office</v>
      </c>
      <c r="N3" t="str">
        <f>+'staffing plan'!AY13</f>
        <v>F</v>
      </c>
      <c r="O3" s="145" t="e">
        <f>+'staffing plan'!#REF!</f>
        <v>#REF!</v>
      </c>
      <c r="P3" s="145" t="e">
        <f>+'staffing plan'!#REF!</f>
        <v>#REF!</v>
      </c>
      <c r="Q3" s="145" t="e">
        <f>+'staffing plan'!#REF!</f>
        <v>#REF!</v>
      </c>
      <c r="R3">
        <f>+'staffing plan'!BP13</f>
        <v>0</v>
      </c>
      <c r="S3">
        <v>2</v>
      </c>
    </row>
    <row r="4" spans="1:25" hidden="1">
      <c r="A4">
        <f t="shared" si="1"/>
        <v>2009</v>
      </c>
      <c r="B4">
        <f t="shared" si="0"/>
        <v>2018</v>
      </c>
      <c r="C4">
        <f>+'staffing plan'!BK14</f>
        <v>43360</v>
      </c>
      <c r="D4" t="str">
        <f>'staffing plan'!A14</f>
        <v>OSEC-DILGB-ATTY4-9-1998</v>
      </c>
      <c r="E4" t="str">
        <f>+'staffing plan'!B14</f>
        <v>Attorney IV</v>
      </c>
      <c r="F4">
        <f>+'staffing plan'!C14</f>
        <v>23</v>
      </c>
      <c r="G4" s="131">
        <f>+'staffing plan'!AH14</f>
        <v>885732</v>
      </c>
      <c r="H4" s="131">
        <f>+'staffing plan'!AI14</f>
        <v>885732</v>
      </c>
      <c r="I4" s="131">
        <f>+'staffing plan'!AJ14</f>
        <v>1</v>
      </c>
      <c r="J4" t="str">
        <f>+'staffing plan'!AW14</f>
        <v>SHONTOGAN, Genevieve Miguel</v>
      </c>
      <c r="K4" t="str">
        <f>+'staffing plan'!AR14</f>
        <v>SHONTOGAN</v>
      </c>
      <c r="L4" t="str">
        <f>UPPER('staffing plan'!AV14)</f>
        <v>GENEVIEVE M. SHONTOGAN</v>
      </c>
      <c r="M4" t="str">
        <f>+'staffing plan'!AX14</f>
        <v>Regional Office</v>
      </c>
      <c r="N4" t="str">
        <f>+'staffing plan'!AY14</f>
        <v>F</v>
      </c>
      <c r="O4" s="145" t="e">
        <f>+'staffing plan'!#REF!</f>
        <v>#REF!</v>
      </c>
      <c r="P4" s="145" t="e">
        <f>+'staffing plan'!#REF!</f>
        <v>#REF!</v>
      </c>
      <c r="Q4" s="145" t="e">
        <f>+'staffing plan'!#REF!</f>
        <v>#REF!</v>
      </c>
      <c r="R4">
        <f>+'staffing plan'!BP14</f>
        <v>0</v>
      </c>
      <c r="S4">
        <v>3</v>
      </c>
    </row>
    <row r="5" spans="1:25" hidden="1">
      <c r="A5">
        <f t="shared" si="1"/>
        <v>2006</v>
      </c>
      <c r="B5">
        <f t="shared" si="0"/>
        <v>2012</v>
      </c>
      <c r="C5">
        <f>+'staffing plan'!BK15</f>
        <v>40969</v>
      </c>
      <c r="D5" t="str">
        <f>'staffing plan'!A15</f>
        <v>OSEC-DILGB-ITO1-2-2010</v>
      </c>
      <c r="E5" t="str">
        <f>+'staffing plan'!B15</f>
        <v>Information Technology Officer I</v>
      </c>
      <c r="F5">
        <f>+'staffing plan'!C15</f>
        <v>19</v>
      </c>
      <c r="G5" s="131">
        <f>+'staffing plan'!AH15</f>
        <v>543228</v>
      </c>
      <c r="H5" s="131">
        <f>+'staffing plan'!AI15</f>
        <v>561108</v>
      </c>
      <c r="I5" s="131">
        <f>+'staffing plan'!AJ15</f>
        <v>3</v>
      </c>
      <c r="J5" t="str">
        <f>+'staffing plan'!AW15</f>
        <v>PAPAT-IW, Zaldy Bugtong</v>
      </c>
      <c r="K5" t="str">
        <f>+'staffing plan'!AR15</f>
        <v>PAPAT-IW</v>
      </c>
      <c r="L5" t="str">
        <f>UPPER('staffing plan'!AV15)</f>
        <v>ZALDY B. PAPAT-IW</v>
      </c>
      <c r="M5" t="str">
        <f>+'staffing plan'!AX15</f>
        <v>Regional Office</v>
      </c>
      <c r="N5" t="str">
        <f>+'staffing plan'!AY15</f>
        <v>M</v>
      </c>
      <c r="O5" s="145" t="e">
        <f>+'staffing plan'!#REF!</f>
        <v>#REF!</v>
      </c>
      <c r="P5" s="145" t="e">
        <f>+'staffing plan'!#REF!</f>
        <v>#REF!</v>
      </c>
      <c r="Q5" s="145" t="e">
        <f>+'staffing plan'!#REF!</f>
        <v>#REF!</v>
      </c>
      <c r="R5">
        <f>+'staffing plan'!BP15</f>
        <v>0</v>
      </c>
      <c r="S5">
        <v>4</v>
      </c>
    </row>
    <row r="6" spans="1:25" hidden="1">
      <c r="A6">
        <f t="shared" si="1"/>
        <v>2003</v>
      </c>
      <c r="B6">
        <f t="shared" si="0"/>
        <v>2016</v>
      </c>
      <c r="C6">
        <f>+'staffing plan'!BK16</f>
        <v>42653</v>
      </c>
      <c r="D6" t="str">
        <f>'staffing plan'!A16</f>
        <v>OSEC-DILGB-PLO3-93-2010</v>
      </c>
      <c r="E6" t="str">
        <f>+'staffing plan'!B16</f>
        <v>Planning Officer III</v>
      </c>
      <c r="F6">
        <f>+'staffing plan'!C16</f>
        <v>18</v>
      </c>
      <c r="G6" s="131">
        <f>+'staffing plan'!AH16</f>
        <v>487644</v>
      </c>
      <c r="H6" s="131">
        <f>+'staffing plan'!AI16</f>
        <v>487644</v>
      </c>
      <c r="I6" s="131">
        <f>+'staffing plan'!AJ16</f>
        <v>1</v>
      </c>
      <c r="J6" t="str">
        <f>+'staffing plan'!AW16</f>
        <v>BINAY-AN, Fe Suerte</v>
      </c>
      <c r="K6" t="str">
        <f>+'staffing plan'!AR16</f>
        <v>BINAY-AN</v>
      </c>
      <c r="L6" t="str">
        <f>UPPER('staffing plan'!AV16)</f>
        <v>FE S. BINAY-AN</v>
      </c>
      <c r="M6" t="str">
        <f>+'staffing plan'!AX16</f>
        <v>Regional Office</v>
      </c>
      <c r="N6" t="str">
        <f>+'staffing plan'!AY16</f>
        <v>F</v>
      </c>
      <c r="O6" s="145" t="e">
        <f>+'staffing plan'!#REF!</f>
        <v>#REF!</v>
      </c>
      <c r="P6" s="145" t="e">
        <f>+'staffing plan'!#REF!</f>
        <v>#REF!</v>
      </c>
      <c r="Q6" s="145" t="e">
        <f>+'staffing plan'!#REF!</f>
        <v>#REF!</v>
      </c>
      <c r="R6">
        <f>+'staffing plan'!BP16</f>
        <v>0</v>
      </c>
      <c r="S6">
        <v>5</v>
      </c>
    </row>
    <row r="7" spans="1:25" hidden="1">
      <c r="A7">
        <f t="shared" si="1"/>
        <v>2000</v>
      </c>
      <c r="B7">
        <f t="shared" si="0"/>
        <v>1998</v>
      </c>
      <c r="C7">
        <f>+'staffing plan'!BK17</f>
        <v>36069</v>
      </c>
      <c r="D7" t="str">
        <f>'staffing plan'!A17</f>
        <v>OSEC-DILGB-ADAS3-64-2005</v>
      </c>
      <c r="E7" t="str">
        <f>+'staffing plan'!B17</f>
        <v>Administrative Assistant III</v>
      </c>
      <c r="F7">
        <f>+'staffing plan'!C17</f>
        <v>9</v>
      </c>
      <c r="G7" s="131">
        <f>+'staffing plan'!AH17</f>
        <v>215700</v>
      </c>
      <c r="H7" s="131">
        <f>+'staffing plan'!AI17</f>
        <v>226752</v>
      </c>
      <c r="I7" s="131">
        <f>+'staffing plan'!AJ17</f>
        <v>7</v>
      </c>
      <c r="J7" t="str">
        <f>+'staffing plan'!AW17</f>
        <v>DAOAS, Marian Pait Bigsang</v>
      </c>
      <c r="K7" t="str">
        <f>+'staffing plan'!AR17</f>
        <v>DAOAS</v>
      </c>
      <c r="L7" t="str">
        <f>UPPER('staffing plan'!AV17)</f>
        <v>MARIAN PAIT B. DAOAS</v>
      </c>
      <c r="M7" t="str">
        <f>+'staffing plan'!AX17</f>
        <v>Regional Office</v>
      </c>
      <c r="N7" t="str">
        <f>+'staffing plan'!AY17</f>
        <v>F</v>
      </c>
      <c r="O7" s="145" t="e">
        <f>+'staffing plan'!#REF!</f>
        <v>#REF!</v>
      </c>
      <c r="P7" s="145" t="e">
        <f>+'staffing plan'!#REF!</f>
        <v>#REF!</v>
      </c>
      <c r="Q7" s="145" t="e">
        <f>+'staffing plan'!#REF!</f>
        <v>#REF!</v>
      </c>
      <c r="R7">
        <f>+'staffing plan'!BP17</f>
        <v>0</v>
      </c>
      <c r="S7">
        <v>6</v>
      </c>
    </row>
    <row r="8" spans="1:25">
      <c r="A8">
        <f t="shared" si="1"/>
        <v>1997</v>
      </c>
      <c r="B8">
        <f t="shared" si="0"/>
        <v>2017</v>
      </c>
      <c r="C8">
        <f>+'staffing plan'!BK18</f>
        <v>42891</v>
      </c>
      <c r="D8" t="str">
        <f>'staffing plan'!A18</f>
        <v>OSEC-DILGB-ADA4-83-2005</v>
      </c>
      <c r="E8" t="str">
        <f>+'staffing plan'!B18</f>
        <v>Administrative Aide IV (Driver II)</v>
      </c>
      <c r="F8">
        <f>+'staffing plan'!C18</f>
        <v>4</v>
      </c>
      <c r="G8" s="131">
        <f>+'staffing plan'!AH18</f>
        <v>158568</v>
      </c>
      <c r="H8" s="131">
        <f>+'staffing plan'!AI18</f>
        <v>158568</v>
      </c>
      <c r="I8" s="131">
        <f>+'staffing plan'!AJ18</f>
        <v>1</v>
      </c>
      <c r="J8" t="str">
        <f>+'staffing plan'!AW18</f>
        <v>PULTZ, El-wood Duane  Lingbawan</v>
      </c>
      <c r="K8" t="str">
        <f>+'staffing plan'!AR18</f>
        <v>PULTZ</v>
      </c>
      <c r="L8" t="str">
        <f>UPPER('staffing plan'!AV18)</f>
        <v>EL-WOOD DUANE  L. PULTZ</v>
      </c>
      <c r="M8" t="str">
        <f>+'staffing plan'!AX18</f>
        <v>Regional Office</v>
      </c>
      <c r="N8" t="str">
        <f>+'staffing plan'!AY18</f>
        <v>M</v>
      </c>
      <c r="O8" s="145" t="e">
        <f>+'staffing plan'!#REF!</f>
        <v>#REF!</v>
      </c>
      <c r="P8" s="145" t="e">
        <f>+'staffing plan'!#REF!</f>
        <v>#REF!</v>
      </c>
      <c r="Q8" s="145" t="e">
        <f>+'staffing plan'!#REF!</f>
        <v>#REF!</v>
      </c>
      <c r="R8">
        <f>+'staffing plan'!BP18</f>
        <v>0</v>
      </c>
      <c r="S8">
        <v>7</v>
      </c>
    </row>
    <row r="9" spans="1:25" hidden="1">
      <c r="A9">
        <f t="shared" si="1"/>
        <v>1994</v>
      </c>
      <c r="B9">
        <f t="shared" si="0"/>
        <v>1900</v>
      </c>
      <c r="C9">
        <f>+'staffing plan'!BK19</f>
        <v>0</v>
      </c>
      <c r="D9" t="str">
        <f>'staffing plan'!A19</f>
        <v>Sub-Total</v>
      </c>
      <c r="E9">
        <f>+'staffing plan'!B19</f>
        <v>0</v>
      </c>
      <c r="F9">
        <f>+'staffing plan'!C19</f>
        <v>0</v>
      </c>
      <c r="G9" s="131">
        <f>+'staffing plan'!AH19</f>
        <v>0</v>
      </c>
      <c r="H9" s="131">
        <f>+'staffing plan'!AI19</f>
        <v>0</v>
      </c>
      <c r="I9" s="131">
        <f>+'staffing plan'!AJ19</f>
        <v>7</v>
      </c>
      <c r="J9">
        <f>+'staffing plan'!AW19</f>
        <v>0</v>
      </c>
      <c r="K9">
        <f>+'staffing plan'!AR19</f>
        <v>0</v>
      </c>
      <c r="L9" t="str">
        <f>UPPER('staffing plan'!AV19)</f>
        <v/>
      </c>
      <c r="M9">
        <f>+'staffing plan'!AX19</f>
        <v>0</v>
      </c>
      <c r="N9">
        <f>+'staffing plan'!AY19</f>
        <v>0</v>
      </c>
      <c r="O9" s="145" t="e">
        <f>+'staffing plan'!#REF!</f>
        <v>#REF!</v>
      </c>
      <c r="P9" s="145" t="e">
        <f>+'staffing plan'!#REF!</f>
        <v>#REF!</v>
      </c>
      <c r="Q9" s="145" t="e">
        <f>+'staffing plan'!#REF!</f>
        <v>#REF!</v>
      </c>
      <c r="R9">
        <f>+'staffing plan'!BP19</f>
        <v>0</v>
      </c>
      <c r="S9">
        <v>8</v>
      </c>
    </row>
    <row r="10" spans="1:25" hidden="1">
      <c r="B10">
        <f t="shared" si="0"/>
        <v>1900</v>
      </c>
      <c r="C10">
        <f>+'staffing plan'!BK20</f>
        <v>0</v>
      </c>
      <c r="D10" t="str">
        <f>'staffing plan'!A20</f>
        <v>62,000          Capability Development Division</v>
      </c>
      <c r="E10">
        <f>+'staffing plan'!B20</f>
        <v>0</v>
      </c>
      <c r="F10">
        <f>+'staffing plan'!C20</f>
        <v>0</v>
      </c>
      <c r="G10" s="131">
        <f>+'staffing plan'!AH20</f>
        <v>0</v>
      </c>
      <c r="H10" s="131">
        <f>+'staffing plan'!AI20</f>
        <v>0</v>
      </c>
      <c r="I10" s="131">
        <f>+'staffing plan'!AJ20</f>
        <v>0</v>
      </c>
      <c r="J10">
        <f>+'staffing plan'!AW20</f>
        <v>0</v>
      </c>
      <c r="K10">
        <f>+'staffing plan'!AR20</f>
        <v>0</v>
      </c>
      <c r="L10" t="str">
        <f>UPPER('staffing plan'!AV20)</f>
        <v/>
      </c>
      <c r="M10">
        <f>+'staffing plan'!AX20</f>
        <v>0</v>
      </c>
      <c r="N10">
        <f>+'staffing plan'!AY20</f>
        <v>0</v>
      </c>
      <c r="O10" s="145" t="e">
        <f>+'staffing plan'!#REF!</f>
        <v>#REF!</v>
      </c>
      <c r="P10" s="145" t="e">
        <f>+'staffing plan'!#REF!</f>
        <v>#REF!</v>
      </c>
      <c r="Q10" s="145" t="e">
        <f>+'staffing plan'!#REF!</f>
        <v>#REF!</v>
      </c>
      <c r="R10">
        <f>+'staffing plan'!BP20</f>
        <v>0</v>
      </c>
      <c r="S10">
        <v>9</v>
      </c>
    </row>
    <row r="11" spans="1:25" hidden="1">
      <c r="B11">
        <f t="shared" si="0"/>
        <v>2016</v>
      </c>
      <c r="C11">
        <f>+'staffing plan'!BK21</f>
        <v>42569</v>
      </c>
      <c r="D11" t="str">
        <f>'staffing plan'!A21</f>
        <v>OSEC-DILGB-LGOO7-37-1998</v>
      </c>
      <c r="E11" t="str">
        <f>+'staffing plan'!B21</f>
        <v>Local Government Operations Officer VII</v>
      </c>
      <c r="F11">
        <f>+'staffing plan'!C21</f>
        <v>24</v>
      </c>
      <c r="G11" s="131">
        <f>+'staffing plan'!AH21</f>
        <v>1000872</v>
      </c>
      <c r="H11" s="131">
        <f>+'staffing plan'!AI21</f>
        <v>1000872</v>
      </c>
      <c r="I11" s="131">
        <f>+'staffing plan'!AJ21</f>
        <v>1</v>
      </c>
      <c r="J11" t="str">
        <f>+'staffing plan'!AW21</f>
        <v>PAYANG, Daisy Amoy</v>
      </c>
      <c r="K11" t="str">
        <f>+'staffing plan'!AR21</f>
        <v>PAYANG</v>
      </c>
      <c r="L11" t="str">
        <f>UPPER('staffing plan'!AV21)</f>
        <v>DAISY A. PAYANG</v>
      </c>
      <c r="M11" t="str">
        <f>+'staffing plan'!AX21</f>
        <v>Regional Office</v>
      </c>
      <c r="N11" t="str">
        <f>+'staffing plan'!AY21</f>
        <v>F</v>
      </c>
      <c r="O11" s="145" t="e">
        <f>+'staffing plan'!#REF!</f>
        <v>#REF!</v>
      </c>
      <c r="P11" s="145" t="e">
        <f>+'staffing plan'!#REF!</f>
        <v>#REF!</v>
      </c>
      <c r="Q11" s="145" t="e">
        <f>+'staffing plan'!#REF!</f>
        <v>#REF!</v>
      </c>
      <c r="R11">
        <f>+'staffing plan'!BP21</f>
        <v>0</v>
      </c>
      <c r="S11">
        <v>10</v>
      </c>
    </row>
    <row r="12" spans="1:25">
      <c r="A12">
        <f t="shared" ref="A12:A19" si="2">+A2-1</f>
        <v>2014</v>
      </c>
      <c r="B12">
        <f t="shared" si="0"/>
        <v>2008</v>
      </c>
      <c r="C12">
        <f>+'staffing plan'!BK22</f>
        <v>39510</v>
      </c>
      <c r="D12" t="str">
        <f>'staffing plan'!A22</f>
        <v>OSEC-DILGB-LGOO6-12-1998</v>
      </c>
      <c r="E12" t="str">
        <f>+'staffing plan'!B22</f>
        <v>Local Government Operations Officer VI</v>
      </c>
      <c r="F12">
        <f>+'staffing plan'!C22</f>
        <v>22</v>
      </c>
      <c r="G12" s="131">
        <f>+'staffing plan'!AH22</f>
        <v>783828</v>
      </c>
      <c r="H12" s="131">
        <f>+'staffing plan'!AI22</f>
        <v>822840</v>
      </c>
      <c r="I12" s="131">
        <f>+'staffing plan'!AJ22</f>
        <v>4</v>
      </c>
      <c r="J12" t="str">
        <f>+'staffing plan'!AW22</f>
        <v>CLAUDIO, Ofelia Linggon</v>
      </c>
      <c r="K12" t="str">
        <f>+'staffing plan'!AR22</f>
        <v>CLAUDIO</v>
      </c>
      <c r="L12" t="str">
        <f>UPPER('staffing plan'!AV22)</f>
        <v>OFELIA L. CLAUDIO</v>
      </c>
      <c r="M12" t="str">
        <f>+'staffing plan'!AX22</f>
        <v>Benguet</v>
      </c>
      <c r="N12" t="str">
        <f>+'staffing plan'!AY22</f>
        <v>F</v>
      </c>
      <c r="O12" s="145" t="e">
        <f>+'staffing plan'!#REF!</f>
        <v>#REF!</v>
      </c>
      <c r="P12" s="145" t="e">
        <f>+'staffing plan'!#REF!</f>
        <v>#REF!</v>
      </c>
      <c r="Q12" s="145" t="e">
        <f>+'staffing plan'!#REF!</f>
        <v>#REF!</v>
      </c>
      <c r="R12">
        <f>+'staffing plan'!BP22</f>
        <v>0</v>
      </c>
      <c r="S12">
        <v>11</v>
      </c>
    </row>
    <row r="13" spans="1:25">
      <c r="A13">
        <f t="shared" si="2"/>
        <v>2011</v>
      </c>
      <c r="B13">
        <f t="shared" si="0"/>
        <v>2005</v>
      </c>
      <c r="C13">
        <f>+'staffing plan'!BK23</f>
        <v>38607</v>
      </c>
      <c r="D13" t="str">
        <f>'staffing plan'!A23</f>
        <v>OSEC-DILGB-LGOO5-791-1998</v>
      </c>
      <c r="E13" t="str">
        <f>+'staffing plan'!B23</f>
        <v>Local Government Operations Officer V</v>
      </c>
      <c r="F13">
        <f>+'staffing plan'!C23</f>
        <v>20</v>
      </c>
      <c r="G13" s="131">
        <f>+'staffing plan'!AH23</f>
        <v>613860</v>
      </c>
      <c r="H13" s="131">
        <f>+'staffing plan'!AI23</f>
        <v>654924</v>
      </c>
      <c r="I13" s="131">
        <f>+'staffing plan'!AJ23</f>
        <v>5</v>
      </c>
      <c r="J13" t="str">
        <f>+'staffing plan'!AW23</f>
        <v>GONZALES, Rolando Ronquillo</v>
      </c>
      <c r="K13" t="str">
        <f>+'staffing plan'!AR23</f>
        <v>GONZALES</v>
      </c>
      <c r="L13" t="str">
        <f>UPPER('staffing plan'!AV23)</f>
        <v>ROLANDO R. GONZALES</v>
      </c>
      <c r="M13" t="str">
        <f>+'staffing plan'!AX23</f>
        <v>Regional Office</v>
      </c>
      <c r="N13" t="str">
        <f>+'staffing plan'!AY23</f>
        <v>M</v>
      </c>
      <c r="O13" s="145" t="e">
        <f>+'staffing plan'!#REF!</f>
        <v>#REF!</v>
      </c>
      <c r="P13" s="145" t="e">
        <f>+'staffing plan'!#REF!</f>
        <v>#REF!</v>
      </c>
      <c r="Q13" s="145" t="e">
        <f>+'staffing plan'!#REF!</f>
        <v>#REF!</v>
      </c>
      <c r="R13" t="str">
        <f>+'staffing plan'!BP23</f>
        <v>Shifting</v>
      </c>
      <c r="S13">
        <v>12</v>
      </c>
    </row>
    <row r="14" spans="1:25">
      <c r="A14">
        <f t="shared" si="2"/>
        <v>2008</v>
      </c>
      <c r="B14">
        <f t="shared" si="0"/>
        <v>2002</v>
      </c>
      <c r="C14">
        <f>+'staffing plan'!BK24</f>
        <v>37355</v>
      </c>
      <c r="D14" t="str">
        <f>'staffing plan'!A24</f>
        <v>OSEC-DILGB-LGOO5-802-1998</v>
      </c>
      <c r="E14" t="str">
        <f>+'staffing plan'!B24</f>
        <v>Local Government Operations Officer V</v>
      </c>
      <c r="F14">
        <f>+'staffing plan'!C24</f>
        <v>20</v>
      </c>
      <c r="G14" s="131">
        <f>+'staffing plan'!AH24</f>
        <v>613860</v>
      </c>
      <c r="H14" s="131">
        <f>+'staffing plan'!AI24</f>
        <v>665616</v>
      </c>
      <c r="I14" s="131">
        <f>+'staffing plan'!AJ24</f>
        <v>6</v>
      </c>
      <c r="J14" t="str">
        <f>+'staffing plan'!AW24</f>
        <v>MAUTING, Johnny Laayon</v>
      </c>
      <c r="K14" t="str">
        <f>+'staffing plan'!AR24</f>
        <v>MAUTING</v>
      </c>
      <c r="L14" t="str">
        <f>UPPER('staffing plan'!AV24)</f>
        <v>JOHNNY L. MAUTING</v>
      </c>
      <c r="M14" t="str">
        <f>+'staffing plan'!AX24</f>
        <v>Regional Office</v>
      </c>
      <c r="N14" t="str">
        <f>+'staffing plan'!AY24</f>
        <v>M</v>
      </c>
      <c r="O14" s="145" t="e">
        <f>+'staffing plan'!#REF!</f>
        <v>#REF!</v>
      </c>
      <c r="P14" s="145" t="e">
        <f>+'staffing plan'!#REF!</f>
        <v>#REF!</v>
      </c>
      <c r="Q14" s="145" t="e">
        <f>+'staffing plan'!#REF!</f>
        <v>#REF!</v>
      </c>
      <c r="R14" t="str">
        <f>+'staffing plan'!BP24</f>
        <v>Shifting</v>
      </c>
      <c r="S14">
        <v>13</v>
      </c>
    </row>
    <row r="15" spans="1:25" hidden="1">
      <c r="A15">
        <f t="shared" si="2"/>
        <v>2005</v>
      </c>
      <c r="B15">
        <f t="shared" si="0"/>
        <v>1900</v>
      </c>
      <c r="C15">
        <f>+'staffing plan'!BK25</f>
        <v>0</v>
      </c>
      <c r="D15" t="str">
        <f>'staffing plan'!A25</f>
        <v>OSEC-DILGB-LGOO5-813-1998</v>
      </c>
      <c r="E15" t="str">
        <f>+'staffing plan'!B25</f>
        <v>Local Government Operations Officer V</v>
      </c>
      <c r="F15">
        <f>+'staffing plan'!C25</f>
        <v>20</v>
      </c>
      <c r="G15" s="131">
        <f>+'staffing plan'!AH25</f>
        <v>613860</v>
      </c>
      <c r="H15" s="131">
        <f>+'staffing plan'!AI25</f>
        <v>0</v>
      </c>
      <c r="I15" s="131">
        <f>+'staffing plan'!AJ25</f>
        <v>0</v>
      </c>
      <c r="J15" t="str">
        <f>+'staffing plan'!AW25</f>
        <v xml:space="preserve">Vacant GRIBA,  </v>
      </c>
      <c r="K15" t="str">
        <f>+'staffing plan'!AR25</f>
        <v>Vacant GRIBA</v>
      </c>
      <c r="L15" t="str">
        <f>UPPER('staffing plan'!AV25)</f>
        <v xml:space="preserve"> . VACANT GRIBA</v>
      </c>
      <c r="M15">
        <f>+'staffing plan'!AX25</f>
        <v>0</v>
      </c>
      <c r="N15">
        <f>+'staffing plan'!AY25</f>
        <v>0</v>
      </c>
      <c r="O15" s="145" t="e">
        <f>+'staffing plan'!#REF!</f>
        <v>#REF!</v>
      </c>
      <c r="P15" s="145" t="e">
        <f>+'staffing plan'!#REF!</f>
        <v>#REF!</v>
      </c>
      <c r="Q15" s="145" t="e">
        <f>+'staffing plan'!#REF!</f>
        <v>#REF!</v>
      </c>
      <c r="R15">
        <f>+'staffing plan'!BP25</f>
        <v>0</v>
      </c>
      <c r="S15">
        <v>14</v>
      </c>
    </row>
    <row r="16" spans="1:25" hidden="1">
      <c r="A16">
        <f t="shared" si="2"/>
        <v>2002</v>
      </c>
      <c r="B16">
        <f t="shared" si="0"/>
        <v>2018</v>
      </c>
      <c r="C16">
        <f>+'staffing plan'!BK26</f>
        <v>43129</v>
      </c>
      <c r="D16" t="str">
        <f>'staffing plan'!A26</f>
        <v>OSEC-DILGB-LGOO4-161-1998</v>
      </c>
      <c r="E16" t="str">
        <f>+'staffing plan'!B26</f>
        <v>Local Government Operations Officer IV</v>
      </c>
      <c r="F16">
        <f>+'staffing plan'!C26</f>
        <v>18</v>
      </c>
      <c r="G16" s="131">
        <f>+'staffing plan'!AH26</f>
        <v>487644</v>
      </c>
      <c r="H16" s="131">
        <f>+'staffing plan'!AI26</f>
        <v>487644</v>
      </c>
      <c r="I16" s="131">
        <f>+'staffing plan'!AJ26</f>
        <v>1</v>
      </c>
      <c r="J16" t="str">
        <f>+'staffing plan'!AW26</f>
        <v>DAEP, Sherwin Ray Ochoco</v>
      </c>
      <c r="K16" t="str">
        <f>+'staffing plan'!AR26</f>
        <v>DAEP</v>
      </c>
      <c r="L16" t="str">
        <f>UPPER('staffing plan'!AV26)</f>
        <v>SHERWIN RAY O. DAEP</v>
      </c>
      <c r="M16" t="str">
        <f>+'staffing plan'!AX26</f>
        <v>Regional Office</v>
      </c>
      <c r="N16" t="str">
        <f>+'staffing plan'!AY26</f>
        <v>M</v>
      </c>
      <c r="O16" s="145" t="e">
        <f>+'staffing plan'!#REF!</f>
        <v>#REF!</v>
      </c>
      <c r="P16" s="145" t="e">
        <f>+'staffing plan'!#REF!</f>
        <v>#REF!</v>
      </c>
      <c r="Q16" s="145" t="e">
        <f>+'staffing plan'!#REF!</f>
        <v>#REF!</v>
      </c>
      <c r="R16" t="str">
        <f>+'staffing plan'!BP26</f>
        <v>Region</v>
      </c>
      <c r="S16">
        <v>15</v>
      </c>
    </row>
    <row r="17" spans="1:19" hidden="1">
      <c r="A17">
        <f t="shared" si="2"/>
        <v>1999</v>
      </c>
      <c r="B17">
        <f t="shared" si="0"/>
        <v>2018</v>
      </c>
      <c r="C17">
        <f>+'staffing plan'!BK27</f>
        <v>43283</v>
      </c>
      <c r="D17" t="str">
        <f>'staffing plan'!A27</f>
        <v>OSEC-DILGB-LGOO4-164-1998</v>
      </c>
      <c r="E17" t="str">
        <f>+'staffing plan'!B27</f>
        <v>Local Government Operations Officer IV</v>
      </c>
      <c r="F17">
        <f>+'staffing plan'!C27</f>
        <v>18</v>
      </c>
      <c r="G17" s="131">
        <f>+'staffing plan'!AH27</f>
        <v>487644</v>
      </c>
      <c r="H17" s="131">
        <f>+'staffing plan'!AI27</f>
        <v>487644</v>
      </c>
      <c r="I17" s="131">
        <f>+'staffing plan'!AJ27</f>
        <v>1</v>
      </c>
      <c r="J17" t="str">
        <f>+'staffing plan'!AW27</f>
        <v>BRETT, Ralph Kevin Bacagan</v>
      </c>
      <c r="K17" t="str">
        <f>+'staffing plan'!AR27</f>
        <v>BRETT</v>
      </c>
      <c r="L17" t="str">
        <f>UPPER('staffing plan'!AV27)</f>
        <v>RALPH KEVIN B. BRETT</v>
      </c>
      <c r="M17" t="str">
        <f>+'staffing plan'!AX27</f>
        <v>Regional Office</v>
      </c>
      <c r="N17" t="str">
        <f>+'staffing plan'!AY27</f>
        <v>M</v>
      </c>
      <c r="O17" s="145" t="e">
        <f>+'staffing plan'!#REF!</f>
        <v>#REF!</v>
      </c>
      <c r="P17" s="145" t="e">
        <f>+'staffing plan'!#REF!</f>
        <v>#REF!</v>
      </c>
      <c r="Q17" s="145" t="e">
        <f>+'staffing plan'!#REF!</f>
        <v>#REF!</v>
      </c>
      <c r="R17">
        <f>+'staffing plan'!BP27</f>
        <v>0</v>
      </c>
      <c r="S17">
        <v>16</v>
      </c>
    </row>
    <row r="18" spans="1:19" hidden="1">
      <c r="A18">
        <f t="shared" si="2"/>
        <v>1996</v>
      </c>
      <c r="B18">
        <f t="shared" si="0"/>
        <v>1900</v>
      </c>
      <c r="C18">
        <f>+'staffing plan'!BK28</f>
        <v>0</v>
      </c>
      <c r="D18" t="str">
        <f>'staffing plan'!A28</f>
        <v>OSEC-DILGB-ADA6-97-2005</v>
      </c>
      <c r="E18" t="str">
        <f>+'staffing plan'!B28</f>
        <v>Administrative Aide VI</v>
      </c>
      <c r="F18">
        <f>+'staffing plan'!C28</f>
        <v>6</v>
      </c>
      <c r="G18" s="131">
        <f>+'staffing plan'!AH28</f>
        <v>178164</v>
      </c>
      <c r="H18" s="131">
        <f>+'staffing plan'!AI28</f>
        <v>0</v>
      </c>
      <c r="I18" s="131">
        <f>+'staffing plan'!AJ28</f>
        <v>0</v>
      </c>
      <c r="J18" t="str">
        <f>+'staffing plan'!AW28</f>
        <v xml:space="preserve">Vacant MAGO,  </v>
      </c>
      <c r="K18" t="str">
        <f>+'staffing plan'!AR28</f>
        <v>Vacant MAGO</v>
      </c>
      <c r="L18" t="str">
        <f>UPPER('staffing plan'!AV28)</f>
        <v xml:space="preserve"> . VACANT MAGO</v>
      </c>
      <c r="M18">
        <f>+'staffing plan'!AX28</f>
        <v>0</v>
      </c>
      <c r="N18">
        <f>+'staffing plan'!AY28</f>
        <v>0</v>
      </c>
      <c r="O18" s="145" t="e">
        <f>+'staffing plan'!#REF!</f>
        <v>#REF!</v>
      </c>
      <c r="P18" s="145" t="e">
        <f>+'staffing plan'!#REF!</f>
        <v>#REF!</v>
      </c>
      <c r="Q18" s="145" t="e">
        <f>+'staffing plan'!#REF!</f>
        <v>#REF!</v>
      </c>
      <c r="R18">
        <f>+'staffing plan'!BP28</f>
        <v>0</v>
      </c>
      <c r="S18">
        <v>17</v>
      </c>
    </row>
    <row r="19" spans="1:19" hidden="1">
      <c r="A19">
        <f t="shared" si="2"/>
        <v>1993</v>
      </c>
      <c r="B19">
        <f t="shared" si="0"/>
        <v>1900</v>
      </c>
      <c r="C19">
        <f>+'staffing plan'!BK29</f>
        <v>0</v>
      </c>
      <c r="D19" t="str">
        <f>'staffing plan'!A29</f>
        <v>Sub-Total</v>
      </c>
      <c r="E19">
        <f>+'staffing plan'!B29</f>
        <v>0</v>
      </c>
      <c r="F19">
        <f>+'staffing plan'!C29</f>
        <v>0</v>
      </c>
      <c r="G19" s="131">
        <f>+'staffing plan'!AH29</f>
        <v>0</v>
      </c>
      <c r="H19" s="131">
        <f>+'staffing plan'!AI29</f>
        <v>0</v>
      </c>
      <c r="I19" s="131">
        <f>+'staffing plan'!AJ29</f>
        <v>8</v>
      </c>
      <c r="J19">
        <f>+'staffing plan'!AW29</f>
        <v>0</v>
      </c>
      <c r="K19">
        <f>+'staffing plan'!AR29</f>
        <v>0</v>
      </c>
      <c r="L19" t="str">
        <f>UPPER('staffing plan'!AV29)</f>
        <v/>
      </c>
      <c r="M19">
        <f>+'staffing plan'!AX29</f>
        <v>0</v>
      </c>
      <c r="N19">
        <f>+'staffing plan'!AY29</f>
        <v>0</v>
      </c>
      <c r="O19" s="145" t="e">
        <f>+'staffing plan'!#REF!</f>
        <v>#REF!</v>
      </c>
      <c r="P19" s="145" t="e">
        <f>+'staffing plan'!#REF!</f>
        <v>#REF!</v>
      </c>
      <c r="Q19" s="145" t="e">
        <f>+'staffing plan'!#REF!</f>
        <v>#REF!</v>
      </c>
      <c r="R19">
        <f>+'staffing plan'!BP29</f>
        <v>0</v>
      </c>
      <c r="S19">
        <v>18</v>
      </c>
    </row>
    <row r="20" spans="1:19" hidden="1">
      <c r="B20">
        <f t="shared" si="0"/>
        <v>1900</v>
      </c>
      <c r="C20">
        <f>+'staffing plan'!BK30</f>
        <v>0</v>
      </c>
      <c r="D20" t="str">
        <f>'staffing plan'!A30</f>
        <v>63,000          Monitoring and Evaluation Division</v>
      </c>
      <c r="E20">
        <f>+'staffing plan'!B30</f>
        <v>0</v>
      </c>
      <c r="F20">
        <f>+'staffing plan'!C30</f>
        <v>0</v>
      </c>
      <c r="G20" s="131">
        <f>+'staffing plan'!AH30</f>
        <v>0</v>
      </c>
      <c r="H20" s="131">
        <f>+'staffing plan'!AI30</f>
        <v>0</v>
      </c>
      <c r="I20" s="131">
        <f>+'staffing plan'!AJ30</f>
        <v>0</v>
      </c>
      <c r="J20">
        <f>+'staffing plan'!AW30</f>
        <v>0</v>
      </c>
      <c r="K20">
        <f>+'staffing plan'!AR30</f>
        <v>0</v>
      </c>
      <c r="L20" t="str">
        <f>UPPER('staffing plan'!AV30)</f>
        <v/>
      </c>
      <c r="M20">
        <f>+'staffing plan'!AX30</f>
        <v>0</v>
      </c>
      <c r="N20">
        <f>+'staffing plan'!AY30</f>
        <v>0</v>
      </c>
      <c r="O20" s="145" t="e">
        <f>+'staffing plan'!#REF!</f>
        <v>#REF!</v>
      </c>
      <c r="P20" s="145" t="e">
        <f>+'staffing plan'!#REF!</f>
        <v>#REF!</v>
      </c>
      <c r="Q20" s="145" t="e">
        <f>+'staffing plan'!#REF!</f>
        <v>#REF!</v>
      </c>
      <c r="R20">
        <f>+'staffing plan'!BP30</f>
        <v>0</v>
      </c>
      <c r="S20">
        <v>19</v>
      </c>
    </row>
    <row r="21" spans="1:19" hidden="1">
      <c r="B21">
        <f t="shared" si="0"/>
        <v>2018</v>
      </c>
      <c r="C21">
        <f>+'staffing plan'!BK31</f>
        <v>43132</v>
      </c>
      <c r="D21" t="str">
        <f>'staffing plan'!A31</f>
        <v>OSEC-DILGB-LGOO7-38-1998</v>
      </c>
      <c r="E21" t="str">
        <f>+'staffing plan'!B31</f>
        <v>Local Government Operations Officer VII</v>
      </c>
      <c r="F21">
        <f>+'staffing plan'!C31</f>
        <v>24</v>
      </c>
      <c r="G21" s="131">
        <f>+'staffing plan'!AH31</f>
        <v>1000872</v>
      </c>
      <c r="H21" s="131">
        <f>+'staffing plan'!AI31</f>
        <v>1000872</v>
      </c>
      <c r="I21" s="131">
        <f>+'staffing plan'!AJ31</f>
        <v>1</v>
      </c>
      <c r="J21" t="str">
        <f>+'staffing plan'!AW31</f>
        <v>GUERZON, Marleen Montano</v>
      </c>
      <c r="K21" t="str">
        <f>+'staffing plan'!AR31</f>
        <v>GUERZON</v>
      </c>
      <c r="L21" t="str">
        <f>UPPER('staffing plan'!AV31)</f>
        <v>MARLEEN M. GUERZON</v>
      </c>
      <c r="M21" t="str">
        <f>+'staffing plan'!AX31</f>
        <v>Regional Office</v>
      </c>
      <c r="N21" t="str">
        <f>+'staffing plan'!AY31</f>
        <v>F</v>
      </c>
      <c r="O21" s="145" t="e">
        <f>+'staffing plan'!#REF!</f>
        <v>#REF!</v>
      </c>
      <c r="P21" s="145" t="e">
        <f>+'staffing plan'!#REF!</f>
        <v>#REF!</v>
      </c>
      <c r="Q21" s="145" t="e">
        <f>+'staffing plan'!#REF!</f>
        <v>#REF!</v>
      </c>
      <c r="R21" t="str">
        <f>+'staffing plan'!BP31</f>
        <v>transfer from PO - CH Benguet feb 2019</v>
      </c>
      <c r="S21">
        <v>20</v>
      </c>
    </row>
    <row r="22" spans="1:19" hidden="1">
      <c r="A22">
        <f t="shared" ref="A22:A29" si="3">+A12-1</f>
        <v>2013</v>
      </c>
      <c r="B22">
        <f t="shared" si="0"/>
        <v>2010</v>
      </c>
      <c r="C22">
        <f>+'staffing plan'!BK32</f>
        <v>40262</v>
      </c>
      <c r="D22" t="str">
        <f>'staffing plan'!A32</f>
        <v>OSEC-DILGB-LGOO6-14-1998</v>
      </c>
      <c r="E22" t="str">
        <f>+'staffing plan'!B32</f>
        <v>Local Government Operations Officer VI</v>
      </c>
      <c r="F22">
        <f>+'staffing plan'!C32</f>
        <v>22</v>
      </c>
      <c r="G22" s="131">
        <f>+'staffing plan'!AH32</f>
        <v>783828</v>
      </c>
      <c r="H22" s="131">
        <f>+'staffing plan'!AI32</f>
        <v>809628</v>
      </c>
      <c r="I22" s="131">
        <f>+'staffing plan'!AJ32</f>
        <v>3</v>
      </c>
      <c r="J22" t="str">
        <f>+'staffing plan'!AW32</f>
        <v>ADNOL, Bable Ged-ang</v>
      </c>
      <c r="K22" t="str">
        <f>+'staffing plan'!AR32</f>
        <v>ADNOL</v>
      </c>
      <c r="L22" t="str">
        <f>UPPER('staffing plan'!AV32)</f>
        <v>BABLE G. ADNOL</v>
      </c>
      <c r="M22" t="str">
        <f>+'staffing plan'!AX32</f>
        <v>Regional Office</v>
      </c>
      <c r="N22" t="str">
        <f>+'staffing plan'!AY32</f>
        <v>F</v>
      </c>
      <c r="O22" s="145" t="e">
        <f>+'staffing plan'!#REF!</f>
        <v>#REF!</v>
      </c>
      <c r="P22" s="145" t="e">
        <f>+'staffing plan'!#REF!</f>
        <v>#REF!</v>
      </c>
      <c r="Q22" s="145" t="e">
        <f>+'staffing plan'!#REF!</f>
        <v>#REF!</v>
      </c>
      <c r="R22">
        <f>+'staffing plan'!BP32</f>
        <v>0</v>
      </c>
      <c r="S22">
        <v>21</v>
      </c>
    </row>
    <row r="23" spans="1:19" hidden="1">
      <c r="A23">
        <f t="shared" si="3"/>
        <v>2010</v>
      </c>
      <c r="B23">
        <f t="shared" si="0"/>
        <v>2013</v>
      </c>
      <c r="C23">
        <f>+'staffing plan'!BK33</f>
        <v>41526</v>
      </c>
      <c r="D23" t="str">
        <f>'staffing plan'!A33</f>
        <v>OSEC-DILGB-LGOO5-99-2010</v>
      </c>
      <c r="E23" t="str">
        <f>+'staffing plan'!B33</f>
        <v>Local Government Operations Officer V</v>
      </c>
      <c r="F23">
        <f>+'staffing plan'!C33</f>
        <v>20</v>
      </c>
      <c r="G23" s="131">
        <f>+'staffing plan'!AH33</f>
        <v>613860</v>
      </c>
      <c r="H23" s="131">
        <f>+'staffing plan'!AI33</f>
        <v>623868</v>
      </c>
      <c r="I23" s="131">
        <f>+'staffing plan'!AJ33</f>
        <v>2</v>
      </c>
      <c r="J23" t="str">
        <f>+'staffing plan'!AW33</f>
        <v>RIMANDO, Marie Cris Lim</v>
      </c>
      <c r="K23" t="str">
        <f>+'staffing plan'!AR33</f>
        <v>RIMANDO</v>
      </c>
      <c r="L23" t="str">
        <f>UPPER('staffing plan'!AV33)</f>
        <v>MARIE CRIS L. RIMANDO</v>
      </c>
      <c r="M23" t="str">
        <f>+'staffing plan'!AX33</f>
        <v>Regional Office</v>
      </c>
      <c r="N23" t="str">
        <f>+'staffing plan'!AY33</f>
        <v>F</v>
      </c>
      <c r="O23" s="145" t="e">
        <f>+'staffing plan'!#REF!</f>
        <v>#REF!</v>
      </c>
      <c r="P23" s="145" t="e">
        <f>+'staffing plan'!#REF!</f>
        <v>#REF!</v>
      </c>
      <c r="Q23" s="145" t="e">
        <f>+'staffing plan'!#REF!</f>
        <v>#REF!</v>
      </c>
      <c r="R23" t="str">
        <f>+'staffing plan'!BP33</f>
        <v>Shifting</v>
      </c>
      <c r="S23">
        <v>22</v>
      </c>
    </row>
    <row r="24" spans="1:19" hidden="1">
      <c r="A24">
        <f t="shared" si="3"/>
        <v>2007</v>
      </c>
      <c r="B24">
        <f t="shared" si="0"/>
        <v>2012</v>
      </c>
      <c r="C24">
        <f>+'staffing plan'!BK34</f>
        <v>41149</v>
      </c>
      <c r="D24" t="str">
        <f>'staffing plan'!A34</f>
        <v>OSEC-DILGB-LGOO5-824-1998</v>
      </c>
      <c r="E24" t="str">
        <f>+'staffing plan'!B34</f>
        <v>Local Government Operations Officer V</v>
      </c>
      <c r="F24">
        <f>+'staffing plan'!C34</f>
        <v>20</v>
      </c>
      <c r="G24" s="131">
        <f>+'staffing plan'!AH34</f>
        <v>613860</v>
      </c>
      <c r="H24" s="131">
        <f>+'staffing plan'!AI34</f>
        <v>634056</v>
      </c>
      <c r="I24" s="131">
        <f>+'staffing plan'!AJ34</f>
        <v>3</v>
      </c>
      <c r="J24" t="str">
        <f>+'staffing plan'!AW34</f>
        <v>GARCIA, Florinda Manuyag</v>
      </c>
      <c r="K24" t="str">
        <f>+'staffing plan'!AR34</f>
        <v>GARCIA</v>
      </c>
      <c r="L24" t="str">
        <f>UPPER('staffing plan'!AV34)</f>
        <v>FLORINDA M. GARCIA</v>
      </c>
      <c r="M24" t="str">
        <f>+'staffing plan'!AX34</f>
        <v>Regional Office</v>
      </c>
      <c r="N24" t="str">
        <f>+'staffing plan'!AY34</f>
        <v>F</v>
      </c>
      <c r="O24" s="145" t="e">
        <f>+'staffing plan'!#REF!</f>
        <v>#REF!</v>
      </c>
      <c r="P24" s="145" t="e">
        <f>+'staffing plan'!#REF!</f>
        <v>#REF!</v>
      </c>
      <c r="Q24" s="145" t="e">
        <f>+'staffing plan'!#REF!</f>
        <v>#REF!</v>
      </c>
      <c r="R24" t="str">
        <f>+'staffing plan'!BP34</f>
        <v>Shifting</v>
      </c>
      <c r="S24">
        <v>23</v>
      </c>
    </row>
    <row r="25" spans="1:19" hidden="1">
      <c r="A25">
        <f t="shared" si="3"/>
        <v>2004</v>
      </c>
      <c r="B25">
        <f t="shared" si="0"/>
        <v>2018</v>
      </c>
      <c r="C25">
        <f>+'staffing plan'!BK35</f>
        <v>43168</v>
      </c>
      <c r="D25" t="str">
        <f>'staffing plan'!A35</f>
        <v>OSEC-DILGB-LGOO5-835-1998</v>
      </c>
      <c r="E25" t="str">
        <f>+'staffing plan'!B35</f>
        <v>Local Government Operations Officer V</v>
      </c>
      <c r="F25">
        <f>+'staffing plan'!C35</f>
        <v>20</v>
      </c>
      <c r="G25" s="131">
        <f>+'staffing plan'!AH35</f>
        <v>613860</v>
      </c>
      <c r="H25" s="131">
        <f>+'staffing plan'!AI35</f>
        <v>613860</v>
      </c>
      <c r="I25" s="131">
        <f>+'staffing plan'!AJ35</f>
        <v>1</v>
      </c>
      <c r="J25" t="str">
        <f>+'staffing plan'!AW35</f>
        <v>TINDUNGAN, Kenneth Cuyapi</v>
      </c>
      <c r="K25" t="str">
        <f>+'staffing plan'!AR35</f>
        <v>TINDUNGAN</v>
      </c>
      <c r="L25" t="str">
        <f>UPPER('staffing plan'!AV35)</f>
        <v>KENNETH C. TINDUNGAN</v>
      </c>
      <c r="M25" t="str">
        <f>+'staffing plan'!AX35</f>
        <v>Regional Office</v>
      </c>
      <c r="N25" t="str">
        <f>+'staffing plan'!AY35</f>
        <v>M</v>
      </c>
      <c r="O25" s="145" t="e">
        <f>+'staffing plan'!#REF!</f>
        <v>#REF!</v>
      </c>
      <c r="P25" s="145" t="e">
        <f>+'staffing plan'!#REF!</f>
        <v>#REF!</v>
      </c>
      <c r="Q25" s="145" t="e">
        <f>+'staffing plan'!#REF!</f>
        <v>#REF!</v>
      </c>
      <c r="R25">
        <f>+'staffing plan'!BP35</f>
        <v>0</v>
      </c>
      <c r="S25">
        <v>24</v>
      </c>
    </row>
    <row r="26" spans="1:19" hidden="1">
      <c r="A26">
        <f t="shared" si="3"/>
        <v>2001</v>
      </c>
      <c r="B26">
        <f t="shared" si="0"/>
        <v>2018</v>
      </c>
      <c r="C26">
        <f>+'staffing plan'!BK36</f>
        <v>43129</v>
      </c>
      <c r="D26" t="str">
        <f>'staffing plan'!A36</f>
        <v>OSEC-DILGB-LGOO4-166-1998</v>
      </c>
      <c r="E26" t="str">
        <f>+'staffing plan'!B36</f>
        <v>Local Government Operations Officer IV</v>
      </c>
      <c r="F26">
        <f>+'staffing plan'!C36</f>
        <v>18</v>
      </c>
      <c r="G26" s="131">
        <f>+'staffing plan'!AH36</f>
        <v>487644</v>
      </c>
      <c r="H26" s="131">
        <f>+'staffing plan'!AI36</f>
        <v>487644</v>
      </c>
      <c r="I26" s="131">
        <f>+'staffing plan'!AJ36</f>
        <v>1</v>
      </c>
      <c r="J26" t="str">
        <f>+'staffing plan'!AW36</f>
        <v>CANULLAS, Mary Jheama Rachine  Esperanzate</v>
      </c>
      <c r="K26" t="str">
        <f>+'staffing plan'!AR36</f>
        <v>CANULLAS</v>
      </c>
      <c r="L26" t="str">
        <f>UPPER('staffing plan'!AV36)</f>
        <v>MARY JHEAMA RACHINE  E. CANULLAS</v>
      </c>
      <c r="M26" t="str">
        <f>+'staffing plan'!AX36</f>
        <v>Regional Office</v>
      </c>
      <c r="N26" t="str">
        <f>+'staffing plan'!AY36</f>
        <v>F</v>
      </c>
      <c r="O26" s="145" t="e">
        <f>+'staffing plan'!#REF!</f>
        <v>#REF!</v>
      </c>
      <c r="P26" s="145" t="e">
        <f>+'staffing plan'!#REF!</f>
        <v>#REF!</v>
      </c>
      <c r="Q26" s="145" t="e">
        <f>+'staffing plan'!#REF!</f>
        <v>#REF!</v>
      </c>
      <c r="R26" t="str">
        <f>+'staffing plan'!BP36</f>
        <v>Region</v>
      </c>
      <c r="S26">
        <v>25</v>
      </c>
    </row>
    <row r="27" spans="1:19" hidden="1">
      <c r="A27">
        <f t="shared" si="3"/>
        <v>1998</v>
      </c>
      <c r="B27">
        <f t="shared" si="0"/>
        <v>2012</v>
      </c>
      <c r="C27">
        <f>+'staffing plan'!BK37</f>
        <v>41254</v>
      </c>
      <c r="D27" t="str">
        <f>'staffing plan'!A37</f>
        <v>OSEC-DILGB-LGOO4-167-1998</v>
      </c>
      <c r="E27" t="str">
        <f>+'staffing plan'!B37</f>
        <v>Local Government Operations Officer IV</v>
      </c>
      <c r="F27">
        <f>+'staffing plan'!C37</f>
        <v>18</v>
      </c>
      <c r="G27" s="131">
        <f>+'staffing plan'!AH37</f>
        <v>487644</v>
      </c>
      <c r="H27" s="131">
        <f>+'staffing plan'!AI37</f>
        <v>499800</v>
      </c>
      <c r="I27" s="131">
        <f>+'staffing plan'!AJ37</f>
        <v>3</v>
      </c>
      <c r="J27" t="str">
        <f>+'staffing plan'!AW37</f>
        <v>BUENA, Maria Consolacion Salibad</v>
      </c>
      <c r="K27" t="str">
        <f>+'staffing plan'!AR37</f>
        <v>BUENA</v>
      </c>
      <c r="L27" t="str">
        <f>UPPER('staffing plan'!AV37)</f>
        <v>MARIA CONSOLACION S. BUENA</v>
      </c>
      <c r="M27" t="str">
        <f>+'staffing plan'!AX37</f>
        <v>Regional Office</v>
      </c>
      <c r="N27" t="str">
        <f>+'staffing plan'!AY37</f>
        <v>F</v>
      </c>
      <c r="O27" s="145" t="e">
        <f>+'staffing plan'!#REF!</f>
        <v>#REF!</v>
      </c>
      <c r="P27" s="145" t="e">
        <f>+'staffing plan'!#REF!</f>
        <v>#REF!</v>
      </c>
      <c r="Q27" s="145" t="e">
        <f>+'staffing plan'!#REF!</f>
        <v>#REF!</v>
      </c>
      <c r="R27" t="str">
        <f>+'staffing plan'!BP37</f>
        <v>06/08/16 transfer frm PLO</v>
      </c>
      <c r="S27">
        <v>26</v>
      </c>
    </row>
    <row r="28" spans="1:19">
      <c r="A28">
        <f t="shared" si="3"/>
        <v>1995</v>
      </c>
      <c r="B28">
        <f t="shared" si="0"/>
        <v>2017</v>
      </c>
      <c r="C28">
        <f>+'staffing plan'!BK38</f>
        <v>42835</v>
      </c>
      <c r="D28" t="str">
        <f>'staffing plan'!A38</f>
        <v>OSEC-DILGB-STAT2-101-2010</v>
      </c>
      <c r="E28" t="str">
        <f>+'staffing plan'!B38</f>
        <v>Statistician II</v>
      </c>
      <c r="F28">
        <f>+'staffing plan'!C38</f>
        <v>15</v>
      </c>
      <c r="G28" s="131">
        <f>+'staffing plan'!AH38</f>
        <v>366372</v>
      </c>
      <c r="H28" s="131">
        <f>+'staffing plan'!AI38</f>
        <v>366372</v>
      </c>
      <c r="I28" s="131">
        <f>+'staffing plan'!AJ38</f>
        <v>1</v>
      </c>
      <c r="J28" t="str">
        <f>+'staffing plan'!AW38</f>
        <v>AZARCON, Danilo Jr Estrella</v>
      </c>
      <c r="K28" t="str">
        <f>+'staffing plan'!AR38</f>
        <v>AZARCON</v>
      </c>
      <c r="L28" t="str">
        <f>UPPER('staffing plan'!AV38)</f>
        <v>DANILO JR E. AZARCON</v>
      </c>
      <c r="M28" t="str">
        <f>+'staffing plan'!AX38</f>
        <v>Regional Office</v>
      </c>
      <c r="N28" t="str">
        <f>+'staffing plan'!AY38</f>
        <v>M</v>
      </c>
      <c r="O28" s="145" t="e">
        <f>+'staffing plan'!#REF!</f>
        <v>#REF!</v>
      </c>
      <c r="P28" s="145" t="e">
        <f>+'staffing plan'!#REF!</f>
        <v>#REF!</v>
      </c>
      <c r="Q28" s="145" t="e">
        <f>+'staffing plan'!#REF!</f>
        <v>#REF!</v>
      </c>
      <c r="R28">
        <f>+'staffing plan'!BP38</f>
        <v>0</v>
      </c>
      <c r="S28">
        <v>27</v>
      </c>
    </row>
    <row r="29" spans="1:19">
      <c r="A29">
        <f t="shared" si="3"/>
        <v>1992</v>
      </c>
      <c r="B29">
        <f t="shared" si="0"/>
        <v>2014</v>
      </c>
      <c r="C29">
        <f>+'staffing plan'!BK39</f>
        <v>41967</v>
      </c>
      <c r="D29" t="str">
        <f>'staffing plan'!A39</f>
        <v>OSEC-DILGB-STAT1-3-1998</v>
      </c>
      <c r="E29" t="str">
        <f>+'staffing plan'!B39</f>
        <v>Statistician I</v>
      </c>
      <c r="F29">
        <f>+'staffing plan'!C39</f>
        <v>11</v>
      </c>
      <c r="G29" s="131">
        <f>+'staffing plan'!AH39</f>
        <v>249048</v>
      </c>
      <c r="H29" s="131">
        <f>+'staffing plan'!AI39</f>
        <v>252456</v>
      </c>
      <c r="I29" s="131">
        <f>+'staffing plan'!AJ39</f>
        <v>2</v>
      </c>
      <c r="J29" t="str">
        <f>+'staffing plan'!AW39</f>
        <v>LOPEZ, Sesvir Castañeda</v>
      </c>
      <c r="K29" t="str">
        <f>+'staffing plan'!AR39</f>
        <v>LOPEZ</v>
      </c>
      <c r="L29" t="str">
        <f>UPPER('staffing plan'!AV39)</f>
        <v>SESVIR C. LOPEZ</v>
      </c>
      <c r="M29" t="str">
        <f>+'staffing plan'!AX39</f>
        <v>Regional Office</v>
      </c>
      <c r="N29" t="str">
        <f>+'staffing plan'!AY39</f>
        <v>F</v>
      </c>
      <c r="O29" s="145" t="e">
        <f>+'staffing plan'!#REF!</f>
        <v>#REF!</v>
      </c>
      <c r="P29" s="145" t="e">
        <f>+'staffing plan'!#REF!</f>
        <v>#REF!</v>
      </c>
      <c r="Q29" s="145" t="e">
        <f>+'staffing plan'!#REF!</f>
        <v>#REF!</v>
      </c>
      <c r="R29">
        <f>+'staffing plan'!BP39</f>
        <v>0</v>
      </c>
      <c r="S29">
        <v>28</v>
      </c>
    </row>
    <row r="30" spans="1:19" hidden="1">
      <c r="B30">
        <f t="shared" si="0"/>
        <v>2015</v>
      </c>
      <c r="C30">
        <f>+'staffing plan'!BK40</f>
        <v>42186</v>
      </c>
      <c r="D30" t="str">
        <f>'staffing plan'!A40</f>
        <v>OSEC-DILGB-ADA6-88-2010</v>
      </c>
      <c r="E30" t="str">
        <f>+'staffing plan'!B40</f>
        <v>Administrative Aide VI</v>
      </c>
      <c r="F30">
        <f>+'staffing plan'!C40</f>
        <v>6</v>
      </c>
      <c r="G30" s="131">
        <f>+'staffing plan'!AH40</f>
        <v>178164</v>
      </c>
      <c r="H30" s="131">
        <f>+'staffing plan'!AI40</f>
        <v>179532</v>
      </c>
      <c r="I30" s="131">
        <f>+'staffing plan'!AJ40</f>
        <v>2</v>
      </c>
      <c r="J30" t="str">
        <f>+'staffing plan'!AW40</f>
        <v>MAGCIANO, Juden Beth Uybaan</v>
      </c>
      <c r="K30" t="str">
        <f>+'staffing plan'!AR40</f>
        <v>MAGCIANO</v>
      </c>
      <c r="L30" t="str">
        <f>UPPER('staffing plan'!AV40)</f>
        <v>JUDEN BETH U. MAGCIANO</v>
      </c>
      <c r="M30" t="str">
        <f>+'staffing plan'!AX40</f>
        <v>Ifugao</v>
      </c>
      <c r="N30" t="str">
        <f>+'staffing plan'!AY40</f>
        <v>F</v>
      </c>
      <c r="O30" s="145" t="e">
        <f>+'staffing plan'!#REF!</f>
        <v>#REF!</v>
      </c>
      <c r="P30" s="145" t="e">
        <f>+'staffing plan'!#REF!</f>
        <v>#REF!</v>
      </c>
      <c r="Q30" s="145" t="e">
        <f>+'staffing plan'!#REF!</f>
        <v>#REF!</v>
      </c>
      <c r="R30">
        <f>+'staffing plan'!BP40</f>
        <v>0</v>
      </c>
      <c r="S30">
        <v>29</v>
      </c>
    </row>
    <row r="31" spans="1:19" hidden="1">
      <c r="B31">
        <f t="shared" si="0"/>
        <v>1900</v>
      </c>
      <c r="C31">
        <f>+'staffing plan'!BK41</f>
        <v>0</v>
      </c>
      <c r="D31" t="str">
        <f>'staffing plan'!A41</f>
        <v>Sub-Total</v>
      </c>
      <c r="E31">
        <f>+'staffing plan'!B41</f>
        <v>0</v>
      </c>
      <c r="F31">
        <f>+'staffing plan'!C41</f>
        <v>0</v>
      </c>
      <c r="G31" s="131">
        <f>+'staffing plan'!AH41</f>
        <v>0</v>
      </c>
      <c r="H31" s="131">
        <f>+'staffing plan'!AI41</f>
        <v>0</v>
      </c>
      <c r="I31" s="131">
        <f>+'staffing plan'!AJ41</f>
        <v>10</v>
      </c>
      <c r="J31">
        <f>+'staffing plan'!AW41</f>
        <v>0</v>
      </c>
      <c r="K31">
        <f>+'staffing plan'!AR41</f>
        <v>0</v>
      </c>
      <c r="L31" t="str">
        <f>UPPER('staffing plan'!AV41)</f>
        <v/>
      </c>
      <c r="M31">
        <f>+'staffing plan'!AX41</f>
        <v>0</v>
      </c>
      <c r="N31">
        <f>+'staffing plan'!AY41</f>
        <v>0</v>
      </c>
      <c r="O31" s="145" t="e">
        <f>+'staffing plan'!#REF!</f>
        <v>#REF!</v>
      </c>
      <c r="P31" s="145" t="e">
        <f>+'staffing plan'!#REF!</f>
        <v>#REF!</v>
      </c>
      <c r="Q31" s="145" t="e">
        <f>+'staffing plan'!#REF!</f>
        <v>#REF!</v>
      </c>
      <c r="R31">
        <f>+'staffing plan'!BP41</f>
        <v>0</v>
      </c>
      <c r="S31">
        <v>30</v>
      </c>
    </row>
    <row r="32" spans="1:19" hidden="1">
      <c r="B32">
        <f t="shared" si="0"/>
        <v>1900</v>
      </c>
      <c r="C32">
        <f>+'staffing plan'!BK42</f>
        <v>0</v>
      </c>
      <c r="D32" t="str">
        <f>'staffing plan'!A42</f>
        <v>64,000          Finance and Administrative Division</v>
      </c>
      <c r="E32">
        <f>+'staffing plan'!B42</f>
        <v>0</v>
      </c>
      <c r="F32">
        <f>+'staffing plan'!C42</f>
        <v>0</v>
      </c>
      <c r="G32" s="131">
        <f>+'staffing plan'!AH42</f>
        <v>0</v>
      </c>
      <c r="H32" s="131">
        <f>+'staffing plan'!AI42</f>
        <v>0</v>
      </c>
      <c r="I32" s="131">
        <f>+'staffing plan'!AJ42</f>
        <v>0</v>
      </c>
      <c r="J32">
        <f>+'staffing plan'!AW42</f>
        <v>0</v>
      </c>
      <c r="K32">
        <f>+'staffing plan'!AR42</f>
        <v>0</v>
      </c>
      <c r="L32" t="str">
        <f>UPPER('staffing plan'!AV42)</f>
        <v/>
      </c>
      <c r="M32">
        <f>+'staffing plan'!AX42</f>
        <v>0</v>
      </c>
      <c r="N32">
        <f>+'staffing plan'!AY42</f>
        <v>0</v>
      </c>
      <c r="O32" s="145" t="e">
        <f>+'staffing plan'!#REF!</f>
        <v>#REF!</v>
      </c>
      <c r="P32" s="145" t="e">
        <f>+'staffing plan'!#REF!</f>
        <v>#REF!</v>
      </c>
      <c r="Q32" s="145" t="e">
        <f>+'staffing plan'!#REF!</f>
        <v>#REF!</v>
      </c>
      <c r="R32">
        <f>+'staffing plan'!BP42</f>
        <v>0</v>
      </c>
      <c r="S32">
        <v>31</v>
      </c>
    </row>
    <row r="33" spans="2:19" hidden="1">
      <c r="B33">
        <f t="shared" si="0"/>
        <v>2012</v>
      </c>
      <c r="C33">
        <f>+'staffing plan'!BK43</f>
        <v>40924</v>
      </c>
      <c r="D33" t="str">
        <f>'staffing plan'!A43</f>
        <v>OSEC-DILGB-CADOF-19-2005</v>
      </c>
      <c r="E33" t="str">
        <f>+'staffing plan'!B43</f>
        <v>Chief Administrative Officer</v>
      </c>
      <c r="F33">
        <f>+'staffing plan'!C43</f>
        <v>24</v>
      </c>
      <c r="G33" s="131">
        <f>+'staffing plan'!AH43</f>
        <v>1000872</v>
      </c>
      <c r="H33" s="131">
        <f>+'staffing plan'!AI43</f>
        <v>1033812</v>
      </c>
      <c r="I33" s="131">
        <f>+'staffing plan'!AJ43</f>
        <v>3</v>
      </c>
      <c r="J33" t="str">
        <f>+'staffing plan'!AW43</f>
        <v>MON, Shirley Evangeline Vergara</v>
      </c>
      <c r="K33" t="str">
        <f>+'staffing plan'!AR43</f>
        <v>MON</v>
      </c>
      <c r="L33" t="str">
        <f>UPPER('staffing plan'!AV43)</f>
        <v>SHIRLEY EVANGELINE V. MON</v>
      </c>
      <c r="M33" t="str">
        <f>+'staffing plan'!AX43</f>
        <v>Regional Office</v>
      </c>
      <c r="N33" t="str">
        <f>+'staffing plan'!AY43</f>
        <v>F</v>
      </c>
      <c r="O33" s="145" t="e">
        <f>+'staffing plan'!#REF!</f>
        <v>#REF!</v>
      </c>
      <c r="P33" s="145" t="e">
        <f>+'staffing plan'!#REF!</f>
        <v>#REF!</v>
      </c>
      <c r="Q33" s="145" t="e">
        <f>+'staffing plan'!#REF!</f>
        <v>#REF!</v>
      </c>
      <c r="R33">
        <f>+'staffing plan'!BP43</f>
        <v>0</v>
      </c>
      <c r="S33">
        <v>32</v>
      </c>
    </row>
    <row r="34" spans="2:19" hidden="1">
      <c r="B34">
        <f t="shared" si="0"/>
        <v>2012</v>
      </c>
      <c r="C34">
        <f>+'staffing plan'!BK44</f>
        <v>41138</v>
      </c>
      <c r="D34" t="str">
        <f>'staffing plan'!A44</f>
        <v>OSEC-DILGB-SAD0F-34-2005</v>
      </c>
      <c r="E34" t="str">
        <f>+'staffing plan'!B44</f>
        <v>Supervising Administrative Officer</v>
      </c>
      <c r="F34">
        <f>+'staffing plan'!C44</f>
        <v>22</v>
      </c>
      <c r="G34" s="131">
        <f>+'staffing plan'!AH44</f>
        <v>783828</v>
      </c>
      <c r="H34" s="131">
        <f>+'staffing plan'!AI44</f>
        <v>809628</v>
      </c>
      <c r="I34" s="131">
        <f>+'staffing plan'!AJ44</f>
        <v>3</v>
      </c>
      <c r="J34" t="str">
        <f>+'staffing plan'!AW44</f>
        <v>BALANG, Gerry Cobcobo</v>
      </c>
      <c r="K34" t="str">
        <f>+'staffing plan'!AR44</f>
        <v>BALANG</v>
      </c>
      <c r="L34" t="str">
        <f>UPPER('staffing plan'!AV44)</f>
        <v>GERRY C. BALANG</v>
      </c>
      <c r="M34" t="str">
        <f>+'staffing plan'!AX44</f>
        <v>Regional Office</v>
      </c>
      <c r="N34" t="str">
        <f>+'staffing plan'!AY44</f>
        <v>M</v>
      </c>
      <c r="O34" s="145" t="e">
        <f>+'staffing plan'!#REF!</f>
        <v>#REF!</v>
      </c>
      <c r="P34" s="145" t="e">
        <f>+'staffing plan'!#REF!</f>
        <v>#REF!</v>
      </c>
      <c r="Q34" s="145" t="e">
        <f>+'staffing plan'!#REF!</f>
        <v>#REF!</v>
      </c>
      <c r="R34">
        <f>+'staffing plan'!BP44</f>
        <v>0</v>
      </c>
      <c r="S34">
        <v>33</v>
      </c>
    </row>
    <row r="35" spans="2:19" hidden="1">
      <c r="B35">
        <f t="shared" si="0"/>
        <v>2010</v>
      </c>
      <c r="C35">
        <f>+'staffing plan'!BK45</f>
        <v>40256</v>
      </c>
      <c r="D35" t="str">
        <f>'staffing plan'!A45</f>
        <v>OSEC-DILGB-A3-16-1998</v>
      </c>
      <c r="E35" t="str">
        <f>+'staffing plan'!B45</f>
        <v>Accountant III</v>
      </c>
      <c r="F35">
        <f>+'staffing plan'!C45</f>
        <v>19</v>
      </c>
      <c r="G35" s="131">
        <f>+'staffing plan'!AH45</f>
        <v>543228</v>
      </c>
      <c r="H35" s="131">
        <f>+'staffing plan'!AI45</f>
        <v>561108</v>
      </c>
      <c r="I35" s="131">
        <f>+'staffing plan'!AJ45</f>
        <v>3</v>
      </c>
      <c r="J35" t="str">
        <f>+'staffing plan'!AW45</f>
        <v>CHAOKAS, Jennifer Sokoken</v>
      </c>
      <c r="K35" t="str">
        <f>+'staffing plan'!AR45</f>
        <v>CHAOKAS</v>
      </c>
      <c r="L35" t="str">
        <f>UPPER('staffing plan'!AV45)</f>
        <v>JENNIFER S. CHAOKAS</v>
      </c>
      <c r="M35" t="str">
        <f>+'staffing plan'!AX45</f>
        <v>Regional Office</v>
      </c>
      <c r="N35" t="str">
        <f>+'staffing plan'!AY45</f>
        <v>F</v>
      </c>
      <c r="O35" s="145" t="e">
        <f>+'staffing plan'!#REF!</f>
        <v>#REF!</v>
      </c>
      <c r="P35" s="145" t="e">
        <f>+'staffing plan'!#REF!</f>
        <v>#REF!</v>
      </c>
      <c r="Q35" s="145" t="e">
        <f>+'staffing plan'!#REF!</f>
        <v>#REF!</v>
      </c>
      <c r="R35">
        <f>+'staffing plan'!BP45</f>
        <v>0</v>
      </c>
      <c r="S35">
        <v>34</v>
      </c>
    </row>
    <row r="36" spans="2:19" hidden="1">
      <c r="B36">
        <f t="shared" si="0"/>
        <v>2012</v>
      </c>
      <c r="C36">
        <f>+'staffing plan'!BK46</f>
        <v>41260</v>
      </c>
      <c r="D36" t="str">
        <f>'staffing plan'!A46</f>
        <v>OSEC-DILGB-ADOF5-52-2005</v>
      </c>
      <c r="E36" t="str">
        <f>+'staffing plan'!B46</f>
        <v xml:space="preserve">Administrative Officer V </v>
      </c>
      <c r="F36">
        <f>+'staffing plan'!C46</f>
        <v>18</v>
      </c>
      <c r="G36" s="131">
        <f>+'staffing plan'!AH46</f>
        <v>487644</v>
      </c>
      <c r="H36" s="131">
        <f>+'staffing plan'!AI46</f>
        <v>499800</v>
      </c>
      <c r="I36" s="131">
        <f>+'staffing plan'!AJ46</f>
        <v>3</v>
      </c>
      <c r="J36" t="str">
        <f>+'staffing plan'!AW46</f>
        <v>ESDEN, Iris Balabag</v>
      </c>
      <c r="K36" t="str">
        <f>+'staffing plan'!AR46</f>
        <v>ESDEN</v>
      </c>
      <c r="L36" t="str">
        <f>UPPER('staffing plan'!AV46)</f>
        <v>IRIS B. ESDEN</v>
      </c>
      <c r="M36" t="str">
        <f>+'staffing plan'!AX46</f>
        <v>Regional Office</v>
      </c>
      <c r="N36" t="str">
        <f>+'staffing plan'!AY46</f>
        <v>F</v>
      </c>
      <c r="O36" s="145" t="e">
        <f>+'staffing plan'!#REF!</f>
        <v>#REF!</v>
      </c>
      <c r="P36" s="145" t="e">
        <f>+'staffing plan'!#REF!</f>
        <v>#REF!</v>
      </c>
      <c r="Q36" s="145" t="e">
        <f>+'staffing plan'!#REF!</f>
        <v>#REF!</v>
      </c>
      <c r="R36">
        <f>+'staffing plan'!BP46</f>
        <v>0</v>
      </c>
      <c r="S36">
        <v>35</v>
      </c>
    </row>
    <row r="37" spans="2:19" hidden="1">
      <c r="B37">
        <f t="shared" si="0"/>
        <v>2015</v>
      </c>
      <c r="C37">
        <f>+'staffing plan'!BK47</f>
        <v>42184</v>
      </c>
      <c r="D37" t="str">
        <f>'staffing plan'!A47</f>
        <v>OSEC-DILGB-ADOF5-53-2005</v>
      </c>
      <c r="E37" t="str">
        <f>+'staffing plan'!B47</f>
        <v xml:space="preserve">Administrative Officer V </v>
      </c>
      <c r="F37">
        <f>+'staffing plan'!C47</f>
        <v>18</v>
      </c>
      <c r="G37" s="131">
        <f>+'staffing plan'!AH47</f>
        <v>487644</v>
      </c>
      <c r="H37" s="131">
        <f>+'staffing plan'!AI47</f>
        <v>493680</v>
      </c>
      <c r="I37" s="131">
        <f>+'staffing plan'!AJ47</f>
        <v>2</v>
      </c>
      <c r="J37" t="str">
        <f>+'staffing plan'!AW47</f>
        <v>MATIB, Louven Longbuan</v>
      </c>
      <c r="K37" t="str">
        <f>+'staffing plan'!AR47</f>
        <v>MATIB</v>
      </c>
      <c r="L37" t="str">
        <f>UPPER('staffing plan'!AV47)</f>
        <v>LOUVEN L. MATIB</v>
      </c>
      <c r="M37" t="str">
        <f>+'staffing plan'!AX47</f>
        <v>Regional Office</v>
      </c>
      <c r="N37" t="str">
        <f>+'staffing plan'!AY47</f>
        <v>M</v>
      </c>
      <c r="O37" s="145" t="e">
        <f>+'staffing plan'!#REF!</f>
        <v>#REF!</v>
      </c>
      <c r="P37" s="145" t="e">
        <f>+'staffing plan'!#REF!</f>
        <v>#REF!</v>
      </c>
      <c r="Q37" s="145" t="e">
        <f>+'staffing plan'!#REF!</f>
        <v>#REF!</v>
      </c>
      <c r="R37">
        <f>+'staffing plan'!BP47</f>
        <v>0</v>
      </c>
      <c r="S37">
        <v>36</v>
      </c>
    </row>
    <row r="38" spans="2:19" hidden="1">
      <c r="B38">
        <f t="shared" si="0"/>
        <v>2006</v>
      </c>
      <c r="C38">
        <f>+'staffing plan'!BK48</f>
        <v>38926</v>
      </c>
      <c r="D38" t="str">
        <f>'staffing plan'!A48</f>
        <v>OSEC-DILGB-ADOF5-54-2005</v>
      </c>
      <c r="E38" t="str">
        <f>+'staffing plan'!B48</f>
        <v xml:space="preserve">Administrative Officer V </v>
      </c>
      <c r="F38">
        <f>+'staffing plan'!C48</f>
        <v>18</v>
      </c>
      <c r="G38" s="131">
        <f>+'staffing plan'!AH48</f>
        <v>487644</v>
      </c>
      <c r="H38" s="131">
        <f>+'staffing plan'!AI48</f>
        <v>512256</v>
      </c>
      <c r="I38" s="131">
        <f>+'staffing plan'!AJ48</f>
        <v>5</v>
      </c>
      <c r="J38" t="str">
        <f>+'staffing plan'!AW48</f>
        <v>BARNACHEA, Norman Idica</v>
      </c>
      <c r="K38" t="str">
        <f>+'staffing plan'!AR48</f>
        <v>BARNACHEA</v>
      </c>
      <c r="L38" t="str">
        <f>UPPER('staffing plan'!AV48)</f>
        <v>NORMAN I. BARNACHEA</v>
      </c>
      <c r="M38" t="str">
        <f>+'staffing plan'!AX48</f>
        <v>Regional Office</v>
      </c>
      <c r="N38" t="str">
        <f>+'staffing plan'!AY48</f>
        <v>M</v>
      </c>
      <c r="O38" s="145" t="e">
        <f>+'staffing plan'!#REF!</f>
        <v>#REF!</v>
      </c>
      <c r="P38" s="145" t="e">
        <f>+'staffing plan'!#REF!</f>
        <v>#REF!</v>
      </c>
      <c r="Q38" s="145" t="e">
        <f>+'staffing plan'!#REF!</f>
        <v>#REF!</v>
      </c>
      <c r="R38">
        <f>+'staffing plan'!BP48</f>
        <v>0</v>
      </c>
      <c r="S38">
        <v>37</v>
      </c>
    </row>
    <row r="39" spans="2:19">
      <c r="B39">
        <f t="shared" ref="B39:B55" si="4">(YEAR(C39))</f>
        <v>2017</v>
      </c>
      <c r="C39">
        <f>+'staffing plan'!BK49</f>
        <v>42821</v>
      </c>
      <c r="D39" t="str">
        <f>'staffing plan'!A49</f>
        <v>OSEC-DILGB-A2-6-1998</v>
      </c>
      <c r="E39" t="str">
        <f>+'staffing plan'!B49</f>
        <v>Accountant II</v>
      </c>
      <c r="F39">
        <f>+'staffing plan'!C49</f>
        <v>16</v>
      </c>
      <c r="G39" s="131">
        <f>+'staffing plan'!AH49</f>
        <v>403008</v>
      </c>
      <c r="H39" s="131">
        <f>+'staffing plan'!AI49</f>
        <v>403008</v>
      </c>
      <c r="I39" s="131">
        <f>+'staffing plan'!AJ49</f>
        <v>1</v>
      </c>
      <c r="J39" t="str">
        <f>+'staffing plan'!AW49</f>
        <v>MACASIEB, Marlyn Pilot</v>
      </c>
      <c r="K39" t="str">
        <f>+'staffing plan'!AR49</f>
        <v>MACASIEB</v>
      </c>
      <c r="L39" t="str">
        <f>UPPER('staffing plan'!AV49)</f>
        <v>MARLYN P. MACASIEB</v>
      </c>
      <c r="M39" t="str">
        <f>+'staffing plan'!AX49</f>
        <v>Regional Office</v>
      </c>
      <c r="N39" t="str">
        <f>+'staffing plan'!AY49</f>
        <v>F</v>
      </c>
      <c r="O39" s="145" t="e">
        <f>+'staffing plan'!#REF!</f>
        <v>#REF!</v>
      </c>
      <c r="P39" s="145" t="e">
        <f>+'staffing plan'!#REF!</f>
        <v>#REF!</v>
      </c>
      <c r="Q39" s="145" t="e">
        <f>+'staffing plan'!#REF!</f>
        <v>#REF!</v>
      </c>
      <c r="R39">
        <f>+'staffing plan'!BP49</f>
        <v>0</v>
      </c>
      <c r="S39">
        <v>38</v>
      </c>
    </row>
    <row r="40" spans="2:19" hidden="1">
      <c r="B40">
        <f t="shared" si="4"/>
        <v>2012</v>
      </c>
      <c r="C40">
        <f>+'staffing plan'!BK50</f>
        <v>41260</v>
      </c>
      <c r="D40" t="str">
        <f>'staffing plan'!A50</f>
        <v>OSEC-DILGB-ADOF4-70-2005</v>
      </c>
      <c r="E40" t="str">
        <f>+'staffing plan'!B50</f>
        <v xml:space="preserve">Administrative Officer IV </v>
      </c>
      <c r="F40">
        <f>+'staffing plan'!C50</f>
        <v>15</v>
      </c>
      <c r="G40" s="131">
        <f>+'staffing plan'!AH50</f>
        <v>366372</v>
      </c>
      <c r="H40" s="131">
        <f>+'staffing plan'!AI50</f>
        <v>375504</v>
      </c>
      <c r="I40" s="131">
        <f>+'staffing plan'!AJ50</f>
        <v>3</v>
      </c>
      <c r="J40" t="str">
        <f>+'staffing plan'!AW50</f>
        <v>WONG, Arlene Eustaquio</v>
      </c>
      <c r="K40" t="str">
        <f>+'staffing plan'!AR50</f>
        <v>WONG</v>
      </c>
      <c r="L40" t="str">
        <f>UPPER('staffing plan'!AV50)</f>
        <v>ARLENE E. WONG</v>
      </c>
      <c r="M40" t="str">
        <f>+'staffing plan'!AX50</f>
        <v>Regional Office</v>
      </c>
      <c r="N40" t="str">
        <f>+'staffing plan'!AY50</f>
        <v>F</v>
      </c>
      <c r="O40" s="145" t="e">
        <f>+'staffing plan'!#REF!</f>
        <v>#REF!</v>
      </c>
      <c r="P40" s="145" t="e">
        <f>+'staffing plan'!#REF!</f>
        <v>#REF!</v>
      </c>
      <c r="Q40" s="145" t="e">
        <f>+'staffing plan'!#REF!</f>
        <v>#REF!</v>
      </c>
      <c r="R40">
        <f>+'staffing plan'!BP50</f>
        <v>0</v>
      </c>
      <c r="S40">
        <v>39</v>
      </c>
    </row>
    <row r="41" spans="2:19">
      <c r="B41">
        <f t="shared" si="4"/>
        <v>2011</v>
      </c>
      <c r="C41">
        <f>+'staffing plan'!BK51</f>
        <v>40893</v>
      </c>
      <c r="D41" t="str">
        <f>'staffing plan'!A51</f>
        <v>OSEC-DILGB-ADOF4-79-2005</v>
      </c>
      <c r="E41" t="str">
        <f>+'staffing plan'!B51</f>
        <v>Administrative Officer IV</v>
      </c>
      <c r="F41">
        <f>+'staffing plan'!C51</f>
        <v>15</v>
      </c>
      <c r="G41" s="131">
        <f>+'staffing plan'!AH51</f>
        <v>366372</v>
      </c>
      <c r="H41" s="131">
        <f>+'staffing plan'!AI51</f>
        <v>375504</v>
      </c>
      <c r="I41" s="131">
        <f>+'staffing plan'!AJ51</f>
        <v>3</v>
      </c>
      <c r="J41" t="str">
        <f>+'staffing plan'!AW51</f>
        <v>GED-ANG, Chrysantine Chan</v>
      </c>
      <c r="K41" t="str">
        <f>+'staffing plan'!AR51</f>
        <v>GED-ANG</v>
      </c>
      <c r="L41" t="str">
        <f>UPPER('staffing plan'!AV51)</f>
        <v>CHRYSANTINE C. GED-ANG</v>
      </c>
      <c r="M41" t="str">
        <f>+'staffing plan'!AX51</f>
        <v>Regional Office</v>
      </c>
      <c r="N41" t="str">
        <f>+'staffing plan'!AY51</f>
        <v>F</v>
      </c>
      <c r="O41" s="145" t="e">
        <f>+'staffing plan'!#REF!</f>
        <v>#REF!</v>
      </c>
      <c r="P41" s="145" t="e">
        <f>+'staffing plan'!#REF!</f>
        <v>#REF!</v>
      </c>
      <c r="Q41" s="145" t="e">
        <f>+'staffing plan'!#REF!</f>
        <v>#REF!</v>
      </c>
      <c r="R41">
        <f>+'staffing plan'!BP51</f>
        <v>0</v>
      </c>
      <c r="S41">
        <v>40</v>
      </c>
    </row>
    <row r="42" spans="2:19" hidden="1">
      <c r="B42">
        <f t="shared" si="4"/>
        <v>2019</v>
      </c>
      <c r="C42">
        <f>+'staffing plan'!BK52</f>
        <v>43531</v>
      </c>
      <c r="D42" t="str">
        <f>'staffing plan'!A52</f>
        <v>OSEC-DILGB-ADOF3-43-2005</v>
      </c>
      <c r="E42" t="str">
        <f>+'staffing plan'!B52</f>
        <v xml:space="preserve">Administrative Officer III </v>
      </c>
      <c r="F42">
        <f>+'staffing plan'!C52</f>
        <v>14</v>
      </c>
      <c r="G42" s="131">
        <f>+'staffing plan'!AH52</f>
        <v>333060</v>
      </c>
      <c r="H42" s="131">
        <f>+'staffing plan'!AI52</f>
        <v>333060</v>
      </c>
      <c r="I42" s="131">
        <f>+'staffing plan'!AJ52</f>
        <v>1</v>
      </c>
      <c r="J42" t="str">
        <f>+'staffing plan'!AW52</f>
        <v>ESNARA, Myra Golingab</v>
      </c>
      <c r="K42" t="str">
        <f>+'staffing plan'!AR52</f>
        <v>ESNARA</v>
      </c>
      <c r="L42" t="str">
        <f>UPPER('staffing plan'!AV52)</f>
        <v>MYRA G. ESNARA</v>
      </c>
      <c r="M42" t="str">
        <f>+'staffing plan'!AX52</f>
        <v>Regional Office</v>
      </c>
      <c r="N42" t="str">
        <f>+'staffing plan'!AY52</f>
        <v>F</v>
      </c>
      <c r="O42" s="145" t="e">
        <f>+'staffing plan'!#REF!</f>
        <v>#REF!</v>
      </c>
      <c r="P42" s="145" t="e">
        <f>+'staffing plan'!#REF!</f>
        <v>#REF!</v>
      </c>
      <c r="Q42" s="145" t="e">
        <f>+'staffing plan'!#REF!</f>
        <v>#REF!</v>
      </c>
      <c r="R42">
        <f>+'staffing plan'!BP52</f>
        <v>0</v>
      </c>
      <c r="S42">
        <v>41</v>
      </c>
    </row>
    <row r="43" spans="2:19">
      <c r="B43">
        <f t="shared" si="4"/>
        <v>2014</v>
      </c>
      <c r="C43">
        <f>+'staffing plan'!BK53</f>
        <v>41946</v>
      </c>
      <c r="D43" t="str">
        <f>'staffing plan'!A53</f>
        <v>OSEC-DILGB-ADOF3-44-2005</v>
      </c>
      <c r="E43" t="str">
        <f>+'staffing plan'!B53</f>
        <v xml:space="preserve">Administrative Officer III </v>
      </c>
      <c r="F43">
        <f>+'staffing plan'!C53</f>
        <v>14</v>
      </c>
      <c r="G43" s="131">
        <f>+'staffing plan'!AH53</f>
        <v>333060</v>
      </c>
      <c r="H43" s="131">
        <f>+'staffing plan'!AI53</f>
        <v>337188</v>
      </c>
      <c r="I43" s="131">
        <f>+'staffing plan'!AJ53</f>
        <v>2</v>
      </c>
      <c r="J43" t="str">
        <f>+'staffing plan'!AW53</f>
        <v>RAMIREZ, Ronnel Fronda</v>
      </c>
      <c r="K43" t="str">
        <f>+'staffing plan'!AR53</f>
        <v>RAMIREZ</v>
      </c>
      <c r="L43" t="str">
        <f>UPPER('staffing plan'!AV53)</f>
        <v>RONNEL F. RAMIREZ</v>
      </c>
      <c r="M43" t="str">
        <f>+'staffing plan'!AX53</f>
        <v>Regional Office</v>
      </c>
      <c r="N43" t="str">
        <f>+'staffing plan'!AY53</f>
        <v>M</v>
      </c>
      <c r="O43" s="145" t="e">
        <f>+'staffing plan'!#REF!</f>
        <v>#REF!</v>
      </c>
      <c r="P43" s="145" t="e">
        <f>+'staffing plan'!#REF!</f>
        <v>#REF!</v>
      </c>
      <c r="Q43" s="145" t="e">
        <f>+'staffing plan'!#REF!</f>
        <v>#REF!</v>
      </c>
      <c r="R43">
        <f>+'staffing plan'!BP53</f>
        <v>0</v>
      </c>
      <c r="S43">
        <v>42</v>
      </c>
    </row>
    <row r="44" spans="2:19" hidden="1">
      <c r="B44">
        <f t="shared" si="4"/>
        <v>2003</v>
      </c>
      <c r="C44">
        <f>+'staffing plan'!BK54</f>
        <v>37658</v>
      </c>
      <c r="D44" t="str">
        <f>'staffing plan'!A54</f>
        <v>OSEC-DILGB-ADAS3-65-2005</v>
      </c>
      <c r="E44" t="str">
        <f>+'staffing plan'!B54</f>
        <v xml:space="preserve">Administrative Assistant III </v>
      </c>
      <c r="F44">
        <f>+'staffing plan'!C54</f>
        <v>9</v>
      </c>
      <c r="G44" s="131">
        <f>+'staffing plan'!AH54</f>
        <v>215700</v>
      </c>
      <c r="H44" s="131">
        <f>+'staffing plan'!AI54</f>
        <v>224868</v>
      </c>
      <c r="I44" s="131">
        <f>+'staffing plan'!AJ54</f>
        <v>6</v>
      </c>
      <c r="J44" t="str">
        <f>+'staffing plan'!AW54</f>
        <v>CASTRO, Angelito Gaddi</v>
      </c>
      <c r="K44" t="str">
        <f>+'staffing plan'!AR54</f>
        <v>CASTRO</v>
      </c>
      <c r="L44" t="str">
        <f>UPPER('staffing plan'!AV54)</f>
        <v>ANGELITO G. CASTRO</v>
      </c>
      <c r="M44" t="str">
        <f>+'staffing plan'!AX54</f>
        <v>Regional Office</v>
      </c>
      <c r="N44" t="str">
        <f>+'staffing plan'!AY54</f>
        <v>M</v>
      </c>
      <c r="O44" s="145" t="e">
        <f>+'staffing plan'!#REF!</f>
        <v>#REF!</v>
      </c>
      <c r="P44" s="145" t="e">
        <f>+'staffing plan'!#REF!</f>
        <v>#REF!</v>
      </c>
      <c r="Q44" s="145" t="e">
        <f>+'staffing plan'!#REF!</f>
        <v>#REF!</v>
      </c>
      <c r="R44">
        <f>+'staffing plan'!BP54</f>
        <v>0</v>
      </c>
      <c r="S44">
        <v>43</v>
      </c>
    </row>
    <row r="45" spans="2:19" hidden="1">
      <c r="B45">
        <f t="shared" si="4"/>
        <v>2012</v>
      </c>
      <c r="C45">
        <f>+'staffing plan'!BK55</f>
        <v>41127</v>
      </c>
      <c r="D45" t="str">
        <f>'staffing plan'!A55</f>
        <v>OSEC-DILGB-ADAS3-109-2010</v>
      </c>
      <c r="E45" t="str">
        <f>+'staffing plan'!B55</f>
        <v>Administrative Assistant III</v>
      </c>
      <c r="F45">
        <f>+'staffing plan'!C55</f>
        <v>9</v>
      </c>
      <c r="G45" s="131">
        <f>+'staffing plan'!AH55</f>
        <v>215700</v>
      </c>
      <c r="H45" s="131">
        <f>+'staffing plan'!AI55</f>
        <v>219324</v>
      </c>
      <c r="I45" s="131">
        <f>+'staffing plan'!AJ55</f>
        <v>3</v>
      </c>
      <c r="J45" t="str">
        <f>+'staffing plan'!AW55</f>
        <v>LOPEZ, Jessica Kim Angeles</v>
      </c>
      <c r="K45" t="str">
        <f>+'staffing plan'!AR55</f>
        <v>LOPEZ</v>
      </c>
      <c r="L45" t="str">
        <f>UPPER('staffing plan'!AV55)</f>
        <v>JESSICA KIM A. LOPEZ</v>
      </c>
      <c r="M45" t="str">
        <f>+'staffing plan'!AX55</f>
        <v>Regional Office</v>
      </c>
      <c r="N45" t="str">
        <f>+'staffing plan'!AY55</f>
        <v>F</v>
      </c>
      <c r="O45" s="145" t="e">
        <f>+'staffing plan'!#REF!</f>
        <v>#REF!</v>
      </c>
      <c r="P45" s="145" t="e">
        <f>+'staffing plan'!#REF!</f>
        <v>#REF!</v>
      </c>
      <c r="Q45" s="145" t="e">
        <f>+'staffing plan'!#REF!</f>
        <v>#REF!</v>
      </c>
      <c r="R45">
        <f>+'staffing plan'!BP55</f>
        <v>0</v>
      </c>
      <c r="S45">
        <v>44</v>
      </c>
    </row>
    <row r="46" spans="2:19" hidden="1">
      <c r="B46">
        <f t="shared" si="4"/>
        <v>2018</v>
      </c>
      <c r="C46">
        <f>+'staffing plan'!BK56</f>
        <v>43193</v>
      </c>
      <c r="D46" t="str">
        <f>'staffing plan'!A56</f>
        <v>OSEC-DILGB-ADAS2-61-2005</v>
      </c>
      <c r="E46" t="str">
        <f>+'staffing plan'!B56</f>
        <v>Administrative Assistant II</v>
      </c>
      <c r="F46">
        <f>+'staffing plan'!C56</f>
        <v>8</v>
      </c>
      <c r="G46" s="131">
        <f>+'staffing plan'!AH56</f>
        <v>201096</v>
      </c>
      <c r="H46" s="131">
        <f>+'staffing plan'!AI56</f>
        <v>201096</v>
      </c>
      <c r="I46" s="131">
        <f>+'staffing plan'!AJ56</f>
        <v>1</v>
      </c>
      <c r="J46" t="str">
        <f>+'staffing plan'!AW56</f>
        <v>BOGNADON, Kylee Russel Rebollido</v>
      </c>
      <c r="K46" t="str">
        <f>+'staffing plan'!AR56</f>
        <v>BOGNADON</v>
      </c>
      <c r="L46" t="str">
        <f>UPPER('staffing plan'!AV56)</f>
        <v>KYLEE RUSSEL R. BOGNADON</v>
      </c>
      <c r="M46" t="str">
        <f>+'staffing plan'!AX56</f>
        <v>Regional Office</v>
      </c>
      <c r="N46" t="str">
        <f>+'staffing plan'!AY56</f>
        <v>M</v>
      </c>
      <c r="O46" s="145" t="e">
        <f>+'staffing plan'!#REF!</f>
        <v>#REF!</v>
      </c>
      <c r="P46" s="145" t="e">
        <f>+'staffing plan'!#REF!</f>
        <v>#REF!</v>
      </c>
      <c r="Q46" s="145" t="e">
        <f>+'staffing plan'!#REF!</f>
        <v>#REF!</v>
      </c>
      <c r="R46" t="str">
        <f>+'staffing plan'!BP56</f>
        <v>change of item 1-25-18</v>
      </c>
      <c r="S46">
        <v>45</v>
      </c>
    </row>
    <row r="47" spans="2:19" hidden="1">
      <c r="B47">
        <f t="shared" si="4"/>
        <v>1900</v>
      </c>
      <c r="C47">
        <f>+'staffing plan'!BK57</f>
        <v>0</v>
      </c>
      <c r="D47" t="str">
        <f>'staffing plan'!A57</f>
        <v>OSEC-DILGB-ADAS2-64-2005</v>
      </c>
      <c r="E47" t="str">
        <f>+'staffing plan'!B57</f>
        <v>Administrative Assistant II</v>
      </c>
      <c r="F47">
        <f>+'staffing plan'!C57</f>
        <v>8</v>
      </c>
      <c r="G47" s="131">
        <f>+'staffing plan'!AH57</f>
        <v>201096</v>
      </c>
      <c r="H47" s="131">
        <f>+'staffing plan'!AI57</f>
        <v>0</v>
      </c>
      <c r="I47" s="131">
        <f>+'staffing plan'!AJ57</f>
        <v>0</v>
      </c>
      <c r="J47" t="str">
        <f>+'staffing plan'!AW57</f>
        <v xml:space="preserve">ESNARA, VacantMyra </v>
      </c>
      <c r="K47" t="str">
        <f>+'staffing plan'!AR57</f>
        <v>ESNARA</v>
      </c>
      <c r="L47" t="str">
        <f>UPPER('staffing plan'!AV57)</f>
        <v>VACANTMYRA . ESNARA</v>
      </c>
      <c r="M47">
        <f>+'staffing plan'!AX57</f>
        <v>0</v>
      </c>
      <c r="N47">
        <f>+'staffing plan'!AY57</f>
        <v>0</v>
      </c>
      <c r="O47" s="145" t="e">
        <f>+'staffing plan'!#REF!</f>
        <v>#REF!</v>
      </c>
      <c r="P47" s="145" t="e">
        <f>+'staffing plan'!#REF!</f>
        <v>#REF!</v>
      </c>
      <c r="Q47" s="145" t="e">
        <f>+'staffing plan'!#REF!</f>
        <v>#REF!</v>
      </c>
      <c r="R47">
        <f>+'staffing plan'!BP57</f>
        <v>0</v>
      </c>
      <c r="S47">
        <v>46</v>
      </c>
    </row>
    <row r="48" spans="2:19" hidden="1">
      <c r="B48">
        <f t="shared" si="4"/>
        <v>2018</v>
      </c>
      <c r="C48">
        <f>+'staffing plan'!BK58</f>
        <v>43193</v>
      </c>
      <c r="D48" t="str">
        <f>'staffing plan'!A58</f>
        <v>OSEC-DILGB-ADA4-85-2005</v>
      </c>
      <c r="E48" t="str">
        <f>+'staffing plan'!B58</f>
        <v>Administrative Aide IV</v>
      </c>
      <c r="F48">
        <f>+'staffing plan'!C58</f>
        <v>4</v>
      </c>
      <c r="G48" s="131">
        <f>+'staffing plan'!AH58</f>
        <v>158568</v>
      </c>
      <c r="H48" s="131">
        <f>+'staffing plan'!AI58</f>
        <v>158568</v>
      </c>
      <c r="I48" s="131">
        <f>+'staffing plan'!AJ58</f>
        <v>1</v>
      </c>
      <c r="J48" t="str">
        <f>+'staffing plan'!AW58</f>
        <v>GERNALE, Joe Pablo Maculada</v>
      </c>
      <c r="K48" t="str">
        <f>+'staffing plan'!AR58</f>
        <v>GERNALE</v>
      </c>
      <c r="L48" t="str">
        <f>UPPER('staffing plan'!AV58)</f>
        <v>JOE PABLO M. GERNALE</v>
      </c>
      <c r="M48" t="str">
        <f>+'staffing plan'!AX58</f>
        <v>Regional Office</v>
      </c>
      <c r="N48" t="str">
        <f>+'staffing plan'!AY58</f>
        <v>M</v>
      </c>
      <c r="O48" s="145" t="e">
        <f>+'staffing plan'!#REF!</f>
        <v>#REF!</v>
      </c>
      <c r="P48" s="145" t="e">
        <f>+'staffing plan'!#REF!</f>
        <v>#REF!</v>
      </c>
      <c r="Q48" s="145" t="e">
        <f>+'staffing plan'!#REF!</f>
        <v>#REF!</v>
      </c>
      <c r="R48">
        <f>+'staffing plan'!BP58</f>
        <v>0</v>
      </c>
      <c r="S48">
        <v>47</v>
      </c>
    </row>
    <row r="49" spans="2:19" hidden="1">
      <c r="B49">
        <f t="shared" si="4"/>
        <v>1900</v>
      </c>
      <c r="C49">
        <f>+'staffing plan'!BK59</f>
        <v>0</v>
      </c>
      <c r="D49" t="str">
        <f>'staffing plan'!A59</f>
        <v>OSEC-DILGB-ADA4-86-2005</v>
      </c>
      <c r="E49" t="str">
        <f>+'staffing plan'!B59</f>
        <v>Administrative Aide IV</v>
      </c>
      <c r="F49">
        <f>+'staffing plan'!C59</f>
        <v>4</v>
      </c>
      <c r="G49" s="131">
        <f>+'staffing plan'!AH59</f>
        <v>158568</v>
      </c>
      <c r="H49" s="131">
        <f>+'staffing plan'!AI59</f>
        <v>0</v>
      </c>
      <c r="I49" s="131">
        <f>+'staffing plan'!AJ59</f>
        <v>0</v>
      </c>
      <c r="J49" t="str">
        <f>+'staffing plan'!AW59</f>
        <v xml:space="preserve">Vacant ESCAD,  </v>
      </c>
      <c r="K49" t="str">
        <f>+'staffing plan'!AR59</f>
        <v>Vacant ESCAD</v>
      </c>
      <c r="L49" t="str">
        <f>UPPER('staffing plan'!AV59)</f>
        <v xml:space="preserve"> . VACANT ESCAD</v>
      </c>
      <c r="M49">
        <f>+'staffing plan'!AX59</f>
        <v>0</v>
      </c>
      <c r="N49">
        <f>+'staffing plan'!AY59</f>
        <v>0</v>
      </c>
      <c r="O49" s="145" t="e">
        <f>+'staffing plan'!#REF!</f>
        <v>#REF!</v>
      </c>
      <c r="P49" s="145" t="e">
        <f>+'staffing plan'!#REF!</f>
        <v>#REF!</v>
      </c>
      <c r="Q49" s="145" t="e">
        <f>+'staffing plan'!#REF!</f>
        <v>#REF!</v>
      </c>
      <c r="R49">
        <f>+'staffing plan'!BP59</f>
        <v>0</v>
      </c>
      <c r="S49">
        <v>48</v>
      </c>
    </row>
    <row r="50" spans="2:19">
      <c r="B50">
        <f t="shared" si="4"/>
        <v>2014</v>
      </c>
      <c r="C50">
        <f>+'staffing plan'!BK60</f>
        <v>41988</v>
      </c>
      <c r="D50" t="str">
        <f>'staffing plan'!A60</f>
        <v>OSEC-DILGB-ADA4-87-2005</v>
      </c>
      <c r="E50" t="str">
        <f>+'staffing plan'!B60</f>
        <v>Administrative Aide IV</v>
      </c>
      <c r="F50">
        <f>+'staffing plan'!C60</f>
        <v>4</v>
      </c>
      <c r="G50" s="131">
        <f>+'staffing plan'!AH60</f>
        <v>158568</v>
      </c>
      <c r="H50" s="131">
        <f>+'staffing plan'!AI60</f>
        <v>159792</v>
      </c>
      <c r="I50" s="131">
        <f>+'staffing plan'!AJ60</f>
        <v>2</v>
      </c>
      <c r="J50" t="str">
        <f>+'staffing plan'!AW60</f>
        <v>MONANG, Veronica Gadgad</v>
      </c>
      <c r="K50" t="str">
        <f>+'staffing plan'!AR60</f>
        <v>MONANG</v>
      </c>
      <c r="L50" t="str">
        <f>UPPER('staffing plan'!AV60)</f>
        <v>VERONICA G. MONANG</v>
      </c>
      <c r="M50" t="str">
        <f>+'staffing plan'!AX60</f>
        <v>Regional Office</v>
      </c>
      <c r="N50" t="str">
        <f>+'staffing plan'!AY60</f>
        <v>F</v>
      </c>
      <c r="O50" s="145" t="e">
        <f>+'staffing plan'!#REF!</f>
        <v>#REF!</v>
      </c>
      <c r="P50" s="145" t="e">
        <f>+'staffing plan'!#REF!</f>
        <v>#REF!</v>
      </c>
      <c r="Q50" s="145" t="e">
        <f>+'staffing plan'!#REF!</f>
        <v>#REF!</v>
      </c>
      <c r="R50">
        <f>+'staffing plan'!BP60</f>
        <v>0</v>
      </c>
      <c r="S50">
        <v>49</v>
      </c>
    </row>
    <row r="51" spans="2:19">
      <c r="B51">
        <f t="shared" si="4"/>
        <v>2011</v>
      </c>
      <c r="C51">
        <f>+'staffing plan'!BK61</f>
        <v>40634</v>
      </c>
      <c r="D51" t="str">
        <f>'staffing plan'!A61</f>
        <v>OSEC-DILGB-ADA4-91-2010</v>
      </c>
      <c r="E51" t="str">
        <f>+'staffing plan'!B61</f>
        <v>Administrative Aide IV</v>
      </c>
      <c r="F51">
        <f>+'staffing plan'!C61</f>
        <v>4</v>
      </c>
      <c r="G51" s="131">
        <f>+'staffing plan'!AH61</f>
        <v>158568</v>
      </c>
      <c r="H51" s="131">
        <f>+'staffing plan'!AI61</f>
        <v>161016</v>
      </c>
      <c r="I51" s="131">
        <f>+'staffing plan'!AJ61</f>
        <v>3</v>
      </c>
      <c r="J51" t="str">
        <f>+'staffing plan'!AW61</f>
        <v>PASCUA, Diosdado Aquino</v>
      </c>
      <c r="K51" t="str">
        <f>+'staffing plan'!AR61</f>
        <v>PASCUA</v>
      </c>
      <c r="L51" t="str">
        <f>UPPER('staffing plan'!AV61)</f>
        <v>DIOSDADO A. PASCUA</v>
      </c>
      <c r="M51" t="str">
        <f>+'staffing plan'!AX61</f>
        <v>Regional Office</v>
      </c>
      <c r="N51" t="str">
        <f>+'staffing plan'!AY61</f>
        <v>M</v>
      </c>
      <c r="O51" s="145" t="e">
        <f>+'staffing plan'!#REF!</f>
        <v>#REF!</v>
      </c>
      <c r="P51" s="145" t="e">
        <f>+'staffing plan'!#REF!</f>
        <v>#REF!</v>
      </c>
      <c r="Q51" s="145" t="e">
        <f>+'staffing plan'!#REF!</f>
        <v>#REF!</v>
      </c>
      <c r="R51">
        <f>+'staffing plan'!BP61</f>
        <v>0</v>
      </c>
      <c r="S51">
        <v>50</v>
      </c>
    </row>
    <row r="52" spans="2:19" hidden="1">
      <c r="B52">
        <f t="shared" si="4"/>
        <v>1998</v>
      </c>
      <c r="C52">
        <f>+'staffing plan'!BK62</f>
        <v>36054</v>
      </c>
      <c r="D52" t="str">
        <f>'staffing plan'!A62</f>
        <v>OSEC-DILGB-ADA3-61-2005</v>
      </c>
      <c r="E52" t="str">
        <f>+'staffing plan'!B62</f>
        <v>Administrative Aide III</v>
      </c>
      <c r="F52">
        <f>+'staffing plan'!C62</f>
        <v>3</v>
      </c>
      <c r="G52" s="131">
        <f>+'staffing plan'!AH62</f>
        <v>149592</v>
      </c>
      <c r="H52" s="131">
        <f>+'staffing plan'!AI62</f>
        <v>156624</v>
      </c>
      <c r="I52" s="131">
        <f>+'staffing plan'!AJ62</f>
        <v>7</v>
      </c>
      <c r="J52" t="str">
        <f>+'staffing plan'!AW62</f>
        <v>TAMONDONG, Jonathan Ambat</v>
      </c>
      <c r="K52" t="str">
        <f>+'staffing plan'!AR62</f>
        <v>TAMONDONG</v>
      </c>
      <c r="L52" t="str">
        <f>UPPER('staffing plan'!AV62)</f>
        <v>JONATHAN A. TAMONDONG</v>
      </c>
      <c r="M52" t="str">
        <f>+'staffing plan'!AX62</f>
        <v>Regional Office</v>
      </c>
      <c r="N52" t="str">
        <f>+'staffing plan'!AY62</f>
        <v>M</v>
      </c>
      <c r="O52" s="145" t="e">
        <f>+'staffing plan'!#REF!</f>
        <v>#REF!</v>
      </c>
      <c r="P52" s="145" t="e">
        <f>+'staffing plan'!#REF!</f>
        <v>#REF!</v>
      </c>
      <c r="Q52" s="145" t="e">
        <f>+'staffing plan'!#REF!</f>
        <v>#REF!</v>
      </c>
      <c r="R52">
        <f>+'staffing plan'!BP62</f>
        <v>0</v>
      </c>
      <c r="S52">
        <v>51</v>
      </c>
    </row>
    <row r="53" spans="2:19" hidden="1">
      <c r="B53">
        <f t="shared" si="4"/>
        <v>1988</v>
      </c>
      <c r="C53">
        <f>+'staffing plan'!BK63</f>
        <v>32371</v>
      </c>
      <c r="D53" t="str">
        <f>'staffing plan'!A63</f>
        <v>OSEC-DILGB-SECG1-8-1998</v>
      </c>
      <c r="E53" t="str">
        <f>+'staffing plan'!B63</f>
        <v>Security Guard I</v>
      </c>
      <c r="F53">
        <f>+'staffing plan'!C63</f>
        <v>3</v>
      </c>
      <c r="G53" s="131">
        <f>+'staffing plan'!AH63</f>
        <v>149592</v>
      </c>
      <c r="H53" s="131">
        <f>+'staffing plan'!AI63</f>
        <v>157824</v>
      </c>
      <c r="I53" s="131">
        <f>+'staffing plan'!AJ63</f>
        <v>8</v>
      </c>
      <c r="J53" t="str">
        <f>+'staffing plan'!AW63</f>
        <v>ROJO, Gerardo Rontos</v>
      </c>
      <c r="K53" t="str">
        <f>+'staffing plan'!AR63</f>
        <v>ROJO</v>
      </c>
      <c r="L53" t="str">
        <f>UPPER('staffing plan'!AV63)</f>
        <v>GERARDO R. ROJO</v>
      </c>
      <c r="M53" t="str">
        <f>+'staffing plan'!AX63</f>
        <v>Regional Office</v>
      </c>
      <c r="N53" t="str">
        <f>+'staffing plan'!AY63</f>
        <v>M</v>
      </c>
      <c r="O53" s="145" t="e">
        <f>+'staffing plan'!#REF!</f>
        <v>#REF!</v>
      </c>
      <c r="P53" s="145" t="e">
        <f>+'staffing plan'!#REF!</f>
        <v>#REF!</v>
      </c>
      <c r="Q53" s="145" t="e">
        <f>+'staffing plan'!#REF!</f>
        <v>#REF!</v>
      </c>
      <c r="R53">
        <f>+'staffing plan'!BP63</f>
        <v>0</v>
      </c>
      <c r="S53">
        <v>52</v>
      </c>
    </row>
    <row r="54" spans="2:19" hidden="1">
      <c r="B54">
        <f t="shared" si="4"/>
        <v>2004</v>
      </c>
      <c r="C54">
        <f>+'staffing plan'!BK64</f>
        <v>38018</v>
      </c>
      <c r="D54" t="str">
        <f>'staffing plan'!A64</f>
        <v>OSEC-DILGB-SECG1-9-1998</v>
      </c>
      <c r="E54" t="str">
        <f>+'staffing plan'!B64</f>
        <v>Security Guard I</v>
      </c>
      <c r="F54">
        <f>+'staffing plan'!C64</f>
        <v>3</v>
      </c>
      <c r="G54" s="131">
        <f>+'staffing plan'!AH64</f>
        <v>149592</v>
      </c>
      <c r="H54" s="131">
        <f>+'staffing plan'!AI64</f>
        <v>154248</v>
      </c>
      <c r="I54" s="131">
        <f>+'staffing plan'!AJ64</f>
        <v>5</v>
      </c>
      <c r="J54" t="str">
        <f>+'staffing plan'!AW64</f>
        <v>PEREZ, Roberto Aquino</v>
      </c>
      <c r="K54" t="str">
        <f>+'staffing plan'!AR64</f>
        <v>PEREZ</v>
      </c>
      <c r="L54" t="str">
        <f>UPPER('staffing plan'!AV64)</f>
        <v>ROBERTO A. PEREZ</v>
      </c>
      <c r="M54" t="str">
        <f>+'staffing plan'!AX64</f>
        <v>Regional Office</v>
      </c>
      <c r="N54" t="str">
        <f>+'staffing plan'!AY64</f>
        <v>M</v>
      </c>
      <c r="O54" s="145" t="e">
        <f>+'staffing plan'!#REF!</f>
        <v>#REF!</v>
      </c>
      <c r="P54" s="145" t="e">
        <f>+'staffing plan'!#REF!</f>
        <v>#REF!</v>
      </c>
      <c r="Q54" s="145" t="e">
        <f>+'staffing plan'!#REF!</f>
        <v>#REF!</v>
      </c>
      <c r="R54">
        <f>+'staffing plan'!BP64</f>
        <v>0</v>
      </c>
      <c r="S54">
        <v>53</v>
      </c>
    </row>
    <row r="55" spans="2:19" hidden="1">
      <c r="B55">
        <f t="shared" si="4"/>
        <v>2001</v>
      </c>
      <c r="C55">
        <f>+'staffing plan'!BK65</f>
        <v>37173</v>
      </c>
      <c r="D55" t="str">
        <f>'staffing plan'!A65</f>
        <v>OSEC-DILGB-SEC1-10-1998</v>
      </c>
      <c r="E55" t="str">
        <f>+'staffing plan'!B65</f>
        <v>Security Guard I</v>
      </c>
      <c r="F55">
        <f>+'staffing plan'!C65</f>
        <v>3</v>
      </c>
      <c r="G55" s="131">
        <f>+'staffing plan'!AH65</f>
        <v>149592</v>
      </c>
      <c r="H55" s="131">
        <f>+'staffing plan'!AI65</f>
        <v>155424</v>
      </c>
      <c r="I55" s="131">
        <f>+'staffing plan'!AJ65</f>
        <v>6</v>
      </c>
      <c r="J55" t="str">
        <f>+'staffing plan'!AW65</f>
        <v>NONOG, Edward Bolda</v>
      </c>
      <c r="K55" t="str">
        <f>+'staffing plan'!AR65</f>
        <v>NONOG</v>
      </c>
      <c r="L55" t="str">
        <f>UPPER('staffing plan'!AV65)</f>
        <v>EDWARD B. NONOG</v>
      </c>
      <c r="M55" t="str">
        <f>+'staffing plan'!AX65</f>
        <v>Regional Office</v>
      </c>
      <c r="N55" t="str">
        <f>+'staffing plan'!AY65</f>
        <v>M</v>
      </c>
      <c r="O55" s="145" t="e">
        <f>+'staffing plan'!#REF!</f>
        <v>#REF!</v>
      </c>
      <c r="P55" s="145" t="e">
        <f>+'staffing plan'!#REF!</f>
        <v>#REF!</v>
      </c>
      <c r="Q55" s="145" t="e">
        <f>+'staffing plan'!#REF!</f>
        <v>#REF!</v>
      </c>
      <c r="R55">
        <f>+'staffing plan'!BP65</f>
        <v>0</v>
      </c>
      <c r="S55">
        <v>54</v>
      </c>
    </row>
    <row r="56" spans="2:19" hidden="1">
      <c r="B56">
        <f t="shared" ref="B56:B69" si="5">(YEAR(C56))</f>
        <v>1900</v>
      </c>
      <c r="C56">
        <f>+'staffing plan'!BK66</f>
        <v>0</v>
      </c>
      <c r="D56" t="str">
        <f>'staffing plan'!A66</f>
        <v>Sub-Total</v>
      </c>
      <c r="E56">
        <f>+'staffing plan'!B66</f>
        <v>0</v>
      </c>
      <c r="F56">
        <f>+'staffing plan'!C66</f>
        <v>0</v>
      </c>
      <c r="G56" s="131">
        <f>+'staffing plan'!AH66</f>
        <v>0</v>
      </c>
      <c r="H56" s="131">
        <f>+'staffing plan'!AI66</f>
        <v>0</v>
      </c>
      <c r="I56" s="131">
        <f>+'staffing plan'!AJ66</f>
        <v>23</v>
      </c>
      <c r="J56">
        <f>+'staffing plan'!AW66</f>
        <v>0</v>
      </c>
      <c r="K56">
        <f>+'staffing plan'!AR66</f>
        <v>0</v>
      </c>
      <c r="L56" t="str">
        <f>UPPER('staffing plan'!AV66)</f>
        <v/>
      </c>
      <c r="M56">
        <f>+'staffing plan'!AX66</f>
        <v>0</v>
      </c>
      <c r="N56">
        <f>+'staffing plan'!AY66</f>
        <v>0</v>
      </c>
      <c r="O56" s="145" t="e">
        <f>+'staffing plan'!#REF!</f>
        <v>#REF!</v>
      </c>
      <c r="P56" s="145" t="e">
        <f>+'staffing plan'!#REF!</f>
        <v>#REF!</v>
      </c>
      <c r="Q56" s="145" t="e">
        <f>+'staffing plan'!#REF!</f>
        <v>#REF!</v>
      </c>
      <c r="R56">
        <f>+'staffing plan'!BP66</f>
        <v>0</v>
      </c>
      <c r="S56">
        <v>55</v>
      </c>
    </row>
    <row r="57" spans="2:19" hidden="1">
      <c r="B57">
        <f t="shared" si="5"/>
        <v>1900</v>
      </c>
      <c r="C57">
        <f>+'staffing plan'!BK67</f>
        <v>0</v>
      </c>
      <c r="D57" t="str">
        <f>'staffing plan'!A67</f>
        <v>65,000          Provincial / City Offices</v>
      </c>
      <c r="E57">
        <f>+'staffing plan'!B67</f>
        <v>0</v>
      </c>
      <c r="F57">
        <f>+'staffing plan'!C67</f>
        <v>0</v>
      </c>
      <c r="G57" s="131">
        <f>+'staffing plan'!AH67</f>
        <v>0</v>
      </c>
      <c r="H57" s="131">
        <f>+'staffing plan'!AI67</f>
        <v>0</v>
      </c>
      <c r="I57" s="131">
        <f>+'staffing plan'!AJ67</f>
        <v>0</v>
      </c>
      <c r="J57">
        <f>+'staffing plan'!AW67</f>
        <v>0</v>
      </c>
      <c r="K57">
        <f>+'staffing plan'!AR67</f>
        <v>0</v>
      </c>
      <c r="L57" t="str">
        <f>UPPER('staffing plan'!AV67)</f>
        <v/>
      </c>
      <c r="M57">
        <f>+'staffing plan'!AX67</f>
        <v>0</v>
      </c>
      <c r="N57">
        <f>+'staffing plan'!AY67</f>
        <v>0</v>
      </c>
      <c r="O57" s="145" t="e">
        <f>+'staffing plan'!#REF!</f>
        <v>#REF!</v>
      </c>
      <c r="P57" s="145" t="e">
        <f>+'staffing plan'!#REF!</f>
        <v>#REF!</v>
      </c>
      <c r="Q57" s="145" t="e">
        <f>+'staffing plan'!#REF!</f>
        <v>#REF!</v>
      </c>
      <c r="R57">
        <f>+'staffing plan'!BP67</f>
        <v>0</v>
      </c>
      <c r="S57">
        <v>56</v>
      </c>
    </row>
    <row r="58" spans="2:19" hidden="1">
      <c r="B58">
        <f t="shared" si="5"/>
        <v>2016</v>
      </c>
      <c r="C58">
        <f>+'staffing plan'!BK68</f>
        <v>42391</v>
      </c>
      <c r="D58" t="str">
        <f>'staffing plan'!A68</f>
        <v>OSEC-DILGB-LGOO8-2-1998</v>
      </c>
      <c r="E58" t="str">
        <f>+'staffing plan'!B68</f>
        <v>Local Government Operations Officer VIII</v>
      </c>
      <c r="F58">
        <f>+'staffing plan'!C68</f>
        <v>26</v>
      </c>
      <c r="G58" s="131">
        <f>+'staffing plan'!AH68</f>
        <v>1289328</v>
      </c>
      <c r="H58" s="131">
        <f>+'staffing plan'!AI68</f>
        <v>1289328</v>
      </c>
      <c r="I58" s="131">
        <f>+'staffing plan'!AJ68</f>
        <v>1</v>
      </c>
      <c r="J58" t="str">
        <f>+'staffing plan'!AW68</f>
        <v>CARIÑO, Millicent Bamba</v>
      </c>
      <c r="K58" t="str">
        <f>+'staffing plan'!AR68</f>
        <v>CARIÑO</v>
      </c>
      <c r="L58" t="str">
        <f>UPPER('staffing plan'!AV68)</f>
        <v>MILLICENT B. CARIÑO</v>
      </c>
      <c r="M58" t="str">
        <f>+'staffing plan'!AX68</f>
        <v>Abra</v>
      </c>
      <c r="N58" t="str">
        <f>+'staffing plan'!AY68</f>
        <v>F</v>
      </c>
      <c r="O58" s="145" t="e">
        <f>+'staffing plan'!#REF!</f>
        <v>#REF!</v>
      </c>
      <c r="P58" s="145" t="e">
        <f>+'staffing plan'!#REF!</f>
        <v>#REF!</v>
      </c>
      <c r="Q58" s="145" t="e">
        <f>+'staffing plan'!#REF!</f>
        <v>#REF!</v>
      </c>
      <c r="R58">
        <f>+'staffing plan'!BP68</f>
        <v>0</v>
      </c>
      <c r="S58">
        <v>57</v>
      </c>
    </row>
    <row r="59" spans="2:19" hidden="1">
      <c r="B59">
        <f t="shared" si="5"/>
        <v>2012</v>
      </c>
      <c r="C59">
        <f>+'staffing plan'!BK69</f>
        <v>41165</v>
      </c>
      <c r="D59" t="str">
        <f>'staffing plan'!A69</f>
        <v>OSEC-DILGB-LGOO8-45-1998</v>
      </c>
      <c r="E59" t="str">
        <f>+'staffing plan'!B69</f>
        <v>Local Government Operations Officer VIII</v>
      </c>
      <c r="F59">
        <f>+'staffing plan'!C69</f>
        <v>26</v>
      </c>
      <c r="G59" s="131">
        <f>+'staffing plan'!AH69</f>
        <v>1289328</v>
      </c>
      <c r="H59" s="131">
        <f>+'staffing plan'!AI69</f>
        <v>1375584</v>
      </c>
      <c r="I59" s="131">
        <f>+'staffing plan'!AJ69</f>
        <v>5</v>
      </c>
      <c r="J59" t="str">
        <f>+'staffing plan'!AW69</f>
        <v>BALLUG, Anthony Manolo Ilacad</v>
      </c>
      <c r="K59" t="str">
        <f>+'staffing plan'!AR69</f>
        <v>BALLUG</v>
      </c>
      <c r="L59" t="str">
        <f>UPPER('staffing plan'!AV69)</f>
        <v>ANTHONY MANOLO I. BALLUG</v>
      </c>
      <c r="M59" t="str">
        <f>+'staffing plan'!AX69</f>
        <v>Mt. Province</v>
      </c>
      <c r="N59" t="str">
        <f>+'staffing plan'!AY69</f>
        <v>M</v>
      </c>
      <c r="O59" s="145" t="e">
        <f>+'staffing plan'!#REF!</f>
        <v>#REF!</v>
      </c>
      <c r="P59" s="145" t="e">
        <f>+'staffing plan'!#REF!</f>
        <v>#REF!</v>
      </c>
      <c r="Q59" s="145" t="e">
        <f>+'staffing plan'!#REF!</f>
        <v>#REF!</v>
      </c>
      <c r="R59">
        <f>+'staffing plan'!BP69</f>
        <v>0</v>
      </c>
      <c r="S59">
        <v>58</v>
      </c>
    </row>
    <row r="60" spans="2:19" hidden="1">
      <c r="B60">
        <f t="shared" si="5"/>
        <v>2007</v>
      </c>
      <c r="C60">
        <f>+'staffing plan'!BK70</f>
        <v>39230</v>
      </c>
      <c r="D60" t="str">
        <f>'staffing plan'!A70</f>
        <v>OSEC-DILGB-LGOO8-56-1998</v>
      </c>
      <c r="E60" t="str">
        <f>+'staffing plan'!B70</f>
        <v>Local Government Operations Officer VIII</v>
      </c>
      <c r="F60">
        <f>+'staffing plan'!C70</f>
        <v>26</v>
      </c>
      <c r="G60" s="131">
        <f>+'staffing plan'!AH70</f>
        <v>1289328</v>
      </c>
      <c r="H60" s="131">
        <f>+'staffing plan'!AI70</f>
        <v>1375584</v>
      </c>
      <c r="I60" s="131">
        <f>+'staffing plan'!AJ70</f>
        <v>5</v>
      </c>
      <c r="J60" t="str">
        <f>+'staffing plan'!AW70</f>
        <v>FEGCAN, Rufina Talusig</v>
      </c>
      <c r="K60" t="str">
        <f>+'staffing plan'!AR70</f>
        <v>FEGCAN</v>
      </c>
      <c r="L60" t="str">
        <f>UPPER('staffing plan'!AV70)</f>
        <v>RUFINA T. FEGCAN</v>
      </c>
      <c r="M60" t="str">
        <f>+'staffing plan'!AX70</f>
        <v>Benguet</v>
      </c>
      <c r="N60" t="str">
        <f>+'staffing plan'!AY70</f>
        <v>F</v>
      </c>
      <c r="O60" s="145" t="e">
        <f>+'staffing plan'!#REF!</f>
        <v>#REF!</v>
      </c>
      <c r="P60" s="145" t="e">
        <f>+'staffing plan'!#REF!</f>
        <v>#REF!</v>
      </c>
      <c r="Q60" s="145" t="e">
        <f>+'staffing plan'!#REF!</f>
        <v>#REF!</v>
      </c>
      <c r="R60">
        <f>+'staffing plan'!BP70</f>
        <v>0</v>
      </c>
      <c r="S60">
        <v>59</v>
      </c>
    </row>
    <row r="61" spans="2:19">
      <c r="B61">
        <f t="shared" si="5"/>
        <v>2011</v>
      </c>
      <c r="C61">
        <f>+'staffing plan'!BK71</f>
        <v>40603</v>
      </c>
      <c r="D61" t="str">
        <f>'staffing plan'!A71</f>
        <v>OSEC-DILGB-LGOO8-67-1998</v>
      </c>
      <c r="E61" t="str">
        <f>+'staffing plan'!B71</f>
        <v>Local Government Operations Officer VIII</v>
      </c>
      <c r="F61">
        <f>+'staffing plan'!C71</f>
        <v>26</v>
      </c>
      <c r="G61" s="131">
        <f>+'staffing plan'!AH71</f>
        <v>1289328</v>
      </c>
      <c r="H61" s="131">
        <f>+'staffing plan'!AI71</f>
        <v>1353492</v>
      </c>
      <c r="I61" s="131">
        <f>+'staffing plan'!AJ71</f>
        <v>4</v>
      </c>
      <c r="J61" t="str">
        <f>+'staffing plan'!AW71</f>
        <v>TRINIDAD, Evelyn Ballug</v>
      </c>
      <c r="K61" t="str">
        <f>+'staffing plan'!AR71</f>
        <v>TRINIDAD</v>
      </c>
      <c r="L61" t="str">
        <f>UPPER('staffing plan'!AV71)</f>
        <v>EVELYN B. TRINIDAD</v>
      </c>
      <c r="M61" t="str">
        <f>+'staffing plan'!AX71</f>
        <v>Baguio City</v>
      </c>
      <c r="N61" t="str">
        <f>+'staffing plan'!AY71</f>
        <v>F</v>
      </c>
      <c r="O61" s="145" t="e">
        <f>+'staffing plan'!#REF!</f>
        <v>#REF!</v>
      </c>
      <c r="P61" s="145" t="e">
        <f>+'staffing plan'!#REF!</f>
        <v>#REF!</v>
      </c>
      <c r="Q61" s="145" t="e">
        <f>+'staffing plan'!#REF!</f>
        <v>#REF!</v>
      </c>
      <c r="R61" t="str">
        <f>+'staffing plan'!BP71</f>
        <v>Step 2</v>
      </c>
      <c r="S61">
        <v>60</v>
      </c>
    </row>
    <row r="62" spans="2:19" hidden="1">
      <c r="B62">
        <f t="shared" si="5"/>
        <v>2018</v>
      </c>
      <c r="C62">
        <f>+'staffing plan'!BK72</f>
        <v>43132</v>
      </c>
      <c r="D62" t="str">
        <f>'staffing plan'!A72</f>
        <v>OSEC-DILGB-LGOO8-79-1998</v>
      </c>
      <c r="E62" t="str">
        <f>+'staffing plan'!B72</f>
        <v>Local Government Operations Officer VIII</v>
      </c>
      <c r="F62">
        <f>+'staffing plan'!C72</f>
        <v>26</v>
      </c>
      <c r="G62" s="131">
        <f>+'staffing plan'!AH72</f>
        <v>1289328</v>
      </c>
      <c r="H62" s="131">
        <f>+'staffing plan'!AI72</f>
        <v>1289328</v>
      </c>
      <c r="I62" s="131">
        <f>+'staffing plan'!AJ72</f>
        <v>1</v>
      </c>
      <c r="J62" t="str">
        <f>+'staffing plan'!AW72</f>
        <v>MAMMAG, Regina Elizabeth Lingayo</v>
      </c>
      <c r="K62" t="str">
        <f>+'staffing plan'!AR72</f>
        <v>MAMMAG</v>
      </c>
      <c r="L62" t="str">
        <f>UPPER('staffing plan'!AV72)</f>
        <v>REGINA ELIZABETH L. MAMMAG</v>
      </c>
      <c r="M62" t="str">
        <f>+'staffing plan'!AX72</f>
        <v>Ifugao</v>
      </c>
      <c r="N62" t="str">
        <f>+'staffing plan'!AY72</f>
        <v>F</v>
      </c>
      <c r="O62" s="145" t="e">
        <f>+'staffing plan'!#REF!</f>
        <v>#REF!</v>
      </c>
      <c r="P62" s="145" t="e">
        <f>+'staffing plan'!#REF!</f>
        <v>#REF!</v>
      </c>
      <c r="Q62" s="145" t="e">
        <f>+'staffing plan'!#REF!</f>
        <v>#REF!</v>
      </c>
      <c r="R62">
        <f>+'staffing plan'!BP72</f>
        <v>0</v>
      </c>
      <c r="S62">
        <v>61</v>
      </c>
    </row>
    <row r="63" spans="2:19" hidden="1">
      <c r="B63">
        <f t="shared" si="5"/>
        <v>2016</v>
      </c>
      <c r="C63">
        <f>+'staffing plan'!BK73</f>
        <v>42436</v>
      </c>
      <c r="D63" t="str">
        <f>'staffing plan'!A73</f>
        <v>OSEC-DILGB-LGOO8-91-1998</v>
      </c>
      <c r="E63" t="str">
        <f>+'staffing plan'!B73</f>
        <v>Local Government Operations Officer VIII</v>
      </c>
      <c r="F63">
        <f>+'staffing plan'!C73</f>
        <v>26</v>
      </c>
      <c r="G63" s="131">
        <f>+'staffing plan'!AH73</f>
        <v>1289328</v>
      </c>
      <c r="H63" s="131">
        <f>+'staffing plan'!AI73</f>
        <v>1310364</v>
      </c>
      <c r="I63" s="131">
        <f>+'staffing plan'!AJ73</f>
        <v>2</v>
      </c>
      <c r="J63" t="str">
        <f>+'staffing plan'!AW73</f>
        <v>BASQUEZ, Marvin Amanonce</v>
      </c>
      <c r="K63" t="str">
        <f>+'staffing plan'!AR73</f>
        <v>BASQUEZ</v>
      </c>
      <c r="L63" t="str">
        <f>UPPER('staffing plan'!AV73)</f>
        <v>MARVIN A. BASQUEZ</v>
      </c>
      <c r="M63" t="str">
        <f>+'staffing plan'!AX73</f>
        <v>Apayao</v>
      </c>
      <c r="N63" t="str">
        <f>+'staffing plan'!AY73</f>
        <v>M</v>
      </c>
      <c r="O63" s="145" t="e">
        <f>+'staffing plan'!#REF!</f>
        <v>#REF!</v>
      </c>
      <c r="P63" s="145" t="e">
        <f>+'staffing plan'!#REF!</f>
        <v>#REF!</v>
      </c>
      <c r="Q63" s="145" t="e">
        <f>+'staffing plan'!#REF!</f>
        <v>#REF!</v>
      </c>
      <c r="R63" t="str">
        <f>+'staffing plan'!BP73</f>
        <v>CESO step 2</v>
      </c>
      <c r="S63">
        <v>62</v>
      </c>
    </row>
    <row r="64" spans="2:19" hidden="1">
      <c r="B64">
        <f t="shared" si="5"/>
        <v>2018</v>
      </c>
      <c r="C64">
        <f>+'staffing plan'!BK74</f>
        <v>43146</v>
      </c>
      <c r="D64" t="str">
        <f>'staffing plan'!A74</f>
        <v>OSEC-DILGB-LGOO8-98-1998</v>
      </c>
      <c r="E64" t="str">
        <f>+'staffing plan'!B74</f>
        <v>Local Government Operations Officer VIII</v>
      </c>
      <c r="F64">
        <f>+'staffing plan'!C74</f>
        <v>26</v>
      </c>
      <c r="G64" s="131">
        <f>+'staffing plan'!AH74</f>
        <v>1289328</v>
      </c>
      <c r="H64" s="131">
        <f>+'staffing plan'!AI74</f>
        <v>1289328</v>
      </c>
      <c r="I64" s="131">
        <f>+'staffing plan'!AJ74</f>
        <v>1</v>
      </c>
      <c r="J64" t="str">
        <f>+'staffing plan'!AW74</f>
        <v>ADONG, Mayer Max de Guzman</v>
      </c>
      <c r="K64" t="str">
        <f>+'staffing plan'!AR74</f>
        <v>ADONG</v>
      </c>
      <c r="L64" t="str">
        <f>UPPER('staffing plan'!AV74)</f>
        <v>MAYER MAX DG. ADONG</v>
      </c>
      <c r="M64" t="str">
        <f>+'staffing plan'!AX74</f>
        <v>Kalinga</v>
      </c>
      <c r="N64" t="str">
        <f>+'staffing plan'!AY74</f>
        <v>M</v>
      </c>
      <c r="O64" s="145" t="e">
        <f>+'staffing plan'!#REF!</f>
        <v>#REF!</v>
      </c>
      <c r="P64" s="145" t="e">
        <f>+'staffing plan'!#REF!</f>
        <v>#REF!</v>
      </c>
      <c r="Q64" s="145" t="e">
        <f>+'staffing plan'!#REF!</f>
        <v>#REF!</v>
      </c>
      <c r="R64">
        <f>+'staffing plan'!BP74</f>
        <v>0</v>
      </c>
      <c r="S64">
        <v>63</v>
      </c>
    </row>
    <row r="65" spans="2:19" hidden="1">
      <c r="B65" t="e">
        <f t="shared" si="5"/>
        <v>#REF!</v>
      </c>
      <c r="C65" t="e">
        <f>+'staffing plan'!#REF!</f>
        <v>#REF!</v>
      </c>
      <c r="D65" t="e">
        <f>'staffing plan'!#REF!</f>
        <v>#REF!</v>
      </c>
      <c r="E65" t="e">
        <f>+'staffing plan'!#REF!</f>
        <v>#REF!</v>
      </c>
      <c r="F65" t="e">
        <f>+'staffing plan'!#REF!</f>
        <v>#REF!</v>
      </c>
      <c r="G65" s="131" t="e">
        <f>+'staffing plan'!#REF!</f>
        <v>#REF!</v>
      </c>
      <c r="H65" s="131" t="e">
        <f>+'staffing plan'!#REF!</f>
        <v>#REF!</v>
      </c>
      <c r="I65" s="131" t="e">
        <f>+'staffing plan'!#REF!</f>
        <v>#REF!</v>
      </c>
      <c r="J65" t="e">
        <f>+'staffing plan'!#REF!</f>
        <v>#REF!</v>
      </c>
      <c r="K65" t="e">
        <f>+'staffing plan'!#REF!</f>
        <v>#REF!</v>
      </c>
      <c r="L65" t="e">
        <f>UPPER('staffing plan'!#REF!)</f>
        <v>#REF!</v>
      </c>
      <c r="M65" t="e">
        <f>+'staffing plan'!#REF!</f>
        <v>#REF!</v>
      </c>
      <c r="N65" t="e">
        <f>+'staffing plan'!#REF!</f>
        <v>#REF!</v>
      </c>
      <c r="O65" s="145" t="e">
        <f>+'staffing plan'!#REF!</f>
        <v>#REF!</v>
      </c>
      <c r="P65" s="145" t="e">
        <f>+'staffing plan'!#REF!</f>
        <v>#REF!</v>
      </c>
      <c r="Q65" s="145" t="e">
        <f>+'staffing plan'!#REF!</f>
        <v>#REF!</v>
      </c>
      <c r="R65" t="e">
        <f>+'staffing plan'!#REF!</f>
        <v>#REF!</v>
      </c>
      <c r="S65">
        <v>64</v>
      </c>
    </row>
    <row r="66" spans="2:19" hidden="1">
      <c r="B66">
        <f t="shared" si="5"/>
        <v>2019</v>
      </c>
      <c r="C66">
        <f>+'staffing plan'!BK76</f>
        <v>43531</v>
      </c>
      <c r="D66" t="str">
        <f>'staffing plan'!A76</f>
        <v>OSEC-DILGB-LGOO7-1444-2017</v>
      </c>
      <c r="E66" t="str">
        <f>+'staffing plan'!B76</f>
        <v>Local Government Operations Officer VII</v>
      </c>
      <c r="F66">
        <f>+'staffing plan'!C76</f>
        <v>24</v>
      </c>
      <c r="G66" s="131">
        <f>+'staffing plan'!AH76</f>
        <v>1000872</v>
      </c>
      <c r="H66" s="131">
        <f>+'staffing plan'!AI76</f>
        <v>1000872</v>
      </c>
      <c r="I66" s="131">
        <f>+'staffing plan'!AJ76</f>
        <v>1</v>
      </c>
      <c r="J66" t="str">
        <f>+'staffing plan'!AW76</f>
        <v>APPOY, Samson Benlangan</v>
      </c>
      <c r="K66" t="str">
        <f>+'staffing plan'!AR76</f>
        <v>APPOY</v>
      </c>
      <c r="L66" t="str">
        <f>UPPER('staffing plan'!AV76)</f>
        <v>SAMSON B. APPOY</v>
      </c>
      <c r="M66" t="str">
        <f>+'staffing plan'!AX76</f>
        <v>Ifugao</v>
      </c>
      <c r="N66" t="str">
        <f>+'staffing plan'!AY76</f>
        <v>M</v>
      </c>
      <c r="O66" s="145" t="e">
        <f>+'staffing plan'!#REF!</f>
        <v>#REF!</v>
      </c>
      <c r="P66" s="145" t="e">
        <f>+'staffing plan'!#REF!</f>
        <v>#REF!</v>
      </c>
      <c r="Q66" s="145" t="e">
        <f>+'staffing plan'!#REF!</f>
        <v>#REF!</v>
      </c>
      <c r="R66">
        <f>+'staffing plan'!BP76</f>
        <v>0</v>
      </c>
      <c r="S66">
        <v>65</v>
      </c>
    </row>
    <row r="67" spans="2:19" hidden="1">
      <c r="B67">
        <f t="shared" si="5"/>
        <v>2018</v>
      </c>
      <c r="C67">
        <f>+'staffing plan'!BK77</f>
        <v>43132</v>
      </c>
      <c r="D67" t="str">
        <f>'staffing plan'!A77</f>
        <v>OSEC-DILGB-LGOO7-1445-2017</v>
      </c>
      <c r="E67" t="str">
        <f>+'staffing plan'!B77</f>
        <v>Local Government Operations Officer VII</v>
      </c>
      <c r="F67">
        <f>+'staffing plan'!C77</f>
        <v>24</v>
      </c>
      <c r="G67" s="131">
        <f>+'staffing plan'!AH77</f>
        <v>1000872</v>
      </c>
      <c r="H67" s="131">
        <f>+'staffing plan'!AI77</f>
        <v>1000872</v>
      </c>
      <c r="I67" s="131">
        <f>+'staffing plan'!AJ77</f>
        <v>1</v>
      </c>
      <c r="J67" t="str">
        <f>+'staffing plan'!AW77</f>
        <v>CARIÑO, Maritess  Malinay</v>
      </c>
      <c r="K67" t="str">
        <f>+'staffing plan'!AR77</f>
        <v>CARIÑO</v>
      </c>
      <c r="L67" t="str">
        <f>UPPER('staffing plan'!AV77)</f>
        <v>MARITESS  M. CARIÑO</v>
      </c>
      <c r="M67" t="str">
        <f>+'staffing plan'!AX77</f>
        <v>Mt. Province</v>
      </c>
      <c r="N67" t="str">
        <f>+'staffing plan'!AY77</f>
        <v>F</v>
      </c>
      <c r="O67" s="145" t="e">
        <f>+'staffing plan'!#REF!</f>
        <v>#REF!</v>
      </c>
      <c r="P67" s="145" t="e">
        <f>+'staffing plan'!#REF!</f>
        <v>#REF!</v>
      </c>
      <c r="Q67" s="145" t="e">
        <f>+'staffing plan'!#REF!</f>
        <v>#REF!</v>
      </c>
      <c r="R67">
        <f>+'staffing plan'!BP77</f>
        <v>0</v>
      </c>
      <c r="S67">
        <v>66</v>
      </c>
    </row>
    <row r="68" spans="2:19" hidden="1">
      <c r="B68">
        <f t="shared" si="5"/>
        <v>2019</v>
      </c>
      <c r="C68">
        <f>+'staffing plan'!BK78</f>
        <v>43531</v>
      </c>
      <c r="D68" t="str">
        <f>'staffing plan'!A78</f>
        <v>OSEC-DILGB-LGOO7-1446-2017</v>
      </c>
      <c r="E68" t="str">
        <f>+'staffing plan'!B78</f>
        <v>Local Government Operations Officer VII</v>
      </c>
      <c r="F68">
        <f>+'staffing plan'!C78</f>
        <v>24</v>
      </c>
      <c r="G68" s="131">
        <f>+'staffing plan'!AH78</f>
        <v>1000872</v>
      </c>
      <c r="H68" s="131">
        <f>+'staffing plan'!AI78</f>
        <v>1000872</v>
      </c>
      <c r="I68" s="131">
        <f>+'staffing plan'!AJ78</f>
        <v>1</v>
      </c>
      <c r="J68" t="str">
        <f>+'staffing plan'!AW78</f>
        <v>ALIÑO, Mediatrix Rubio</v>
      </c>
      <c r="K68" t="str">
        <f>+'staffing plan'!AR78</f>
        <v>ALIÑO</v>
      </c>
      <c r="L68" t="str">
        <f>UPPER('staffing plan'!AV78)</f>
        <v>MEDIATRIX R. ALIÑO</v>
      </c>
      <c r="M68" t="str">
        <f>+'staffing plan'!AX78</f>
        <v>Kalinga</v>
      </c>
      <c r="N68" t="str">
        <f>+'staffing plan'!AY78</f>
        <v>F</v>
      </c>
      <c r="O68" s="145" t="e">
        <f>+'staffing plan'!#REF!</f>
        <v>#REF!</v>
      </c>
      <c r="P68" s="145" t="e">
        <f>+'staffing plan'!#REF!</f>
        <v>#REF!</v>
      </c>
      <c r="Q68" s="145" t="e">
        <f>+'staffing plan'!#REF!</f>
        <v>#REF!</v>
      </c>
      <c r="R68">
        <f>+'staffing plan'!BP78</f>
        <v>0</v>
      </c>
      <c r="S68">
        <v>67</v>
      </c>
    </row>
    <row r="69" spans="2:19" hidden="1">
      <c r="B69">
        <f t="shared" si="5"/>
        <v>1900</v>
      </c>
      <c r="C69">
        <f>+'staffing plan'!BK79</f>
        <v>0</v>
      </c>
      <c r="D69" t="str">
        <f>'staffing plan'!A79</f>
        <v>OSEC-DILGB-LGOO7-1447-2017</v>
      </c>
      <c r="E69" t="str">
        <f>+'staffing plan'!B79</f>
        <v>Local Government Operations Officer VII</v>
      </c>
      <c r="F69">
        <f>+'staffing plan'!C79</f>
        <v>24</v>
      </c>
      <c r="G69" s="131">
        <f>+'staffing plan'!AH79</f>
        <v>1000872</v>
      </c>
      <c r="H69" s="131">
        <f>+'staffing plan'!AI79</f>
        <v>0</v>
      </c>
      <c r="I69" s="131">
        <f>+'staffing plan'!AJ79</f>
        <v>0</v>
      </c>
      <c r="J69" t="str">
        <f>+'staffing plan'!AW79</f>
        <v xml:space="preserve">Vacant Guerzon,  </v>
      </c>
      <c r="K69" t="str">
        <f>+'staffing plan'!AR79</f>
        <v>Vacant Guerzon</v>
      </c>
      <c r="L69" t="str">
        <f>UPPER('staffing plan'!AV79)</f>
        <v xml:space="preserve"> . VACANT GUERZON</v>
      </c>
      <c r="M69">
        <f>+'staffing plan'!AX79</f>
        <v>0</v>
      </c>
      <c r="N69">
        <f>+'staffing plan'!AY79</f>
        <v>0</v>
      </c>
      <c r="O69" s="145" t="e">
        <f>+'staffing plan'!#REF!</f>
        <v>#REF!</v>
      </c>
      <c r="P69" s="145" t="e">
        <f>+'staffing plan'!#REF!</f>
        <v>#REF!</v>
      </c>
      <c r="Q69" s="145" t="e">
        <f>+'staffing plan'!#REF!</f>
        <v>#REF!</v>
      </c>
      <c r="R69">
        <f>+'staffing plan'!BP79</f>
        <v>0</v>
      </c>
      <c r="S69">
        <v>68</v>
      </c>
    </row>
    <row r="70" spans="2:19" hidden="1">
      <c r="B70">
        <f t="shared" ref="B70:B83" si="6">(YEAR(C70))</f>
        <v>2019</v>
      </c>
      <c r="C70">
        <f>+'staffing plan'!BK80</f>
        <v>43531</v>
      </c>
      <c r="D70" t="str">
        <f>'staffing plan'!A80</f>
        <v>OSEC-DILGB-LGOO7-1448-2017</v>
      </c>
      <c r="E70" t="str">
        <f>+'staffing plan'!B80</f>
        <v>Local Government Operations Officer VII</v>
      </c>
      <c r="F70">
        <f>+'staffing plan'!C80</f>
        <v>24</v>
      </c>
      <c r="G70" s="131">
        <f>+'staffing plan'!AH80</f>
        <v>1000872</v>
      </c>
      <c r="H70" s="131">
        <f>+'staffing plan'!AI80</f>
        <v>1000872</v>
      </c>
      <c r="I70" s="131">
        <f>+'staffing plan'!AJ80</f>
        <v>1</v>
      </c>
      <c r="J70" t="str">
        <f>+'staffing plan'!AW80</f>
        <v>ABULENCIA, Emmanuel Pinlac</v>
      </c>
      <c r="K70" t="str">
        <f>+'staffing plan'!AR80</f>
        <v>ABULENCIA</v>
      </c>
      <c r="L70" t="str">
        <f>UPPER('staffing plan'!AV80)</f>
        <v>EMMANUEL P. ABULENCIA</v>
      </c>
      <c r="M70" t="str">
        <f>+'staffing plan'!AX80</f>
        <v>Apayao</v>
      </c>
      <c r="N70" t="str">
        <f>+'staffing plan'!AY80</f>
        <v>M</v>
      </c>
      <c r="O70" s="145" t="e">
        <f>+'staffing plan'!#REF!</f>
        <v>#REF!</v>
      </c>
      <c r="P70" s="145" t="e">
        <f>+'staffing plan'!#REF!</f>
        <v>#REF!</v>
      </c>
      <c r="Q70" s="145" t="e">
        <f>+'staffing plan'!#REF!</f>
        <v>#REF!</v>
      </c>
      <c r="R70">
        <f>+'staffing plan'!BP80</f>
        <v>0</v>
      </c>
      <c r="S70">
        <v>69</v>
      </c>
    </row>
    <row r="71" spans="2:19">
      <c r="B71">
        <f t="shared" si="6"/>
        <v>2017</v>
      </c>
      <c r="C71">
        <f>+'staffing plan'!BK81</f>
        <v>43070</v>
      </c>
      <c r="D71" t="str">
        <f>'staffing plan'!A81</f>
        <v>OSEC-DILGB-LGOO6-1-2017</v>
      </c>
      <c r="E71" t="str">
        <f>+'staffing plan'!B81</f>
        <v>Local Government Operations Officer VI</v>
      </c>
      <c r="F71">
        <f>+'staffing plan'!C81</f>
        <v>22</v>
      </c>
      <c r="G71" s="131">
        <f>+'staffing plan'!AH81</f>
        <v>783828</v>
      </c>
      <c r="H71" s="131">
        <f>+'staffing plan'!AI81</f>
        <v>783828</v>
      </c>
      <c r="I71" s="131">
        <f>+'staffing plan'!AJ81</f>
        <v>1</v>
      </c>
      <c r="J71" t="str">
        <f>+'staffing plan'!AW81</f>
        <v>VILLAMOR, Juvenal Hufano</v>
      </c>
      <c r="K71" t="str">
        <f>+'staffing plan'!AR81</f>
        <v>VILLAMOR</v>
      </c>
      <c r="L71" t="str">
        <f>UPPER('staffing plan'!AV81)</f>
        <v>JUVENAL H. VILLAMOR</v>
      </c>
      <c r="M71" t="str">
        <f>+'staffing plan'!AX81</f>
        <v>Abra</v>
      </c>
      <c r="N71" t="str">
        <f>+'staffing plan'!AY81</f>
        <v>M</v>
      </c>
      <c r="O71" s="145" t="e">
        <f>+'staffing plan'!#REF!</f>
        <v>#REF!</v>
      </c>
      <c r="P71" s="145" t="e">
        <f>+'staffing plan'!#REF!</f>
        <v>#REF!</v>
      </c>
      <c r="Q71" s="145" t="e">
        <f>+'staffing plan'!#REF!</f>
        <v>#REF!</v>
      </c>
      <c r="R71">
        <f>+'staffing plan'!BP81</f>
        <v>0</v>
      </c>
      <c r="S71">
        <v>70</v>
      </c>
    </row>
    <row r="72" spans="2:19">
      <c r="B72">
        <f t="shared" si="6"/>
        <v>2017</v>
      </c>
      <c r="C72">
        <f>+'staffing plan'!BK82</f>
        <v>43070</v>
      </c>
      <c r="D72" t="str">
        <f>'staffing plan'!A82</f>
        <v>OSEC-DILGB-LGOO6-2-2017</v>
      </c>
      <c r="E72" t="str">
        <f>+'staffing plan'!B82</f>
        <v>Local Government Operations Officer VI</v>
      </c>
      <c r="F72">
        <f>+'staffing plan'!C82</f>
        <v>22</v>
      </c>
      <c r="G72" s="131">
        <f>+'staffing plan'!AH82</f>
        <v>783828</v>
      </c>
      <c r="H72" s="131">
        <f>+'staffing plan'!AI82</f>
        <v>783828</v>
      </c>
      <c r="I72" s="131">
        <f>+'staffing plan'!AJ82</f>
        <v>1</v>
      </c>
      <c r="J72" t="str">
        <f>+'staffing plan'!AW82</f>
        <v>TURQUEZA, Emmanuel Astudillo</v>
      </c>
      <c r="K72" t="str">
        <f>+'staffing plan'!AR82</f>
        <v>TURQUEZA</v>
      </c>
      <c r="L72" t="str">
        <f>UPPER('staffing plan'!AV82)</f>
        <v>EMMANUEL A. TURQUEZA</v>
      </c>
      <c r="M72" t="str">
        <f>+'staffing plan'!AX82</f>
        <v>Abra</v>
      </c>
      <c r="N72" t="str">
        <f>+'staffing plan'!AY82</f>
        <v>M</v>
      </c>
      <c r="O72" s="145" t="e">
        <f>+'staffing plan'!#REF!</f>
        <v>#REF!</v>
      </c>
      <c r="P72" s="145" t="e">
        <f>+'staffing plan'!#REF!</f>
        <v>#REF!</v>
      </c>
      <c r="Q72" s="145" t="e">
        <f>+'staffing plan'!#REF!</f>
        <v>#REF!</v>
      </c>
      <c r="R72">
        <f>+'staffing plan'!BP82</f>
        <v>0</v>
      </c>
      <c r="S72">
        <v>71</v>
      </c>
    </row>
    <row r="73" spans="2:19">
      <c r="B73">
        <f t="shared" si="6"/>
        <v>2017</v>
      </c>
      <c r="C73">
        <f>+'staffing plan'!BK83</f>
        <v>43070</v>
      </c>
      <c r="D73" t="str">
        <f>'staffing plan'!A83</f>
        <v>OSEC-DILGB-LGOO6-3-2017</v>
      </c>
      <c r="E73" t="str">
        <f>+'staffing plan'!B83</f>
        <v>Local Government Operations Officer VI</v>
      </c>
      <c r="F73">
        <f>+'staffing plan'!C83</f>
        <v>22</v>
      </c>
      <c r="G73" s="131">
        <f>+'staffing plan'!AH83</f>
        <v>783828</v>
      </c>
      <c r="H73" s="131">
        <f>+'staffing plan'!AI83</f>
        <v>783828</v>
      </c>
      <c r="I73" s="131">
        <f>+'staffing plan'!AJ83</f>
        <v>1</v>
      </c>
      <c r="J73" t="str">
        <f>+'staffing plan'!AW83</f>
        <v>TENEZA, Valentino Barbieto</v>
      </c>
      <c r="K73" t="str">
        <f>+'staffing plan'!AR83</f>
        <v>TENEZA</v>
      </c>
      <c r="L73" t="str">
        <f>UPPER('staffing plan'!AV83)</f>
        <v>VALENTINO B. TENEZA</v>
      </c>
      <c r="M73" t="str">
        <f>+'staffing plan'!AX83</f>
        <v>Abra</v>
      </c>
      <c r="N73" t="str">
        <f>+'staffing plan'!AY83</f>
        <v>M</v>
      </c>
      <c r="O73" s="145" t="e">
        <f>+'staffing plan'!#REF!</f>
        <v>#REF!</v>
      </c>
      <c r="P73" s="145" t="e">
        <f>+'staffing plan'!#REF!</f>
        <v>#REF!</v>
      </c>
      <c r="Q73" s="145" t="e">
        <f>+'staffing plan'!#REF!</f>
        <v>#REF!</v>
      </c>
      <c r="R73">
        <f>+'staffing plan'!BP83</f>
        <v>0</v>
      </c>
      <c r="S73">
        <v>72</v>
      </c>
    </row>
    <row r="74" spans="2:19">
      <c r="B74">
        <f t="shared" si="6"/>
        <v>2017</v>
      </c>
      <c r="C74">
        <f>+'staffing plan'!BK84</f>
        <v>43070</v>
      </c>
      <c r="D74" t="str">
        <f>'staffing plan'!A84</f>
        <v>OSEC-DILGB-LGOO6-4-2017</v>
      </c>
      <c r="E74" t="str">
        <f>+'staffing plan'!B84</f>
        <v>Local Government Operations Officer VI</v>
      </c>
      <c r="F74">
        <f>+'staffing plan'!C84</f>
        <v>22</v>
      </c>
      <c r="G74" s="131">
        <f>+'staffing plan'!AH84</f>
        <v>783828</v>
      </c>
      <c r="H74" s="131">
        <f>+'staffing plan'!AI84</f>
        <v>783828</v>
      </c>
      <c r="I74" s="131">
        <f>+'staffing plan'!AJ84</f>
        <v>1</v>
      </c>
      <c r="J74" t="str">
        <f>+'staffing plan'!AW84</f>
        <v>ABADEZA, Charisma Salimbay</v>
      </c>
      <c r="K74" t="str">
        <f>+'staffing plan'!AR84</f>
        <v>ABADEZA</v>
      </c>
      <c r="L74" t="str">
        <f>UPPER('staffing plan'!AV84)</f>
        <v>CHARISMA S. ABADEZA</v>
      </c>
      <c r="M74" t="str">
        <f>+'staffing plan'!AX84</f>
        <v>Abra</v>
      </c>
      <c r="N74" t="str">
        <f>+'staffing plan'!AY84</f>
        <v>F</v>
      </c>
      <c r="O74" s="145" t="e">
        <f>+'staffing plan'!#REF!</f>
        <v>#REF!</v>
      </c>
      <c r="P74" s="145" t="e">
        <f>+'staffing plan'!#REF!</f>
        <v>#REF!</v>
      </c>
      <c r="Q74" s="145" t="e">
        <f>+'staffing plan'!#REF!</f>
        <v>#REF!</v>
      </c>
      <c r="R74">
        <f>+'staffing plan'!BP84</f>
        <v>0</v>
      </c>
      <c r="S74">
        <v>73</v>
      </c>
    </row>
    <row r="75" spans="2:19">
      <c r="B75">
        <f t="shared" si="6"/>
        <v>2017</v>
      </c>
      <c r="C75">
        <f>+'staffing plan'!BK85</f>
        <v>43070</v>
      </c>
      <c r="D75" t="str">
        <f>'staffing plan'!A85</f>
        <v>OSEC-DILGB-LGOO6-5-2017</v>
      </c>
      <c r="E75" t="str">
        <f>+'staffing plan'!B85</f>
        <v>Local Government Operations Officer VI</v>
      </c>
      <c r="F75">
        <f>+'staffing plan'!C85</f>
        <v>22</v>
      </c>
      <c r="G75" s="131">
        <f>+'staffing plan'!AH85</f>
        <v>783828</v>
      </c>
      <c r="H75" s="131">
        <f>+'staffing plan'!AI85</f>
        <v>783828</v>
      </c>
      <c r="I75" s="131">
        <f>+'staffing plan'!AJ85</f>
        <v>1</v>
      </c>
      <c r="J75" t="str">
        <f>+'staffing plan'!AW85</f>
        <v>LAPASTORA, Ameurfina Castillo</v>
      </c>
      <c r="K75" t="str">
        <f>+'staffing plan'!AR85</f>
        <v>LAPASTORA</v>
      </c>
      <c r="L75" t="str">
        <f>UPPER('staffing plan'!AV85)</f>
        <v>AMEURFINA C. LAPASTORA</v>
      </c>
      <c r="M75" t="str">
        <f>+'staffing plan'!AX85</f>
        <v>Abra</v>
      </c>
      <c r="N75" t="str">
        <f>+'staffing plan'!AY85</f>
        <v>F</v>
      </c>
      <c r="O75" s="145" t="e">
        <f>+'staffing plan'!#REF!</f>
        <v>#REF!</v>
      </c>
      <c r="P75" s="145" t="e">
        <f>+'staffing plan'!#REF!</f>
        <v>#REF!</v>
      </c>
      <c r="Q75" s="145" t="e">
        <f>+'staffing plan'!#REF!</f>
        <v>#REF!</v>
      </c>
      <c r="R75">
        <f>+'staffing plan'!BP85</f>
        <v>0</v>
      </c>
      <c r="S75">
        <v>74</v>
      </c>
    </row>
    <row r="76" spans="2:19">
      <c r="B76">
        <f t="shared" si="6"/>
        <v>2017</v>
      </c>
      <c r="C76">
        <f>+'staffing plan'!BK86</f>
        <v>43070</v>
      </c>
      <c r="D76" t="str">
        <f>'staffing plan'!A86</f>
        <v>OSEC-DILGB-LGOO6-6-2017</v>
      </c>
      <c r="E76" t="str">
        <f>+'staffing plan'!B86</f>
        <v>Local Government Operations Officer VI</v>
      </c>
      <c r="F76">
        <f>+'staffing plan'!C86</f>
        <v>22</v>
      </c>
      <c r="G76" s="131">
        <f>+'staffing plan'!AH86</f>
        <v>783828</v>
      </c>
      <c r="H76" s="131">
        <f>+'staffing plan'!AI86</f>
        <v>783828</v>
      </c>
      <c r="I76" s="131">
        <f>+'staffing plan'!AJ86</f>
        <v>1</v>
      </c>
      <c r="J76" t="str">
        <f>+'staffing plan'!AW86</f>
        <v>BERNARDEZ, Viva Ascension Zapata</v>
      </c>
      <c r="K76" t="str">
        <f>+'staffing plan'!AR86</f>
        <v>BERNARDEZ</v>
      </c>
      <c r="L76" t="str">
        <f>UPPER('staffing plan'!AV86)</f>
        <v>VIVA ASCENSION Z. BERNARDEZ</v>
      </c>
      <c r="M76" t="str">
        <f>+'staffing plan'!AX86</f>
        <v>Abra</v>
      </c>
      <c r="N76" t="str">
        <f>+'staffing plan'!AY86</f>
        <v>F</v>
      </c>
      <c r="O76" s="145" t="e">
        <f>+'staffing plan'!#REF!</f>
        <v>#REF!</v>
      </c>
      <c r="P76" s="145" t="e">
        <f>+'staffing plan'!#REF!</f>
        <v>#REF!</v>
      </c>
      <c r="Q76" s="145" t="e">
        <f>+'staffing plan'!#REF!</f>
        <v>#REF!</v>
      </c>
      <c r="R76">
        <f>+'staffing plan'!BP86</f>
        <v>0</v>
      </c>
      <c r="S76">
        <v>75</v>
      </c>
    </row>
    <row r="77" spans="2:19">
      <c r="B77">
        <f t="shared" si="6"/>
        <v>2017</v>
      </c>
      <c r="C77">
        <f>+'staffing plan'!BK87</f>
        <v>43070</v>
      </c>
      <c r="D77" t="str">
        <f>'staffing plan'!A87</f>
        <v>OSEC-DILGB-LGOO6-7-2017</v>
      </c>
      <c r="E77" t="str">
        <f>+'staffing plan'!B87</f>
        <v>Local Government Operations Officer VI</v>
      </c>
      <c r="F77">
        <f>+'staffing plan'!C87</f>
        <v>22</v>
      </c>
      <c r="G77" s="131">
        <f>+'staffing plan'!AH87</f>
        <v>783828</v>
      </c>
      <c r="H77" s="131">
        <f>+'staffing plan'!AI87</f>
        <v>783828</v>
      </c>
      <c r="I77" s="131">
        <f>+'staffing plan'!AJ87</f>
        <v>1</v>
      </c>
      <c r="J77" t="str">
        <f>+'staffing plan'!AW87</f>
        <v>TURQUEZA, Ephraim Pascua</v>
      </c>
      <c r="K77" t="str">
        <f>+'staffing plan'!AR87</f>
        <v>TURQUEZA</v>
      </c>
      <c r="L77" t="str">
        <f>UPPER('staffing plan'!AV87)</f>
        <v>EPHRAIM P. TURQUEZA</v>
      </c>
      <c r="M77" t="str">
        <f>+'staffing plan'!AX87</f>
        <v>Abra</v>
      </c>
      <c r="N77" t="str">
        <f>+'staffing plan'!AY87</f>
        <v>M</v>
      </c>
      <c r="O77" s="145" t="e">
        <f>+'staffing plan'!#REF!</f>
        <v>#REF!</v>
      </c>
      <c r="P77" s="145" t="e">
        <f>+'staffing plan'!#REF!</f>
        <v>#REF!</v>
      </c>
      <c r="Q77" s="145" t="e">
        <f>+'staffing plan'!#REF!</f>
        <v>#REF!</v>
      </c>
      <c r="R77">
        <f>+'staffing plan'!BP87</f>
        <v>0</v>
      </c>
      <c r="S77">
        <v>76</v>
      </c>
    </row>
    <row r="78" spans="2:19">
      <c r="B78">
        <f t="shared" si="6"/>
        <v>2017</v>
      </c>
      <c r="C78">
        <f>+'staffing plan'!BK88</f>
        <v>43070</v>
      </c>
      <c r="D78" t="str">
        <f>'staffing plan'!A88</f>
        <v>OSEC-DILGB-LGOO6-8-2017</v>
      </c>
      <c r="E78" t="str">
        <f>+'staffing plan'!B88</f>
        <v>Local Government Operations Officer VI</v>
      </c>
      <c r="F78">
        <f>+'staffing plan'!C88</f>
        <v>22</v>
      </c>
      <c r="G78" s="131">
        <f>+'staffing plan'!AH88</f>
        <v>783828</v>
      </c>
      <c r="H78" s="131">
        <f>+'staffing plan'!AI88</f>
        <v>783828</v>
      </c>
      <c r="I78" s="131">
        <f>+'staffing plan'!AJ88</f>
        <v>1</v>
      </c>
      <c r="J78" t="str">
        <f>+'staffing plan'!AW88</f>
        <v>LINGBAOAN, Joel Barbasa</v>
      </c>
      <c r="K78" t="str">
        <f>+'staffing plan'!AR88</f>
        <v>LINGBAOAN</v>
      </c>
      <c r="L78" t="str">
        <f>UPPER('staffing plan'!AV88)</f>
        <v>JOEL B. LINGBAOAN</v>
      </c>
      <c r="M78" t="str">
        <f>+'staffing plan'!AX88</f>
        <v>Abra</v>
      </c>
      <c r="N78" t="str">
        <f>+'staffing plan'!AY88</f>
        <v>M</v>
      </c>
      <c r="O78" s="145" t="e">
        <f>+'staffing plan'!#REF!</f>
        <v>#REF!</v>
      </c>
      <c r="P78" s="145" t="e">
        <f>+'staffing plan'!#REF!</f>
        <v>#REF!</v>
      </c>
      <c r="Q78" s="145" t="e">
        <f>+'staffing plan'!#REF!</f>
        <v>#REF!</v>
      </c>
      <c r="R78">
        <f>+'staffing plan'!BP88</f>
        <v>0</v>
      </c>
      <c r="S78">
        <v>77</v>
      </c>
    </row>
    <row r="79" spans="2:19">
      <c r="B79">
        <f t="shared" si="6"/>
        <v>2017</v>
      </c>
      <c r="C79">
        <f>+'staffing plan'!BK89</f>
        <v>43070</v>
      </c>
      <c r="D79" t="str">
        <f>'staffing plan'!A89</f>
        <v>OSEC-DILGB-LGOO6-9-2017</v>
      </c>
      <c r="E79" t="str">
        <f>+'staffing plan'!B89</f>
        <v>Local Government Operations Officer VI</v>
      </c>
      <c r="F79">
        <f>+'staffing plan'!C89</f>
        <v>22</v>
      </c>
      <c r="G79" s="131">
        <f>+'staffing plan'!AH89</f>
        <v>783828</v>
      </c>
      <c r="H79" s="131">
        <f>+'staffing plan'!AI89</f>
        <v>783828</v>
      </c>
      <c r="I79" s="131">
        <f>+'staffing plan'!AJ89</f>
        <v>1</v>
      </c>
      <c r="J79" t="str">
        <f>+'staffing plan'!AW89</f>
        <v>CASTILLO, Mila Benedito</v>
      </c>
      <c r="K79" t="str">
        <f>+'staffing plan'!AR89</f>
        <v>CASTILLO</v>
      </c>
      <c r="L79" t="str">
        <f>UPPER('staffing plan'!AV89)</f>
        <v>MILA B. CASTILLO</v>
      </c>
      <c r="M79" t="str">
        <f>+'staffing plan'!AX89</f>
        <v>Abra</v>
      </c>
      <c r="N79" t="str">
        <f>+'staffing plan'!AY89</f>
        <v>F</v>
      </c>
      <c r="O79" s="145" t="e">
        <f>+'staffing plan'!#REF!</f>
        <v>#REF!</v>
      </c>
      <c r="P79" s="145" t="e">
        <f>+'staffing plan'!#REF!</f>
        <v>#REF!</v>
      </c>
      <c r="Q79" s="145" t="e">
        <f>+'staffing plan'!#REF!</f>
        <v>#REF!</v>
      </c>
      <c r="R79">
        <f>+'staffing plan'!BP89</f>
        <v>0</v>
      </c>
      <c r="S79">
        <v>78</v>
      </c>
    </row>
    <row r="80" spans="2:19" hidden="1">
      <c r="B80">
        <f t="shared" si="6"/>
        <v>1900</v>
      </c>
      <c r="C80">
        <f>+'staffing plan'!BK90</f>
        <v>0</v>
      </c>
      <c r="D80" t="str">
        <f>'staffing plan'!A90</f>
        <v>OSEC-DILGB-LGOO6-9-2013</v>
      </c>
      <c r="E80" t="str">
        <f>+'staffing plan'!B90</f>
        <v>Local Government Operations Officer VI</v>
      </c>
      <c r="F80">
        <f>+'staffing plan'!C90</f>
        <v>22</v>
      </c>
      <c r="G80" s="131">
        <f>+'staffing plan'!AH90</f>
        <v>783828</v>
      </c>
      <c r="H80" s="131">
        <f>+'staffing plan'!AI90</f>
        <v>0</v>
      </c>
      <c r="I80" s="131">
        <f>+'staffing plan'!AJ90</f>
        <v>0</v>
      </c>
      <c r="J80" t="str">
        <f>+'staffing plan'!AW90</f>
        <v xml:space="preserve">Vacant ALIÑO,  </v>
      </c>
      <c r="K80" t="str">
        <f>+'staffing plan'!AR90</f>
        <v>Vacant ALIÑO</v>
      </c>
      <c r="L80" t="str">
        <f>UPPER('staffing plan'!AV90)</f>
        <v xml:space="preserve"> . VACANT ALIÑO</v>
      </c>
      <c r="M80">
        <f>+'staffing plan'!AX90</f>
        <v>0</v>
      </c>
      <c r="N80">
        <f>+'staffing plan'!AY90</f>
        <v>0</v>
      </c>
      <c r="O80" s="145" t="e">
        <f>+'staffing plan'!#REF!</f>
        <v>#REF!</v>
      </c>
      <c r="P80" s="145" t="e">
        <f>+'staffing plan'!#REF!</f>
        <v>#REF!</v>
      </c>
      <c r="Q80" s="145" t="e">
        <f>+'staffing plan'!#REF!</f>
        <v>#REF!</v>
      </c>
      <c r="R80">
        <f>+'staffing plan'!BP90</f>
        <v>0</v>
      </c>
      <c r="S80">
        <v>79</v>
      </c>
    </row>
    <row r="81" spans="2:19" hidden="1">
      <c r="B81">
        <f t="shared" si="6"/>
        <v>1900</v>
      </c>
      <c r="C81">
        <f>+'staffing plan'!BK91</f>
        <v>0</v>
      </c>
      <c r="D81" t="str">
        <f>'staffing plan'!A91</f>
        <v>OSEC-DILGB-LGOO6-10-2010</v>
      </c>
      <c r="E81" t="str">
        <f>+'staffing plan'!B91</f>
        <v>Local Government Operations Officer VI</v>
      </c>
      <c r="F81">
        <f>+'staffing plan'!C91</f>
        <v>22</v>
      </c>
      <c r="G81" s="131">
        <f>+'staffing plan'!AH91</f>
        <v>783828</v>
      </c>
      <c r="H81" s="131">
        <f>+'staffing plan'!AI91</f>
        <v>0</v>
      </c>
      <c r="I81" s="131">
        <f>+'staffing plan'!AJ91</f>
        <v>0</v>
      </c>
      <c r="J81" t="str">
        <f>+'staffing plan'!AW91</f>
        <v xml:space="preserve">Vacant ABULENCIA,  </v>
      </c>
      <c r="K81" t="str">
        <f>+'staffing plan'!AR91</f>
        <v>Vacant ABULENCIA</v>
      </c>
      <c r="L81" t="str">
        <f>UPPER('staffing plan'!AV91)</f>
        <v xml:space="preserve"> . VACANT ABULENCIA</v>
      </c>
      <c r="M81">
        <f>+'staffing plan'!AX91</f>
        <v>0</v>
      </c>
      <c r="N81">
        <f>+'staffing plan'!AY91</f>
        <v>0</v>
      </c>
      <c r="O81" s="145" t="e">
        <f>+'staffing plan'!#REF!</f>
        <v>#REF!</v>
      </c>
      <c r="P81" s="145" t="e">
        <f>+'staffing plan'!#REF!</f>
        <v>#REF!</v>
      </c>
      <c r="Q81" s="145" t="e">
        <f>+'staffing plan'!#REF!</f>
        <v>#REF!</v>
      </c>
      <c r="R81">
        <f>+'staffing plan'!BP91</f>
        <v>0</v>
      </c>
      <c r="S81">
        <v>80</v>
      </c>
    </row>
    <row r="82" spans="2:19">
      <c r="B82">
        <f t="shared" si="6"/>
        <v>2017</v>
      </c>
      <c r="C82">
        <f>+'staffing plan'!BK92</f>
        <v>43070</v>
      </c>
      <c r="D82" t="str">
        <f>'staffing plan'!A92</f>
        <v>OSEC-DILGB-LGOO6-10-2017</v>
      </c>
      <c r="E82" t="str">
        <f>+'staffing plan'!B92</f>
        <v>Local Government Operations Officer VI</v>
      </c>
      <c r="F82">
        <f>+'staffing plan'!C92</f>
        <v>22</v>
      </c>
      <c r="G82" s="131">
        <f>+'staffing plan'!AH92</f>
        <v>783828</v>
      </c>
      <c r="H82" s="131">
        <f>+'staffing plan'!AI92</f>
        <v>783828</v>
      </c>
      <c r="I82" s="131">
        <f>+'staffing plan'!AJ92</f>
        <v>1</v>
      </c>
      <c r="J82" t="str">
        <f>+'staffing plan'!AW92</f>
        <v>CALINA, Crescencio II Benauro</v>
      </c>
      <c r="K82" t="str">
        <f>+'staffing plan'!AR92</f>
        <v>CALINA</v>
      </c>
      <c r="L82" t="str">
        <f>UPPER('staffing plan'!AV92)</f>
        <v>CRESCENCIO II B. CALINA</v>
      </c>
      <c r="M82" t="str">
        <f>+'staffing plan'!AX92</f>
        <v>Abra</v>
      </c>
      <c r="N82" t="str">
        <f>+'staffing plan'!AY92</f>
        <v>M</v>
      </c>
      <c r="O82" s="145" t="e">
        <f>+'staffing plan'!#REF!</f>
        <v>#REF!</v>
      </c>
      <c r="P82" s="145" t="e">
        <f>+'staffing plan'!#REF!</f>
        <v>#REF!</v>
      </c>
      <c r="Q82" s="145" t="e">
        <f>+'staffing plan'!#REF!</f>
        <v>#REF!</v>
      </c>
      <c r="R82">
        <f>+'staffing plan'!BP92</f>
        <v>0</v>
      </c>
      <c r="S82">
        <v>81</v>
      </c>
    </row>
    <row r="83" spans="2:19">
      <c r="B83">
        <f t="shared" si="6"/>
        <v>2017</v>
      </c>
      <c r="C83">
        <f>+'staffing plan'!BK93</f>
        <v>43070</v>
      </c>
      <c r="D83" t="str">
        <f>'staffing plan'!A93</f>
        <v>OSEC-DILGB-LGOO6-11-2017</v>
      </c>
      <c r="E83" t="str">
        <f>+'staffing plan'!B93</f>
        <v>Local Government Operations Officer VI</v>
      </c>
      <c r="F83">
        <f>+'staffing plan'!C93</f>
        <v>22</v>
      </c>
      <c r="G83" s="131">
        <f>+'staffing plan'!AH93</f>
        <v>783828</v>
      </c>
      <c r="H83" s="131">
        <f>+'staffing plan'!AI93</f>
        <v>783828</v>
      </c>
      <c r="I83" s="131">
        <f>+'staffing plan'!AJ93</f>
        <v>1</v>
      </c>
      <c r="J83" t="str">
        <f>+'staffing plan'!AW93</f>
        <v>CARIÑO, Erma Hernandez</v>
      </c>
      <c r="K83" t="str">
        <f>+'staffing plan'!AR93</f>
        <v>CARIÑO</v>
      </c>
      <c r="L83" t="str">
        <f>UPPER('staffing plan'!AV93)</f>
        <v>ERMA H. CARIÑO</v>
      </c>
      <c r="M83" t="str">
        <f>+'staffing plan'!AX93</f>
        <v>Abra</v>
      </c>
      <c r="N83" t="str">
        <f>+'staffing plan'!AY93</f>
        <v>F</v>
      </c>
      <c r="O83" s="145" t="e">
        <f>+'staffing plan'!#REF!</f>
        <v>#REF!</v>
      </c>
      <c r="P83" s="145" t="e">
        <f>+'staffing plan'!#REF!</f>
        <v>#REF!</v>
      </c>
      <c r="Q83" s="145" t="e">
        <f>+'staffing plan'!#REF!</f>
        <v>#REF!</v>
      </c>
      <c r="R83">
        <f>+'staffing plan'!BP93</f>
        <v>0</v>
      </c>
      <c r="S83">
        <v>82</v>
      </c>
    </row>
    <row r="84" spans="2:19">
      <c r="B84">
        <f t="shared" ref="B84:B92" si="7">(YEAR(C84))</f>
        <v>2014</v>
      </c>
      <c r="C84">
        <f>+'staffing plan'!BK94</f>
        <v>41711</v>
      </c>
      <c r="D84" t="str">
        <f>'staffing plan'!A94</f>
        <v>OSEC-DILGB-LGOO6-11-2010</v>
      </c>
      <c r="E84" t="str">
        <f>+'staffing plan'!B94</f>
        <v>Local Government Operations Officer VI</v>
      </c>
      <c r="F84">
        <f>+'staffing plan'!C94</f>
        <v>22</v>
      </c>
      <c r="G84" s="131">
        <f>+'staffing plan'!AH94</f>
        <v>783828</v>
      </c>
      <c r="H84" s="131">
        <f>+'staffing plan'!AI94</f>
        <v>796620</v>
      </c>
      <c r="I84" s="131">
        <f>+'staffing plan'!AJ94</f>
        <v>2</v>
      </c>
      <c r="J84" t="str">
        <f>+'staffing plan'!AW94</f>
        <v>CAMACHO, Anabelle  Laron</v>
      </c>
      <c r="K84" t="str">
        <f>+'staffing plan'!AR94</f>
        <v>CAMACHO</v>
      </c>
      <c r="L84" t="str">
        <f>UPPER('staffing plan'!AV94)</f>
        <v>ANABELLE  L. CAMACHO</v>
      </c>
      <c r="M84" t="str">
        <f>+'staffing plan'!AX94</f>
        <v>Baguio City</v>
      </c>
      <c r="N84" t="str">
        <f>+'staffing plan'!AY94</f>
        <v>F</v>
      </c>
      <c r="O84" s="145" t="e">
        <f>+'staffing plan'!#REF!</f>
        <v>#REF!</v>
      </c>
      <c r="P84" s="145" t="e">
        <f>+'staffing plan'!#REF!</f>
        <v>#REF!</v>
      </c>
      <c r="Q84" s="145" t="e">
        <f>+'staffing plan'!#REF!</f>
        <v>#REF!</v>
      </c>
      <c r="R84">
        <f>+'staffing plan'!BP94</f>
        <v>0</v>
      </c>
      <c r="S84">
        <v>83</v>
      </c>
    </row>
    <row r="85" spans="2:19">
      <c r="B85">
        <f t="shared" si="7"/>
        <v>2017</v>
      </c>
      <c r="C85">
        <f>+'staffing plan'!BK95</f>
        <v>43070</v>
      </c>
      <c r="D85" t="str">
        <f>'staffing plan'!A95</f>
        <v>OSEC-DILGB-LGOO6-12-2017</v>
      </c>
      <c r="E85" t="str">
        <f>+'staffing plan'!B95</f>
        <v>Local Government Operations Officer VI</v>
      </c>
      <c r="F85">
        <f>+'staffing plan'!C95</f>
        <v>22</v>
      </c>
      <c r="G85" s="131">
        <f>+'staffing plan'!AH95</f>
        <v>783828</v>
      </c>
      <c r="H85" s="131">
        <f>+'staffing plan'!AI95</f>
        <v>783828</v>
      </c>
      <c r="I85" s="131">
        <f>+'staffing plan'!AJ95</f>
        <v>1</v>
      </c>
      <c r="J85" t="str">
        <f>+'staffing plan'!AW95</f>
        <v>HERNANDEZ, Jean  Smith</v>
      </c>
      <c r="K85" t="str">
        <f>+'staffing plan'!AR95</f>
        <v>HERNANDEZ</v>
      </c>
      <c r="L85" t="str">
        <f>UPPER('staffing plan'!AV95)</f>
        <v>JEAN  S. HERNANDEZ</v>
      </c>
      <c r="M85" t="str">
        <f>+'staffing plan'!AX95</f>
        <v>Abra</v>
      </c>
      <c r="N85" t="str">
        <f>+'staffing plan'!AY95</f>
        <v>F</v>
      </c>
      <c r="O85" s="145" t="e">
        <f>+'staffing plan'!#REF!</f>
        <v>#REF!</v>
      </c>
      <c r="P85" s="145" t="e">
        <f>+'staffing plan'!#REF!</f>
        <v>#REF!</v>
      </c>
      <c r="Q85" s="145" t="e">
        <f>+'staffing plan'!#REF!</f>
        <v>#REF!</v>
      </c>
      <c r="R85" t="str">
        <f>+'staffing plan'!BP95</f>
        <v>Shifting</v>
      </c>
      <c r="S85">
        <v>84</v>
      </c>
    </row>
    <row r="86" spans="2:19">
      <c r="B86">
        <f t="shared" si="7"/>
        <v>2017</v>
      </c>
      <c r="C86">
        <f>+'staffing plan'!BK96</f>
        <v>43070</v>
      </c>
      <c r="D86" t="str">
        <f>'staffing plan'!A96</f>
        <v>OSEC-DILGB-LGOO6-13-2017</v>
      </c>
      <c r="E86" t="str">
        <f>+'staffing plan'!B96</f>
        <v>Local Government Operations Officer VI</v>
      </c>
      <c r="F86">
        <f>+'staffing plan'!C96</f>
        <v>22</v>
      </c>
      <c r="G86" s="131">
        <f>+'staffing plan'!AH96</f>
        <v>783828</v>
      </c>
      <c r="H86" s="131">
        <f>+'staffing plan'!AI96</f>
        <v>783828</v>
      </c>
      <c r="I86" s="131">
        <f>+'staffing plan'!AJ96</f>
        <v>1</v>
      </c>
      <c r="J86" t="str">
        <f>+'staffing plan'!AW96</f>
        <v>TRINIDAD, Bernabe Bejarin</v>
      </c>
      <c r="K86" t="str">
        <f>+'staffing plan'!AR96</f>
        <v>TRINIDAD</v>
      </c>
      <c r="L86" t="str">
        <f>UPPER('staffing plan'!AV96)</f>
        <v>BERNABE B. TRINIDAD</v>
      </c>
      <c r="M86" t="str">
        <f>+'staffing plan'!AX96</f>
        <v>Abra</v>
      </c>
      <c r="N86" t="str">
        <f>+'staffing plan'!AY96</f>
        <v>M</v>
      </c>
      <c r="O86" s="145" t="e">
        <f>+'staffing plan'!#REF!</f>
        <v>#REF!</v>
      </c>
      <c r="P86" s="145" t="e">
        <f>+'staffing plan'!#REF!</f>
        <v>#REF!</v>
      </c>
      <c r="Q86" s="145" t="e">
        <f>+'staffing plan'!#REF!</f>
        <v>#REF!</v>
      </c>
      <c r="R86">
        <f>+'staffing plan'!BP96</f>
        <v>0</v>
      </c>
      <c r="S86">
        <v>85</v>
      </c>
    </row>
    <row r="87" spans="2:19" hidden="1">
      <c r="B87">
        <f t="shared" si="7"/>
        <v>1900</v>
      </c>
      <c r="C87">
        <f>+'staffing plan'!BK97</f>
        <v>0</v>
      </c>
      <c r="D87" t="str">
        <f>'staffing plan'!A97</f>
        <v>OSEC-DILGB-LGOO6-13-2010</v>
      </c>
      <c r="E87" t="str">
        <f>+'staffing plan'!B97</f>
        <v>Local Government Operations Officer VI</v>
      </c>
      <c r="F87">
        <f>+'staffing plan'!C97</f>
        <v>22</v>
      </c>
      <c r="G87" s="131">
        <f>+'staffing plan'!AH97</f>
        <v>783828</v>
      </c>
      <c r="H87" s="131">
        <f>+'staffing plan'!AI97</f>
        <v>0</v>
      </c>
      <c r="I87" s="131">
        <f>+'staffing plan'!AJ97</f>
        <v>0</v>
      </c>
      <c r="J87" t="str">
        <f>+'staffing plan'!AW97</f>
        <v xml:space="preserve">Vacant APPOY,  </v>
      </c>
      <c r="K87" t="str">
        <f>+'staffing plan'!AR97</f>
        <v>Vacant APPOY</v>
      </c>
      <c r="L87" t="str">
        <f>UPPER('staffing plan'!AV97)</f>
        <v xml:space="preserve"> . VACANT APPOY</v>
      </c>
      <c r="M87">
        <f>+'staffing plan'!AX97</f>
        <v>0</v>
      </c>
      <c r="N87">
        <f>+'staffing plan'!AY97</f>
        <v>0</v>
      </c>
      <c r="O87" s="145" t="e">
        <f>+'staffing plan'!#REF!</f>
        <v>#REF!</v>
      </c>
      <c r="P87" s="145" t="e">
        <f>+'staffing plan'!#REF!</f>
        <v>#REF!</v>
      </c>
      <c r="Q87" s="145" t="e">
        <f>+'staffing plan'!#REF!</f>
        <v>#REF!</v>
      </c>
      <c r="R87">
        <f>+'staffing plan'!BP97</f>
        <v>0</v>
      </c>
      <c r="S87">
        <v>86</v>
      </c>
    </row>
    <row r="88" spans="2:19">
      <c r="B88">
        <f t="shared" si="7"/>
        <v>2017</v>
      </c>
      <c r="C88">
        <f>+'staffing plan'!BK98</f>
        <v>43070</v>
      </c>
      <c r="D88" t="str">
        <f>'staffing plan'!A98</f>
        <v>OSEC-DILGB-LGOO6-14-2017</v>
      </c>
      <c r="E88" t="str">
        <f>+'staffing plan'!B98</f>
        <v>Local Government Operations Officer VI</v>
      </c>
      <c r="F88">
        <f>+'staffing plan'!C98</f>
        <v>22</v>
      </c>
      <c r="G88" s="131">
        <f>+'staffing plan'!AH98</f>
        <v>783828</v>
      </c>
      <c r="H88" s="131">
        <f>+'staffing plan'!AI98</f>
        <v>783828</v>
      </c>
      <c r="I88" s="131">
        <f>+'staffing plan'!AJ98</f>
        <v>1</v>
      </c>
      <c r="J88" t="str">
        <f>+'staffing plan'!AW98</f>
        <v>ABANCE, Mary Jane Samonte</v>
      </c>
      <c r="K88" t="str">
        <f>+'staffing plan'!AR98</f>
        <v>ABANCE</v>
      </c>
      <c r="L88" t="str">
        <f>UPPER('staffing plan'!AV98)</f>
        <v>MARY JANE S. ABANCE</v>
      </c>
      <c r="M88" t="str">
        <f>+'staffing plan'!AX98</f>
        <v>Abra</v>
      </c>
      <c r="N88" t="str">
        <f>+'staffing plan'!AY98</f>
        <v>F</v>
      </c>
      <c r="O88" s="145" t="e">
        <f>+'staffing plan'!#REF!</f>
        <v>#REF!</v>
      </c>
      <c r="P88" s="145" t="e">
        <f>+'staffing plan'!#REF!</f>
        <v>#REF!</v>
      </c>
      <c r="Q88" s="145" t="e">
        <f>+'staffing plan'!#REF!</f>
        <v>#REF!</v>
      </c>
      <c r="R88">
        <f>+'staffing plan'!BP98</f>
        <v>0</v>
      </c>
      <c r="S88">
        <v>87</v>
      </c>
    </row>
    <row r="89" spans="2:19">
      <c r="B89">
        <f t="shared" si="7"/>
        <v>2017</v>
      </c>
      <c r="C89">
        <f>+'staffing plan'!BK99</f>
        <v>43087</v>
      </c>
      <c r="D89" t="str">
        <f>'staffing plan'!A99</f>
        <v>OSEC-DILGB-LGOO6-15-2017</v>
      </c>
      <c r="E89" t="str">
        <f>+'staffing plan'!B99</f>
        <v>Local Government Operations Officer VI</v>
      </c>
      <c r="F89">
        <f>+'staffing plan'!C99</f>
        <v>22</v>
      </c>
      <c r="G89" s="131">
        <f>+'staffing plan'!AH99</f>
        <v>783828</v>
      </c>
      <c r="H89" s="131">
        <f>+'staffing plan'!AI99</f>
        <v>783828</v>
      </c>
      <c r="I89" s="131">
        <f>+'staffing plan'!AJ99</f>
        <v>1</v>
      </c>
      <c r="J89" t="str">
        <f>+'staffing plan'!AW99</f>
        <v>WALANG, Marlon Silvada</v>
      </c>
      <c r="K89" t="str">
        <f>+'staffing plan'!AR99</f>
        <v>WALANG</v>
      </c>
      <c r="L89" t="str">
        <f>UPPER('staffing plan'!AV99)</f>
        <v>MARLON S. WALANG</v>
      </c>
      <c r="M89" t="str">
        <f>+'staffing plan'!AX99</f>
        <v>Abra</v>
      </c>
      <c r="N89" t="str">
        <f>+'staffing plan'!AY99</f>
        <v>M</v>
      </c>
      <c r="O89" s="145" t="e">
        <f>+'staffing plan'!#REF!</f>
        <v>#REF!</v>
      </c>
      <c r="P89" s="145" t="e">
        <f>+'staffing plan'!#REF!</f>
        <v>#REF!</v>
      </c>
      <c r="Q89" s="145" t="e">
        <f>+'staffing plan'!#REF!</f>
        <v>#REF!</v>
      </c>
      <c r="R89">
        <f>+'staffing plan'!BP99</f>
        <v>0</v>
      </c>
      <c r="S89">
        <v>88</v>
      </c>
    </row>
    <row r="90" spans="2:19">
      <c r="B90">
        <f t="shared" si="7"/>
        <v>2017</v>
      </c>
      <c r="C90">
        <f>+'staffing plan'!BK100</f>
        <v>43070</v>
      </c>
      <c r="D90" t="str">
        <f>'staffing plan'!A100</f>
        <v>OSEC-DILGB-LGOO6-16-2017</v>
      </c>
      <c r="E90" t="str">
        <f>+'staffing plan'!B100</f>
        <v>Local Government Operations Officer VI</v>
      </c>
      <c r="F90">
        <f>+'staffing plan'!C100</f>
        <v>22</v>
      </c>
      <c r="G90" s="131">
        <f>+'staffing plan'!AH100</f>
        <v>783828</v>
      </c>
      <c r="H90" s="131">
        <f>+'staffing plan'!AI100</f>
        <v>783828</v>
      </c>
      <c r="I90" s="131">
        <f>+'staffing plan'!AJ100</f>
        <v>1</v>
      </c>
      <c r="J90" t="str">
        <f>+'staffing plan'!AW100</f>
        <v>BARRERAS, Carlito Tejero</v>
      </c>
      <c r="K90" t="str">
        <f>+'staffing plan'!AR100</f>
        <v>BARRERAS</v>
      </c>
      <c r="L90" t="str">
        <f>UPPER('staffing plan'!AV100)</f>
        <v>CARLITO T. BARRERAS</v>
      </c>
      <c r="M90" t="str">
        <f>+'staffing plan'!AX100</f>
        <v>Abra</v>
      </c>
      <c r="N90" t="str">
        <f>+'staffing plan'!AY100</f>
        <v>M</v>
      </c>
      <c r="O90" s="145" t="e">
        <f>+'staffing plan'!#REF!</f>
        <v>#REF!</v>
      </c>
      <c r="P90" s="145" t="e">
        <f>+'staffing plan'!#REF!</f>
        <v>#REF!</v>
      </c>
      <c r="Q90" s="145" t="e">
        <f>+'staffing plan'!#REF!</f>
        <v>#REF!</v>
      </c>
      <c r="R90">
        <f>+'staffing plan'!BP100</f>
        <v>0</v>
      </c>
      <c r="S90">
        <v>89</v>
      </c>
    </row>
    <row r="91" spans="2:19">
      <c r="B91">
        <f t="shared" si="7"/>
        <v>2017</v>
      </c>
      <c r="C91">
        <f>+'staffing plan'!BK101</f>
        <v>43070</v>
      </c>
      <c r="D91" t="str">
        <f>'staffing plan'!A101</f>
        <v>OSEC-DILGB-LGOO6-17-2017</v>
      </c>
      <c r="E91" t="str">
        <f>+'staffing plan'!B101</f>
        <v>Local Government Operations Officer VI</v>
      </c>
      <c r="F91">
        <f>+'staffing plan'!C101</f>
        <v>22</v>
      </c>
      <c r="G91" s="131">
        <f>+'staffing plan'!AH101</f>
        <v>783828</v>
      </c>
      <c r="H91" s="131">
        <f>+'staffing plan'!AI101</f>
        <v>783828</v>
      </c>
      <c r="I91" s="131">
        <f>+'staffing plan'!AJ101</f>
        <v>1</v>
      </c>
      <c r="J91" t="str">
        <f>+'staffing plan'!AW101</f>
        <v>VENUS, Nolito Domingo</v>
      </c>
      <c r="K91" t="str">
        <f>+'staffing plan'!AR101</f>
        <v>VENUS</v>
      </c>
      <c r="L91" t="str">
        <f>UPPER('staffing plan'!AV101)</f>
        <v>NOLITO D. VENUS</v>
      </c>
      <c r="M91" t="str">
        <f>+'staffing plan'!AX101</f>
        <v>Abra</v>
      </c>
      <c r="N91" t="str">
        <f>+'staffing plan'!AY101</f>
        <v>M</v>
      </c>
      <c r="O91" s="145" t="e">
        <f>+'staffing plan'!#REF!</f>
        <v>#REF!</v>
      </c>
      <c r="P91" s="145" t="e">
        <f>+'staffing plan'!#REF!</f>
        <v>#REF!</v>
      </c>
      <c r="Q91" s="145" t="e">
        <f>+'staffing plan'!#REF!</f>
        <v>#REF!</v>
      </c>
      <c r="R91">
        <f>+'staffing plan'!BP101</f>
        <v>0</v>
      </c>
      <c r="S91">
        <v>90</v>
      </c>
    </row>
    <row r="92" spans="2:19">
      <c r="B92">
        <f t="shared" si="7"/>
        <v>2017</v>
      </c>
      <c r="C92">
        <f>+'staffing plan'!BK102</f>
        <v>43070</v>
      </c>
      <c r="D92" t="str">
        <f>'staffing plan'!A102</f>
        <v>OSEC-DILGB-LGOO6-18-2017</v>
      </c>
      <c r="E92" t="str">
        <f>+'staffing plan'!B102</f>
        <v>Local Government Operations Officer VI</v>
      </c>
      <c r="F92">
        <f>+'staffing plan'!C102</f>
        <v>22</v>
      </c>
      <c r="G92" s="131">
        <f>+'staffing plan'!AH102</f>
        <v>783828</v>
      </c>
      <c r="H92" s="131">
        <f>+'staffing plan'!AI102</f>
        <v>783828</v>
      </c>
      <c r="I92" s="131">
        <f>+'staffing plan'!AJ102</f>
        <v>1</v>
      </c>
      <c r="J92" t="str">
        <f>+'staffing plan'!AW102</f>
        <v>VENUS, Normita Cruz</v>
      </c>
      <c r="K92" t="str">
        <f>+'staffing plan'!AR102</f>
        <v>VENUS</v>
      </c>
      <c r="L92" t="str">
        <f>UPPER('staffing plan'!AV102)</f>
        <v>NORMITA C. VENUS</v>
      </c>
      <c r="M92" t="str">
        <f>+'staffing plan'!AX102</f>
        <v>Abra</v>
      </c>
      <c r="N92" t="str">
        <f>+'staffing plan'!AY102</f>
        <v>F</v>
      </c>
      <c r="O92" s="145" t="e">
        <f>+'staffing plan'!#REF!</f>
        <v>#REF!</v>
      </c>
      <c r="P92" s="145" t="e">
        <f>+'staffing plan'!#REF!</f>
        <v>#REF!</v>
      </c>
      <c r="Q92" s="145" t="e">
        <f>+'staffing plan'!#REF!</f>
        <v>#REF!</v>
      </c>
      <c r="R92">
        <f>+'staffing plan'!BP102</f>
        <v>0</v>
      </c>
      <c r="S92">
        <v>91</v>
      </c>
    </row>
    <row r="93" spans="2:19">
      <c r="B93">
        <f t="shared" ref="B93:B103" si="8">(YEAR(C93))</f>
        <v>2017</v>
      </c>
      <c r="C93">
        <f>+'staffing plan'!BK103</f>
        <v>43070</v>
      </c>
      <c r="D93" t="str">
        <f>'staffing plan'!A103</f>
        <v>OSEC-DILGB-LGOO6-19-2017</v>
      </c>
      <c r="E93" t="str">
        <f>+'staffing plan'!B103</f>
        <v>Local Government Operations Officer VI</v>
      </c>
      <c r="F93">
        <f>+'staffing plan'!C103</f>
        <v>22</v>
      </c>
      <c r="G93" s="131">
        <f>+'staffing plan'!AH103</f>
        <v>783828</v>
      </c>
      <c r="H93" s="131">
        <f>+'staffing plan'!AI103</f>
        <v>783828</v>
      </c>
      <c r="I93" s="131">
        <f>+'staffing plan'!AJ103</f>
        <v>1</v>
      </c>
      <c r="J93" t="str">
        <f>+'staffing plan'!AW103</f>
        <v>IDOS, Dexter Las-o</v>
      </c>
      <c r="K93" t="str">
        <f>+'staffing plan'!AR103</f>
        <v>IDOS</v>
      </c>
      <c r="L93" t="str">
        <f>UPPER('staffing plan'!AV103)</f>
        <v>DEXTER L. IDOS</v>
      </c>
      <c r="M93" t="str">
        <f>+'staffing plan'!AX103</f>
        <v>Abra</v>
      </c>
      <c r="N93" t="str">
        <f>+'staffing plan'!AY103</f>
        <v>M</v>
      </c>
      <c r="O93" s="145" t="e">
        <f>+'staffing plan'!#REF!</f>
        <v>#REF!</v>
      </c>
      <c r="P93" s="145" t="e">
        <f>+'staffing plan'!#REF!</f>
        <v>#REF!</v>
      </c>
      <c r="Q93" s="145" t="e">
        <f>+'staffing plan'!#REF!</f>
        <v>#REF!</v>
      </c>
      <c r="R93" t="str">
        <f>+'staffing plan'!BP103</f>
        <v>Shifting</v>
      </c>
      <c r="S93">
        <v>92</v>
      </c>
    </row>
    <row r="94" spans="2:19">
      <c r="B94">
        <f t="shared" si="8"/>
        <v>2017</v>
      </c>
      <c r="C94">
        <f>+'staffing plan'!BK104</f>
        <v>43070</v>
      </c>
      <c r="D94" t="str">
        <f>'staffing plan'!A104</f>
        <v>OSEC-DILGB-LGOO6-20-2017</v>
      </c>
      <c r="E94" t="str">
        <f>+'staffing plan'!B104</f>
        <v>Local Government Operations Officer VI</v>
      </c>
      <c r="F94">
        <f>+'staffing plan'!C104</f>
        <v>22</v>
      </c>
      <c r="G94" s="131">
        <f>+'staffing plan'!AH104</f>
        <v>783828</v>
      </c>
      <c r="H94" s="131">
        <f>+'staffing plan'!AI104</f>
        <v>783828</v>
      </c>
      <c r="I94" s="131">
        <f>+'staffing plan'!AJ104</f>
        <v>1</v>
      </c>
      <c r="J94" t="str">
        <f>+'staffing plan'!AW104</f>
        <v>TON, Janice Cristine Barreras</v>
      </c>
      <c r="K94" t="str">
        <f>+'staffing plan'!AR104</f>
        <v>TON</v>
      </c>
      <c r="L94" t="str">
        <f>UPPER('staffing plan'!AV104)</f>
        <v>JANICE CRISTINE B. TON</v>
      </c>
      <c r="M94" t="str">
        <f>+'staffing plan'!AX104</f>
        <v>Abra</v>
      </c>
      <c r="N94" t="str">
        <f>+'staffing plan'!AY104</f>
        <v>F</v>
      </c>
      <c r="O94" s="145" t="e">
        <f>+'staffing plan'!#REF!</f>
        <v>#REF!</v>
      </c>
      <c r="P94" s="145" t="e">
        <f>+'staffing plan'!#REF!</f>
        <v>#REF!</v>
      </c>
      <c r="Q94" s="145" t="e">
        <f>+'staffing plan'!#REF!</f>
        <v>#REF!</v>
      </c>
      <c r="R94">
        <f>+'staffing plan'!BP104</f>
        <v>0</v>
      </c>
      <c r="S94">
        <v>93</v>
      </c>
    </row>
    <row r="95" spans="2:19">
      <c r="B95">
        <f t="shared" si="8"/>
        <v>2017</v>
      </c>
      <c r="C95">
        <f>+'staffing plan'!BK105</f>
        <v>43070</v>
      </c>
      <c r="D95" t="str">
        <f>'staffing plan'!A105</f>
        <v>OSEC-DILGB-LGOO6-21-2017</v>
      </c>
      <c r="E95" t="str">
        <f>+'staffing plan'!B105</f>
        <v>Local Government Operations Officer VI</v>
      </c>
      <c r="F95">
        <f>+'staffing plan'!C105</f>
        <v>22</v>
      </c>
      <c r="G95" s="131">
        <f>+'staffing plan'!AH105</f>
        <v>783828</v>
      </c>
      <c r="H95" s="131">
        <f>+'staffing plan'!AI105</f>
        <v>783828</v>
      </c>
      <c r="I95" s="131">
        <f>+'staffing plan'!AJ105</f>
        <v>1</v>
      </c>
      <c r="J95" t="str">
        <f>+'staffing plan'!AW105</f>
        <v>GARCIA, Evelyn Arizabal</v>
      </c>
      <c r="K95" t="str">
        <f>+'staffing plan'!AR105</f>
        <v>GARCIA</v>
      </c>
      <c r="L95" t="str">
        <f>UPPER('staffing plan'!AV105)</f>
        <v>EVELYN A. GARCIA</v>
      </c>
      <c r="M95" t="str">
        <f>+'staffing plan'!AX105</f>
        <v>Abra</v>
      </c>
      <c r="N95" t="str">
        <f>+'staffing plan'!AY105</f>
        <v>F</v>
      </c>
      <c r="O95" s="145" t="e">
        <f>+'staffing plan'!#REF!</f>
        <v>#REF!</v>
      </c>
      <c r="P95" s="145" t="e">
        <f>+'staffing plan'!#REF!</f>
        <v>#REF!</v>
      </c>
      <c r="Q95" s="145" t="e">
        <f>+'staffing plan'!#REF!</f>
        <v>#REF!</v>
      </c>
      <c r="R95">
        <f>+'staffing plan'!BP105</f>
        <v>0</v>
      </c>
      <c r="S95">
        <v>94</v>
      </c>
    </row>
    <row r="96" spans="2:19">
      <c r="B96">
        <f t="shared" si="8"/>
        <v>2017</v>
      </c>
      <c r="C96">
        <f>+'staffing plan'!BK106</f>
        <v>43070</v>
      </c>
      <c r="D96" t="str">
        <f>'staffing plan'!A106</f>
        <v>OSEC-DILGB-LGOO6-22-2017</v>
      </c>
      <c r="E96" t="str">
        <f>+'staffing plan'!B106</f>
        <v>Local Government Operations Officer VI</v>
      </c>
      <c r="F96">
        <f>+'staffing plan'!C106</f>
        <v>22</v>
      </c>
      <c r="G96" s="131">
        <f>+'staffing plan'!AH106</f>
        <v>783828</v>
      </c>
      <c r="H96" s="131">
        <f>+'staffing plan'!AI106</f>
        <v>783828</v>
      </c>
      <c r="I96" s="131">
        <f>+'staffing plan'!AJ106</f>
        <v>1</v>
      </c>
      <c r="J96" t="str">
        <f>+'staffing plan'!AW106</f>
        <v>RULLAN, Dan Joel Suaya</v>
      </c>
      <c r="K96" t="str">
        <f>+'staffing plan'!AR106</f>
        <v>RULLAN</v>
      </c>
      <c r="L96" t="str">
        <f>UPPER('staffing plan'!AV106)</f>
        <v>DAN JOEL S. RULLAN</v>
      </c>
      <c r="M96" t="str">
        <f>+'staffing plan'!AX106</f>
        <v>Abra</v>
      </c>
      <c r="N96" t="str">
        <f>+'staffing plan'!AY106</f>
        <v>M</v>
      </c>
      <c r="O96" s="145" t="e">
        <f>+'staffing plan'!#REF!</f>
        <v>#REF!</v>
      </c>
      <c r="P96" s="145" t="e">
        <f>+'staffing plan'!#REF!</f>
        <v>#REF!</v>
      </c>
      <c r="Q96" s="145" t="e">
        <f>+'staffing plan'!#REF!</f>
        <v>#REF!</v>
      </c>
      <c r="R96">
        <f>+'staffing plan'!BP106</f>
        <v>0</v>
      </c>
      <c r="S96">
        <v>95</v>
      </c>
    </row>
    <row r="97" spans="2:19">
      <c r="B97">
        <f t="shared" si="8"/>
        <v>2017</v>
      </c>
      <c r="C97">
        <f>+'staffing plan'!BK107</f>
        <v>43070</v>
      </c>
      <c r="D97" t="str">
        <f>'staffing plan'!A107</f>
        <v>OSEC-DILGB-LGOO6-23-2017</v>
      </c>
      <c r="E97" t="str">
        <f>+'staffing plan'!B107</f>
        <v>Local Government Operations Officer VI</v>
      </c>
      <c r="F97">
        <f>+'staffing plan'!C107</f>
        <v>22</v>
      </c>
      <c r="G97" s="131">
        <f>+'staffing plan'!AH107</f>
        <v>783828</v>
      </c>
      <c r="H97" s="131">
        <f>+'staffing plan'!AI107</f>
        <v>783828</v>
      </c>
      <c r="I97" s="131">
        <f>+'staffing plan'!AJ107</f>
        <v>1</v>
      </c>
      <c r="J97" t="str">
        <f>+'staffing plan'!AW107</f>
        <v>WACNANG, Dayan Salimbay</v>
      </c>
      <c r="K97" t="str">
        <f>+'staffing plan'!AR107</f>
        <v>WACNANG</v>
      </c>
      <c r="L97" t="str">
        <f>UPPER('staffing plan'!AV107)</f>
        <v>DAYAN S. WACNANG</v>
      </c>
      <c r="M97" t="str">
        <f>+'staffing plan'!AX107</f>
        <v>Abra</v>
      </c>
      <c r="N97" t="str">
        <f>+'staffing plan'!AY107</f>
        <v>M</v>
      </c>
      <c r="O97" s="145" t="e">
        <f>+'staffing plan'!#REF!</f>
        <v>#REF!</v>
      </c>
      <c r="P97" s="145" t="e">
        <f>+'staffing plan'!#REF!</f>
        <v>#REF!</v>
      </c>
      <c r="Q97" s="145" t="e">
        <f>+'staffing plan'!#REF!</f>
        <v>#REF!</v>
      </c>
      <c r="R97">
        <f>+'staffing plan'!BP107</f>
        <v>0</v>
      </c>
      <c r="S97">
        <v>96</v>
      </c>
    </row>
    <row r="98" spans="2:19">
      <c r="B98">
        <f t="shared" si="8"/>
        <v>2017</v>
      </c>
      <c r="C98">
        <f>+'staffing plan'!BK108</f>
        <v>43070</v>
      </c>
      <c r="D98" t="str">
        <f>'staffing plan'!A108</f>
        <v>OSEC-DILGB-LGOO6-24-2017</v>
      </c>
      <c r="E98" t="str">
        <f>+'staffing plan'!B108</f>
        <v>Local Government Operations Officer VI</v>
      </c>
      <c r="F98">
        <f>+'staffing plan'!C108</f>
        <v>22</v>
      </c>
      <c r="G98" s="131">
        <f>+'staffing plan'!AH108</f>
        <v>783828</v>
      </c>
      <c r="H98" s="131">
        <f>+'staffing plan'!AI108</f>
        <v>783828</v>
      </c>
      <c r="I98" s="131">
        <f>+'staffing plan'!AJ108</f>
        <v>1</v>
      </c>
      <c r="J98" t="str">
        <f>+'staffing plan'!AW108</f>
        <v>MONREAL, Prescila Alzate</v>
      </c>
      <c r="K98" t="str">
        <f>+'staffing plan'!AR108</f>
        <v>MONREAL</v>
      </c>
      <c r="L98" t="str">
        <f>UPPER('staffing plan'!AV108)</f>
        <v>PRESCILA A. MONREAL</v>
      </c>
      <c r="M98" t="str">
        <f>+'staffing plan'!AX108</f>
        <v>Abra</v>
      </c>
      <c r="N98" t="str">
        <f>+'staffing plan'!AY108</f>
        <v>F</v>
      </c>
      <c r="O98" s="145" t="e">
        <f>+'staffing plan'!#REF!</f>
        <v>#REF!</v>
      </c>
      <c r="P98" s="145" t="e">
        <f>+'staffing plan'!#REF!</f>
        <v>#REF!</v>
      </c>
      <c r="Q98" s="145" t="e">
        <f>+'staffing plan'!#REF!</f>
        <v>#REF!</v>
      </c>
      <c r="R98">
        <f>+'staffing plan'!BP108</f>
        <v>0</v>
      </c>
      <c r="S98">
        <v>97</v>
      </c>
    </row>
    <row r="99" spans="2:19">
      <c r="B99">
        <f t="shared" si="8"/>
        <v>2017</v>
      </c>
      <c r="C99">
        <f>+'staffing plan'!BK109</f>
        <v>43070</v>
      </c>
      <c r="D99" t="str">
        <f>'staffing plan'!A109</f>
        <v>OSEC-DILGB-LGOO6-25-2017</v>
      </c>
      <c r="E99" t="str">
        <f>+'staffing plan'!B109</f>
        <v>Local Government Operations Officer VI</v>
      </c>
      <c r="F99">
        <f>+'staffing plan'!C109</f>
        <v>22</v>
      </c>
      <c r="G99" s="131">
        <f>+'staffing plan'!AH109</f>
        <v>783828</v>
      </c>
      <c r="H99" s="131">
        <f>+'staffing plan'!AI109</f>
        <v>783828</v>
      </c>
      <c r="I99" s="131">
        <f>+'staffing plan'!AJ109</f>
        <v>1</v>
      </c>
      <c r="J99" t="str">
        <f>+'staffing plan'!AW109</f>
        <v>MICU, Mary Beth Agustin</v>
      </c>
      <c r="K99" t="str">
        <f>+'staffing plan'!AR109</f>
        <v>MICU</v>
      </c>
      <c r="L99" t="str">
        <f>UPPER('staffing plan'!AV109)</f>
        <v>MARY BETH A. MICU</v>
      </c>
      <c r="M99" t="str">
        <f>+'staffing plan'!AX109</f>
        <v>Apayao</v>
      </c>
      <c r="N99" t="str">
        <f>+'staffing plan'!AY109</f>
        <v>F</v>
      </c>
      <c r="O99" s="145" t="e">
        <f>+'staffing plan'!#REF!</f>
        <v>#REF!</v>
      </c>
      <c r="P99" s="145" t="e">
        <f>+'staffing plan'!#REF!</f>
        <v>#REF!</v>
      </c>
      <c r="Q99" s="145" t="e">
        <f>+'staffing plan'!#REF!</f>
        <v>#REF!</v>
      </c>
      <c r="R99">
        <f>+'staffing plan'!BP109</f>
        <v>0</v>
      </c>
      <c r="S99">
        <v>98</v>
      </c>
    </row>
    <row r="100" spans="2:19">
      <c r="B100">
        <f t="shared" si="8"/>
        <v>2017</v>
      </c>
      <c r="C100">
        <f>+'staffing plan'!BK110</f>
        <v>43089</v>
      </c>
      <c r="D100" t="str">
        <f>'staffing plan'!A110</f>
        <v>OSEC-DILGB-LGOO6-26-2017</v>
      </c>
      <c r="E100" t="str">
        <f>+'staffing plan'!B110</f>
        <v>Local Government Operations Officer VI</v>
      </c>
      <c r="F100">
        <f>+'staffing plan'!C110</f>
        <v>22</v>
      </c>
      <c r="G100" s="131">
        <f>+'staffing plan'!AH110</f>
        <v>783828</v>
      </c>
      <c r="H100" s="131">
        <f>+'staffing plan'!AI110</f>
        <v>783828</v>
      </c>
      <c r="I100" s="131">
        <f>+'staffing plan'!AJ110</f>
        <v>1</v>
      </c>
      <c r="J100" t="str">
        <f>+'staffing plan'!AW110</f>
        <v>GALVEZ, Filipinita Marigza</v>
      </c>
      <c r="K100" t="str">
        <f>+'staffing plan'!AR110</f>
        <v>GALVEZ</v>
      </c>
      <c r="L100" t="str">
        <f>UPPER('staffing plan'!AV110)</f>
        <v>FILIPINITA M. GALVEZ</v>
      </c>
      <c r="M100" t="str">
        <f>+'staffing plan'!AX110</f>
        <v>Apayao</v>
      </c>
      <c r="N100" t="str">
        <f>+'staffing plan'!AY110</f>
        <v>F</v>
      </c>
      <c r="O100" s="145" t="e">
        <f>+'staffing plan'!#REF!</f>
        <v>#REF!</v>
      </c>
      <c r="P100" s="145" t="e">
        <f>+'staffing plan'!#REF!</f>
        <v>#REF!</v>
      </c>
      <c r="Q100" s="145" t="e">
        <f>+'staffing plan'!#REF!</f>
        <v>#REF!</v>
      </c>
      <c r="R100" t="str">
        <f>+'staffing plan'!BP110</f>
        <v>Shifting</v>
      </c>
      <c r="S100">
        <v>99</v>
      </c>
    </row>
    <row r="101" spans="2:19">
      <c r="B101">
        <f t="shared" si="8"/>
        <v>2017</v>
      </c>
      <c r="C101">
        <f>+'staffing plan'!BK111</f>
        <v>43070</v>
      </c>
      <c r="D101" t="str">
        <f>'staffing plan'!A111</f>
        <v>OSEC-DILGB-LGOO6-27-2017</v>
      </c>
      <c r="E101" t="str">
        <f>+'staffing plan'!B111</f>
        <v>Local Government Operations Officer VI</v>
      </c>
      <c r="F101">
        <f>+'staffing plan'!C111</f>
        <v>22</v>
      </c>
      <c r="G101" s="131">
        <f>+'staffing plan'!AH111</f>
        <v>783828</v>
      </c>
      <c r="H101" s="131">
        <f>+'staffing plan'!AI111</f>
        <v>783828</v>
      </c>
      <c r="I101" s="131">
        <f>+'staffing plan'!AJ111</f>
        <v>1</v>
      </c>
      <c r="J101" t="str">
        <f>+'staffing plan'!AW111</f>
        <v>CHAN, Virginia Lucas</v>
      </c>
      <c r="K101" t="str">
        <f>+'staffing plan'!AR111</f>
        <v>CHAN</v>
      </c>
      <c r="L101" t="str">
        <f>UPPER('staffing plan'!AV111)</f>
        <v>VIRGINIA L. CHAN</v>
      </c>
      <c r="M101" t="str">
        <f>+'staffing plan'!AX111</f>
        <v>Benguet</v>
      </c>
      <c r="N101" t="str">
        <f>+'staffing plan'!AY111</f>
        <v>F</v>
      </c>
      <c r="O101" s="145" t="e">
        <f>+'staffing plan'!#REF!</f>
        <v>#REF!</v>
      </c>
      <c r="P101" s="145" t="e">
        <f>+'staffing plan'!#REF!</f>
        <v>#REF!</v>
      </c>
      <c r="Q101" s="145" t="e">
        <f>+'staffing plan'!#REF!</f>
        <v>#REF!</v>
      </c>
      <c r="R101">
        <f>+'staffing plan'!BP111</f>
        <v>0</v>
      </c>
      <c r="S101">
        <v>100</v>
      </c>
    </row>
    <row r="102" spans="2:19">
      <c r="B102">
        <f t="shared" si="8"/>
        <v>2017</v>
      </c>
      <c r="C102">
        <f>+'staffing plan'!BK112</f>
        <v>43087</v>
      </c>
      <c r="D102" t="str">
        <f>'staffing plan'!A112</f>
        <v>OSEC-DILGB-LGOO6-28-2017</v>
      </c>
      <c r="E102" t="str">
        <f>+'staffing plan'!B112</f>
        <v>Local Government Operations Officer VI</v>
      </c>
      <c r="F102">
        <f>+'staffing plan'!C112</f>
        <v>22</v>
      </c>
      <c r="G102" s="131">
        <f>+'staffing plan'!AH112</f>
        <v>783828</v>
      </c>
      <c r="H102" s="131">
        <f>+'staffing plan'!AI112</f>
        <v>783828</v>
      </c>
      <c r="I102" s="131">
        <f>+'staffing plan'!AJ112</f>
        <v>1</v>
      </c>
      <c r="J102" t="str">
        <f>+'staffing plan'!AW112</f>
        <v>SAHOY, Jonilou Fukai</v>
      </c>
      <c r="K102" t="str">
        <f>+'staffing plan'!AR112</f>
        <v>SAHOY</v>
      </c>
      <c r="L102" t="str">
        <f>UPPER('staffing plan'!AV112)</f>
        <v>JONILOU F. SAHOY</v>
      </c>
      <c r="M102" t="str">
        <f>+'staffing plan'!AX112</f>
        <v>Benguet</v>
      </c>
      <c r="N102" t="str">
        <f>+'staffing plan'!AY112</f>
        <v>F</v>
      </c>
      <c r="O102" s="145" t="e">
        <f>+'staffing plan'!#REF!</f>
        <v>#REF!</v>
      </c>
      <c r="P102" s="145" t="e">
        <f>+'staffing plan'!#REF!</f>
        <v>#REF!</v>
      </c>
      <c r="Q102" s="145" t="e">
        <f>+'staffing plan'!#REF!</f>
        <v>#REF!</v>
      </c>
      <c r="R102">
        <f>+'staffing plan'!BP112</f>
        <v>0</v>
      </c>
      <c r="S102">
        <v>101</v>
      </c>
    </row>
    <row r="103" spans="2:19">
      <c r="B103">
        <f t="shared" si="8"/>
        <v>2017</v>
      </c>
      <c r="C103">
        <f>+'staffing plan'!BK113</f>
        <v>43070</v>
      </c>
      <c r="D103" t="str">
        <f>'staffing plan'!A113</f>
        <v>OSEC-DILGB-LGOO6-29-2017</v>
      </c>
      <c r="E103" t="str">
        <f>+'staffing plan'!B113</f>
        <v>Local Government Operations Officer VI</v>
      </c>
      <c r="F103">
        <f>+'staffing plan'!C113</f>
        <v>22</v>
      </c>
      <c r="G103" s="131">
        <f>+'staffing plan'!AH113</f>
        <v>783828</v>
      </c>
      <c r="H103" s="131">
        <f>+'staffing plan'!AI113</f>
        <v>783828</v>
      </c>
      <c r="I103" s="131">
        <f>+'staffing plan'!AJ113</f>
        <v>1</v>
      </c>
      <c r="J103" t="str">
        <f>+'staffing plan'!AW113</f>
        <v>ATING, Janet Belingon</v>
      </c>
      <c r="K103" t="str">
        <f>+'staffing plan'!AR113</f>
        <v>ATING</v>
      </c>
      <c r="L103" t="str">
        <f>UPPER('staffing plan'!AV113)</f>
        <v>JANET B. ATING</v>
      </c>
      <c r="M103" t="str">
        <f>+'staffing plan'!AX113</f>
        <v>Benguet</v>
      </c>
      <c r="N103" t="str">
        <f>+'staffing plan'!AY113</f>
        <v>F</v>
      </c>
      <c r="O103" s="145" t="e">
        <f>+'staffing plan'!#REF!</f>
        <v>#REF!</v>
      </c>
      <c r="P103" s="145" t="e">
        <f>+'staffing plan'!#REF!</f>
        <v>#REF!</v>
      </c>
      <c r="Q103" s="145" t="e">
        <f>+'staffing plan'!#REF!</f>
        <v>#REF!</v>
      </c>
      <c r="R103">
        <f>+'staffing plan'!BP113</f>
        <v>0</v>
      </c>
      <c r="S103">
        <v>102</v>
      </c>
    </row>
    <row r="104" spans="2:19">
      <c r="B104">
        <f t="shared" ref="B104:B112" si="9">(YEAR(C104))</f>
        <v>2017</v>
      </c>
      <c r="C104">
        <f>+'staffing plan'!BK114</f>
        <v>43070</v>
      </c>
      <c r="D104" t="str">
        <f>'staffing plan'!A114</f>
        <v>OSEC-DILGB-LGOO6-30-2017</v>
      </c>
      <c r="E104" t="str">
        <f>+'staffing plan'!B114</f>
        <v>Local Government Operations Officer VI</v>
      </c>
      <c r="F104">
        <f>+'staffing plan'!C114</f>
        <v>22</v>
      </c>
      <c r="G104" s="131">
        <f>+'staffing plan'!AH114</f>
        <v>783828</v>
      </c>
      <c r="H104" s="131">
        <f>+'staffing plan'!AI114</f>
        <v>783828</v>
      </c>
      <c r="I104" s="131">
        <f>+'staffing plan'!AJ114</f>
        <v>1</v>
      </c>
      <c r="J104" t="str">
        <f>+'staffing plan'!AW114</f>
        <v>ULEP, Brigitte  Adeban</v>
      </c>
      <c r="K104" t="str">
        <f>+'staffing plan'!AR114</f>
        <v>ULEP</v>
      </c>
      <c r="L104" t="str">
        <f>UPPER('staffing plan'!AV114)</f>
        <v>BRIGITTE  A. ULEP</v>
      </c>
      <c r="M104" t="str">
        <f>+'staffing plan'!AX114</f>
        <v>Benguet</v>
      </c>
      <c r="N104" t="str">
        <f>+'staffing plan'!AY114</f>
        <v>F</v>
      </c>
      <c r="O104" s="145" t="e">
        <f>+'staffing plan'!#REF!</f>
        <v>#REF!</v>
      </c>
      <c r="P104" s="145" t="e">
        <f>+'staffing plan'!#REF!</f>
        <v>#REF!</v>
      </c>
      <c r="Q104" s="145" t="e">
        <f>+'staffing plan'!#REF!</f>
        <v>#REF!</v>
      </c>
      <c r="R104">
        <f>+'staffing plan'!BP114</f>
        <v>0</v>
      </c>
      <c r="S104">
        <v>103</v>
      </c>
    </row>
    <row r="105" spans="2:19">
      <c r="B105">
        <f t="shared" si="9"/>
        <v>2017</v>
      </c>
      <c r="C105">
        <f>+'staffing plan'!BK115</f>
        <v>43070</v>
      </c>
      <c r="D105" t="str">
        <f>'staffing plan'!A115</f>
        <v>OSEC-DILGB-LGOO6-31-2017</v>
      </c>
      <c r="E105" t="str">
        <f>+'staffing plan'!B115</f>
        <v>Local Government Operations Officer VI</v>
      </c>
      <c r="F105">
        <f>+'staffing plan'!C115</f>
        <v>22</v>
      </c>
      <c r="G105" s="131">
        <f>+'staffing plan'!AH115</f>
        <v>783828</v>
      </c>
      <c r="H105" s="131">
        <f>+'staffing plan'!AI115</f>
        <v>783828</v>
      </c>
      <c r="I105" s="131">
        <f>+'staffing plan'!AJ115</f>
        <v>1</v>
      </c>
      <c r="J105" t="str">
        <f>+'staffing plan'!AW115</f>
        <v>ATING, Cesar Uemura</v>
      </c>
      <c r="K105" t="str">
        <f>+'staffing plan'!AR115</f>
        <v>ATING</v>
      </c>
      <c r="L105" t="str">
        <f>UPPER('staffing plan'!AV115)</f>
        <v>CESAR U. ATING</v>
      </c>
      <c r="M105" t="str">
        <f>+'staffing plan'!AX115</f>
        <v>Benguet</v>
      </c>
      <c r="N105" t="str">
        <f>+'staffing plan'!AY115</f>
        <v>M</v>
      </c>
      <c r="O105" s="145" t="e">
        <f>+'staffing plan'!#REF!</f>
        <v>#REF!</v>
      </c>
      <c r="P105" s="145" t="e">
        <f>+'staffing plan'!#REF!</f>
        <v>#REF!</v>
      </c>
      <c r="Q105" s="145" t="e">
        <f>+'staffing plan'!#REF!</f>
        <v>#REF!</v>
      </c>
      <c r="R105" t="str">
        <f>+'staffing plan'!BP115</f>
        <v>Shifting</v>
      </c>
      <c r="S105">
        <v>104</v>
      </c>
    </row>
    <row r="106" spans="2:19">
      <c r="B106">
        <f t="shared" si="9"/>
        <v>2017</v>
      </c>
      <c r="C106">
        <f>+'staffing plan'!BK116</f>
        <v>43070</v>
      </c>
      <c r="D106" t="str">
        <f>'staffing plan'!A116</f>
        <v>OSEC-DILGB-LGOO6-32-2017</v>
      </c>
      <c r="E106" t="str">
        <f>+'staffing plan'!B116</f>
        <v>Local Government Operations Officer VI</v>
      </c>
      <c r="F106">
        <f>+'staffing plan'!C116</f>
        <v>22</v>
      </c>
      <c r="G106" s="131">
        <f>+'staffing plan'!AH116</f>
        <v>783828</v>
      </c>
      <c r="H106" s="131">
        <f>+'staffing plan'!AI116</f>
        <v>783828</v>
      </c>
      <c r="I106" s="131">
        <f>+'staffing plan'!AJ116</f>
        <v>1</v>
      </c>
      <c r="J106" t="str">
        <f>+'staffing plan'!AW116</f>
        <v>LUMA-ANG, Randy Thomas</v>
      </c>
      <c r="K106" t="str">
        <f>+'staffing plan'!AR116</f>
        <v>LUMA-ANG</v>
      </c>
      <c r="L106" t="str">
        <f>UPPER('staffing plan'!AV116)</f>
        <v>RANDY T. LUMA-ANG</v>
      </c>
      <c r="M106" t="str">
        <f>+'staffing plan'!AX116</f>
        <v>Benguet</v>
      </c>
      <c r="N106" t="str">
        <f>+'staffing plan'!AY116</f>
        <v>M</v>
      </c>
      <c r="O106" s="145" t="e">
        <f>+'staffing plan'!#REF!</f>
        <v>#REF!</v>
      </c>
      <c r="P106" s="145" t="e">
        <f>+'staffing plan'!#REF!</f>
        <v>#REF!</v>
      </c>
      <c r="Q106" s="145" t="e">
        <f>+'staffing plan'!#REF!</f>
        <v>#REF!</v>
      </c>
      <c r="R106">
        <f>+'staffing plan'!BP116</f>
        <v>0</v>
      </c>
      <c r="S106">
        <v>105</v>
      </c>
    </row>
    <row r="107" spans="2:19">
      <c r="B107">
        <f t="shared" si="9"/>
        <v>2017</v>
      </c>
      <c r="C107">
        <f>+'staffing plan'!BK117</f>
        <v>43070</v>
      </c>
      <c r="D107" t="str">
        <f>'staffing plan'!A117</f>
        <v>OSEC-DILGB-LGOO6-33-2017</v>
      </c>
      <c r="E107" t="str">
        <f>+'staffing plan'!B117</f>
        <v>Local Government Operations Officer VI</v>
      </c>
      <c r="F107">
        <f>+'staffing plan'!C117</f>
        <v>22</v>
      </c>
      <c r="G107" s="131">
        <f>+'staffing plan'!AH117</f>
        <v>783828</v>
      </c>
      <c r="H107" s="131">
        <f>+'staffing plan'!AI117</f>
        <v>783828</v>
      </c>
      <c r="I107" s="131">
        <f>+'staffing plan'!AJ117</f>
        <v>1</v>
      </c>
      <c r="J107" t="str">
        <f>+'staffing plan'!AW117</f>
        <v>CAWIS, Odemar Mendoza</v>
      </c>
      <c r="K107" t="str">
        <f>+'staffing plan'!AR117</f>
        <v>CAWIS</v>
      </c>
      <c r="L107" t="str">
        <f>UPPER('staffing plan'!AV117)</f>
        <v>ODEMAR M. CAWIS</v>
      </c>
      <c r="M107" t="str">
        <f>+'staffing plan'!AX117</f>
        <v>Benguet</v>
      </c>
      <c r="N107" t="str">
        <f>+'staffing plan'!AY117</f>
        <v>M</v>
      </c>
      <c r="O107" s="145" t="e">
        <f>+'staffing plan'!#REF!</f>
        <v>#REF!</v>
      </c>
      <c r="P107" s="145" t="e">
        <f>+'staffing plan'!#REF!</f>
        <v>#REF!</v>
      </c>
      <c r="Q107" s="145" t="e">
        <f>+'staffing plan'!#REF!</f>
        <v>#REF!</v>
      </c>
      <c r="R107">
        <f>+'staffing plan'!BP117</f>
        <v>0</v>
      </c>
      <c r="S107">
        <v>106</v>
      </c>
    </row>
    <row r="108" spans="2:19">
      <c r="B108">
        <f t="shared" si="9"/>
        <v>2017</v>
      </c>
      <c r="C108">
        <f>+'staffing plan'!BK118</f>
        <v>43070</v>
      </c>
      <c r="D108" t="str">
        <f>'staffing plan'!A118</f>
        <v>OSEC-DILGB-LGOO6-34-2017</v>
      </c>
      <c r="E108" t="str">
        <f>+'staffing plan'!B118</f>
        <v>Local Government Operations Officer VI</v>
      </c>
      <c r="F108">
        <f>+'staffing plan'!C118</f>
        <v>22</v>
      </c>
      <c r="G108" s="131">
        <f>+'staffing plan'!AH118</f>
        <v>783828</v>
      </c>
      <c r="H108" s="131">
        <f>+'staffing plan'!AI118</f>
        <v>783828</v>
      </c>
      <c r="I108" s="131">
        <f>+'staffing plan'!AJ118</f>
        <v>1</v>
      </c>
      <c r="J108" t="str">
        <f>+'staffing plan'!AW118</f>
        <v>CARDENAS, Cheryl Rose Flores</v>
      </c>
      <c r="K108" t="str">
        <f>+'staffing plan'!AR118</f>
        <v>CARDENAS</v>
      </c>
      <c r="L108" t="str">
        <f>UPPER('staffing plan'!AV118)</f>
        <v>CHERYL ROSE F. CARDENAS</v>
      </c>
      <c r="M108" t="str">
        <f>+'staffing plan'!AX118</f>
        <v>Benguet</v>
      </c>
      <c r="N108" t="str">
        <f>+'staffing plan'!AY118</f>
        <v>F</v>
      </c>
      <c r="O108" s="145" t="e">
        <f>+'staffing plan'!#REF!</f>
        <v>#REF!</v>
      </c>
      <c r="P108" s="145" t="e">
        <f>+'staffing plan'!#REF!</f>
        <v>#REF!</v>
      </c>
      <c r="Q108" s="145" t="e">
        <f>+'staffing plan'!#REF!</f>
        <v>#REF!</v>
      </c>
      <c r="R108" t="str">
        <f>+'staffing plan'!BP118</f>
        <v>Shifting</v>
      </c>
      <c r="S108">
        <v>107</v>
      </c>
    </row>
    <row r="109" spans="2:19">
      <c r="B109">
        <f t="shared" si="9"/>
        <v>2017</v>
      </c>
      <c r="C109">
        <f>+'staffing plan'!BK119</f>
        <v>43070</v>
      </c>
      <c r="D109" t="str">
        <f>'staffing plan'!A119</f>
        <v>OSEC-DILGB-LGOO6-35-2017</v>
      </c>
      <c r="E109" t="str">
        <f>+'staffing plan'!B119</f>
        <v>Local Government Operations Officer VI</v>
      </c>
      <c r="F109">
        <f>+'staffing plan'!C119</f>
        <v>22</v>
      </c>
      <c r="G109" s="131">
        <f>+'staffing plan'!AH119</f>
        <v>783828</v>
      </c>
      <c r="H109" s="131">
        <f>+'staffing plan'!AI119</f>
        <v>783828</v>
      </c>
      <c r="I109" s="131">
        <f>+'staffing plan'!AJ119</f>
        <v>1</v>
      </c>
      <c r="J109" t="str">
        <f>+'staffing plan'!AW119</f>
        <v>EBES, Linston Bolislis</v>
      </c>
      <c r="K109" t="str">
        <f>+'staffing plan'!AR119</f>
        <v>EBES</v>
      </c>
      <c r="L109" t="str">
        <f>UPPER('staffing plan'!AV119)</f>
        <v>LINSTON B. EBES</v>
      </c>
      <c r="M109" t="str">
        <f>+'staffing plan'!AX119</f>
        <v>Benguet</v>
      </c>
      <c r="N109" t="str">
        <f>+'staffing plan'!AY119</f>
        <v>M</v>
      </c>
      <c r="O109" s="145" t="e">
        <f>+'staffing plan'!#REF!</f>
        <v>#REF!</v>
      </c>
      <c r="P109" s="145" t="e">
        <f>+'staffing plan'!#REF!</f>
        <v>#REF!</v>
      </c>
      <c r="Q109" s="145" t="e">
        <f>+'staffing plan'!#REF!</f>
        <v>#REF!</v>
      </c>
      <c r="R109">
        <f>+'staffing plan'!BP119</f>
        <v>0</v>
      </c>
      <c r="S109">
        <v>108</v>
      </c>
    </row>
    <row r="110" spans="2:19">
      <c r="B110">
        <f t="shared" si="9"/>
        <v>2017</v>
      </c>
      <c r="C110">
        <f>+'staffing plan'!BK120</f>
        <v>43070</v>
      </c>
      <c r="D110" t="str">
        <f>'staffing plan'!A120</f>
        <v>OSEC-DILGB-LGOO6-36-2017</v>
      </c>
      <c r="E110" t="str">
        <f>+'staffing plan'!B120</f>
        <v>Local Government Operations Officer VI</v>
      </c>
      <c r="F110">
        <f>+'staffing plan'!C120</f>
        <v>22</v>
      </c>
      <c r="G110" s="131">
        <f>+'staffing plan'!AH120</f>
        <v>783828</v>
      </c>
      <c r="H110" s="131">
        <f>+'staffing plan'!AI120</f>
        <v>783828</v>
      </c>
      <c r="I110" s="131">
        <f>+'staffing plan'!AJ120</f>
        <v>1</v>
      </c>
      <c r="J110" t="str">
        <f>+'staffing plan'!AW120</f>
        <v>VENUS, Norman Domingo</v>
      </c>
      <c r="K110" t="str">
        <f>+'staffing plan'!AR120</f>
        <v>VENUS</v>
      </c>
      <c r="L110" t="str">
        <f>UPPER('staffing plan'!AV120)</f>
        <v>NORMAN D. VENUS</v>
      </c>
      <c r="M110" t="str">
        <f>+'staffing plan'!AX120</f>
        <v>Apayao</v>
      </c>
      <c r="N110" t="str">
        <f>+'staffing plan'!AY120</f>
        <v>M</v>
      </c>
      <c r="O110" s="145" t="e">
        <f>+'staffing plan'!#REF!</f>
        <v>#REF!</v>
      </c>
      <c r="P110" s="145" t="e">
        <f>+'staffing plan'!#REF!</f>
        <v>#REF!</v>
      </c>
      <c r="Q110" s="145" t="e">
        <f>+'staffing plan'!#REF!</f>
        <v>#REF!</v>
      </c>
      <c r="R110">
        <f>+'staffing plan'!BP120</f>
        <v>0</v>
      </c>
      <c r="S110">
        <v>109</v>
      </c>
    </row>
    <row r="111" spans="2:19">
      <c r="B111">
        <f t="shared" si="9"/>
        <v>2017</v>
      </c>
      <c r="C111">
        <f>+'staffing plan'!BK121</f>
        <v>43087</v>
      </c>
      <c r="D111" t="str">
        <f>'staffing plan'!A121</f>
        <v>OSEC-DILGB-LGOO6-37-2017</v>
      </c>
      <c r="E111" t="str">
        <f>+'staffing plan'!B121</f>
        <v>Local Government Operations Officer VI</v>
      </c>
      <c r="F111">
        <f>+'staffing plan'!C121</f>
        <v>22</v>
      </c>
      <c r="G111" s="131">
        <f>+'staffing plan'!AH121</f>
        <v>783828</v>
      </c>
      <c r="H111" s="131">
        <f>+'staffing plan'!AI121</f>
        <v>783828</v>
      </c>
      <c r="I111" s="131">
        <f>+'staffing plan'!AJ121</f>
        <v>1</v>
      </c>
      <c r="J111" t="str">
        <f>+'staffing plan'!AW121</f>
        <v>VISITACION, Rhiener Cardenas</v>
      </c>
      <c r="K111" t="str">
        <f>+'staffing plan'!AR121</f>
        <v>VISITACION</v>
      </c>
      <c r="L111" t="str">
        <f>UPPER('staffing plan'!AV121)</f>
        <v>RHIENER C. VISITACION</v>
      </c>
      <c r="M111" t="str">
        <f>+'staffing plan'!AX121</f>
        <v>Apayao</v>
      </c>
      <c r="N111" t="str">
        <f>+'staffing plan'!AY121</f>
        <v>M</v>
      </c>
      <c r="O111" s="145" t="e">
        <f>+'staffing plan'!#REF!</f>
        <v>#REF!</v>
      </c>
      <c r="P111" s="145" t="e">
        <f>+'staffing plan'!#REF!</f>
        <v>#REF!</v>
      </c>
      <c r="Q111" s="145" t="e">
        <f>+'staffing plan'!#REF!</f>
        <v>#REF!</v>
      </c>
      <c r="R111">
        <f>+'staffing plan'!BP121</f>
        <v>0</v>
      </c>
      <c r="S111">
        <v>110</v>
      </c>
    </row>
    <row r="112" spans="2:19">
      <c r="B112">
        <f t="shared" si="9"/>
        <v>2017</v>
      </c>
      <c r="C112">
        <f>+'staffing plan'!BK122</f>
        <v>43070</v>
      </c>
      <c r="D112" t="str">
        <f>'staffing plan'!A122</f>
        <v>OSEC-DILGB-LGOO6-38-2017</v>
      </c>
      <c r="E112" t="str">
        <f>+'staffing plan'!B122</f>
        <v>Local Government Operations Officer VI</v>
      </c>
      <c r="F112">
        <f>+'staffing plan'!C122</f>
        <v>22</v>
      </c>
      <c r="G112" s="131">
        <f>+'staffing plan'!AH122</f>
        <v>783828</v>
      </c>
      <c r="H112" s="131">
        <f>+'staffing plan'!AI122</f>
        <v>783828</v>
      </c>
      <c r="I112" s="131">
        <f>+'staffing plan'!AJ122</f>
        <v>1</v>
      </c>
      <c r="J112" t="str">
        <f>+'staffing plan'!AW122</f>
        <v>EUGENIO, Cecile Cagurangan</v>
      </c>
      <c r="K112" t="str">
        <f>+'staffing plan'!AR122</f>
        <v>EUGENIO</v>
      </c>
      <c r="L112" t="str">
        <f>UPPER('staffing plan'!AV122)</f>
        <v>CECILE C. EUGENIO</v>
      </c>
      <c r="M112" t="str">
        <f>+'staffing plan'!AX122</f>
        <v>Apayao</v>
      </c>
      <c r="N112" t="str">
        <f>+'staffing plan'!AY122</f>
        <v>F</v>
      </c>
      <c r="O112" s="145" t="e">
        <f>+'staffing plan'!#REF!</f>
        <v>#REF!</v>
      </c>
      <c r="P112" s="145" t="e">
        <f>+'staffing plan'!#REF!</f>
        <v>#REF!</v>
      </c>
      <c r="Q112" s="145" t="e">
        <f>+'staffing plan'!#REF!</f>
        <v>#REF!</v>
      </c>
      <c r="R112">
        <f>+'staffing plan'!BP122</f>
        <v>0</v>
      </c>
      <c r="S112">
        <v>111</v>
      </c>
    </row>
    <row r="113" spans="2:19">
      <c r="B113">
        <f t="shared" ref="B113:B121" si="10">(YEAR(C113))</f>
        <v>2017</v>
      </c>
      <c r="C113">
        <f>+'staffing plan'!BK123</f>
        <v>43070</v>
      </c>
      <c r="D113" t="str">
        <f>'staffing plan'!A123</f>
        <v>OSEC-DILGB-LGOO6-39-2017</v>
      </c>
      <c r="E113" t="str">
        <f>+'staffing plan'!B123</f>
        <v>Local Government Operations Officer VI</v>
      </c>
      <c r="F113">
        <f>+'staffing plan'!C123</f>
        <v>22</v>
      </c>
      <c r="G113" s="131">
        <f>+'staffing plan'!AH123</f>
        <v>783828</v>
      </c>
      <c r="H113" s="131">
        <f>+'staffing plan'!AI123</f>
        <v>783828</v>
      </c>
      <c r="I113" s="131">
        <f>+'staffing plan'!AJ123</f>
        <v>1</v>
      </c>
      <c r="J113" t="str">
        <f>+'staffing plan'!AW123</f>
        <v>BEGTANG, Roderick Domingo</v>
      </c>
      <c r="K113" t="str">
        <f>+'staffing plan'!AR123</f>
        <v>BEGTANG</v>
      </c>
      <c r="L113" t="str">
        <f>UPPER('staffing plan'!AV123)</f>
        <v>RODERICK D. BEGTANG</v>
      </c>
      <c r="M113" t="str">
        <f>+'staffing plan'!AX123</f>
        <v>Apayao</v>
      </c>
      <c r="N113" t="str">
        <f>+'staffing plan'!AY123</f>
        <v>M</v>
      </c>
      <c r="O113" s="145" t="e">
        <f>+'staffing plan'!#REF!</f>
        <v>#REF!</v>
      </c>
      <c r="P113" s="145" t="e">
        <f>+'staffing plan'!#REF!</f>
        <v>#REF!</v>
      </c>
      <c r="Q113" s="145" t="e">
        <f>+'staffing plan'!#REF!</f>
        <v>#REF!</v>
      </c>
      <c r="R113" t="str">
        <f>+'staffing plan'!BP123</f>
        <v>Shifting</v>
      </c>
      <c r="S113">
        <v>112</v>
      </c>
    </row>
    <row r="114" spans="2:19">
      <c r="B114">
        <f t="shared" si="10"/>
        <v>2017</v>
      </c>
      <c r="C114">
        <f>+'staffing plan'!BK124</f>
        <v>43070</v>
      </c>
      <c r="D114" t="str">
        <f>'staffing plan'!A124</f>
        <v>OSEC-DILGB-LGOO6-40-2017</v>
      </c>
      <c r="E114" t="str">
        <f>+'staffing plan'!B124</f>
        <v>Local Government Operations Officer VI</v>
      </c>
      <c r="F114">
        <f>+'staffing plan'!C124</f>
        <v>22</v>
      </c>
      <c r="G114" s="131">
        <f>+'staffing plan'!AH124</f>
        <v>783828</v>
      </c>
      <c r="H114" s="131">
        <f>+'staffing plan'!AI124</f>
        <v>783828</v>
      </c>
      <c r="I114" s="131">
        <f>+'staffing plan'!AJ124</f>
        <v>1</v>
      </c>
      <c r="J114" t="str">
        <f>+'staffing plan'!AW124</f>
        <v>MANACNIS, Euchols Plazo</v>
      </c>
      <c r="K114" t="str">
        <f>+'staffing plan'!AR124</f>
        <v>MANACNIS</v>
      </c>
      <c r="L114" t="str">
        <f>UPPER('staffing plan'!AV124)</f>
        <v>EUCHOLS P. MANACNIS</v>
      </c>
      <c r="M114" t="str">
        <f>+'staffing plan'!AX124</f>
        <v>Benguet</v>
      </c>
      <c r="N114" t="str">
        <f>+'staffing plan'!AY124</f>
        <v>M</v>
      </c>
      <c r="O114" s="145" t="e">
        <f>+'staffing plan'!#REF!</f>
        <v>#REF!</v>
      </c>
      <c r="P114" s="145" t="e">
        <f>+'staffing plan'!#REF!</f>
        <v>#REF!</v>
      </c>
      <c r="Q114" s="145" t="e">
        <f>+'staffing plan'!#REF!</f>
        <v>#REF!</v>
      </c>
      <c r="R114" t="str">
        <f>+'staffing plan'!BP124</f>
        <v>Shifting</v>
      </c>
      <c r="S114">
        <v>113</v>
      </c>
    </row>
    <row r="115" spans="2:19">
      <c r="B115">
        <f t="shared" si="10"/>
        <v>2017</v>
      </c>
      <c r="C115">
        <f>+'staffing plan'!BK125</f>
        <v>43089</v>
      </c>
      <c r="D115" t="str">
        <f>'staffing plan'!A125</f>
        <v>OSEC-DILGB-LGOO6-41-2017</v>
      </c>
      <c r="E115" t="str">
        <f>+'staffing plan'!B125</f>
        <v>Local Government Operations Officer VI</v>
      </c>
      <c r="F115">
        <f>+'staffing plan'!C125</f>
        <v>22</v>
      </c>
      <c r="G115" s="131">
        <f>+'staffing plan'!AH125</f>
        <v>783828</v>
      </c>
      <c r="H115" s="131">
        <f>+'staffing plan'!AI125</f>
        <v>783828</v>
      </c>
      <c r="I115" s="131">
        <f>+'staffing plan'!AJ125</f>
        <v>1</v>
      </c>
      <c r="J115" t="str">
        <f>+'staffing plan'!AW125</f>
        <v>SAINGAN, Evelyn Mensi</v>
      </c>
      <c r="K115" t="str">
        <f>+'staffing plan'!AR125</f>
        <v>SAINGAN</v>
      </c>
      <c r="L115" t="str">
        <f>UPPER('staffing plan'!AV125)</f>
        <v>EVELYN M. SAINGAN</v>
      </c>
      <c r="M115" t="str">
        <f>+'staffing plan'!AX125</f>
        <v>Benguet</v>
      </c>
      <c r="N115" t="str">
        <f>+'staffing plan'!AY125</f>
        <v>F</v>
      </c>
      <c r="O115" s="145" t="e">
        <f>+'staffing plan'!#REF!</f>
        <v>#REF!</v>
      </c>
      <c r="P115" s="145" t="e">
        <f>+'staffing plan'!#REF!</f>
        <v>#REF!</v>
      </c>
      <c r="Q115" s="145" t="e">
        <f>+'staffing plan'!#REF!</f>
        <v>#REF!</v>
      </c>
      <c r="R115" t="str">
        <f>+'staffing plan'!BP125</f>
        <v>Shifting</v>
      </c>
      <c r="S115">
        <v>114</v>
      </c>
    </row>
    <row r="116" spans="2:19" hidden="1">
      <c r="B116">
        <f t="shared" si="10"/>
        <v>2018</v>
      </c>
      <c r="C116">
        <f>+'staffing plan'!BK126</f>
        <v>43103</v>
      </c>
      <c r="D116" t="str">
        <f>'staffing plan'!A126</f>
        <v>OSEC-DILGB-LGOO6-42-2017</v>
      </c>
      <c r="E116" t="str">
        <f>+'staffing plan'!B126</f>
        <v>Local Government Operations Officer VI</v>
      </c>
      <c r="F116">
        <f>+'staffing plan'!C126</f>
        <v>22</v>
      </c>
      <c r="G116" s="131">
        <f>+'staffing plan'!AH126</f>
        <v>783828</v>
      </c>
      <c r="H116" s="131">
        <f>+'staffing plan'!AI126</f>
        <v>783828</v>
      </c>
      <c r="I116" s="131">
        <f>+'staffing plan'!AJ126</f>
        <v>1</v>
      </c>
      <c r="J116" t="str">
        <f>+'staffing plan'!AW126</f>
        <v>CENU, Merina Bagasol</v>
      </c>
      <c r="K116" t="str">
        <f>+'staffing plan'!AR126</f>
        <v>CENU</v>
      </c>
      <c r="L116" t="str">
        <f>UPPER('staffing plan'!AV126)</f>
        <v>MERINA B. CENU</v>
      </c>
      <c r="M116" t="str">
        <f>+'staffing plan'!AX126</f>
        <v>Apayao</v>
      </c>
      <c r="N116" t="str">
        <f>+'staffing plan'!AY126</f>
        <v>F</v>
      </c>
      <c r="O116" s="145" t="e">
        <f>+'staffing plan'!#REF!</f>
        <v>#REF!</v>
      </c>
      <c r="P116" s="145" t="e">
        <f>+'staffing plan'!#REF!</f>
        <v>#REF!</v>
      </c>
      <c r="Q116" s="145" t="e">
        <f>+'staffing plan'!#REF!</f>
        <v>#REF!</v>
      </c>
      <c r="R116" t="str">
        <f>+'staffing plan'!BP126</f>
        <v>Shifting</v>
      </c>
      <c r="S116">
        <v>115</v>
      </c>
    </row>
    <row r="117" spans="2:19">
      <c r="B117">
        <f t="shared" si="10"/>
        <v>2017</v>
      </c>
      <c r="C117">
        <f>+'staffing plan'!BK127</f>
        <v>43070</v>
      </c>
      <c r="D117" t="str">
        <f>'staffing plan'!A127</f>
        <v>OSEC-DILGB-LGOO6-43-2017</v>
      </c>
      <c r="E117" t="str">
        <f>+'staffing plan'!B127</f>
        <v>Local Government Operations OFFICER VI</v>
      </c>
      <c r="F117">
        <f>+'staffing plan'!C127</f>
        <v>22</v>
      </c>
      <c r="G117" s="131">
        <f>+'staffing plan'!AH127</f>
        <v>783828</v>
      </c>
      <c r="H117" s="131">
        <f>+'staffing plan'!AI127</f>
        <v>783828</v>
      </c>
      <c r="I117" s="131">
        <f>+'staffing plan'!AJ127</f>
        <v>1</v>
      </c>
      <c r="J117" t="str">
        <f>+'staffing plan'!AW127</f>
        <v>CABANAYAN, Carol Chulipa</v>
      </c>
      <c r="K117" t="str">
        <f>+'staffing plan'!AR127</f>
        <v>CABANAYAN</v>
      </c>
      <c r="L117" t="str">
        <f>UPPER('staffing plan'!AV127)</f>
        <v>CAROL C. CABANAYAN</v>
      </c>
      <c r="M117" t="str">
        <f>+'staffing plan'!AX127</f>
        <v>Ifugao</v>
      </c>
      <c r="N117" t="str">
        <f>+'staffing plan'!AY127</f>
        <v>F</v>
      </c>
      <c r="O117" s="145" t="e">
        <f>+'staffing plan'!#REF!</f>
        <v>#REF!</v>
      </c>
      <c r="P117" s="145" t="e">
        <f>+'staffing plan'!#REF!</f>
        <v>#REF!</v>
      </c>
      <c r="Q117" s="145" t="e">
        <f>+'staffing plan'!#REF!</f>
        <v>#REF!</v>
      </c>
      <c r="R117">
        <f>+'staffing plan'!BP127</f>
        <v>0</v>
      </c>
      <c r="S117">
        <v>116</v>
      </c>
    </row>
    <row r="118" spans="2:19">
      <c r="B118">
        <f t="shared" si="10"/>
        <v>2017</v>
      </c>
      <c r="C118">
        <f>+'staffing plan'!BK128</f>
        <v>43070</v>
      </c>
      <c r="D118" t="str">
        <f>'staffing plan'!A128</f>
        <v>OSEC-DILGB-LGOO6-44-2017</v>
      </c>
      <c r="E118" t="str">
        <f>+'staffing plan'!B128</f>
        <v>Local Government Operations OFFICER VI</v>
      </c>
      <c r="F118">
        <f>+'staffing plan'!C128</f>
        <v>22</v>
      </c>
      <c r="G118" s="131">
        <f>+'staffing plan'!AH128</f>
        <v>783828</v>
      </c>
      <c r="H118" s="131">
        <f>+'staffing plan'!AI128</f>
        <v>783828</v>
      </c>
      <c r="I118" s="131">
        <f>+'staffing plan'!AJ128</f>
        <v>1</v>
      </c>
      <c r="J118" t="str">
        <f>+'staffing plan'!AW128</f>
        <v>PAGADDUT, Jimmy Bantiyan</v>
      </c>
      <c r="K118" t="str">
        <f>+'staffing plan'!AR128</f>
        <v>PAGADDUT</v>
      </c>
      <c r="L118" t="str">
        <f>UPPER('staffing plan'!AV128)</f>
        <v>JIMMY B. PAGADDUT</v>
      </c>
      <c r="M118" t="str">
        <f>+'staffing plan'!AX128</f>
        <v>Ifugao</v>
      </c>
      <c r="N118" t="str">
        <f>+'staffing plan'!AY128</f>
        <v>M</v>
      </c>
      <c r="O118" s="145" t="e">
        <f>+'staffing plan'!#REF!</f>
        <v>#REF!</v>
      </c>
      <c r="P118" s="145" t="e">
        <f>+'staffing plan'!#REF!</f>
        <v>#REF!</v>
      </c>
      <c r="Q118" s="145" t="e">
        <f>+'staffing plan'!#REF!</f>
        <v>#REF!</v>
      </c>
      <c r="R118" t="str">
        <f>+'staffing plan'!BP128</f>
        <v>Shifting</v>
      </c>
      <c r="S118">
        <v>117</v>
      </c>
    </row>
    <row r="119" spans="2:19">
      <c r="B119">
        <f t="shared" si="10"/>
        <v>2017</v>
      </c>
      <c r="C119">
        <f>+'staffing plan'!BK129</f>
        <v>43070</v>
      </c>
      <c r="D119" t="str">
        <f>'staffing plan'!A129</f>
        <v>OSEC-DILGB-LGOO6-45-2017</v>
      </c>
      <c r="E119" t="str">
        <f>+'staffing plan'!B129</f>
        <v>Local Government Operations OFFICER VI</v>
      </c>
      <c r="F119">
        <f>+'staffing plan'!C129</f>
        <v>22</v>
      </c>
      <c r="G119" s="131">
        <f>+'staffing plan'!AH129</f>
        <v>783828</v>
      </c>
      <c r="H119" s="131">
        <f>+'staffing plan'!AI129</f>
        <v>783828</v>
      </c>
      <c r="I119" s="131">
        <f>+'staffing plan'!AJ129</f>
        <v>1</v>
      </c>
      <c r="J119" t="str">
        <f>+'staffing plan'!AW129</f>
        <v>BULAYUNGAN, Isabel Allaga</v>
      </c>
      <c r="K119" t="str">
        <f>+'staffing plan'!AR129</f>
        <v>BULAYUNGAN</v>
      </c>
      <c r="L119" t="str">
        <f>UPPER('staffing plan'!AV129)</f>
        <v>ISABEL A. BULAYUNGAN</v>
      </c>
      <c r="M119" t="str">
        <f>+'staffing plan'!AX129</f>
        <v>Ifugao</v>
      </c>
      <c r="N119" t="str">
        <f>+'staffing plan'!AY129</f>
        <v>F</v>
      </c>
      <c r="O119" s="145" t="e">
        <f>+'staffing plan'!#REF!</f>
        <v>#REF!</v>
      </c>
      <c r="P119" s="145" t="e">
        <f>+'staffing plan'!#REF!</f>
        <v>#REF!</v>
      </c>
      <c r="Q119" s="145" t="e">
        <f>+'staffing plan'!#REF!</f>
        <v>#REF!</v>
      </c>
      <c r="R119">
        <f>+'staffing plan'!BP129</f>
        <v>0</v>
      </c>
      <c r="S119">
        <v>118</v>
      </c>
    </row>
    <row r="120" spans="2:19">
      <c r="B120">
        <f t="shared" si="10"/>
        <v>2017</v>
      </c>
      <c r="C120">
        <f>+'staffing plan'!BK130</f>
        <v>43070</v>
      </c>
      <c r="D120" t="str">
        <f>'staffing plan'!A130</f>
        <v>OSEC-DILGB-LGOO6-46-2017</v>
      </c>
      <c r="E120" t="str">
        <f>+'staffing plan'!B130</f>
        <v>Local Government Operations OFFICER VI</v>
      </c>
      <c r="F120">
        <f>+'staffing plan'!C130</f>
        <v>22</v>
      </c>
      <c r="G120" s="131">
        <f>+'staffing plan'!AH130</f>
        <v>783828</v>
      </c>
      <c r="H120" s="131">
        <f>+'staffing plan'!AI130</f>
        <v>783828</v>
      </c>
      <c r="I120" s="131">
        <f>+'staffing plan'!AJ130</f>
        <v>1</v>
      </c>
      <c r="J120" t="str">
        <f>+'staffing plan'!AW130</f>
        <v>MONAYAO, Jeda Paulha</v>
      </c>
      <c r="K120" t="str">
        <f>+'staffing plan'!AR130</f>
        <v>MONAYAO</v>
      </c>
      <c r="L120" t="str">
        <f>UPPER('staffing plan'!AV130)</f>
        <v>JEDA P. MONAYAO</v>
      </c>
      <c r="M120" t="str">
        <f>+'staffing plan'!AX130</f>
        <v>Ifugao</v>
      </c>
      <c r="N120" t="str">
        <f>+'staffing plan'!AY130</f>
        <v>F</v>
      </c>
      <c r="O120" s="145" t="e">
        <f>+'staffing plan'!#REF!</f>
        <v>#REF!</v>
      </c>
      <c r="P120" s="145" t="e">
        <f>+'staffing plan'!#REF!</f>
        <v>#REF!</v>
      </c>
      <c r="Q120" s="145" t="e">
        <f>+'staffing plan'!#REF!</f>
        <v>#REF!</v>
      </c>
      <c r="R120" t="str">
        <f>+'staffing plan'!BP130</f>
        <v>Shifting</v>
      </c>
      <c r="S120">
        <v>119</v>
      </c>
    </row>
    <row r="121" spans="2:19">
      <c r="B121">
        <f t="shared" si="10"/>
        <v>2017</v>
      </c>
      <c r="C121">
        <f>+'staffing plan'!BK131</f>
        <v>43070</v>
      </c>
      <c r="D121" t="str">
        <f>'staffing plan'!A131</f>
        <v>OSEC-DILGB-LGOO6-47-2017</v>
      </c>
      <c r="E121" t="str">
        <f>+'staffing plan'!B131</f>
        <v>Local Government Operations OFFICER VI</v>
      </c>
      <c r="F121">
        <f>+'staffing plan'!C131</f>
        <v>22</v>
      </c>
      <c r="G121" s="131">
        <f>+'staffing plan'!AH131</f>
        <v>783828</v>
      </c>
      <c r="H121" s="131">
        <f>+'staffing plan'!AI131</f>
        <v>783828</v>
      </c>
      <c r="I121" s="131">
        <f>+'staffing plan'!AJ131</f>
        <v>1</v>
      </c>
      <c r="J121" t="str">
        <f>+'staffing plan'!AW131</f>
        <v>DONG-E, Regina Tayaban</v>
      </c>
      <c r="K121" t="str">
        <f>+'staffing plan'!AR131</f>
        <v>DONG-E</v>
      </c>
      <c r="L121" t="str">
        <f>UPPER('staffing plan'!AV131)</f>
        <v>REGINA T. DONG-E</v>
      </c>
      <c r="M121" t="str">
        <f>+'staffing plan'!AX131</f>
        <v>Ifugao</v>
      </c>
      <c r="N121" t="str">
        <f>+'staffing plan'!AY131</f>
        <v>F</v>
      </c>
      <c r="O121" s="145" t="e">
        <f>+'staffing plan'!#REF!</f>
        <v>#REF!</v>
      </c>
      <c r="P121" s="145" t="e">
        <f>+'staffing plan'!#REF!</f>
        <v>#REF!</v>
      </c>
      <c r="Q121" s="145" t="e">
        <f>+'staffing plan'!#REF!</f>
        <v>#REF!</v>
      </c>
      <c r="R121" t="str">
        <f>+'staffing plan'!BP131</f>
        <v>Shifting</v>
      </c>
      <c r="S121">
        <v>120</v>
      </c>
    </row>
    <row r="122" spans="2:19">
      <c r="B122">
        <f t="shared" ref="B122:B136" si="11">(YEAR(C122))</f>
        <v>2017</v>
      </c>
      <c r="C122">
        <f>+'staffing plan'!BK132</f>
        <v>43070</v>
      </c>
      <c r="D122" t="str">
        <f>'staffing plan'!A132</f>
        <v>OSEC-DILGB-LGOO6-48-2017</v>
      </c>
      <c r="E122" t="str">
        <f>+'staffing plan'!B132</f>
        <v>Local Government Operations OFFICER VI</v>
      </c>
      <c r="F122">
        <f>+'staffing plan'!C132</f>
        <v>22</v>
      </c>
      <c r="G122" s="131">
        <f>+'staffing plan'!AH132</f>
        <v>783828</v>
      </c>
      <c r="H122" s="131">
        <f>+'staffing plan'!AI132</f>
        <v>783828</v>
      </c>
      <c r="I122" s="131">
        <f>+'staffing plan'!AJ132</f>
        <v>1</v>
      </c>
      <c r="J122" t="str">
        <f>+'staffing plan'!AW132</f>
        <v>BANGO, Emmanuel Hiadan</v>
      </c>
      <c r="K122" t="str">
        <f>+'staffing plan'!AR132</f>
        <v>BANGO</v>
      </c>
      <c r="L122" t="str">
        <f>UPPER('staffing plan'!AV132)</f>
        <v>EMMANUEL H. BANGO</v>
      </c>
      <c r="M122" t="str">
        <f>+'staffing plan'!AX132</f>
        <v>Ifugao</v>
      </c>
      <c r="N122" t="str">
        <f>+'staffing plan'!AY132</f>
        <v>M</v>
      </c>
      <c r="O122" s="145" t="e">
        <f>+'staffing plan'!#REF!</f>
        <v>#REF!</v>
      </c>
      <c r="P122" s="145" t="e">
        <f>+'staffing plan'!#REF!</f>
        <v>#REF!</v>
      </c>
      <c r="Q122" s="145" t="e">
        <f>+'staffing plan'!#REF!</f>
        <v>#REF!</v>
      </c>
      <c r="R122">
        <f>+'staffing plan'!BP132</f>
        <v>0</v>
      </c>
      <c r="S122">
        <v>121</v>
      </c>
    </row>
    <row r="123" spans="2:19">
      <c r="B123">
        <f t="shared" si="11"/>
        <v>2017</v>
      </c>
      <c r="C123">
        <f>+'staffing plan'!BK133</f>
        <v>43070</v>
      </c>
      <c r="D123" t="str">
        <f>'staffing plan'!A133</f>
        <v>OSEC-DILGB-LGOO6-49-2017</v>
      </c>
      <c r="E123" t="str">
        <f>+'staffing plan'!B133</f>
        <v>Local Government Operations OFFICER VI</v>
      </c>
      <c r="F123">
        <f>+'staffing plan'!C133</f>
        <v>22</v>
      </c>
      <c r="G123" s="131">
        <f>+'staffing plan'!AH133</f>
        <v>783828</v>
      </c>
      <c r="H123" s="131">
        <f>+'staffing plan'!AI133</f>
        <v>783828</v>
      </c>
      <c r="I123" s="131">
        <f>+'staffing plan'!AJ133</f>
        <v>1</v>
      </c>
      <c r="J123" t="str">
        <f>+'staffing plan'!AW133</f>
        <v>ADAWE, Guillaume Lebbet</v>
      </c>
      <c r="K123" t="str">
        <f>+'staffing plan'!AR133</f>
        <v>ADAWE</v>
      </c>
      <c r="L123" t="str">
        <f>UPPER('staffing plan'!AV133)</f>
        <v>GUILLAUME L. ADAWE</v>
      </c>
      <c r="M123" t="str">
        <f>+'staffing plan'!AX133</f>
        <v>Ifugao</v>
      </c>
      <c r="N123" t="str">
        <f>+'staffing plan'!AY133</f>
        <v>M</v>
      </c>
      <c r="O123" s="145" t="e">
        <f>+'staffing plan'!#REF!</f>
        <v>#REF!</v>
      </c>
      <c r="P123" s="145" t="e">
        <f>+'staffing plan'!#REF!</f>
        <v>#REF!</v>
      </c>
      <c r="Q123" s="145" t="e">
        <f>+'staffing plan'!#REF!</f>
        <v>#REF!</v>
      </c>
      <c r="R123">
        <f>+'staffing plan'!BP133</f>
        <v>0</v>
      </c>
      <c r="S123">
        <v>122</v>
      </c>
    </row>
    <row r="124" spans="2:19">
      <c r="B124">
        <f t="shared" si="11"/>
        <v>2017</v>
      </c>
      <c r="C124">
        <f>+'staffing plan'!BK134</f>
        <v>43087</v>
      </c>
      <c r="D124" t="str">
        <f>'staffing plan'!A134</f>
        <v>OSEC-DILGB-LGOO6-50-2017</v>
      </c>
      <c r="E124" t="str">
        <f>+'staffing plan'!B134</f>
        <v>Local Government Operations OFFICER VI</v>
      </c>
      <c r="F124">
        <f>+'staffing plan'!C134</f>
        <v>22</v>
      </c>
      <c r="G124" s="131">
        <f>+'staffing plan'!AH134</f>
        <v>783828</v>
      </c>
      <c r="H124" s="131">
        <f>+'staffing plan'!AI134</f>
        <v>783828</v>
      </c>
      <c r="I124" s="131">
        <f>+'staffing plan'!AJ134</f>
        <v>1</v>
      </c>
      <c r="J124" t="str">
        <f>+'staffing plan'!AW134</f>
        <v>APLOSEN, Roselle Nanglegan</v>
      </c>
      <c r="K124" t="str">
        <f>+'staffing plan'!AR134</f>
        <v>APLOSEN</v>
      </c>
      <c r="L124" t="str">
        <f>UPPER('staffing plan'!AV134)</f>
        <v>ROSELLE N. APLOSEN</v>
      </c>
      <c r="M124" t="str">
        <f>+'staffing plan'!AX134</f>
        <v>Ifugao</v>
      </c>
      <c r="N124" t="str">
        <f>+'staffing plan'!AY134</f>
        <v>F</v>
      </c>
      <c r="O124" s="145" t="e">
        <f>+'staffing plan'!#REF!</f>
        <v>#REF!</v>
      </c>
      <c r="P124" s="145" t="e">
        <f>+'staffing plan'!#REF!</f>
        <v>#REF!</v>
      </c>
      <c r="Q124" s="145" t="e">
        <f>+'staffing plan'!#REF!</f>
        <v>#REF!</v>
      </c>
      <c r="R124">
        <f>+'staffing plan'!BP134</f>
        <v>0</v>
      </c>
      <c r="S124">
        <v>123</v>
      </c>
    </row>
    <row r="125" spans="2:19">
      <c r="B125">
        <f t="shared" si="11"/>
        <v>2017</v>
      </c>
      <c r="C125">
        <f>+'staffing plan'!BK135</f>
        <v>43070</v>
      </c>
      <c r="D125" t="str">
        <f>'staffing plan'!A135</f>
        <v>OSEC-DILGB-LGOO6-51-2017</v>
      </c>
      <c r="E125" t="str">
        <f>+'staffing plan'!B135</f>
        <v>Local Government Operations OFFICER VI</v>
      </c>
      <c r="F125">
        <f>+'staffing plan'!C135</f>
        <v>22</v>
      </c>
      <c r="G125" s="131">
        <f>+'staffing plan'!AH135</f>
        <v>783828</v>
      </c>
      <c r="H125" s="131">
        <f>+'staffing plan'!AI135</f>
        <v>783828</v>
      </c>
      <c r="I125" s="131">
        <f>+'staffing plan'!AJ135</f>
        <v>1</v>
      </c>
      <c r="J125" t="str">
        <f>+'staffing plan'!AW135</f>
        <v>UMALCO, Wilbert Mayam-o</v>
      </c>
      <c r="K125" t="str">
        <f>+'staffing plan'!AR135</f>
        <v>UMALCO</v>
      </c>
      <c r="L125" t="str">
        <f>UPPER('staffing plan'!AV135)</f>
        <v>WILBERT M. UMALCO</v>
      </c>
      <c r="M125" t="str">
        <f>+'staffing plan'!AX135</f>
        <v>Ifugao</v>
      </c>
      <c r="N125" t="str">
        <f>+'staffing plan'!AY135</f>
        <v>M</v>
      </c>
      <c r="O125" s="145" t="e">
        <f>+'staffing plan'!#REF!</f>
        <v>#REF!</v>
      </c>
      <c r="P125" s="145" t="e">
        <f>+'staffing plan'!#REF!</f>
        <v>#REF!</v>
      </c>
      <c r="Q125" s="145" t="e">
        <f>+'staffing plan'!#REF!</f>
        <v>#REF!</v>
      </c>
      <c r="R125">
        <f>+'staffing plan'!BP135</f>
        <v>0</v>
      </c>
      <c r="S125">
        <v>124</v>
      </c>
    </row>
    <row r="126" spans="2:19">
      <c r="B126">
        <f t="shared" si="11"/>
        <v>2017</v>
      </c>
      <c r="C126">
        <f>+'staffing plan'!BK136</f>
        <v>43070</v>
      </c>
      <c r="D126" t="str">
        <f>'staffing plan'!A136</f>
        <v>OSEC-DILGB-LGOO6-52-2017</v>
      </c>
      <c r="E126" t="str">
        <f>+'staffing plan'!B136</f>
        <v>Local Government Operations OFFICER VI</v>
      </c>
      <c r="F126">
        <f>+'staffing plan'!C136</f>
        <v>22</v>
      </c>
      <c r="G126" s="131">
        <f>+'staffing plan'!AH136</f>
        <v>783828</v>
      </c>
      <c r="H126" s="131">
        <f>+'staffing plan'!AI136</f>
        <v>783828</v>
      </c>
      <c r="I126" s="131">
        <f>+'staffing plan'!AJ136</f>
        <v>1</v>
      </c>
      <c r="J126" t="str">
        <f>+'staffing plan'!AW136</f>
        <v>LINDAWAN, Gilbert Nayahangan</v>
      </c>
      <c r="K126" t="str">
        <f>+'staffing plan'!AR136</f>
        <v>LINDAWAN</v>
      </c>
      <c r="L126" t="str">
        <f>UPPER('staffing plan'!AV136)</f>
        <v>GILBERT N. LINDAWAN</v>
      </c>
      <c r="M126" t="str">
        <f>+'staffing plan'!AX136</f>
        <v>Ifugao</v>
      </c>
      <c r="N126" t="str">
        <f>+'staffing plan'!AY136</f>
        <v>M</v>
      </c>
      <c r="O126" s="145" t="e">
        <f>+'staffing plan'!#REF!</f>
        <v>#REF!</v>
      </c>
      <c r="P126" s="145" t="e">
        <f>+'staffing plan'!#REF!</f>
        <v>#REF!</v>
      </c>
      <c r="Q126" s="145" t="e">
        <f>+'staffing plan'!#REF!</f>
        <v>#REF!</v>
      </c>
      <c r="R126">
        <f>+'staffing plan'!BP136</f>
        <v>0</v>
      </c>
      <c r="S126">
        <v>125</v>
      </c>
    </row>
    <row r="127" spans="2:19">
      <c r="B127">
        <f t="shared" si="11"/>
        <v>2017</v>
      </c>
      <c r="C127">
        <f>+'staffing plan'!BK137</f>
        <v>43070</v>
      </c>
      <c r="D127" t="str">
        <f>'staffing plan'!A137</f>
        <v>OSEC-DILGB-LGOO6-53-2017</v>
      </c>
      <c r="E127" t="str">
        <f>+'staffing plan'!B137</f>
        <v>Local Government Operations OFFICER VI</v>
      </c>
      <c r="F127">
        <f>+'staffing plan'!C137</f>
        <v>22</v>
      </c>
      <c r="G127" s="131">
        <f>+'staffing plan'!AH137</f>
        <v>783828</v>
      </c>
      <c r="H127" s="131">
        <f>+'staffing plan'!AI137</f>
        <v>783828</v>
      </c>
      <c r="I127" s="131">
        <f>+'staffing plan'!AJ137</f>
        <v>1</v>
      </c>
      <c r="J127" t="str">
        <f>+'staffing plan'!AW137</f>
        <v>MARCAIDA, Linda Himoldang</v>
      </c>
      <c r="K127" t="str">
        <f>+'staffing plan'!AR137</f>
        <v>MARCAIDA</v>
      </c>
      <c r="L127" t="str">
        <f>UPPER('staffing plan'!AV137)</f>
        <v>LINDA H. MARCAIDA</v>
      </c>
      <c r="M127" t="str">
        <f>+'staffing plan'!AX137</f>
        <v>Ifugao</v>
      </c>
      <c r="N127" t="str">
        <f>+'staffing plan'!AY137</f>
        <v>F</v>
      </c>
      <c r="O127" s="145" t="e">
        <f>+'staffing plan'!#REF!</f>
        <v>#REF!</v>
      </c>
      <c r="P127" s="145" t="e">
        <f>+'staffing plan'!#REF!</f>
        <v>#REF!</v>
      </c>
      <c r="Q127" s="145" t="e">
        <f>+'staffing plan'!#REF!</f>
        <v>#REF!</v>
      </c>
      <c r="R127">
        <f>+'staffing plan'!BP137</f>
        <v>0</v>
      </c>
      <c r="S127">
        <v>126</v>
      </c>
    </row>
    <row r="128" spans="2:19">
      <c r="B128">
        <f t="shared" si="11"/>
        <v>2017</v>
      </c>
      <c r="C128">
        <f>+'staffing plan'!BK138</f>
        <v>43070</v>
      </c>
      <c r="D128" t="str">
        <f>'staffing plan'!A138</f>
        <v>OSEC-DILGB-LGOO6-54-2017</v>
      </c>
      <c r="E128" t="str">
        <f>+'staffing plan'!B138</f>
        <v>Local Government Operations OFFICER VI</v>
      </c>
      <c r="F128">
        <f>+'staffing plan'!C138</f>
        <v>22</v>
      </c>
      <c r="G128" s="131">
        <f>+'staffing plan'!AH138</f>
        <v>783828</v>
      </c>
      <c r="H128" s="131">
        <f>+'staffing plan'!AI138</f>
        <v>783828</v>
      </c>
      <c r="I128" s="131">
        <f>+'staffing plan'!AJ138</f>
        <v>1</v>
      </c>
      <c r="J128" t="str">
        <f>+'staffing plan'!AW138</f>
        <v>LUCAS, Chris Berana</v>
      </c>
      <c r="K128" t="str">
        <f>+'staffing plan'!AR138</f>
        <v>LUCAS</v>
      </c>
      <c r="L128" t="str">
        <f>UPPER('staffing plan'!AV138)</f>
        <v>CHRIS B. LUCAS</v>
      </c>
      <c r="M128" t="str">
        <f>+'staffing plan'!AX138</f>
        <v>Kalinga</v>
      </c>
      <c r="N128" t="str">
        <f>+'staffing plan'!AY138</f>
        <v>M</v>
      </c>
      <c r="O128" s="145" t="e">
        <f>+'staffing plan'!#REF!</f>
        <v>#REF!</v>
      </c>
      <c r="P128" s="145" t="e">
        <f>+'staffing plan'!#REF!</f>
        <v>#REF!</v>
      </c>
      <c r="Q128" s="145" t="e">
        <f>+'staffing plan'!#REF!</f>
        <v>#REF!</v>
      </c>
      <c r="R128">
        <f>+'staffing plan'!BP138</f>
        <v>0</v>
      </c>
      <c r="S128">
        <v>127</v>
      </c>
    </row>
    <row r="129" spans="2:19">
      <c r="B129">
        <f t="shared" si="11"/>
        <v>2017</v>
      </c>
      <c r="C129">
        <f>+'staffing plan'!BK139</f>
        <v>43087</v>
      </c>
      <c r="D129" t="str">
        <f>'staffing plan'!A139</f>
        <v>OSEC-DILGB-LGOO6-55-2017</v>
      </c>
      <c r="E129" t="str">
        <f>+'staffing plan'!B139</f>
        <v>Local Government Operations OFFICER VI</v>
      </c>
      <c r="F129">
        <f>+'staffing plan'!C139</f>
        <v>22</v>
      </c>
      <c r="G129" s="131">
        <f>+'staffing plan'!AH139</f>
        <v>783828</v>
      </c>
      <c r="H129" s="131">
        <f>+'staffing plan'!AI139</f>
        <v>783828</v>
      </c>
      <c r="I129" s="131">
        <f>+'staffing plan'!AJ139</f>
        <v>1</v>
      </c>
      <c r="J129" t="str">
        <f>+'staffing plan'!AW139</f>
        <v>ACUAT, Alexander Gacuya</v>
      </c>
      <c r="K129" t="str">
        <f>+'staffing plan'!AR139</f>
        <v>ACUAT</v>
      </c>
      <c r="L129" t="str">
        <f>UPPER('staffing plan'!AV139)</f>
        <v>ALEXANDER G. ACUAT</v>
      </c>
      <c r="M129" t="str">
        <f>+'staffing plan'!AX139</f>
        <v>Kalinga</v>
      </c>
      <c r="N129" t="str">
        <f>+'staffing plan'!AY139</f>
        <v>M</v>
      </c>
      <c r="O129" s="145" t="e">
        <f>+'staffing plan'!#REF!</f>
        <v>#REF!</v>
      </c>
      <c r="P129" s="145" t="e">
        <f>+'staffing plan'!#REF!</f>
        <v>#REF!</v>
      </c>
      <c r="Q129" s="145" t="e">
        <f>+'staffing plan'!#REF!</f>
        <v>#REF!</v>
      </c>
      <c r="R129">
        <f>+'staffing plan'!BP139</f>
        <v>0</v>
      </c>
      <c r="S129">
        <v>128</v>
      </c>
    </row>
    <row r="130" spans="2:19">
      <c r="B130">
        <f t="shared" si="11"/>
        <v>2017</v>
      </c>
      <c r="C130">
        <f>+'staffing plan'!BK140</f>
        <v>43070</v>
      </c>
      <c r="D130" t="str">
        <f>'staffing plan'!A140</f>
        <v>OSEC-DILGB-LGOO6-56-2017</v>
      </c>
      <c r="E130" t="str">
        <f>+'staffing plan'!B140</f>
        <v>Local Government Operations OFFICER VI</v>
      </c>
      <c r="F130">
        <f>+'staffing plan'!C140</f>
        <v>22</v>
      </c>
      <c r="G130" s="131">
        <f>+'staffing plan'!AH140</f>
        <v>783828</v>
      </c>
      <c r="H130" s="131">
        <f>+'staffing plan'!AI140</f>
        <v>783828</v>
      </c>
      <c r="I130" s="131">
        <f>+'staffing plan'!AJ140</f>
        <v>1</v>
      </c>
      <c r="J130" t="str">
        <f>+'staffing plan'!AW140</f>
        <v>LORENZO, Elizabeth Perpetua Baylon</v>
      </c>
      <c r="K130" t="str">
        <f>+'staffing plan'!AR140</f>
        <v>LORENZO</v>
      </c>
      <c r="L130" t="str">
        <f>UPPER('staffing plan'!AV140)</f>
        <v>ELIZABETH PERPETUA B. LORENZO</v>
      </c>
      <c r="M130" t="str">
        <f>+'staffing plan'!AX140</f>
        <v>Kalinga</v>
      </c>
      <c r="N130" t="str">
        <f>+'staffing plan'!AY140</f>
        <v>F</v>
      </c>
      <c r="O130" s="145" t="e">
        <f>+'staffing plan'!#REF!</f>
        <v>#REF!</v>
      </c>
      <c r="P130" s="145" t="e">
        <f>+'staffing plan'!#REF!</f>
        <v>#REF!</v>
      </c>
      <c r="Q130" s="145" t="e">
        <f>+'staffing plan'!#REF!</f>
        <v>#REF!</v>
      </c>
      <c r="R130" t="str">
        <f>+'staffing plan'!BP140</f>
        <v>Shifting</v>
      </c>
      <c r="S130">
        <v>129</v>
      </c>
    </row>
    <row r="131" spans="2:19">
      <c r="B131">
        <f t="shared" si="11"/>
        <v>2017</v>
      </c>
      <c r="C131">
        <f>+'staffing plan'!BK141</f>
        <v>43087</v>
      </c>
      <c r="D131" t="str">
        <f>'staffing plan'!A141</f>
        <v>OSEC-DILGB-LGOO6-57-2017</v>
      </c>
      <c r="E131" t="str">
        <f>+'staffing plan'!B141</f>
        <v>Local Government Operations OFFICER VI</v>
      </c>
      <c r="F131">
        <f>+'staffing plan'!C141</f>
        <v>22</v>
      </c>
      <c r="G131" s="131">
        <f>+'staffing plan'!AH141</f>
        <v>783828</v>
      </c>
      <c r="H131" s="131">
        <f>+'staffing plan'!AI141</f>
        <v>783828</v>
      </c>
      <c r="I131" s="131">
        <f>+'staffing plan'!AJ141</f>
        <v>1</v>
      </c>
      <c r="J131" t="str">
        <f>+'staffing plan'!AW141</f>
        <v>LACUESTA, Helen Espita</v>
      </c>
      <c r="K131" t="str">
        <f>+'staffing plan'!AR141</f>
        <v>LACUESTA</v>
      </c>
      <c r="L131" t="str">
        <f>UPPER('staffing plan'!AV141)</f>
        <v>HELEN E. LACUESTA</v>
      </c>
      <c r="M131" t="str">
        <f>+'staffing plan'!AX141</f>
        <v>Kalinga</v>
      </c>
      <c r="N131" t="str">
        <f>+'staffing plan'!AY141</f>
        <v>F</v>
      </c>
      <c r="O131" s="145" t="e">
        <f>+'staffing plan'!#REF!</f>
        <v>#REF!</v>
      </c>
      <c r="P131" s="145" t="e">
        <f>+'staffing plan'!#REF!</f>
        <v>#REF!</v>
      </c>
      <c r="Q131" s="145" t="e">
        <f>+'staffing plan'!#REF!</f>
        <v>#REF!</v>
      </c>
      <c r="R131" t="str">
        <f>+'staffing plan'!BP141</f>
        <v>Shifting</v>
      </c>
      <c r="S131">
        <v>130</v>
      </c>
    </row>
    <row r="132" spans="2:19">
      <c r="B132">
        <f t="shared" si="11"/>
        <v>2017</v>
      </c>
      <c r="C132">
        <f>+'staffing plan'!BK142</f>
        <v>43070</v>
      </c>
      <c r="D132" t="str">
        <f>'staffing plan'!A142</f>
        <v>OSEC-DILGB-LGOO6-58-2017</v>
      </c>
      <c r="E132" t="str">
        <f>+'staffing plan'!B142</f>
        <v>Local Government Operations OFFICER VI</v>
      </c>
      <c r="F132">
        <f>+'staffing plan'!C142</f>
        <v>22</v>
      </c>
      <c r="G132" s="131">
        <f>+'staffing plan'!AH142</f>
        <v>783828</v>
      </c>
      <c r="H132" s="131">
        <f>+'staffing plan'!AI142</f>
        <v>783828</v>
      </c>
      <c r="I132" s="131">
        <f>+'staffing plan'!AJ142</f>
        <v>1</v>
      </c>
      <c r="J132" t="str">
        <f>+'staffing plan'!AW142</f>
        <v>ATING, Lucas Alsiyao</v>
      </c>
      <c r="K132" t="str">
        <f>+'staffing plan'!AR142</f>
        <v>ATING</v>
      </c>
      <c r="L132" t="str">
        <f>UPPER('staffing plan'!AV142)</f>
        <v>LUCAS A. ATING</v>
      </c>
      <c r="M132" t="str">
        <f>+'staffing plan'!AX142</f>
        <v>Kalinga</v>
      </c>
      <c r="N132" t="str">
        <f>+'staffing plan'!AY142</f>
        <v>M</v>
      </c>
      <c r="O132" s="145" t="e">
        <f>+'staffing plan'!#REF!</f>
        <v>#REF!</v>
      </c>
      <c r="P132" s="145" t="e">
        <f>+'staffing plan'!#REF!</f>
        <v>#REF!</v>
      </c>
      <c r="Q132" s="145" t="e">
        <f>+'staffing plan'!#REF!</f>
        <v>#REF!</v>
      </c>
      <c r="R132">
        <f>+'staffing plan'!BP142</f>
        <v>0</v>
      </c>
      <c r="S132">
        <v>131</v>
      </c>
    </row>
    <row r="133" spans="2:19">
      <c r="B133">
        <f t="shared" si="11"/>
        <v>2017</v>
      </c>
      <c r="C133">
        <f>+'staffing plan'!BK143</f>
        <v>43070</v>
      </c>
      <c r="D133" t="str">
        <f>'staffing plan'!A143</f>
        <v>OSEC-DILGB-LGOO6-59-2017</v>
      </c>
      <c r="E133" t="str">
        <f>+'staffing plan'!B143</f>
        <v>Local Government Operations OFFICER VI</v>
      </c>
      <c r="F133">
        <f>+'staffing plan'!C143</f>
        <v>22</v>
      </c>
      <c r="G133" s="131">
        <f>+'staffing plan'!AH143</f>
        <v>783828</v>
      </c>
      <c r="H133" s="131">
        <f>+'staffing plan'!AI143</f>
        <v>783828</v>
      </c>
      <c r="I133" s="131">
        <f>+'staffing plan'!AJ143</f>
        <v>1</v>
      </c>
      <c r="J133" t="str">
        <f>+'staffing plan'!AW143</f>
        <v>BAWANTA, Gemma Oga-oy</v>
      </c>
      <c r="K133" t="str">
        <f>+'staffing plan'!AR143</f>
        <v>BAWANTA</v>
      </c>
      <c r="L133" t="str">
        <f>UPPER('staffing plan'!AV143)</f>
        <v>GEMMA O. BAWANTA</v>
      </c>
      <c r="M133" t="str">
        <f>+'staffing plan'!AX143</f>
        <v>Kalinga</v>
      </c>
      <c r="N133" t="str">
        <f>+'staffing plan'!AY143</f>
        <v>F</v>
      </c>
      <c r="O133" s="145" t="e">
        <f>+'staffing plan'!#REF!</f>
        <v>#REF!</v>
      </c>
      <c r="P133" s="145" t="e">
        <f>+'staffing plan'!#REF!</f>
        <v>#REF!</v>
      </c>
      <c r="Q133" s="145" t="e">
        <f>+'staffing plan'!#REF!</f>
        <v>#REF!</v>
      </c>
      <c r="R133">
        <f>+'staffing plan'!BP143</f>
        <v>0</v>
      </c>
      <c r="S133">
        <v>132</v>
      </c>
    </row>
    <row r="134" spans="2:19">
      <c r="B134">
        <f t="shared" si="11"/>
        <v>2017</v>
      </c>
      <c r="C134">
        <f>+'staffing plan'!BK144</f>
        <v>43070</v>
      </c>
      <c r="D134" t="str">
        <f>'staffing plan'!A144</f>
        <v>OSEC-DILGB-LGOO6-60-2017</v>
      </c>
      <c r="E134" t="str">
        <f>+'staffing plan'!B144</f>
        <v>Local Government Operations OFFICER VI</v>
      </c>
      <c r="F134">
        <f>+'staffing plan'!C144</f>
        <v>22</v>
      </c>
      <c r="G134" s="131">
        <f>+'staffing plan'!AH144</f>
        <v>783828</v>
      </c>
      <c r="H134" s="131">
        <f>+'staffing plan'!AI144</f>
        <v>783828</v>
      </c>
      <c r="I134" s="131">
        <f>+'staffing plan'!AJ144</f>
        <v>1</v>
      </c>
      <c r="J134" t="str">
        <f>+'staffing plan'!AW144</f>
        <v>GAYUDAN, Franchita Lucob</v>
      </c>
      <c r="K134" t="str">
        <f>+'staffing plan'!AR144</f>
        <v>GAYUDAN</v>
      </c>
      <c r="L134" t="str">
        <f>UPPER('staffing plan'!AV144)</f>
        <v>FRANCHITA L. GAYUDAN</v>
      </c>
      <c r="M134" t="str">
        <f>+'staffing plan'!AX144</f>
        <v>Kalinga</v>
      </c>
      <c r="N134" t="str">
        <f>+'staffing plan'!AY144</f>
        <v>F</v>
      </c>
      <c r="O134" s="145" t="e">
        <f>+'staffing plan'!#REF!</f>
        <v>#REF!</v>
      </c>
      <c r="P134" s="145" t="e">
        <f>+'staffing plan'!#REF!</f>
        <v>#REF!</v>
      </c>
      <c r="Q134" s="145" t="e">
        <f>+'staffing plan'!#REF!</f>
        <v>#REF!</v>
      </c>
      <c r="R134" t="str">
        <f>+'staffing plan'!BP144</f>
        <v>Shifting</v>
      </c>
      <c r="S134">
        <v>133</v>
      </c>
    </row>
    <row r="135" spans="2:19">
      <c r="B135">
        <f t="shared" si="11"/>
        <v>2017</v>
      </c>
      <c r="C135">
        <f>+'staffing plan'!BK145</f>
        <v>43070</v>
      </c>
      <c r="D135" t="str">
        <f>'staffing plan'!A145</f>
        <v>OSEC-DILGB-LGOO6-61-2017</v>
      </c>
      <c r="E135" t="str">
        <f>+'staffing plan'!B145</f>
        <v>Local Government Operations Officer VI</v>
      </c>
      <c r="F135">
        <f>+'staffing plan'!C145</f>
        <v>22</v>
      </c>
      <c r="G135" s="131">
        <f>+'staffing plan'!AH145</f>
        <v>783828</v>
      </c>
      <c r="H135" s="131">
        <f>+'staffing plan'!AI145</f>
        <v>783828</v>
      </c>
      <c r="I135" s="131">
        <f>+'staffing plan'!AJ145</f>
        <v>1</v>
      </c>
      <c r="J135" t="str">
        <f>+'staffing plan'!AW145</f>
        <v>PEEL, Lourdes Claire Fanusan</v>
      </c>
      <c r="K135" t="str">
        <f>+'staffing plan'!AR145</f>
        <v>PEEL</v>
      </c>
      <c r="L135" t="str">
        <f>UPPER('staffing plan'!AV145)</f>
        <v>LOURDES CLAIRE F. PEEL</v>
      </c>
      <c r="M135" t="str">
        <f>+'staffing plan'!AX145</f>
        <v>Mt. Province</v>
      </c>
      <c r="N135" t="str">
        <f>+'staffing plan'!AY145</f>
        <v>F</v>
      </c>
      <c r="O135" s="145" t="e">
        <f>+'staffing plan'!#REF!</f>
        <v>#REF!</v>
      </c>
      <c r="P135" s="145" t="e">
        <f>+'staffing plan'!#REF!</f>
        <v>#REF!</v>
      </c>
      <c r="Q135" s="145" t="e">
        <f>+'staffing plan'!#REF!</f>
        <v>#REF!</v>
      </c>
      <c r="R135">
        <f>+'staffing plan'!BP145</f>
        <v>0</v>
      </c>
      <c r="S135">
        <v>134</v>
      </c>
    </row>
    <row r="136" spans="2:19">
      <c r="B136">
        <f t="shared" si="11"/>
        <v>2017</v>
      </c>
      <c r="C136">
        <f>+'staffing plan'!BK146</f>
        <v>43070</v>
      </c>
      <c r="D136" t="str">
        <f>'staffing plan'!A146</f>
        <v>OSEC-DILGB-LGOO6-62-2017</v>
      </c>
      <c r="E136" t="str">
        <f>+'staffing plan'!B146</f>
        <v>Local Government Operations Officer VI</v>
      </c>
      <c r="F136">
        <f>+'staffing plan'!C146</f>
        <v>22</v>
      </c>
      <c r="G136" s="131">
        <f>+'staffing plan'!AH146</f>
        <v>783828</v>
      </c>
      <c r="H136" s="131">
        <f>+'staffing plan'!AI146</f>
        <v>783828</v>
      </c>
      <c r="I136" s="131">
        <f>+'staffing plan'!AJ146</f>
        <v>1</v>
      </c>
      <c r="J136" t="str">
        <f>+'staffing plan'!AW146</f>
        <v>FEGCAN, Erwin Gerald Talusig</v>
      </c>
      <c r="K136" t="str">
        <f>+'staffing plan'!AR146</f>
        <v>FEGCAN</v>
      </c>
      <c r="L136" t="str">
        <f>UPPER('staffing plan'!AV146)</f>
        <v>ERWIN GERALD T. FEGCAN</v>
      </c>
      <c r="M136" t="str">
        <f>+'staffing plan'!AX146</f>
        <v>Mt. Province</v>
      </c>
      <c r="N136" t="str">
        <f>+'staffing plan'!AY146</f>
        <v>M</v>
      </c>
      <c r="O136" s="145" t="e">
        <f>+'staffing plan'!#REF!</f>
        <v>#REF!</v>
      </c>
      <c r="P136" s="145" t="e">
        <f>+'staffing plan'!#REF!</f>
        <v>#REF!</v>
      </c>
      <c r="Q136" s="145" t="e">
        <f>+'staffing plan'!#REF!</f>
        <v>#REF!</v>
      </c>
      <c r="R136">
        <f>+'staffing plan'!BP146</f>
        <v>0</v>
      </c>
      <c r="S136">
        <v>135</v>
      </c>
    </row>
    <row r="137" spans="2:19" hidden="1">
      <c r="B137">
        <f t="shared" ref="B137:B148" si="12">(YEAR(C137))</f>
        <v>2018</v>
      </c>
      <c r="C137">
        <f>+'staffing plan'!BK147</f>
        <v>43168</v>
      </c>
      <c r="D137" t="str">
        <f>'staffing plan'!A147</f>
        <v>OSEC-DILGB-LGOO6-63-2017</v>
      </c>
      <c r="E137" t="str">
        <f>+'staffing plan'!B147</f>
        <v>Local Government Operations Officer VI</v>
      </c>
      <c r="F137">
        <f>+'staffing plan'!C147</f>
        <v>22</v>
      </c>
      <c r="G137" s="131">
        <f>+'staffing plan'!AH147</f>
        <v>783828</v>
      </c>
      <c r="H137" s="131">
        <f>+'staffing plan'!AI147</f>
        <v>783828</v>
      </c>
      <c r="I137" s="131">
        <f>+'staffing plan'!AJ147</f>
        <v>1</v>
      </c>
      <c r="J137" t="str">
        <f>+'staffing plan'!AW147</f>
        <v>MANGANGEY, Robert Jr.  Palog</v>
      </c>
      <c r="K137" t="str">
        <f>+'staffing plan'!AR147</f>
        <v>MANGANGEY</v>
      </c>
      <c r="L137" t="str">
        <f>UPPER('staffing plan'!AV147)</f>
        <v>ROBERT JR.  P. MANGANGEY</v>
      </c>
      <c r="M137" t="str">
        <f>+'staffing plan'!AX147</f>
        <v>Mt. Province</v>
      </c>
      <c r="N137" t="str">
        <f>+'staffing plan'!AY147</f>
        <v>M</v>
      </c>
      <c r="O137" s="145" t="e">
        <f>+'staffing plan'!#REF!</f>
        <v>#REF!</v>
      </c>
      <c r="P137" s="145" t="e">
        <f>+'staffing plan'!#REF!</f>
        <v>#REF!</v>
      </c>
      <c r="Q137" s="145" t="e">
        <f>+'staffing plan'!#REF!</f>
        <v>#REF!</v>
      </c>
      <c r="R137" t="str">
        <f>+'staffing plan'!BP147</f>
        <v>Shifting</v>
      </c>
      <c r="S137">
        <v>136</v>
      </c>
    </row>
    <row r="138" spans="2:19">
      <c r="B138">
        <f t="shared" si="12"/>
        <v>2017</v>
      </c>
      <c r="C138">
        <f>+'staffing plan'!BK148</f>
        <v>43070</v>
      </c>
      <c r="D138" t="str">
        <f>'staffing plan'!A148</f>
        <v>OSEC-DILGB-LGOO6-64-2017</v>
      </c>
      <c r="E138" t="str">
        <f>+'staffing plan'!B148</f>
        <v>Local Government Operations Officer VI</v>
      </c>
      <c r="F138">
        <f>+'staffing plan'!C148</f>
        <v>22</v>
      </c>
      <c r="G138" s="131">
        <f>+'staffing plan'!AH148</f>
        <v>783828</v>
      </c>
      <c r="H138" s="131">
        <f>+'staffing plan'!AI148</f>
        <v>783828</v>
      </c>
      <c r="I138" s="131">
        <f>+'staffing plan'!AJ148</f>
        <v>1</v>
      </c>
      <c r="J138" t="str">
        <f>+'staffing plan'!AW148</f>
        <v>FA-ED, Jill  Fanged</v>
      </c>
      <c r="K138" t="str">
        <f>+'staffing plan'!AR148</f>
        <v>FA-ED</v>
      </c>
      <c r="L138" t="str">
        <f>UPPER('staffing plan'!AV148)</f>
        <v>JILL  F. FA-ED</v>
      </c>
      <c r="M138" t="str">
        <f>+'staffing plan'!AX148</f>
        <v>Mt. Province</v>
      </c>
      <c r="N138" t="str">
        <f>+'staffing plan'!AY148</f>
        <v>F</v>
      </c>
      <c r="O138" s="145" t="e">
        <f>+'staffing plan'!#REF!</f>
        <v>#REF!</v>
      </c>
      <c r="P138" s="145" t="e">
        <f>+'staffing plan'!#REF!</f>
        <v>#REF!</v>
      </c>
      <c r="Q138" s="145" t="e">
        <f>+'staffing plan'!#REF!</f>
        <v>#REF!</v>
      </c>
      <c r="R138">
        <f>+'staffing plan'!BP148</f>
        <v>0</v>
      </c>
      <c r="S138">
        <v>137</v>
      </c>
    </row>
    <row r="139" spans="2:19">
      <c r="B139">
        <f t="shared" si="12"/>
        <v>2017</v>
      </c>
      <c r="C139">
        <f>+'staffing plan'!BK149</f>
        <v>43087</v>
      </c>
      <c r="D139" t="str">
        <f>'staffing plan'!A149</f>
        <v>OSEC-DILGB-LGOO6-65-2017</v>
      </c>
      <c r="E139" t="str">
        <f>+'staffing plan'!B149</f>
        <v>Local Government Operations Officer VI</v>
      </c>
      <c r="F139">
        <f>+'staffing plan'!C149</f>
        <v>22</v>
      </c>
      <c r="G139" s="131">
        <f>+'staffing plan'!AH149</f>
        <v>783828</v>
      </c>
      <c r="H139" s="131">
        <f>+'staffing plan'!AI149</f>
        <v>783828</v>
      </c>
      <c r="I139" s="131">
        <f>+'staffing plan'!AJ149</f>
        <v>1</v>
      </c>
      <c r="J139" t="str">
        <f>+'staffing plan'!AW149</f>
        <v>BASCO, Raymundo Jacinto Pandoyos</v>
      </c>
      <c r="K139" t="str">
        <f>+'staffing plan'!AR149</f>
        <v>BASCO</v>
      </c>
      <c r="L139" t="str">
        <f>UPPER('staffing plan'!AV149)</f>
        <v>RAYMUNDO JACINTO P. BASCO</v>
      </c>
      <c r="M139" t="str">
        <f>+'staffing plan'!AX149</f>
        <v>Mt. Province</v>
      </c>
      <c r="N139" t="str">
        <f>+'staffing plan'!AY149</f>
        <v>M</v>
      </c>
      <c r="O139" s="145" t="e">
        <f>+'staffing plan'!#REF!</f>
        <v>#REF!</v>
      </c>
      <c r="P139" s="145" t="e">
        <f>+'staffing plan'!#REF!</f>
        <v>#REF!</v>
      </c>
      <c r="Q139" s="145" t="e">
        <f>+'staffing plan'!#REF!</f>
        <v>#REF!</v>
      </c>
      <c r="R139">
        <f>+'staffing plan'!BP149</f>
        <v>0</v>
      </c>
      <c r="S139">
        <v>138</v>
      </c>
    </row>
    <row r="140" spans="2:19">
      <c r="B140">
        <f t="shared" si="12"/>
        <v>2017</v>
      </c>
      <c r="C140">
        <f>+'staffing plan'!BK150</f>
        <v>43070</v>
      </c>
      <c r="D140" t="str">
        <f>'staffing plan'!A150</f>
        <v>OSEC-DILGB-LGOO6-66-2017</v>
      </c>
      <c r="E140" t="str">
        <f>+'staffing plan'!B150</f>
        <v>Local Government Operations Officer VI</v>
      </c>
      <c r="F140">
        <f>+'staffing plan'!C150</f>
        <v>22</v>
      </c>
      <c r="G140" s="131">
        <f>+'staffing plan'!AH150</f>
        <v>783828</v>
      </c>
      <c r="H140" s="131">
        <f>+'staffing plan'!AI150</f>
        <v>783828</v>
      </c>
      <c r="I140" s="131">
        <f>+'staffing plan'!AJ150</f>
        <v>1</v>
      </c>
      <c r="J140" t="str">
        <f>+'staffing plan'!AW150</f>
        <v>PILUDEN, Judy Colabot</v>
      </c>
      <c r="K140" t="str">
        <f>+'staffing plan'!AR150</f>
        <v>PILUDEN</v>
      </c>
      <c r="L140" t="str">
        <f>UPPER('staffing plan'!AV150)</f>
        <v>JUDY C. PILUDEN</v>
      </c>
      <c r="M140" t="str">
        <f>+'staffing plan'!AX150</f>
        <v>Mt. Province</v>
      </c>
      <c r="N140" t="str">
        <f>+'staffing plan'!AY150</f>
        <v>F</v>
      </c>
      <c r="O140" s="145" t="e">
        <f>+'staffing plan'!#REF!</f>
        <v>#REF!</v>
      </c>
      <c r="P140" s="145" t="e">
        <f>+'staffing plan'!#REF!</f>
        <v>#REF!</v>
      </c>
      <c r="Q140" s="145" t="e">
        <f>+'staffing plan'!#REF!</f>
        <v>#REF!</v>
      </c>
      <c r="R140">
        <f>+'staffing plan'!BP150</f>
        <v>0</v>
      </c>
      <c r="S140">
        <v>139</v>
      </c>
    </row>
    <row r="141" spans="2:19">
      <c r="B141">
        <f t="shared" si="12"/>
        <v>2017</v>
      </c>
      <c r="C141">
        <f>+'staffing plan'!BK151</f>
        <v>43089</v>
      </c>
      <c r="D141" t="str">
        <f>'staffing plan'!A151</f>
        <v>OSEC-DILGB-LGOO6-67-2017</v>
      </c>
      <c r="E141" t="str">
        <f>+'staffing plan'!B151</f>
        <v>Local Government Operations Officer VI</v>
      </c>
      <c r="F141">
        <f>+'staffing plan'!C151</f>
        <v>22</v>
      </c>
      <c r="G141" s="131">
        <f>+'staffing plan'!AH151</f>
        <v>783828</v>
      </c>
      <c r="H141" s="131">
        <f>+'staffing plan'!AI151</f>
        <v>783828</v>
      </c>
      <c r="I141" s="131">
        <f>+'staffing plan'!AJ151</f>
        <v>1</v>
      </c>
      <c r="J141" t="str">
        <f>+'staffing plan'!AW151</f>
        <v>MAYMAYA, Johnny Jr.  Mukay</v>
      </c>
      <c r="K141" t="str">
        <f>+'staffing plan'!AR151</f>
        <v>MAYMAYA</v>
      </c>
      <c r="L141" t="str">
        <f>UPPER('staffing plan'!AV151)</f>
        <v>JOHNNY JR.  M. MAYMAYA</v>
      </c>
      <c r="M141" t="str">
        <f>+'staffing plan'!AX151</f>
        <v>Mt. Province</v>
      </c>
      <c r="N141" t="str">
        <f>+'staffing plan'!AY151</f>
        <v>M</v>
      </c>
      <c r="O141" s="145" t="e">
        <f>+'staffing plan'!#REF!</f>
        <v>#REF!</v>
      </c>
      <c r="P141" s="145" t="e">
        <f>+'staffing plan'!#REF!</f>
        <v>#REF!</v>
      </c>
      <c r="Q141" s="145" t="e">
        <f>+'staffing plan'!#REF!</f>
        <v>#REF!</v>
      </c>
      <c r="R141" t="str">
        <f>+'staffing plan'!BP151</f>
        <v>Shifting</v>
      </c>
      <c r="S141">
        <v>140</v>
      </c>
    </row>
    <row r="142" spans="2:19">
      <c r="B142">
        <f t="shared" si="12"/>
        <v>2017</v>
      </c>
      <c r="C142">
        <f>+'staffing plan'!BK152</f>
        <v>43070</v>
      </c>
      <c r="D142" t="str">
        <f>'staffing plan'!A152</f>
        <v>OSEC-DILGB-LGOO6-68-2017</v>
      </c>
      <c r="E142" t="str">
        <f>+'staffing plan'!B152</f>
        <v>Local Government Operations Officer VI</v>
      </c>
      <c r="F142">
        <f>+'staffing plan'!C152</f>
        <v>22</v>
      </c>
      <c r="G142" s="131">
        <f>+'staffing plan'!AH152</f>
        <v>783828</v>
      </c>
      <c r="H142" s="131">
        <f>+'staffing plan'!AI152</f>
        <v>783828</v>
      </c>
      <c r="I142" s="131">
        <f>+'staffing plan'!AJ152</f>
        <v>1</v>
      </c>
      <c r="J142" t="str">
        <f>+'staffing plan'!AW152</f>
        <v>GUIAWAN, Maria Addalay</v>
      </c>
      <c r="K142" t="str">
        <f>+'staffing plan'!AR152</f>
        <v>GUIAWAN</v>
      </c>
      <c r="L142" t="str">
        <f>UPPER('staffing plan'!AV152)</f>
        <v>MARIA A. GUIAWAN</v>
      </c>
      <c r="M142" t="str">
        <f>+'staffing plan'!AX152</f>
        <v>Mt. Province</v>
      </c>
      <c r="N142" t="str">
        <f>+'staffing plan'!AY152</f>
        <v>F</v>
      </c>
      <c r="O142" s="145" t="e">
        <f>+'staffing plan'!#REF!</f>
        <v>#REF!</v>
      </c>
      <c r="P142" s="145" t="e">
        <f>+'staffing plan'!#REF!</f>
        <v>#REF!</v>
      </c>
      <c r="Q142" s="145" t="e">
        <f>+'staffing plan'!#REF!</f>
        <v>#REF!</v>
      </c>
      <c r="R142" t="str">
        <f>+'staffing plan'!BP152</f>
        <v>Shifting</v>
      </c>
      <c r="S142">
        <v>141</v>
      </c>
    </row>
    <row r="143" spans="2:19">
      <c r="B143">
        <f t="shared" si="12"/>
        <v>2017</v>
      </c>
      <c r="C143">
        <f>+'staffing plan'!BK153</f>
        <v>43070</v>
      </c>
      <c r="D143" t="str">
        <f>'staffing plan'!A153</f>
        <v>OSEC-DILGB-LGOO6-69-2017</v>
      </c>
      <c r="E143" t="str">
        <f>+'staffing plan'!B153</f>
        <v>Local Government Operations Officer VI</v>
      </c>
      <c r="F143">
        <f>+'staffing plan'!C153</f>
        <v>22</v>
      </c>
      <c r="G143" s="131">
        <f>+'staffing plan'!AH153</f>
        <v>783828</v>
      </c>
      <c r="H143" s="131">
        <f>+'staffing plan'!AI153</f>
        <v>783828</v>
      </c>
      <c r="I143" s="131">
        <f>+'staffing plan'!AJ153</f>
        <v>1</v>
      </c>
      <c r="J143" t="str">
        <f>+'staffing plan'!AW153</f>
        <v>BASILIO, Caridad  Ballang</v>
      </c>
      <c r="K143" t="str">
        <f>+'staffing plan'!AR153</f>
        <v>BASILIO</v>
      </c>
      <c r="L143" t="str">
        <f>UPPER('staffing plan'!AV153)</f>
        <v>CARIDAD  B. BASILIO</v>
      </c>
      <c r="M143" t="str">
        <f>+'staffing plan'!AX153</f>
        <v>Mt. Province</v>
      </c>
      <c r="N143" t="str">
        <f>+'staffing plan'!AY153</f>
        <v>F</v>
      </c>
      <c r="O143" s="145" t="e">
        <f>+'staffing plan'!#REF!</f>
        <v>#REF!</v>
      </c>
      <c r="P143" s="145" t="e">
        <f>+'staffing plan'!#REF!</f>
        <v>#REF!</v>
      </c>
      <c r="Q143" s="145" t="e">
        <f>+'staffing plan'!#REF!</f>
        <v>#REF!</v>
      </c>
      <c r="R143">
        <f>+'staffing plan'!BP153</f>
        <v>0</v>
      </c>
      <c r="S143">
        <v>142</v>
      </c>
    </row>
    <row r="144" spans="2:19">
      <c r="B144">
        <f t="shared" si="12"/>
        <v>2017</v>
      </c>
      <c r="C144">
        <f>+'staffing plan'!BK154</f>
        <v>43070</v>
      </c>
      <c r="D144" t="str">
        <f>'staffing plan'!A154</f>
        <v>OSEC-DILGB-LGOO6-70-2017</v>
      </c>
      <c r="E144" t="str">
        <f>+'staffing plan'!B154</f>
        <v>Local Government Operations Officer VI</v>
      </c>
      <c r="F144">
        <f>+'staffing plan'!C154</f>
        <v>22</v>
      </c>
      <c r="G144" s="131">
        <f>+'staffing plan'!AH154</f>
        <v>783828</v>
      </c>
      <c r="H144" s="131">
        <f>+'staffing plan'!AI154</f>
        <v>783828</v>
      </c>
      <c r="I144" s="131">
        <f>+'staffing plan'!AJ154</f>
        <v>1</v>
      </c>
      <c r="J144" t="str">
        <f>+'staffing plan'!AW154</f>
        <v>BALDERAMA, Antonio Badere</v>
      </c>
      <c r="K144" t="str">
        <f>+'staffing plan'!AR154</f>
        <v>BALDERAMA</v>
      </c>
      <c r="L144" t="str">
        <f>UPPER('staffing plan'!AV154)</f>
        <v>ANTONIO B. BALDERAMA</v>
      </c>
      <c r="M144" t="str">
        <f>+'staffing plan'!AX154</f>
        <v>Abra</v>
      </c>
      <c r="N144" t="str">
        <f>+'staffing plan'!AY154</f>
        <v>M</v>
      </c>
      <c r="O144" s="145" t="e">
        <f>+'staffing plan'!#REF!</f>
        <v>#REF!</v>
      </c>
      <c r="P144" s="145" t="e">
        <f>+'staffing plan'!#REF!</f>
        <v>#REF!</v>
      </c>
      <c r="Q144" s="145" t="e">
        <f>+'staffing plan'!#REF!</f>
        <v>#REF!</v>
      </c>
      <c r="R144">
        <f>+'staffing plan'!BP154</f>
        <v>0</v>
      </c>
      <c r="S144">
        <v>143</v>
      </c>
    </row>
    <row r="145" spans="2:19" hidden="1">
      <c r="B145">
        <f t="shared" si="12"/>
        <v>2019</v>
      </c>
      <c r="C145">
        <f>+'staffing plan'!BK155</f>
        <v>43518</v>
      </c>
      <c r="D145" t="str">
        <f>'staffing plan'!A155</f>
        <v>OSEC-DILGB-LGOO6-71-2017</v>
      </c>
      <c r="E145" t="str">
        <f>+'staffing plan'!B155</f>
        <v>Local Government Operations Officer VI</v>
      </c>
      <c r="F145">
        <f>+'staffing plan'!C155</f>
        <v>22</v>
      </c>
      <c r="G145" s="131">
        <f>+'staffing plan'!AH155</f>
        <v>783828</v>
      </c>
      <c r="H145" s="131">
        <f>+'staffing plan'!AI155</f>
        <v>783828</v>
      </c>
      <c r="I145" s="131">
        <f>+'staffing plan'!AJ155</f>
        <v>1</v>
      </c>
      <c r="J145" t="str">
        <f>+'staffing plan'!AW155</f>
        <v>GANO, Carol Guidangen</v>
      </c>
      <c r="K145" t="str">
        <f>+'staffing plan'!AR155</f>
        <v>GANO</v>
      </c>
      <c r="L145" t="str">
        <f>UPPER('staffing plan'!AV155)</f>
        <v>CAROL G. GANO</v>
      </c>
      <c r="M145" t="str">
        <f>+'staffing plan'!AX155</f>
        <v>Abra</v>
      </c>
      <c r="N145" t="str">
        <f>+'staffing plan'!AY155</f>
        <v>F</v>
      </c>
      <c r="O145" s="145" t="e">
        <f>+'staffing plan'!#REF!</f>
        <v>#REF!</v>
      </c>
      <c r="P145" s="145" t="e">
        <f>+'staffing plan'!#REF!</f>
        <v>#REF!</v>
      </c>
      <c r="Q145" s="145" t="e">
        <f>+'staffing plan'!#REF!</f>
        <v>#REF!</v>
      </c>
      <c r="R145">
        <f>+'staffing plan'!BP155</f>
        <v>0</v>
      </c>
      <c r="S145">
        <v>144</v>
      </c>
    </row>
    <row r="146" spans="2:19">
      <c r="B146">
        <f t="shared" si="12"/>
        <v>2017</v>
      </c>
      <c r="C146">
        <f>+'staffing plan'!BK156</f>
        <v>43070</v>
      </c>
      <c r="D146" t="str">
        <f>'staffing plan'!A156</f>
        <v>OSEC-DILGB-LGOO6-72-2017</v>
      </c>
      <c r="E146" t="str">
        <f>+'staffing plan'!B156</f>
        <v>Local Government Operations Officer VI</v>
      </c>
      <c r="F146">
        <f>+'staffing plan'!C156</f>
        <v>22</v>
      </c>
      <c r="G146" s="131">
        <f>+'staffing plan'!AH156</f>
        <v>783828</v>
      </c>
      <c r="H146" s="131">
        <f>+'staffing plan'!AI156</f>
        <v>783828</v>
      </c>
      <c r="I146" s="131">
        <f>+'staffing plan'!AJ156</f>
        <v>1</v>
      </c>
      <c r="J146" t="str">
        <f>+'staffing plan'!AW156</f>
        <v>MINA, Bramie Madarcos</v>
      </c>
      <c r="K146" t="str">
        <f>+'staffing plan'!AR156</f>
        <v>MINA</v>
      </c>
      <c r="L146" t="str">
        <f>UPPER('staffing plan'!AV156)</f>
        <v>BRAMIE M. MINA</v>
      </c>
      <c r="M146" t="str">
        <f>+'staffing plan'!AX156</f>
        <v>Abra</v>
      </c>
      <c r="N146" t="str">
        <f>+'staffing plan'!AY156</f>
        <v>M</v>
      </c>
      <c r="O146" s="145" t="e">
        <f>+'staffing plan'!#REF!</f>
        <v>#REF!</v>
      </c>
      <c r="P146" s="145" t="e">
        <f>+'staffing plan'!#REF!</f>
        <v>#REF!</v>
      </c>
      <c r="Q146" s="145" t="e">
        <f>+'staffing plan'!#REF!</f>
        <v>#REF!</v>
      </c>
      <c r="R146" t="str">
        <f>+'staffing plan'!BP156</f>
        <v>Shifting</v>
      </c>
      <c r="S146">
        <v>145</v>
      </c>
    </row>
    <row r="147" spans="2:19" hidden="1">
      <c r="B147">
        <f t="shared" si="12"/>
        <v>2016</v>
      </c>
      <c r="C147">
        <f>+'staffing plan'!BK157</f>
        <v>42597</v>
      </c>
      <c r="D147" t="str">
        <f>'staffing plan'!A157</f>
        <v>OSEC-DILGB-LGOO6-73-2017</v>
      </c>
      <c r="E147" t="str">
        <f>+'staffing plan'!B157</f>
        <v>Local Government Operations Officer VI</v>
      </c>
      <c r="F147">
        <f>+'staffing plan'!C157</f>
        <v>22</v>
      </c>
      <c r="G147" s="131">
        <f>+'staffing plan'!AH157</f>
        <v>783828</v>
      </c>
      <c r="H147" s="131">
        <f>+'staffing plan'!AI157</f>
        <v>783828</v>
      </c>
      <c r="I147" s="131">
        <f>+'staffing plan'!AJ157</f>
        <v>1</v>
      </c>
      <c r="J147" t="str">
        <f>+'staffing plan'!AW157</f>
        <v>WAGIAN, Cecilia Daupan</v>
      </c>
      <c r="K147" t="str">
        <f>+'staffing plan'!AR157</f>
        <v>WAGIAN</v>
      </c>
      <c r="L147" t="str">
        <f>UPPER('staffing plan'!AV157)</f>
        <v>CECILIA D. WAGIAN</v>
      </c>
      <c r="M147" t="str">
        <f>+'staffing plan'!AX157</f>
        <v>Benguet</v>
      </c>
      <c r="N147" t="str">
        <f>+'staffing plan'!AY157</f>
        <v>F</v>
      </c>
      <c r="O147" s="145" t="e">
        <f>+'staffing plan'!#REF!</f>
        <v>#REF!</v>
      </c>
      <c r="P147" s="145" t="e">
        <f>+'staffing plan'!#REF!</f>
        <v>#REF!</v>
      </c>
      <c r="Q147" s="145" t="e">
        <f>+'staffing plan'!#REF!</f>
        <v>#REF!</v>
      </c>
      <c r="R147" t="str">
        <f>+'staffing plan'!BP157</f>
        <v>Transfer from PM 1/3/18</v>
      </c>
      <c r="S147">
        <v>146</v>
      </c>
    </row>
    <row r="148" spans="2:19" hidden="1">
      <c r="B148">
        <f t="shared" si="12"/>
        <v>2018</v>
      </c>
      <c r="C148">
        <f>+'staffing plan'!BK158</f>
        <v>43109</v>
      </c>
      <c r="D148" t="str">
        <f>'staffing plan'!A158</f>
        <v>OSEC-DILGB-LGOO6-74-2017</v>
      </c>
      <c r="E148" t="str">
        <f>+'staffing plan'!B158</f>
        <v>Local Government Operations Officer VI</v>
      </c>
      <c r="F148">
        <f>+'staffing plan'!C158</f>
        <v>22</v>
      </c>
      <c r="G148" s="131">
        <f>+'staffing plan'!AH158</f>
        <v>783828</v>
      </c>
      <c r="H148" s="131">
        <f>+'staffing plan'!AI158</f>
        <v>783828</v>
      </c>
      <c r="I148" s="131">
        <f>+'staffing plan'!AJ158</f>
        <v>1</v>
      </c>
      <c r="J148" t="str">
        <f>+'staffing plan'!AW158</f>
        <v>FIAR-OD, Ray Bomas-ang</v>
      </c>
      <c r="K148" t="str">
        <f>+'staffing plan'!AR158</f>
        <v>FIAR-OD</v>
      </c>
      <c r="L148" t="str">
        <f>UPPER('staffing plan'!AV158)</f>
        <v>RAY B. FIAR-OD</v>
      </c>
      <c r="M148" t="str">
        <f>+'staffing plan'!AX158</f>
        <v>Mt. Province</v>
      </c>
      <c r="N148" t="str">
        <f>+'staffing plan'!AY158</f>
        <v>M</v>
      </c>
      <c r="O148" s="145" t="e">
        <f>+'staffing plan'!#REF!</f>
        <v>#REF!</v>
      </c>
      <c r="P148" s="145" t="e">
        <f>+'staffing plan'!#REF!</f>
        <v>#REF!</v>
      </c>
      <c r="Q148" s="145" t="e">
        <f>+'staffing plan'!#REF!</f>
        <v>#REF!</v>
      </c>
      <c r="R148" t="str">
        <f>+'staffing plan'!BP158</f>
        <v>Promotion</v>
      </c>
      <c r="S148">
        <v>147</v>
      </c>
    </row>
    <row r="149" spans="2:19" hidden="1">
      <c r="B149">
        <f t="shared" ref="B149:B166" si="13">(YEAR(C149))</f>
        <v>2015</v>
      </c>
      <c r="C149">
        <f>+'staffing plan'!BK159</f>
        <v>42354</v>
      </c>
      <c r="D149" t="str">
        <f>'staffing plan'!A159</f>
        <v>OSEC-DILGB-LGOO6-236-2010</v>
      </c>
      <c r="E149" t="str">
        <f>+'staffing plan'!B159</f>
        <v>Local Government Operations Officer VI</v>
      </c>
      <c r="F149">
        <f>+'staffing plan'!C159</f>
        <v>22</v>
      </c>
      <c r="G149" s="131">
        <f>+'staffing plan'!AH159</f>
        <v>783828</v>
      </c>
      <c r="H149" s="131">
        <f>+'staffing plan'!AI159</f>
        <v>796620</v>
      </c>
      <c r="I149" s="131">
        <f>+'staffing plan'!AJ159</f>
        <v>2</v>
      </c>
      <c r="J149" t="str">
        <f>+'staffing plan'!AW159</f>
        <v>ACERET, Wilnelia Martinez</v>
      </c>
      <c r="K149" t="str">
        <f>+'staffing plan'!AR159</f>
        <v>ACERET</v>
      </c>
      <c r="L149" t="str">
        <f>UPPER('staffing plan'!AV159)</f>
        <v>WILNELIA M. ACERET</v>
      </c>
      <c r="M149" t="str">
        <f>+'staffing plan'!AX159</f>
        <v>Apayao</v>
      </c>
      <c r="N149" t="str">
        <f>+'staffing plan'!AY159</f>
        <v>F</v>
      </c>
      <c r="O149" s="145" t="e">
        <f>+'staffing plan'!#REF!</f>
        <v>#REF!</v>
      </c>
      <c r="P149" s="145" t="e">
        <f>+'staffing plan'!#REF!</f>
        <v>#REF!</v>
      </c>
      <c r="Q149" s="145" t="e">
        <f>+'staffing plan'!#REF!</f>
        <v>#REF!</v>
      </c>
      <c r="R149">
        <f>+'staffing plan'!BP159</f>
        <v>0</v>
      </c>
      <c r="S149">
        <v>148</v>
      </c>
    </row>
    <row r="150" spans="2:19" hidden="1">
      <c r="B150">
        <f t="shared" si="13"/>
        <v>2018</v>
      </c>
      <c r="C150">
        <f>+'staffing plan'!BK160</f>
        <v>43129</v>
      </c>
      <c r="D150" t="str">
        <f>'staffing plan'!A160</f>
        <v>OSEC-DILGB-LGOO6-237-2010</v>
      </c>
      <c r="E150" t="str">
        <f>+'staffing plan'!B160</f>
        <v>Local Government Operations Officer VI</v>
      </c>
      <c r="F150">
        <f>+'staffing plan'!C160</f>
        <v>22</v>
      </c>
      <c r="G150" s="131">
        <f>+'staffing plan'!AH160</f>
        <v>783828</v>
      </c>
      <c r="H150" s="131">
        <f>+'staffing plan'!AI160</f>
        <v>783828</v>
      </c>
      <c r="I150" s="131">
        <f>+'staffing plan'!AJ160</f>
        <v>1</v>
      </c>
      <c r="J150" t="str">
        <f>+'staffing plan'!AW160</f>
        <v>BALLUG, Rene Vincent Ilacad</v>
      </c>
      <c r="K150" t="str">
        <f>+'staffing plan'!AR160</f>
        <v>BALLUG</v>
      </c>
      <c r="L150" t="str">
        <f>UPPER('staffing plan'!AV160)</f>
        <v>RENE VINCENT I. BALLUG</v>
      </c>
      <c r="M150" t="str">
        <f>+'staffing plan'!AX160</f>
        <v>Benguet</v>
      </c>
      <c r="N150" t="str">
        <f>+'staffing plan'!AY160</f>
        <v>M</v>
      </c>
      <c r="O150" s="145" t="e">
        <f>+'staffing plan'!#REF!</f>
        <v>#REF!</v>
      </c>
      <c r="P150" s="145" t="e">
        <f>+'staffing plan'!#REF!</f>
        <v>#REF!</v>
      </c>
      <c r="Q150" s="145" t="e">
        <f>+'staffing plan'!#REF!</f>
        <v>#REF!</v>
      </c>
      <c r="R150" t="str">
        <f>+'staffing plan'!BP160</f>
        <v>Benguet Transfer to MLGOO 1/3/18</v>
      </c>
      <c r="S150">
        <v>149</v>
      </c>
    </row>
    <row r="151" spans="2:19" hidden="1">
      <c r="B151">
        <f t="shared" si="13"/>
        <v>2019</v>
      </c>
      <c r="C151">
        <f>+'staffing plan'!BK161</f>
        <v>43497</v>
      </c>
      <c r="D151" t="str">
        <f>'staffing plan'!A161</f>
        <v>OSEC-DILGB-LGOO6-238-2010</v>
      </c>
      <c r="E151" t="str">
        <f>+'staffing plan'!B161</f>
        <v>Local Government Operations Officer VI</v>
      </c>
      <c r="F151">
        <f>+'staffing plan'!C161</f>
        <v>22</v>
      </c>
      <c r="G151" s="131">
        <f>+'staffing plan'!AH161</f>
        <v>783828</v>
      </c>
      <c r="H151" s="131">
        <f>+'staffing plan'!AI161</f>
        <v>783828</v>
      </c>
      <c r="I151" s="131">
        <f>+'staffing plan'!AJ161</f>
        <v>1</v>
      </c>
      <c r="J151" t="str">
        <f>+'staffing plan'!AW161</f>
        <v>GRIBA, Mary Ann Javier</v>
      </c>
      <c r="K151" t="str">
        <f>+'staffing plan'!AR161</f>
        <v>GRIBA</v>
      </c>
      <c r="L151" t="str">
        <f>UPPER('staffing plan'!AV161)</f>
        <v>MARY ANN J. GRIBA</v>
      </c>
      <c r="M151" t="str">
        <f>+'staffing plan'!AX161</f>
        <v>Mt. Province</v>
      </c>
      <c r="N151" t="str">
        <f>+'staffing plan'!AY161</f>
        <v>F</v>
      </c>
      <c r="O151" s="145" t="e">
        <f>+'staffing plan'!#REF!</f>
        <v>#REF!</v>
      </c>
      <c r="P151" s="145" t="e">
        <f>+'staffing plan'!#REF!</f>
        <v>#REF!</v>
      </c>
      <c r="Q151" s="145" t="e">
        <f>+'staffing plan'!#REF!</f>
        <v>#REF!</v>
      </c>
      <c r="R151">
        <f>+'staffing plan'!BP161</f>
        <v>0</v>
      </c>
      <c r="S151">
        <v>150</v>
      </c>
    </row>
    <row r="152" spans="2:19" hidden="1">
      <c r="B152">
        <f t="shared" si="13"/>
        <v>2019</v>
      </c>
      <c r="C152">
        <f>+'staffing plan'!BK162</f>
        <v>43518</v>
      </c>
      <c r="D152" t="str">
        <f>'staffing plan'!A162</f>
        <v>OSEC-DILGB-LGOO6-240-2010</v>
      </c>
      <c r="E152" t="str">
        <f>+'staffing plan'!B162</f>
        <v>Local Government Operations Officer VI</v>
      </c>
      <c r="F152">
        <f>+'staffing plan'!C162</f>
        <v>22</v>
      </c>
      <c r="G152" s="131">
        <f>+'staffing plan'!AH162</f>
        <v>783828</v>
      </c>
      <c r="H152" s="131">
        <f>+'staffing plan'!AI162</f>
        <v>783828</v>
      </c>
      <c r="I152" s="131">
        <f>+'staffing plan'!AJ162</f>
        <v>1</v>
      </c>
      <c r="J152" t="str">
        <f>+'staffing plan'!AW162</f>
        <v>CHUNANON, Kliene Pasaraba</v>
      </c>
      <c r="K152" t="str">
        <f>+'staffing plan'!AR162</f>
        <v>CHUNANON</v>
      </c>
      <c r="L152" t="str">
        <f>UPPER('staffing plan'!AV162)</f>
        <v>KLIENE P. CHUNANON</v>
      </c>
      <c r="M152" t="str">
        <f>+'staffing plan'!AX162</f>
        <v>Kalinga</v>
      </c>
      <c r="N152" t="str">
        <f>+'staffing plan'!AY162</f>
        <v>M</v>
      </c>
      <c r="O152" s="145" t="e">
        <f>+'staffing plan'!#REF!</f>
        <v>#REF!</v>
      </c>
      <c r="P152" s="145" t="e">
        <f>+'staffing plan'!#REF!</f>
        <v>#REF!</v>
      </c>
      <c r="Q152" s="145" t="e">
        <f>+'staffing plan'!#REF!</f>
        <v>#REF!</v>
      </c>
      <c r="R152">
        <f>+'staffing plan'!BP162</f>
        <v>0</v>
      </c>
      <c r="S152">
        <v>151</v>
      </c>
    </row>
    <row r="153" spans="2:19" hidden="1">
      <c r="B153">
        <f t="shared" si="13"/>
        <v>2018</v>
      </c>
      <c r="C153">
        <f>+'staffing plan'!BK163</f>
        <v>43132</v>
      </c>
      <c r="D153" t="str">
        <f>'staffing plan'!A163</f>
        <v>OSEC-DILGB-LGOO6-1268-2017</v>
      </c>
      <c r="E153" t="str">
        <f>+'staffing plan'!B163</f>
        <v>Local Government Operations Officer VI</v>
      </c>
      <c r="F153">
        <f>+'staffing plan'!C163</f>
        <v>22</v>
      </c>
      <c r="G153" s="131">
        <f>+'staffing plan'!AH163</f>
        <v>783828</v>
      </c>
      <c r="H153" s="131">
        <f>+'staffing plan'!AI163</f>
        <v>783828</v>
      </c>
      <c r="I153" s="131">
        <f>+'staffing plan'!AJ163</f>
        <v>1</v>
      </c>
      <c r="J153" t="str">
        <f>+'staffing plan'!AW163</f>
        <v>MALIG, Julie Capiato</v>
      </c>
      <c r="K153" t="str">
        <f>+'staffing plan'!AR163</f>
        <v>MALIG</v>
      </c>
      <c r="L153" t="str">
        <f>UPPER('staffing plan'!AV163)</f>
        <v>JULIE C. MALIG</v>
      </c>
      <c r="M153" t="str">
        <f>+'staffing plan'!AX163</f>
        <v>Benguet</v>
      </c>
      <c r="N153" t="str">
        <f>+'staffing plan'!AY163</f>
        <v>F</v>
      </c>
      <c r="O153" s="145" t="e">
        <f>+'staffing plan'!#REF!</f>
        <v>#REF!</v>
      </c>
      <c r="P153" s="145" t="e">
        <f>+'staffing plan'!#REF!</f>
        <v>#REF!</v>
      </c>
      <c r="Q153" s="145" t="e">
        <f>+'staffing plan'!#REF!</f>
        <v>#REF!</v>
      </c>
      <c r="R153">
        <f>+'staffing plan'!BP163</f>
        <v>0</v>
      </c>
      <c r="S153">
        <v>152</v>
      </c>
    </row>
    <row r="154" spans="2:19">
      <c r="B154">
        <f t="shared" si="13"/>
        <v>2011</v>
      </c>
      <c r="C154">
        <f>+'staffing plan'!BK164</f>
        <v>40896</v>
      </c>
      <c r="D154" t="str">
        <f>'staffing plan'!A164</f>
        <v>OSEC-DILGB-LGOO5-101-2010</v>
      </c>
      <c r="E154" t="str">
        <f>+'staffing plan'!B164</f>
        <v>Local Government Operations Officer V</v>
      </c>
      <c r="F154">
        <f>+'staffing plan'!C164</f>
        <v>20</v>
      </c>
      <c r="G154" s="131">
        <f>+'staffing plan'!AH164</f>
        <v>613860</v>
      </c>
      <c r="H154" s="131">
        <f>+'staffing plan'!AI164</f>
        <v>634056</v>
      </c>
      <c r="I154" s="131">
        <f>+'staffing plan'!AJ164</f>
        <v>3</v>
      </c>
      <c r="J154" t="str">
        <f>+'staffing plan'!AW164</f>
        <v>MABIASAN, Domingo Gaw-i</v>
      </c>
      <c r="K154" t="str">
        <f>+'staffing plan'!AR164</f>
        <v>MABIASAN</v>
      </c>
      <c r="L154" t="str">
        <f>UPPER('staffing plan'!AV164)</f>
        <v>DOMINGO G. MABIASAN</v>
      </c>
      <c r="M154" t="str">
        <f>+'staffing plan'!AX164</f>
        <v>Mt. Province</v>
      </c>
      <c r="N154" t="str">
        <f>+'staffing plan'!AY164</f>
        <v>M</v>
      </c>
      <c r="O154" s="145" t="e">
        <f>+'staffing plan'!#REF!</f>
        <v>#REF!</v>
      </c>
      <c r="P154" s="145" t="e">
        <f>+'staffing plan'!#REF!</f>
        <v>#REF!</v>
      </c>
      <c r="Q154" s="145" t="e">
        <f>+'staffing plan'!#REF!</f>
        <v>#REF!</v>
      </c>
      <c r="R154">
        <f>+'staffing plan'!BP164</f>
        <v>0</v>
      </c>
      <c r="S154">
        <v>153</v>
      </c>
    </row>
    <row r="155" spans="2:19" hidden="1">
      <c r="B155">
        <f t="shared" si="13"/>
        <v>1900</v>
      </c>
      <c r="C155">
        <f>+'staffing plan'!BK165</f>
        <v>0</v>
      </c>
      <c r="D155" t="str">
        <f>'staffing plan'!A165</f>
        <v>OSEC-DILGB-LGOO5-877-1998</v>
      </c>
      <c r="E155" t="str">
        <f>+'staffing plan'!B165</f>
        <v>Local Government Operations Officer V</v>
      </c>
      <c r="F155">
        <f>+'staffing plan'!C165</f>
        <v>20</v>
      </c>
      <c r="G155" s="131">
        <f>+'staffing plan'!AH165</f>
        <v>613860</v>
      </c>
      <c r="H155" s="131">
        <f>+'staffing plan'!AI165</f>
        <v>0</v>
      </c>
      <c r="I155" s="131">
        <f>+'staffing plan'!AJ165</f>
        <v>0</v>
      </c>
      <c r="J155" t="str">
        <f>+'staffing plan'!AW165</f>
        <v xml:space="preserve">Vacant gano,  </v>
      </c>
      <c r="K155" t="str">
        <f>+'staffing plan'!AR165</f>
        <v>Vacant gano</v>
      </c>
      <c r="L155" t="str">
        <f>UPPER('staffing plan'!AV165)</f>
        <v xml:space="preserve"> . VACANT GANO</v>
      </c>
      <c r="M155">
        <f>+'staffing plan'!AX165</f>
        <v>0</v>
      </c>
      <c r="N155">
        <f>+'staffing plan'!AY165</f>
        <v>0</v>
      </c>
      <c r="O155" s="145" t="e">
        <f>+'staffing plan'!#REF!</f>
        <v>#REF!</v>
      </c>
      <c r="P155" s="145" t="e">
        <f>+'staffing plan'!#REF!</f>
        <v>#REF!</v>
      </c>
      <c r="Q155" s="145" t="e">
        <f>+'staffing plan'!#REF!</f>
        <v>#REF!</v>
      </c>
      <c r="R155">
        <f>+'staffing plan'!BP165</f>
        <v>0</v>
      </c>
      <c r="S155">
        <v>154</v>
      </c>
    </row>
    <row r="156" spans="2:19" hidden="1">
      <c r="B156">
        <f t="shared" si="13"/>
        <v>2015</v>
      </c>
      <c r="C156">
        <f>+'staffing plan'!BK166</f>
        <v>42289</v>
      </c>
      <c r="D156" t="str">
        <f>'staffing plan'!A166</f>
        <v>OSEC-DILGB-LGOO5-897-1998</v>
      </c>
      <c r="E156" t="str">
        <f>+'staffing plan'!B166</f>
        <v>Local Government Operations Officer V</v>
      </c>
      <c r="F156">
        <f>+'staffing plan'!C166</f>
        <v>20</v>
      </c>
      <c r="G156" s="131">
        <f>+'staffing plan'!AH166</f>
        <v>613860</v>
      </c>
      <c r="H156" s="131">
        <f>+'staffing plan'!AI166</f>
        <v>623868</v>
      </c>
      <c r="I156" s="131">
        <f>+'staffing plan'!AJ166</f>
        <v>2</v>
      </c>
      <c r="J156" t="str">
        <f>+'staffing plan'!AW166</f>
        <v>VALERA, Sharima  Tomas</v>
      </c>
      <c r="K156" t="str">
        <f>+'staffing plan'!AR166</f>
        <v>VALERA</v>
      </c>
      <c r="L156" t="str">
        <f>UPPER('staffing plan'!AV166)</f>
        <v>SHARIMA  T. VALERA</v>
      </c>
      <c r="M156" t="str">
        <f>+'staffing plan'!AX166</f>
        <v>Abra</v>
      </c>
      <c r="N156" t="str">
        <f>+'staffing plan'!AY166</f>
        <v>F</v>
      </c>
      <c r="O156" s="145" t="e">
        <f>+'staffing plan'!#REF!</f>
        <v>#REF!</v>
      </c>
      <c r="P156" s="145" t="e">
        <f>+'staffing plan'!#REF!</f>
        <v>#REF!</v>
      </c>
      <c r="Q156" s="145" t="e">
        <f>+'staffing plan'!#REF!</f>
        <v>#REF!</v>
      </c>
      <c r="R156" t="str">
        <f>+'staffing plan'!BP166</f>
        <v>Shifting</v>
      </c>
      <c r="S156">
        <v>155</v>
      </c>
    </row>
    <row r="157" spans="2:19" hidden="1">
      <c r="B157">
        <f t="shared" si="13"/>
        <v>2019</v>
      </c>
      <c r="C157">
        <f>+'staffing plan'!BK167</f>
        <v>43518</v>
      </c>
      <c r="D157" t="str">
        <f>'staffing plan'!A167</f>
        <v>OSEC-DILGB-LGOO5-903-1998</v>
      </c>
      <c r="E157" t="str">
        <f>+'staffing plan'!B167</f>
        <v>Local Government Operations Officer V</v>
      </c>
      <c r="F157">
        <f>+'staffing plan'!C167</f>
        <v>20</v>
      </c>
      <c r="G157" s="131">
        <f>+'staffing plan'!AH167</f>
        <v>613860</v>
      </c>
      <c r="H157" s="131">
        <f>+'staffing plan'!AI167</f>
        <v>613860</v>
      </c>
      <c r="I157" s="131">
        <f>+'staffing plan'!AJ167</f>
        <v>1</v>
      </c>
      <c r="J157" t="str">
        <f>+'staffing plan'!AW167</f>
        <v>SAGUIYOD, Rose-Ann Ballangan</v>
      </c>
      <c r="K157" t="str">
        <f>+'staffing plan'!AR167</f>
        <v>SAGUIYOD</v>
      </c>
      <c r="L157" t="str">
        <f>UPPER('staffing plan'!AV167)</f>
        <v>ROSE-ANN B. SAGUIYOD</v>
      </c>
      <c r="M157" t="str">
        <f>+'staffing plan'!AX167</f>
        <v>Abra</v>
      </c>
      <c r="N157" t="str">
        <f>+'staffing plan'!AY167</f>
        <v>F</v>
      </c>
      <c r="O157" s="145" t="e">
        <f>+'staffing plan'!#REF!</f>
        <v>#REF!</v>
      </c>
      <c r="P157" s="145" t="e">
        <f>+'staffing plan'!#REF!</f>
        <v>#REF!</v>
      </c>
      <c r="Q157" s="145" t="e">
        <f>+'staffing plan'!#REF!</f>
        <v>#REF!</v>
      </c>
      <c r="R157">
        <f>+'staffing plan'!BP167</f>
        <v>0</v>
      </c>
      <c r="S157">
        <v>156</v>
      </c>
    </row>
    <row r="158" spans="2:19" hidden="1">
      <c r="B158">
        <f t="shared" si="13"/>
        <v>2018</v>
      </c>
      <c r="C158">
        <f>+'staffing plan'!BK168</f>
        <v>43129</v>
      </c>
      <c r="D158" t="str">
        <f>'staffing plan'!A168</f>
        <v>OSEC-DILGB-LGOO5-921-1998</v>
      </c>
      <c r="E158" t="str">
        <f>+'staffing plan'!B168</f>
        <v>Local Government Operations Officer V</v>
      </c>
      <c r="F158">
        <f>+'staffing plan'!C168</f>
        <v>20</v>
      </c>
      <c r="G158" s="131">
        <f>+'staffing plan'!AH168</f>
        <v>613860</v>
      </c>
      <c r="H158" s="131">
        <f>+'staffing plan'!AI168</f>
        <v>613860</v>
      </c>
      <c r="I158" s="131">
        <f>+'staffing plan'!AJ168</f>
        <v>1</v>
      </c>
      <c r="J158" t="str">
        <f>+'staffing plan'!AW168</f>
        <v>TRINIDAD, Santos Beñas</v>
      </c>
      <c r="K158" t="str">
        <f>+'staffing plan'!AR168</f>
        <v>TRINIDAD</v>
      </c>
      <c r="L158" t="str">
        <f>UPPER('staffing plan'!AV168)</f>
        <v>SANTOS B. TRINIDAD</v>
      </c>
      <c r="M158" t="str">
        <f>+'staffing plan'!AX168</f>
        <v>Abra</v>
      </c>
      <c r="N158" t="str">
        <f>+'staffing plan'!AY168</f>
        <v>M</v>
      </c>
      <c r="O158" s="145" t="e">
        <f>+'staffing plan'!#REF!</f>
        <v>#REF!</v>
      </c>
      <c r="P158" s="145" t="e">
        <f>+'staffing plan'!#REF!</f>
        <v>#REF!</v>
      </c>
      <c r="Q158" s="145" t="e">
        <f>+'staffing plan'!#REF!</f>
        <v>#REF!</v>
      </c>
      <c r="R158" t="str">
        <f>+'staffing plan'!BP168</f>
        <v>Abra</v>
      </c>
      <c r="S158">
        <v>157</v>
      </c>
    </row>
    <row r="159" spans="2:19" hidden="1">
      <c r="B159">
        <f t="shared" si="13"/>
        <v>2012</v>
      </c>
      <c r="C159">
        <f>+'staffing plan'!BK169</f>
        <v>41138</v>
      </c>
      <c r="D159" t="str">
        <f>'staffing plan'!A169</f>
        <v>OSEC-DILGB-LGOO5-925-1998</v>
      </c>
      <c r="E159" t="str">
        <f>+'staffing plan'!B169</f>
        <v>Local Government Operations Officer V</v>
      </c>
      <c r="F159">
        <f>+'staffing plan'!C169</f>
        <v>20</v>
      </c>
      <c r="G159" s="131">
        <f>+'staffing plan'!AH169</f>
        <v>613860</v>
      </c>
      <c r="H159" s="131">
        <f>+'staffing plan'!AI169</f>
        <v>634056</v>
      </c>
      <c r="I159" s="131">
        <f>+'staffing plan'!AJ169</f>
        <v>3</v>
      </c>
      <c r="J159" t="str">
        <f>+'staffing plan'!AW169</f>
        <v>MANGANGEY, Ma. Teresa Ancheta</v>
      </c>
      <c r="K159" t="str">
        <f>+'staffing plan'!AR169</f>
        <v>MANGANGEY</v>
      </c>
      <c r="L159" t="str">
        <f>UPPER('staffing plan'!AV169)</f>
        <v>MA. TERESA A. MANGANGEY</v>
      </c>
      <c r="M159" t="str">
        <f>+'staffing plan'!AX169</f>
        <v>Benguet</v>
      </c>
      <c r="N159" t="str">
        <f>+'staffing plan'!AY169</f>
        <v>F</v>
      </c>
      <c r="O159" s="145" t="e">
        <f>+'staffing plan'!#REF!</f>
        <v>#REF!</v>
      </c>
      <c r="P159" s="145" t="e">
        <f>+'staffing plan'!#REF!</f>
        <v>#REF!</v>
      </c>
      <c r="Q159" s="145" t="e">
        <f>+'staffing plan'!#REF!</f>
        <v>#REF!</v>
      </c>
      <c r="R159">
        <f>+'staffing plan'!BP169</f>
        <v>0</v>
      </c>
      <c r="S159">
        <v>158</v>
      </c>
    </row>
    <row r="160" spans="2:19">
      <c r="B160">
        <f t="shared" si="13"/>
        <v>2002</v>
      </c>
      <c r="C160">
        <f>+'staffing plan'!BK170</f>
        <v>37453</v>
      </c>
      <c r="D160" t="str">
        <f>'staffing plan'!A170</f>
        <v>OSEC-DILGB-LGOO5-934-1998</v>
      </c>
      <c r="E160" t="str">
        <f>+'staffing plan'!B170</f>
        <v>Local Government Operations Officer V</v>
      </c>
      <c r="F160">
        <f>+'staffing plan'!C170</f>
        <v>20</v>
      </c>
      <c r="G160" s="131">
        <f>+'staffing plan'!AH170</f>
        <v>613860</v>
      </c>
      <c r="H160" s="131">
        <f>+'staffing plan'!AI170</f>
        <v>665616</v>
      </c>
      <c r="I160" s="131">
        <f>+'staffing plan'!AJ170</f>
        <v>6</v>
      </c>
      <c r="J160" t="str">
        <f>+'staffing plan'!AW170</f>
        <v>OLANGCAY, Elizabeth Saguid</v>
      </c>
      <c r="K160" t="str">
        <f>+'staffing plan'!AR170</f>
        <v>OLANGCAY</v>
      </c>
      <c r="L160" t="str">
        <f>UPPER('staffing plan'!AV170)</f>
        <v>ELIZABETH S. OLANGCAY</v>
      </c>
      <c r="M160" t="str">
        <f>+'staffing plan'!AX170</f>
        <v>Benguet</v>
      </c>
      <c r="N160" t="str">
        <f>+'staffing plan'!AY170</f>
        <v>F</v>
      </c>
      <c r="O160" s="145" t="e">
        <f>+'staffing plan'!#REF!</f>
        <v>#REF!</v>
      </c>
      <c r="P160" s="145" t="e">
        <f>+'staffing plan'!#REF!</f>
        <v>#REF!</v>
      </c>
      <c r="Q160" s="145" t="e">
        <f>+'staffing plan'!#REF!</f>
        <v>#REF!</v>
      </c>
      <c r="R160" t="str">
        <f>+'staffing plan'!BP170</f>
        <v>Shifting</v>
      </c>
      <c r="S160">
        <v>159</v>
      </c>
    </row>
    <row r="161" spans="2:19" hidden="1">
      <c r="B161">
        <f t="shared" si="13"/>
        <v>2018</v>
      </c>
      <c r="C161">
        <f>+'staffing plan'!BK171</f>
        <v>43283</v>
      </c>
      <c r="D161" t="str">
        <f>'staffing plan'!A171</f>
        <v>OSEC-DILGB-LGOO5-943-1998</v>
      </c>
      <c r="E161" t="str">
        <f>+'staffing plan'!B171</f>
        <v>Local Government Operations Officer V</v>
      </c>
      <c r="F161">
        <f>+'staffing plan'!C171</f>
        <v>20</v>
      </c>
      <c r="G161" s="131">
        <f>+'staffing plan'!AH171</f>
        <v>613860</v>
      </c>
      <c r="H161" s="131">
        <f>+'staffing plan'!AI171</f>
        <v>613860</v>
      </c>
      <c r="I161" s="131">
        <f>+'staffing plan'!AJ171</f>
        <v>1</v>
      </c>
      <c r="J161" t="str">
        <f>+'staffing plan'!AW171</f>
        <v>BACWADEN, Perry  Daoas</v>
      </c>
      <c r="K161" t="str">
        <f>+'staffing plan'!AR171</f>
        <v>BACWADEN</v>
      </c>
      <c r="L161" t="str">
        <f>UPPER('staffing plan'!AV171)</f>
        <v>PERRY  D. BACWADEN</v>
      </c>
      <c r="M161" t="str">
        <f>+'staffing plan'!AX171</f>
        <v>Mt. Province</v>
      </c>
      <c r="N161" t="str">
        <f>+'staffing plan'!AY171</f>
        <v>M</v>
      </c>
      <c r="O161" s="145" t="e">
        <f>+'staffing plan'!#REF!</f>
        <v>#REF!</v>
      </c>
      <c r="P161" s="145" t="e">
        <f>+'staffing plan'!#REF!</f>
        <v>#REF!</v>
      </c>
      <c r="Q161" s="145" t="e">
        <f>+'staffing plan'!#REF!</f>
        <v>#REF!</v>
      </c>
      <c r="R161">
        <f>+'staffing plan'!BP171</f>
        <v>0</v>
      </c>
      <c r="S161">
        <v>160</v>
      </c>
    </row>
    <row r="162" spans="2:19" hidden="1">
      <c r="B162">
        <f t="shared" si="13"/>
        <v>2018</v>
      </c>
      <c r="C162">
        <f>+'staffing plan'!BK172</f>
        <v>43129</v>
      </c>
      <c r="D162" t="str">
        <f>'staffing plan'!A172</f>
        <v>OSEC-DILGB-LGOO5-947-1998</v>
      </c>
      <c r="E162" t="str">
        <f>+'staffing plan'!B172</f>
        <v>Local Government Operations Officer V</v>
      </c>
      <c r="F162">
        <f>+'staffing plan'!C172</f>
        <v>20</v>
      </c>
      <c r="G162" s="131">
        <f>+'staffing plan'!AH172</f>
        <v>613860</v>
      </c>
      <c r="H162" s="131">
        <f>+'staffing plan'!AI172</f>
        <v>613860</v>
      </c>
      <c r="I162" s="131">
        <f>+'staffing plan'!AJ172</f>
        <v>1</v>
      </c>
      <c r="J162" t="str">
        <f>+'staffing plan'!AW172</f>
        <v>LICYAYO, Jennifer Lablabong</v>
      </c>
      <c r="K162" t="str">
        <f>+'staffing plan'!AR172</f>
        <v>LICYAYO</v>
      </c>
      <c r="L162" t="str">
        <f>UPPER('staffing plan'!AV172)</f>
        <v>JENNIFER L. LICYAYO</v>
      </c>
      <c r="M162" t="str">
        <f>+'staffing plan'!AX172</f>
        <v>Mt. Province</v>
      </c>
      <c r="N162" t="str">
        <f>+'staffing plan'!AY172</f>
        <v>F</v>
      </c>
      <c r="O162" s="145" t="e">
        <f>+'staffing plan'!#REF!</f>
        <v>#REF!</v>
      </c>
      <c r="P162" s="145" t="e">
        <f>+'staffing plan'!#REF!</f>
        <v>#REF!</v>
      </c>
      <c r="Q162" s="145" t="e">
        <f>+'staffing plan'!#REF!</f>
        <v>#REF!</v>
      </c>
      <c r="R162" t="str">
        <f>+'staffing plan'!BP172</f>
        <v>MP Prov</v>
      </c>
      <c r="S162">
        <v>161</v>
      </c>
    </row>
    <row r="163" spans="2:19" hidden="1">
      <c r="B163">
        <f t="shared" si="13"/>
        <v>2018</v>
      </c>
      <c r="C163">
        <f>+'staffing plan'!BK173</f>
        <v>43129</v>
      </c>
      <c r="D163" t="str">
        <f>'staffing plan'!A173</f>
        <v>OSEC-DILGB-LGOO5-952-1998</v>
      </c>
      <c r="E163" t="str">
        <f>+'staffing plan'!B173</f>
        <v>Local Government Operations Officer V</v>
      </c>
      <c r="F163">
        <f>+'staffing plan'!C173</f>
        <v>20</v>
      </c>
      <c r="G163" s="131">
        <f>+'staffing plan'!AH173</f>
        <v>613860</v>
      </c>
      <c r="H163" s="131">
        <f>+'staffing plan'!AI173</f>
        <v>613860</v>
      </c>
      <c r="I163" s="131">
        <f>+'staffing plan'!AJ173</f>
        <v>1</v>
      </c>
      <c r="J163" t="str">
        <f>+'staffing plan'!AW173</f>
        <v>ANGGADNA, Mario Jr. Domingo</v>
      </c>
      <c r="K163" t="str">
        <f>+'staffing plan'!AR173</f>
        <v>ANGGADNA</v>
      </c>
      <c r="L163" t="str">
        <f>UPPER('staffing plan'!AV173)</f>
        <v>MARIO JR. D. ANGGADNA</v>
      </c>
      <c r="M163" t="str">
        <f>+'staffing plan'!AX173</f>
        <v>Ifugao</v>
      </c>
      <c r="N163" t="str">
        <f>+'staffing plan'!AY173</f>
        <v>M</v>
      </c>
      <c r="O163" s="145" t="e">
        <f>+'staffing plan'!#REF!</f>
        <v>#REF!</v>
      </c>
      <c r="P163" s="145" t="e">
        <f>+'staffing plan'!#REF!</f>
        <v>#REF!</v>
      </c>
      <c r="Q163" s="145" t="e">
        <f>+'staffing plan'!#REF!</f>
        <v>#REF!</v>
      </c>
      <c r="R163" t="str">
        <f>+'staffing plan'!BP173</f>
        <v>Shifting</v>
      </c>
      <c r="S163">
        <v>162</v>
      </c>
    </row>
    <row r="164" spans="2:19" hidden="1">
      <c r="B164">
        <f t="shared" si="13"/>
        <v>2001</v>
      </c>
      <c r="C164">
        <f>+'staffing plan'!BK174</f>
        <v>36951</v>
      </c>
      <c r="D164" t="str">
        <f>'staffing plan'!A174</f>
        <v>OSEC-DILGB-LGOO5-957-1998</v>
      </c>
      <c r="E164" t="str">
        <f>+'staffing plan'!B174</f>
        <v>Local Government Operations Officer V</v>
      </c>
      <c r="F164">
        <f>+'staffing plan'!C174</f>
        <v>20</v>
      </c>
      <c r="G164" s="131">
        <f>+'staffing plan'!AH174</f>
        <v>613860</v>
      </c>
      <c r="H164" s="131">
        <f>+'staffing plan'!AI174</f>
        <v>665616</v>
      </c>
      <c r="I164" s="131">
        <f>+'staffing plan'!AJ174</f>
        <v>6</v>
      </c>
      <c r="J164" t="str">
        <f>+'staffing plan'!AW174</f>
        <v>NARCIZA, Florita Garcia</v>
      </c>
      <c r="K164" t="str">
        <f>+'staffing plan'!AR174</f>
        <v>NARCIZA</v>
      </c>
      <c r="L164" t="str">
        <f>UPPER('staffing plan'!AV174)</f>
        <v>FLORITA G. NARCIZA</v>
      </c>
      <c r="M164" t="str">
        <f>+'staffing plan'!AX174</f>
        <v>Ifugao</v>
      </c>
      <c r="N164" t="str">
        <f>+'staffing plan'!AY174</f>
        <v>F</v>
      </c>
      <c r="O164" s="145" t="e">
        <f>+'staffing plan'!#REF!</f>
        <v>#REF!</v>
      </c>
      <c r="P164" s="145" t="e">
        <f>+'staffing plan'!#REF!</f>
        <v>#REF!</v>
      </c>
      <c r="Q164" s="145" t="e">
        <f>+'staffing plan'!#REF!</f>
        <v>#REF!</v>
      </c>
      <c r="R164" t="str">
        <f>+'staffing plan'!BP174</f>
        <v>Shifting</v>
      </c>
      <c r="S164">
        <v>163</v>
      </c>
    </row>
    <row r="165" spans="2:19" hidden="1">
      <c r="B165">
        <f t="shared" si="13"/>
        <v>2018</v>
      </c>
      <c r="C165">
        <f>+'staffing plan'!BK175</f>
        <v>43131</v>
      </c>
      <c r="D165" t="str">
        <f>'staffing plan'!A175</f>
        <v>OSEC-DILGB-LGOO5-965-1998</v>
      </c>
      <c r="E165" t="str">
        <f>+'staffing plan'!B175</f>
        <v>Local Government Operations Officer V</v>
      </c>
      <c r="F165">
        <f>+'staffing plan'!C175</f>
        <v>20</v>
      </c>
      <c r="G165" s="131">
        <f>+'staffing plan'!AH175</f>
        <v>613860</v>
      </c>
      <c r="H165" s="131">
        <f>+'staffing plan'!AI175</f>
        <v>613860</v>
      </c>
      <c r="I165" s="131">
        <f>+'staffing plan'!AJ175</f>
        <v>1</v>
      </c>
      <c r="J165" t="str">
        <f>+'staffing plan'!AW175</f>
        <v>ELVEÑA, Hanna Lynel Gullayan</v>
      </c>
      <c r="K165" t="str">
        <f>+'staffing plan'!AR175</f>
        <v>ELVEÑA</v>
      </c>
      <c r="L165" t="str">
        <f>UPPER('staffing plan'!AV175)</f>
        <v>HANNA LYNEL G. ELVEÑA</v>
      </c>
      <c r="M165" t="str">
        <f>+'staffing plan'!AX175</f>
        <v>Kalinga</v>
      </c>
      <c r="N165" t="str">
        <f>+'staffing plan'!AY175</f>
        <v>F</v>
      </c>
      <c r="O165" s="145" t="e">
        <f>+'staffing plan'!#REF!</f>
        <v>#REF!</v>
      </c>
      <c r="P165" s="145" t="e">
        <f>+'staffing plan'!#REF!</f>
        <v>#REF!</v>
      </c>
      <c r="Q165" s="145" t="e">
        <f>+'staffing plan'!#REF!</f>
        <v>#REF!</v>
      </c>
      <c r="R165" t="str">
        <f>+'staffing plan'!BP175</f>
        <v>Kalinga</v>
      </c>
      <c r="S165">
        <v>164</v>
      </c>
    </row>
    <row r="166" spans="2:19" hidden="1">
      <c r="B166">
        <f t="shared" si="13"/>
        <v>2016</v>
      </c>
      <c r="C166">
        <f>+'staffing plan'!BK176</f>
        <v>42430</v>
      </c>
      <c r="D166" t="str">
        <f>'staffing plan'!A176</f>
        <v>OSEC-DILGB-LGOO5-972-1998</v>
      </c>
      <c r="E166" t="str">
        <f>+'staffing plan'!B176</f>
        <v>Local Government Operations Officer V</v>
      </c>
      <c r="F166">
        <f>+'staffing plan'!C176</f>
        <v>20</v>
      </c>
      <c r="G166" s="131">
        <f>+'staffing plan'!AH176</f>
        <v>613860</v>
      </c>
      <c r="H166" s="131">
        <f>+'staffing plan'!AI176</f>
        <v>613860</v>
      </c>
      <c r="I166" s="131">
        <f>+'staffing plan'!AJ176</f>
        <v>1</v>
      </c>
      <c r="J166" t="str">
        <f>+'staffing plan'!AW176</f>
        <v>ESTELON, Juvy Jane Dumapay</v>
      </c>
      <c r="K166" t="str">
        <f>+'staffing plan'!AR176</f>
        <v>ESTELON</v>
      </c>
      <c r="L166" t="str">
        <f>UPPER('staffing plan'!AV176)</f>
        <v>JUVY JANE D. ESTELON</v>
      </c>
      <c r="M166" t="str">
        <f>+'staffing plan'!AX176</f>
        <v>Apayao</v>
      </c>
      <c r="N166" t="str">
        <f>+'staffing plan'!AY176</f>
        <v>F</v>
      </c>
      <c r="O166" s="145" t="e">
        <f>+'staffing plan'!#REF!</f>
        <v>#REF!</v>
      </c>
      <c r="P166" s="145" t="e">
        <f>+'staffing plan'!#REF!</f>
        <v>#REF!</v>
      </c>
      <c r="Q166" s="145" t="e">
        <f>+'staffing plan'!#REF!</f>
        <v>#REF!</v>
      </c>
      <c r="R166" t="str">
        <f>+'staffing plan'!BP176</f>
        <v>Shifting</v>
      </c>
      <c r="S166">
        <v>165</v>
      </c>
    </row>
    <row r="167" spans="2:19" hidden="1">
      <c r="B167">
        <f t="shared" ref="B167:B176" si="14">(YEAR(C167))</f>
        <v>2007</v>
      </c>
      <c r="C167">
        <f>+'staffing plan'!BK177</f>
        <v>39170</v>
      </c>
      <c r="D167" t="str">
        <f>'staffing plan'!A177</f>
        <v>OSEC-DILGB-LGOO5-976-1998</v>
      </c>
      <c r="E167" t="str">
        <f>+'staffing plan'!B177</f>
        <v>Local Government Operations Officer V</v>
      </c>
      <c r="F167">
        <f>+'staffing plan'!C177</f>
        <v>20</v>
      </c>
      <c r="G167" s="131">
        <f>+'staffing plan'!AH177</f>
        <v>613860</v>
      </c>
      <c r="H167" s="131">
        <f>+'staffing plan'!AI177</f>
        <v>644400</v>
      </c>
      <c r="I167" s="131">
        <f>+'staffing plan'!AJ177</f>
        <v>4</v>
      </c>
      <c r="J167" t="str">
        <f>+'staffing plan'!AW177</f>
        <v>NEHYEBAN, Arellano Lestino</v>
      </c>
      <c r="K167" t="str">
        <f>+'staffing plan'!AR177</f>
        <v>NEHYEBAN</v>
      </c>
      <c r="L167" t="str">
        <f>UPPER('staffing plan'!AV177)</f>
        <v>ARELLANO L. NEHYEBAN</v>
      </c>
      <c r="M167" t="str">
        <f>+'staffing plan'!AX177</f>
        <v>Ifugao</v>
      </c>
      <c r="N167" t="str">
        <f>+'staffing plan'!AY177</f>
        <v>M</v>
      </c>
      <c r="O167" s="145" t="e">
        <f>+'staffing plan'!#REF!</f>
        <v>#REF!</v>
      </c>
      <c r="P167" s="145" t="e">
        <f>+'staffing plan'!#REF!</f>
        <v>#REF!</v>
      </c>
      <c r="Q167" s="145" t="e">
        <f>+'staffing plan'!#REF!</f>
        <v>#REF!</v>
      </c>
      <c r="R167">
        <f>+'staffing plan'!BP177</f>
        <v>0</v>
      </c>
      <c r="S167">
        <v>166</v>
      </c>
    </row>
    <row r="168" spans="2:19" hidden="1">
      <c r="B168">
        <f t="shared" si="14"/>
        <v>2013</v>
      </c>
      <c r="C168">
        <f>+'staffing plan'!BK178</f>
        <v>41487</v>
      </c>
      <c r="D168" t="str">
        <f>'staffing plan'!A178</f>
        <v>OSEC-DILGB-LGOO5-983-1998</v>
      </c>
      <c r="E168" t="str">
        <f>+'staffing plan'!B178</f>
        <v>Local Government Operations Officer V</v>
      </c>
      <c r="F168">
        <f>+'staffing plan'!C178</f>
        <v>20</v>
      </c>
      <c r="G168" s="131">
        <f>+'staffing plan'!AH178</f>
        <v>613860</v>
      </c>
      <c r="H168" s="131">
        <f>+'staffing plan'!AI178</f>
        <v>623868</v>
      </c>
      <c r="I168" s="131">
        <f>+'staffing plan'!AJ178</f>
        <v>2</v>
      </c>
      <c r="J168" t="str">
        <f>+'staffing plan'!AW178</f>
        <v>GUMANGAN, Juliet Bugagon</v>
      </c>
      <c r="K168" t="str">
        <f>+'staffing plan'!AR178</f>
        <v>GUMANGAN</v>
      </c>
      <c r="L168" t="str">
        <f>UPPER('staffing plan'!AV178)</f>
        <v>JULIET B. GUMANGAN</v>
      </c>
      <c r="M168" t="str">
        <f>+'staffing plan'!AX178</f>
        <v>Benguet</v>
      </c>
      <c r="N168" t="str">
        <f>+'staffing plan'!AY178</f>
        <v>F</v>
      </c>
      <c r="O168" s="145" t="e">
        <f>+'staffing plan'!#REF!</f>
        <v>#REF!</v>
      </c>
      <c r="P168" s="145" t="e">
        <f>+'staffing plan'!#REF!</f>
        <v>#REF!</v>
      </c>
      <c r="Q168" s="145" t="e">
        <f>+'staffing plan'!#REF!</f>
        <v>#REF!</v>
      </c>
      <c r="R168">
        <f>+'staffing plan'!BP178</f>
        <v>0</v>
      </c>
      <c r="S168">
        <v>167</v>
      </c>
    </row>
    <row r="169" spans="2:19" hidden="1">
      <c r="B169">
        <f t="shared" si="14"/>
        <v>1900</v>
      </c>
      <c r="C169">
        <f>+'staffing plan'!BK179</f>
        <v>0</v>
      </c>
      <c r="D169" t="str">
        <f>'staffing plan'!A179</f>
        <v>OSEC-DILGB-LGOO5-991-1998</v>
      </c>
      <c r="E169" t="str">
        <f>+'staffing plan'!B179</f>
        <v>Local Government Operations Officer V</v>
      </c>
      <c r="F169">
        <f>+'staffing plan'!C179</f>
        <v>20</v>
      </c>
      <c r="G169" s="131">
        <f>+'staffing plan'!AH179</f>
        <v>613860</v>
      </c>
      <c r="H169" s="131">
        <f>+'staffing plan'!AI179</f>
        <v>0</v>
      </c>
      <c r="I169" s="131">
        <f>+'staffing plan'!AJ179</f>
        <v>0</v>
      </c>
      <c r="J169" t="str">
        <f>+'staffing plan'!AW179</f>
        <v xml:space="preserve">Vacant CHUNANON,  </v>
      </c>
      <c r="K169" t="str">
        <f>+'staffing plan'!AR179</f>
        <v>Vacant CHUNANON</v>
      </c>
      <c r="L169" t="str">
        <f>UPPER('staffing plan'!AV179)</f>
        <v xml:space="preserve"> . VACANT CHUNANON</v>
      </c>
      <c r="M169">
        <f>+'staffing plan'!AX179</f>
        <v>0</v>
      </c>
      <c r="N169">
        <f>+'staffing plan'!AY179</f>
        <v>0</v>
      </c>
      <c r="O169" s="145" t="e">
        <f>+'staffing plan'!#REF!</f>
        <v>#REF!</v>
      </c>
      <c r="P169" s="145" t="e">
        <f>+'staffing plan'!#REF!</f>
        <v>#REF!</v>
      </c>
      <c r="Q169" s="145" t="e">
        <f>+'staffing plan'!#REF!</f>
        <v>#REF!</v>
      </c>
      <c r="R169">
        <f>+'staffing plan'!BP179</f>
        <v>0</v>
      </c>
      <c r="S169">
        <v>168</v>
      </c>
    </row>
    <row r="170" spans="2:19">
      <c r="B170">
        <f t="shared" si="14"/>
        <v>2014</v>
      </c>
      <c r="C170">
        <f>+'staffing plan'!BK180</f>
        <v>41869</v>
      </c>
      <c r="D170" t="str">
        <f>'staffing plan'!A180</f>
        <v>OSEC-DILGB-LGOO5-993-1998</v>
      </c>
      <c r="E170" t="str">
        <f>+'staffing plan'!B180</f>
        <v>Local Government Operations Officer V</v>
      </c>
      <c r="F170">
        <f>+'staffing plan'!C180</f>
        <v>20</v>
      </c>
      <c r="G170" s="131">
        <f>+'staffing plan'!AH180</f>
        <v>613860</v>
      </c>
      <c r="H170" s="131">
        <f>+'staffing plan'!AI180</f>
        <v>623868</v>
      </c>
      <c r="I170" s="131">
        <f>+'staffing plan'!AJ180</f>
        <v>2</v>
      </c>
      <c r="J170" t="str">
        <f>+'staffing plan'!AW180</f>
        <v>ALVAREZ, Kristoffer Dave Rigonan</v>
      </c>
      <c r="K170" t="str">
        <f>+'staffing plan'!AR180</f>
        <v>ALVAREZ</v>
      </c>
      <c r="L170" t="str">
        <f>UPPER('staffing plan'!AV180)</f>
        <v>KRISTOFFER DAVE R. ALVAREZ</v>
      </c>
      <c r="M170" t="str">
        <f>+'staffing plan'!AX180</f>
        <v>Apayao</v>
      </c>
      <c r="N170" t="str">
        <f>+'staffing plan'!AY180</f>
        <v>M</v>
      </c>
      <c r="O170" s="145" t="e">
        <f>+'staffing plan'!#REF!</f>
        <v>#REF!</v>
      </c>
      <c r="P170" s="145" t="e">
        <f>+'staffing plan'!#REF!</f>
        <v>#REF!</v>
      </c>
      <c r="Q170" s="145" t="e">
        <f>+'staffing plan'!#REF!</f>
        <v>#REF!</v>
      </c>
      <c r="R170" t="str">
        <f>+'staffing plan'!BP180</f>
        <v>Shifting</v>
      </c>
      <c r="S170">
        <v>169</v>
      </c>
    </row>
    <row r="171" spans="2:19" hidden="1">
      <c r="B171">
        <f t="shared" si="14"/>
        <v>2018</v>
      </c>
      <c r="C171">
        <f>+'staffing plan'!BK181</f>
        <v>43168</v>
      </c>
      <c r="D171" t="str">
        <f>'staffing plan'!A181</f>
        <v>OSEC-DILGB-LGOO3-129-1998</v>
      </c>
      <c r="E171" t="str">
        <f>+'staffing plan'!B181</f>
        <v>Local Government Operations Officer III</v>
      </c>
      <c r="F171">
        <f>+'staffing plan'!C181</f>
        <v>15</v>
      </c>
      <c r="G171" s="131">
        <f>+'staffing plan'!AH181</f>
        <v>366372</v>
      </c>
      <c r="H171" s="131">
        <f>+'staffing plan'!AI181</f>
        <v>366372</v>
      </c>
      <c r="I171" s="131">
        <f>+'staffing plan'!AJ181</f>
        <v>1</v>
      </c>
      <c r="J171" t="str">
        <f>+'staffing plan'!AW181</f>
        <v>DUMALSIN, Joan-Ana Jacinto</v>
      </c>
      <c r="K171" t="str">
        <f>+'staffing plan'!AR181</f>
        <v>DUMALSIN</v>
      </c>
      <c r="L171" t="str">
        <f>UPPER('staffing plan'!AV181)</f>
        <v>JOAN-ANA J. DUMALSIN</v>
      </c>
      <c r="M171" t="str">
        <f>+'staffing plan'!AX181</f>
        <v>Baguio City</v>
      </c>
      <c r="N171" t="str">
        <f>+'staffing plan'!AY181</f>
        <v>F</v>
      </c>
      <c r="O171" s="145" t="e">
        <f>+'staffing plan'!#REF!</f>
        <v>#REF!</v>
      </c>
      <c r="P171" s="145" t="e">
        <f>+'staffing plan'!#REF!</f>
        <v>#REF!</v>
      </c>
      <c r="Q171" s="145" t="e">
        <f>+'staffing plan'!#REF!</f>
        <v>#REF!</v>
      </c>
      <c r="R171">
        <f>+'staffing plan'!BP181</f>
        <v>0</v>
      </c>
      <c r="S171">
        <v>170</v>
      </c>
    </row>
    <row r="172" spans="2:19" hidden="1">
      <c r="B172">
        <f t="shared" si="14"/>
        <v>2019</v>
      </c>
      <c r="C172">
        <f>+'staffing plan'!BK182</f>
        <v>43497</v>
      </c>
      <c r="D172" t="str">
        <f>'staffing plan'!A182</f>
        <v>OSEC-DILGB-LGOO3-130-1998</v>
      </c>
      <c r="E172" t="str">
        <f>+'staffing plan'!B182</f>
        <v>Local Government Operations Officer III</v>
      </c>
      <c r="F172">
        <f>+'staffing plan'!C182</f>
        <v>15</v>
      </c>
      <c r="G172" s="131">
        <f>+'staffing plan'!AH182</f>
        <v>366372</v>
      </c>
      <c r="H172" s="131">
        <f>+'staffing plan'!AI182</f>
        <v>366372</v>
      </c>
      <c r="I172" s="131">
        <f>+'staffing plan'!AJ182</f>
        <v>1</v>
      </c>
      <c r="J172" t="str">
        <f>+'staffing plan'!AW182</f>
        <v>GAYASO, Jereille Decoran</v>
      </c>
      <c r="K172" t="str">
        <f>+'staffing plan'!AR182</f>
        <v>GAYASO</v>
      </c>
      <c r="L172" t="str">
        <f>UPPER('staffing plan'!AV182)</f>
        <v>JEREILLE D. GAYASO</v>
      </c>
      <c r="M172" t="str">
        <f>+'staffing plan'!AX182</f>
        <v>Baguio City</v>
      </c>
      <c r="N172" t="str">
        <f>+'staffing plan'!AY182</f>
        <v>M</v>
      </c>
      <c r="O172" s="145" t="e">
        <f>+'staffing plan'!#REF!</f>
        <v>#REF!</v>
      </c>
      <c r="P172" s="145" t="e">
        <f>+'staffing plan'!#REF!</f>
        <v>#REF!</v>
      </c>
      <c r="Q172" s="145" t="e">
        <f>+'staffing plan'!#REF!</f>
        <v>#REF!</v>
      </c>
      <c r="R172">
        <f>+'staffing plan'!BP182</f>
        <v>0</v>
      </c>
      <c r="S172">
        <v>171</v>
      </c>
    </row>
    <row r="173" spans="2:19" hidden="1">
      <c r="B173">
        <f t="shared" si="14"/>
        <v>2019</v>
      </c>
      <c r="C173">
        <f>+'staffing plan'!BK183</f>
        <v>43515</v>
      </c>
      <c r="D173" t="str">
        <f>'staffing plan'!A183</f>
        <v>OSEC-DILGB-LGOO3-131-1998</v>
      </c>
      <c r="E173" t="str">
        <f>+'staffing plan'!B183</f>
        <v>Local Government Operations Officer III</v>
      </c>
      <c r="F173">
        <f>+'staffing plan'!C183</f>
        <v>15</v>
      </c>
      <c r="G173" s="131">
        <f>+'staffing plan'!AH183</f>
        <v>366372</v>
      </c>
      <c r="H173" s="131">
        <f>+'staffing plan'!AI183</f>
        <v>366372</v>
      </c>
      <c r="I173" s="131">
        <f>+'staffing plan'!AJ183</f>
        <v>1</v>
      </c>
      <c r="J173" t="str">
        <f>+'staffing plan'!AW183</f>
        <v>BURAGA, Shaquile Laniog</v>
      </c>
      <c r="K173" t="str">
        <f>+'staffing plan'!AR183</f>
        <v>BURAGA</v>
      </c>
      <c r="L173" t="str">
        <f>UPPER('staffing plan'!AV183)</f>
        <v>SHAQUILE L. BURAGA</v>
      </c>
      <c r="M173" t="str">
        <f>+'staffing plan'!AX183</f>
        <v>Baguio City</v>
      </c>
      <c r="N173" t="str">
        <f>+'staffing plan'!AY183</f>
        <v>M</v>
      </c>
      <c r="O173" s="145" t="e">
        <f>+'staffing plan'!#REF!</f>
        <v>#REF!</v>
      </c>
      <c r="P173" s="145" t="e">
        <f>+'staffing plan'!#REF!</f>
        <v>#REF!</v>
      </c>
      <c r="Q173" s="145" t="e">
        <f>+'staffing plan'!#REF!</f>
        <v>#REF!</v>
      </c>
      <c r="R173">
        <f>+'staffing plan'!BP183</f>
        <v>0</v>
      </c>
      <c r="S173">
        <v>172</v>
      </c>
    </row>
    <row r="174" spans="2:19" hidden="1">
      <c r="B174">
        <f t="shared" si="14"/>
        <v>2018</v>
      </c>
      <c r="C174">
        <f>+'staffing plan'!BK184</f>
        <v>43168</v>
      </c>
      <c r="D174" t="str">
        <f>'staffing plan'!A184</f>
        <v>OSEC-DILGB-LGOO3-241-2010</v>
      </c>
      <c r="E174" t="str">
        <f>+'staffing plan'!B184</f>
        <v>Local Government Operations Officer III</v>
      </c>
      <c r="F174">
        <f>+'staffing plan'!C184</f>
        <v>15</v>
      </c>
      <c r="G174" s="131">
        <f>+'staffing plan'!AH184</f>
        <v>366372</v>
      </c>
      <c r="H174" s="131">
        <f>+'staffing plan'!AI184</f>
        <v>366372</v>
      </c>
      <c r="I174" s="131">
        <f>+'staffing plan'!AJ184</f>
        <v>1</v>
      </c>
      <c r="J174" t="str">
        <f>+'staffing plan'!AW184</f>
        <v>DOGUI-IS, Thyrza Shoey Leusen</v>
      </c>
      <c r="K174" t="str">
        <f>+'staffing plan'!AR184</f>
        <v>DOGUI-IS</v>
      </c>
      <c r="L174" t="str">
        <f>UPPER('staffing plan'!AV184)</f>
        <v>THYRZA SHOEY L. DOGUI-IS</v>
      </c>
      <c r="M174" t="str">
        <f>+'staffing plan'!AX184</f>
        <v>Kalinga</v>
      </c>
      <c r="N174" t="str">
        <f>+'staffing plan'!AY184</f>
        <v>F</v>
      </c>
      <c r="O174" s="145" t="e">
        <f>+'staffing plan'!#REF!</f>
        <v>#REF!</v>
      </c>
      <c r="P174" s="145" t="e">
        <f>+'staffing plan'!#REF!</f>
        <v>#REF!</v>
      </c>
      <c r="Q174" s="145" t="e">
        <f>+'staffing plan'!#REF!</f>
        <v>#REF!</v>
      </c>
      <c r="R174">
        <f>+'staffing plan'!BP184</f>
        <v>0</v>
      </c>
      <c r="S174">
        <v>173</v>
      </c>
    </row>
    <row r="175" spans="2:19">
      <c r="B175">
        <f t="shared" si="14"/>
        <v>2014</v>
      </c>
      <c r="C175">
        <f>+'staffing plan'!BK185</f>
        <v>41927</v>
      </c>
      <c r="D175" t="str">
        <f>'staffing plan'!A185</f>
        <v>OSEC-DILGB-LGOO2-6-1998</v>
      </c>
      <c r="E175" t="str">
        <f>+'staffing plan'!B185</f>
        <v>Local Government Operations Officer II</v>
      </c>
      <c r="F175">
        <f>+'staffing plan'!C185</f>
        <v>13</v>
      </c>
      <c r="G175" s="131">
        <f>+'staffing plan'!AH185</f>
        <v>302784</v>
      </c>
      <c r="H175" s="131">
        <f>+'staffing plan'!AI185</f>
        <v>306540</v>
      </c>
      <c r="I175" s="131">
        <f>+'staffing plan'!AJ185</f>
        <v>2</v>
      </c>
      <c r="J175" t="str">
        <f>+'staffing plan'!AW185</f>
        <v>LAYUGAN, Elizabeth Barros</v>
      </c>
      <c r="K175" t="str">
        <f>+'staffing plan'!AR185</f>
        <v>LAYUGAN</v>
      </c>
      <c r="L175" t="str">
        <f>UPPER('staffing plan'!AV185)</f>
        <v>ELIZABETH B. LAYUGAN</v>
      </c>
      <c r="M175" t="str">
        <f>+'staffing plan'!AX185</f>
        <v>Abra</v>
      </c>
      <c r="N175" t="str">
        <f>+'staffing plan'!AY185</f>
        <v>F</v>
      </c>
      <c r="O175" s="145" t="e">
        <f>+'staffing plan'!#REF!</f>
        <v>#REF!</v>
      </c>
      <c r="P175" s="145" t="e">
        <f>+'staffing plan'!#REF!</f>
        <v>#REF!</v>
      </c>
      <c r="Q175" s="145" t="e">
        <f>+'staffing plan'!#REF!</f>
        <v>#REF!</v>
      </c>
      <c r="R175">
        <f>+'staffing plan'!BP185</f>
        <v>0</v>
      </c>
      <c r="S175">
        <v>174</v>
      </c>
    </row>
    <row r="176" spans="2:19" hidden="1">
      <c r="B176">
        <f t="shared" si="14"/>
        <v>2018</v>
      </c>
      <c r="C176">
        <f>+'staffing plan'!BK186</f>
        <v>43395</v>
      </c>
      <c r="D176" t="str">
        <f>'staffing plan'!A186</f>
        <v>OSEC-DILGB-LGOO2-7-1998</v>
      </c>
      <c r="E176" t="str">
        <f>+'staffing plan'!B186</f>
        <v>Local Government Operations Officer II</v>
      </c>
      <c r="F176">
        <f>+'staffing plan'!C186</f>
        <v>13</v>
      </c>
      <c r="G176" s="131">
        <f>+'staffing plan'!AH186</f>
        <v>302784</v>
      </c>
      <c r="H176" s="131">
        <f>+'staffing plan'!AI186</f>
        <v>302784</v>
      </c>
      <c r="I176" s="131">
        <f>+'staffing plan'!AJ186</f>
        <v>1</v>
      </c>
      <c r="J176" t="str">
        <f>+'staffing plan'!AW186</f>
        <v>ATUAN, Valentine Lugawe</v>
      </c>
      <c r="K176" t="str">
        <f>+'staffing plan'!AR186</f>
        <v>ATUAN</v>
      </c>
      <c r="L176" t="str">
        <f>UPPER('staffing plan'!AV186)</f>
        <v>VALENTINE L. ATUAN</v>
      </c>
      <c r="M176" t="str">
        <f>+'staffing plan'!AX186</f>
        <v>Ifugao</v>
      </c>
      <c r="N176" t="str">
        <f>+'staffing plan'!AY186</f>
        <v>M</v>
      </c>
      <c r="O176" s="145" t="e">
        <f>+'staffing plan'!#REF!</f>
        <v>#REF!</v>
      </c>
      <c r="P176" s="145" t="e">
        <f>+'staffing plan'!#REF!</f>
        <v>#REF!</v>
      </c>
      <c r="Q176" s="145" t="e">
        <f>+'staffing plan'!#REF!</f>
        <v>#REF!</v>
      </c>
      <c r="R176">
        <f>+'staffing plan'!BP186</f>
        <v>0</v>
      </c>
      <c r="S176">
        <v>175</v>
      </c>
    </row>
    <row r="177" spans="2:19" hidden="1">
      <c r="B177">
        <f t="shared" ref="B177:B191" si="15">(YEAR(C177))</f>
        <v>2015</v>
      </c>
      <c r="C177">
        <f>+'staffing plan'!BK187</f>
        <v>42293</v>
      </c>
      <c r="D177" t="str">
        <f>'staffing plan'!A187</f>
        <v>OSEC-DILGB-LGOO2-10-1998</v>
      </c>
      <c r="E177" t="str">
        <f>+'staffing plan'!B187</f>
        <v>Local Government Operations Officer II</v>
      </c>
      <c r="F177">
        <f>+'staffing plan'!C187</f>
        <v>13</v>
      </c>
      <c r="G177" s="131">
        <f>+'staffing plan'!AH187</f>
        <v>302784</v>
      </c>
      <c r="H177" s="131">
        <f>+'staffing plan'!AI187</f>
        <v>306540</v>
      </c>
      <c r="I177" s="131">
        <f>+'staffing plan'!AJ187</f>
        <v>2</v>
      </c>
      <c r="J177" t="str">
        <f>+'staffing plan'!AW187</f>
        <v>TENEBRO, JR Adame</v>
      </c>
      <c r="K177" t="str">
        <f>+'staffing plan'!AR187</f>
        <v>TENEBRO</v>
      </c>
      <c r="L177" t="str">
        <f>UPPER('staffing plan'!AV187)</f>
        <v>JR A. TENEBRO</v>
      </c>
      <c r="M177" t="str">
        <f>+'staffing plan'!AX187</f>
        <v>Abra</v>
      </c>
      <c r="N177" t="str">
        <f>+'staffing plan'!AY187</f>
        <v>M</v>
      </c>
      <c r="O177" s="145" t="e">
        <f>+'staffing plan'!#REF!</f>
        <v>#REF!</v>
      </c>
      <c r="P177" s="145" t="e">
        <f>+'staffing plan'!#REF!</f>
        <v>#REF!</v>
      </c>
      <c r="Q177" s="145" t="e">
        <f>+'staffing plan'!#REF!</f>
        <v>#REF!</v>
      </c>
      <c r="R177">
        <f>+'staffing plan'!BP187</f>
        <v>0</v>
      </c>
      <c r="S177">
        <v>176</v>
      </c>
    </row>
    <row r="178" spans="2:19" hidden="1">
      <c r="B178">
        <f t="shared" si="15"/>
        <v>2015</v>
      </c>
      <c r="C178">
        <f>+'staffing plan'!BK188</f>
        <v>42186</v>
      </c>
      <c r="D178" t="str">
        <f>'staffing plan'!A188</f>
        <v>OSEC-DILGB-LGOO2-12-1998</v>
      </c>
      <c r="E178" t="str">
        <f>+'staffing plan'!B188</f>
        <v>Local Government Operations Officer II</v>
      </c>
      <c r="F178">
        <f>+'staffing plan'!C188</f>
        <v>13</v>
      </c>
      <c r="G178" s="131">
        <f>+'staffing plan'!AH188</f>
        <v>302784</v>
      </c>
      <c r="H178" s="131">
        <f>+'staffing plan'!AI188</f>
        <v>306540</v>
      </c>
      <c r="I178" s="131">
        <f>+'staffing plan'!AJ188</f>
        <v>2</v>
      </c>
      <c r="J178" t="str">
        <f>+'staffing plan'!AW188</f>
        <v>PARTIDO, Alfrainer Ferras</v>
      </c>
      <c r="K178" t="str">
        <f>+'staffing plan'!AR188</f>
        <v>PARTIDO</v>
      </c>
      <c r="L178" t="str">
        <f>UPPER('staffing plan'!AV188)</f>
        <v>ALFRAINER F. PARTIDO</v>
      </c>
      <c r="M178" t="str">
        <f>+'staffing plan'!AX188</f>
        <v>Abra</v>
      </c>
      <c r="N178" t="str">
        <f>+'staffing plan'!AY188</f>
        <v>M</v>
      </c>
      <c r="O178" s="145" t="e">
        <f>+'staffing plan'!#REF!</f>
        <v>#REF!</v>
      </c>
      <c r="P178" s="145" t="e">
        <f>+'staffing plan'!#REF!</f>
        <v>#REF!</v>
      </c>
      <c r="Q178" s="145" t="e">
        <f>+'staffing plan'!#REF!</f>
        <v>#REF!</v>
      </c>
      <c r="R178">
        <f>+'staffing plan'!BP188</f>
        <v>0</v>
      </c>
      <c r="S178">
        <v>177</v>
      </c>
    </row>
    <row r="179" spans="2:19" hidden="1">
      <c r="B179">
        <f t="shared" si="15"/>
        <v>1900</v>
      </c>
      <c r="C179">
        <f>+'staffing plan'!BK189</f>
        <v>0</v>
      </c>
      <c r="D179" t="str">
        <f>'staffing plan'!A189</f>
        <v>OSEC-DILGB-LGOO2-14-1998</v>
      </c>
      <c r="E179" t="str">
        <f>+'staffing plan'!B189</f>
        <v>Local Government Operations Officer II</v>
      </c>
      <c r="F179">
        <f>+'staffing plan'!C189</f>
        <v>13</v>
      </c>
      <c r="G179" s="131">
        <f>+'staffing plan'!AH189</f>
        <v>302784</v>
      </c>
      <c r="H179" s="131">
        <f>+'staffing plan'!AI189</f>
        <v>0</v>
      </c>
      <c r="I179" s="131">
        <f>+'staffing plan'!AJ189</f>
        <v>0</v>
      </c>
      <c r="J179" t="str">
        <f>+'staffing plan'!AW189</f>
        <v xml:space="preserve">Vacant SAGUIYOD,  </v>
      </c>
      <c r="K179" t="str">
        <f>+'staffing plan'!AR189</f>
        <v>Vacant SAGUIYOD</v>
      </c>
      <c r="L179" t="str">
        <f>UPPER('staffing plan'!AV189)</f>
        <v xml:space="preserve"> . VACANT SAGUIYOD</v>
      </c>
      <c r="M179">
        <f>+'staffing plan'!AX189</f>
        <v>0</v>
      </c>
      <c r="N179">
        <f>+'staffing plan'!AY189</f>
        <v>0</v>
      </c>
      <c r="O179" s="145" t="e">
        <f>+'staffing plan'!#REF!</f>
        <v>#REF!</v>
      </c>
      <c r="P179" s="145" t="e">
        <f>+'staffing plan'!#REF!</f>
        <v>#REF!</v>
      </c>
      <c r="Q179" s="145" t="e">
        <f>+'staffing plan'!#REF!</f>
        <v>#REF!</v>
      </c>
      <c r="R179">
        <f>+'staffing plan'!BP189</f>
        <v>0</v>
      </c>
      <c r="S179">
        <v>178</v>
      </c>
    </row>
    <row r="180" spans="2:19" hidden="1">
      <c r="B180">
        <f t="shared" si="15"/>
        <v>2018</v>
      </c>
      <c r="C180">
        <f>+'staffing plan'!BK190</f>
        <v>43367</v>
      </c>
      <c r="D180" t="str">
        <f>'staffing plan'!A190</f>
        <v>OSEC-DILGB-LGOO2-15-1998</v>
      </c>
      <c r="E180" t="str">
        <f>+'staffing plan'!B190</f>
        <v>Local Government Operations Officer II</v>
      </c>
      <c r="F180">
        <f>+'staffing plan'!C190</f>
        <v>13</v>
      </c>
      <c r="G180" s="131">
        <f>+'staffing plan'!AH190</f>
        <v>302784</v>
      </c>
      <c r="H180" s="131">
        <f>+'staffing plan'!AI190</f>
        <v>302784</v>
      </c>
      <c r="I180" s="131">
        <f>+'staffing plan'!AJ190</f>
        <v>1</v>
      </c>
      <c r="J180" t="str">
        <f>+'staffing plan'!AW190</f>
        <v>ANUA, Rochelle Foronda</v>
      </c>
      <c r="K180" t="str">
        <f>+'staffing plan'!AR190</f>
        <v>ANUA</v>
      </c>
      <c r="L180" t="str">
        <f>UPPER('staffing plan'!AV190)</f>
        <v>ROCHELLE F. ANUA</v>
      </c>
      <c r="M180" t="str">
        <f>+'staffing plan'!AX190</f>
        <v>Apayao</v>
      </c>
      <c r="N180" t="str">
        <f>+'staffing plan'!AY190</f>
        <v>F</v>
      </c>
      <c r="O180" s="145" t="e">
        <f>+'staffing plan'!#REF!</f>
        <v>#REF!</v>
      </c>
      <c r="P180" s="145" t="e">
        <f>+'staffing plan'!#REF!</f>
        <v>#REF!</v>
      </c>
      <c r="Q180" s="145" t="e">
        <f>+'staffing plan'!#REF!</f>
        <v>#REF!</v>
      </c>
      <c r="R180">
        <f>+'staffing plan'!BP190</f>
        <v>0</v>
      </c>
      <c r="S180">
        <v>179</v>
      </c>
    </row>
    <row r="181" spans="2:19">
      <c r="B181">
        <f t="shared" si="15"/>
        <v>2014</v>
      </c>
      <c r="C181">
        <f>+'staffing plan'!BK191</f>
        <v>41932</v>
      </c>
      <c r="D181" t="str">
        <f>'staffing plan'!A191</f>
        <v>OSEC-DILGB-LGOO2-17-1998</v>
      </c>
      <c r="E181" t="str">
        <f>+'staffing plan'!B191</f>
        <v>Local Government Operations Officer II</v>
      </c>
      <c r="F181">
        <f>+'staffing plan'!C191</f>
        <v>13</v>
      </c>
      <c r="G181" s="131">
        <f>+'staffing plan'!AH191</f>
        <v>302784</v>
      </c>
      <c r="H181" s="131">
        <f>+'staffing plan'!AI191</f>
        <v>306540</v>
      </c>
      <c r="I181" s="131">
        <f>+'staffing plan'!AJ191</f>
        <v>2</v>
      </c>
      <c r="J181" t="str">
        <f>+'staffing plan'!AW191</f>
        <v>DOGUP, Trisha Marie Alangsab</v>
      </c>
      <c r="K181" t="str">
        <f>+'staffing plan'!AR191</f>
        <v>DOGUP</v>
      </c>
      <c r="L181" t="str">
        <f>UPPER('staffing plan'!AV191)</f>
        <v>TRISHA MARIE A. DOGUP</v>
      </c>
      <c r="M181" t="str">
        <f>+'staffing plan'!AX191</f>
        <v>Mt. Province</v>
      </c>
      <c r="N181" t="str">
        <f>+'staffing plan'!AY191</f>
        <v>F</v>
      </c>
      <c r="O181" s="145" t="e">
        <f>+'staffing plan'!#REF!</f>
        <v>#REF!</v>
      </c>
      <c r="P181" s="145" t="e">
        <f>+'staffing plan'!#REF!</f>
        <v>#REF!</v>
      </c>
      <c r="Q181" s="145" t="e">
        <f>+'staffing plan'!#REF!</f>
        <v>#REF!</v>
      </c>
      <c r="R181">
        <f>+'staffing plan'!BP191</f>
        <v>0</v>
      </c>
      <c r="S181">
        <v>180</v>
      </c>
    </row>
    <row r="182" spans="2:19" hidden="1">
      <c r="B182">
        <f t="shared" si="15"/>
        <v>2019</v>
      </c>
      <c r="C182">
        <f>+'staffing plan'!BK192</f>
        <v>43497</v>
      </c>
      <c r="D182" t="str">
        <f>'staffing plan'!A192</f>
        <v>OSEC-DILGB-LGOO2-18-1998</v>
      </c>
      <c r="E182" t="str">
        <f>+'staffing plan'!B192</f>
        <v>Local Government Operations Officer II</v>
      </c>
      <c r="F182">
        <f>+'staffing plan'!C192</f>
        <v>13</v>
      </c>
      <c r="G182" s="131">
        <f>+'staffing plan'!AH192</f>
        <v>302784</v>
      </c>
      <c r="H182" s="131">
        <f>+'staffing plan'!AI192</f>
        <v>302784</v>
      </c>
      <c r="I182" s="131">
        <f>+'staffing plan'!AJ192</f>
        <v>1</v>
      </c>
      <c r="J182" t="str">
        <f>+'staffing plan'!AW192</f>
        <v>ESCAD, Laura Valencia</v>
      </c>
      <c r="K182" t="str">
        <f>+'staffing plan'!AR192</f>
        <v>ESCAD</v>
      </c>
      <c r="L182" t="str">
        <f>UPPER('staffing plan'!AV192)</f>
        <v>LAURA V. ESCAD</v>
      </c>
      <c r="M182" t="str">
        <f>+'staffing plan'!AX192</f>
        <v>Benguet</v>
      </c>
      <c r="N182" t="str">
        <f>+'staffing plan'!AY192</f>
        <v>F</v>
      </c>
      <c r="O182" s="145" t="e">
        <f>+'staffing plan'!#REF!</f>
        <v>#REF!</v>
      </c>
      <c r="P182" s="145" t="e">
        <f>+'staffing plan'!#REF!</f>
        <v>#REF!</v>
      </c>
      <c r="Q182" s="145" t="e">
        <f>+'staffing plan'!#REF!</f>
        <v>#REF!</v>
      </c>
      <c r="R182">
        <f>+'staffing plan'!BP192</f>
        <v>0</v>
      </c>
      <c r="S182">
        <v>181</v>
      </c>
    </row>
    <row r="183" spans="2:19" hidden="1">
      <c r="B183">
        <f t="shared" si="15"/>
        <v>2018</v>
      </c>
      <c r="C183">
        <f>+'staffing plan'!BK193</f>
        <v>43367</v>
      </c>
      <c r="D183" t="str">
        <f>'staffing plan'!A193</f>
        <v>OSEC-DILGB-LGOO2-20-1998</v>
      </c>
      <c r="E183" t="str">
        <f>+'staffing plan'!B193</f>
        <v>Local Government Operations Officer II</v>
      </c>
      <c r="F183">
        <f>+'staffing plan'!C193</f>
        <v>13</v>
      </c>
      <c r="G183" s="131">
        <f>+'staffing plan'!AH193</f>
        <v>302784</v>
      </c>
      <c r="H183" s="131">
        <f>+'staffing plan'!AI193</f>
        <v>302784</v>
      </c>
      <c r="I183" s="131">
        <f>+'staffing plan'!AJ193</f>
        <v>1</v>
      </c>
      <c r="J183" t="str">
        <f>+'staffing plan'!AW193</f>
        <v>LADYONG, Faith Urbino</v>
      </c>
      <c r="K183" t="str">
        <f>+'staffing plan'!AR193</f>
        <v>LADYONG</v>
      </c>
      <c r="L183" t="str">
        <f>UPPER('staffing plan'!AV193)</f>
        <v>FAITH U. LADYONG</v>
      </c>
      <c r="M183" t="str">
        <f>+'staffing plan'!AX193</f>
        <v>Kalinga</v>
      </c>
      <c r="N183" t="str">
        <f>+'staffing plan'!AY193</f>
        <v>F</v>
      </c>
      <c r="O183" s="145" t="e">
        <f>+'staffing plan'!#REF!</f>
        <v>#REF!</v>
      </c>
      <c r="P183" s="145" t="e">
        <f>+'staffing plan'!#REF!</f>
        <v>#REF!</v>
      </c>
      <c r="Q183" s="145" t="e">
        <f>+'staffing plan'!#REF!</f>
        <v>#REF!</v>
      </c>
      <c r="R183">
        <f>+'staffing plan'!BP193</f>
        <v>0</v>
      </c>
      <c r="S183">
        <v>182</v>
      </c>
    </row>
    <row r="184" spans="2:19" hidden="1">
      <c r="B184">
        <f t="shared" si="15"/>
        <v>2016</v>
      </c>
      <c r="C184">
        <f>+'staffing plan'!BK194</f>
        <v>42452</v>
      </c>
      <c r="D184" t="str">
        <f>'staffing plan'!A194</f>
        <v>OSEC-DILGB-LGOO2-22-1998</v>
      </c>
      <c r="E184" t="str">
        <f>+'staffing plan'!B194</f>
        <v>Local Government Operations Officer II</v>
      </c>
      <c r="F184">
        <f>+'staffing plan'!C194</f>
        <v>13</v>
      </c>
      <c r="G184" s="131">
        <f>+'staffing plan'!AH194</f>
        <v>302784</v>
      </c>
      <c r="H184" s="131">
        <f>+'staffing plan'!AI194</f>
        <v>302784</v>
      </c>
      <c r="I184" s="131">
        <f>+'staffing plan'!AJ194</f>
        <v>1</v>
      </c>
      <c r="J184" t="str">
        <f>+'staffing plan'!AW194</f>
        <v>ANDANAN, Jaleemar Bosque</v>
      </c>
      <c r="K184" t="str">
        <f>+'staffing plan'!AR194</f>
        <v>ANDANAN</v>
      </c>
      <c r="L184" t="str">
        <f>UPPER('staffing plan'!AV194)</f>
        <v>JALEEMAR B. ANDANAN</v>
      </c>
      <c r="M184" t="str">
        <f>+'staffing plan'!AX194</f>
        <v>Abra</v>
      </c>
      <c r="N184" t="str">
        <f>+'staffing plan'!AY194</f>
        <v>F</v>
      </c>
      <c r="O184" s="145" t="e">
        <f>+'staffing plan'!#REF!</f>
        <v>#REF!</v>
      </c>
      <c r="P184" s="145" t="e">
        <f>+'staffing plan'!#REF!</f>
        <v>#REF!</v>
      </c>
      <c r="Q184" s="145" t="e">
        <f>+'staffing plan'!#REF!</f>
        <v>#REF!</v>
      </c>
      <c r="R184">
        <f>+'staffing plan'!BP194</f>
        <v>0</v>
      </c>
      <c r="S184">
        <v>183</v>
      </c>
    </row>
    <row r="185" spans="2:19">
      <c r="B185">
        <f t="shared" si="15"/>
        <v>2014</v>
      </c>
      <c r="C185">
        <f>+'staffing plan'!BK195</f>
        <v>41913</v>
      </c>
      <c r="D185" t="str">
        <f>'staffing plan'!A195</f>
        <v>OSEC-DILGB-LGOO2-23-1998</v>
      </c>
      <c r="E185" t="str">
        <f>+'staffing plan'!B195</f>
        <v>Local Government Operations Officer II</v>
      </c>
      <c r="F185">
        <f>+'staffing plan'!C195</f>
        <v>13</v>
      </c>
      <c r="G185" s="131">
        <f>+'staffing plan'!AH195</f>
        <v>302784</v>
      </c>
      <c r="H185" s="131">
        <f>+'staffing plan'!AI195</f>
        <v>306540</v>
      </c>
      <c r="I185" s="131">
        <f>+'staffing plan'!AJ195</f>
        <v>2</v>
      </c>
      <c r="J185" t="str">
        <f>+'staffing plan'!AW195</f>
        <v>ALCANTARA, Joey Paul Bistayan</v>
      </c>
      <c r="K185" t="str">
        <f>+'staffing plan'!AR195</f>
        <v>ALCANTARA</v>
      </c>
      <c r="L185" t="str">
        <f>UPPER('staffing plan'!AV195)</f>
        <v>JOEY PAUL B. ALCANTARA</v>
      </c>
      <c r="M185" t="str">
        <f>+'staffing plan'!AX195</f>
        <v>Apayao</v>
      </c>
      <c r="N185" t="str">
        <f>+'staffing plan'!AY195</f>
        <v>M</v>
      </c>
      <c r="O185" s="145" t="e">
        <f>+'staffing plan'!#REF!</f>
        <v>#REF!</v>
      </c>
      <c r="P185" s="145" t="e">
        <f>+'staffing plan'!#REF!</f>
        <v>#REF!</v>
      </c>
      <c r="Q185" s="145" t="e">
        <f>+'staffing plan'!#REF!</f>
        <v>#REF!</v>
      </c>
      <c r="R185">
        <f>+'staffing plan'!BP195</f>
        <v>0</v>
      </c>
      <c r="S185">
        <v>184</v>
      </c>
    </row>
    <row r="186" spans="2:19" hidden="1">
      <c r="B186">
        <f t="shared" si="15"/>
        <v>1900</v>
      </c>
      <c r="C186">
        <f>+'staffing plan'!BK196</f>
        <v>0</v>
      </c>
      <c r="D186" t="str">
        <f>'staffing plan'!A196</f>
        <v>OSEC-DILGB-LGOO2-25-1998</v>
      </c>
      <c r="E186" t="str">
        <f>+'staffing plan'!B196</f>
        <v>Local Government Operations Officer II</v>
      </c>
      <c r="F186">
        <f>+'staffing plan'!C196</f>
        <v>13</v>
      </c>
      <c r="G186" s="131">
        <f>+'staffing plan'!AH196</f>
        <v>302784</v>
      </c>
      <c r="H186" s="131">
        <f>+'staffing plan'!AI196</f>
        <v>0</v>
      </c>
      <c r="I186" s="131">
        <f>+'staffing plan'!AJ196</f>
        <v>0</v>
      </c>
      <c r="J186" t="str">
        <f>+'staffing plan'!AW196</f>
        <v xml:space="preserve">vacant GAYASO,  </v>
      </c>
      <c r="K186" t="str">
        <f>+'staffing plan'!AR196</f>
        <v>vacant GAYASO</v>
      </c>
      <c r="L186" t="str">
        <f>UPPER('staffing plan'!AV196)</f>
        <v xml:space="preserve"> . VACANT GAYASO</v>
      </c>
      <c r="M186">
        <f>+'staffing plan'!AX196</f>
        <v>0</v>
      </c>
      <c r="N186">
        <f>+'staffing plan'!AY196</f>
        <v>0</v>
      </c>
      <c r="O186" s="145" t="e">
        <f>+'staffing plan'!#REF!</f>
        <v>#REF!</v>
      </c>
      <c r="P186" s="145" t="e">
        <f>+'staffing plan'!#REF!</f>
        <v>#REF!</v>
      </c>
      <c r="Q186" s="145" t="e">
        <f>+'staffing plan'!#REF!</f>
        <v>#REF!</v>
      </c>
      <c r="R186">
        <f>+'staffing plan'!BP196</f>
        <v>0</v>
      </c>
      <c r="S186">
        <v>185</v>
      </c>
    </row>
    <row r="187" spans="2:19" hidden="1">
      <c r="B187">
        <f t="shared" si="15"/>
        <v>2019</v>
      </c>
      <c r="C187">
        <f>+'staffing plan'!BK197</f>
        <v>43497</v>
      </c>
      <c r="D187" t="str">
        <f>'staffing plan'!A197</f>
        <v>OSEC-DILGB-LGOO2-27-1998</v>
      </c>
      <c r="E187" t="str">
        <f>+'staffing plan'!B197</f>
        <v>Local Government Operations Officer II</v>
      </c>
      <c r="F187">
        <f>+'staffing plan'!C197</f>
        <v>13</v>
      </c>
      <c r="G187" s="131">
        <f>+'staffing plan'!AH197</f>
        <v>302784</v>
      </c>
      <c r="H187" s="131">
        <f>+'staffing plan'!AI197</f>
        <v>302784</v>
      </c>
      <c r="I187" s="131">
        <f>+'staffing plan'!AJ197</f>
        <v>1</v>
      </c>
      <c r="J187" t="str">
        <f>+'staffing plan'!AW197</f>
        <v>GARNACE, Baldo Jr Nolasco</v>
      </c>
      <c r="K187" t="str">
        <f>+'staffing plan'!AR197</f>
        <v>GARNACE</v>
      </c>
      <c r="L187" t="str">
        <f>UPPER('staffing plan'!AV197)</f>
        <v>BALDO JR N. GARNACE</v>
      </c>
      <c r="M187" t="str">
        <f>+'staffing plan'!AX197</f>
        <v>Kalinga</v>
      </c>
      <c r="N187" t="str">
        <f>+'staffing plan'!AY197</f>
        <v>M</v>
      </c>
      <c r="O187" s="145" t="e">
        <f>+'staffing plan'!#REF!</f>
        <v>#REF!</v>
      </c>
      <c r="P187" s="145" t="e">
        <f>+'staffing plan'!#REF!</f>
        <v>#REF!</v>
      </c>
      <c r="Q187" s="145" t="e">
        <f>+'staffing plan'!#REF!</f>
        <v>#REF!</v>
      </c>
      <c r="R187">
        <f>+'staffing plan'!BP197</f>
        <v>0</v>
      </c>
      <c r="S187">
        <v>186</v>
      </c>
    </row>
    <row r="188" spans="2:19">
      <c r="B188">
        <f t="shared" si="15"/>
        <v>2017</v>
      </c>
      <c r="C188">
        <f>+'staffing plan'!BK198</f>
        <v>42851</v>
      </c>
      <c r="D188" t="str">
        <f>'staffing plan'!A198</f>
        <v>OSEC-DILGB-LGOO2-28-1998</v>
      </c>
      <c r="E188" t="str">
        <f>+'staffing plan'!B198</f>
        <v>Local Government Operations Officer II</v>
      </c>
      <c r="F188">
        <f>+'staffing plan'!C198</f>
        <v>13</v>
      </c>
      <c r="G188" s="131">
        <f>+'staffing plan'!AH198</f>
        <v>302784</v>
      </c>
      <c r="H188" s="131">
        <f>+'staffing plan'!AI198</f>
        <v>302784</v>
      </c>
      <c r="I188" s="131">
        <f>+'staffing plan'!AJ198</f>
        <v>1</v>
      </c>
      <c r="J188" t="str">
        <f>+'staffing plan'!AW198</f>
        <v>BANGANAN, Imelda Farnigan</v>
      </c>
      <c r="K188" t="str">
        <f>+'staffing plan'!AR198</f>
        <v>BANGANAN</v>
      </c>
      <c r="L188" t="str">
        <f>UPPER('staffing plan'!AV198)</f>
        <v>IMELDA F. BANGANAN</v>
      </c>
      <c r="M188" t="str">
        <f>+'staffing plan'!AX198</f>
        <v>Mt. Province</v>
      </c>
      <c r="N188" t="str">
        <f>+'staffing plan'!AY198</f>
        <v>F</v>
      </c>
      <c r="O188" s="145" t="e">
        <f>+'staffing plan'!#REF!</f>
        <v>#REF!</v>
      </c>
      <c r="P188" s="145" t="e">
        <f>+'staffing plan'!#REF!</f>
        <v>#REF!</v>
      </c>
      <c r="Q188" s="145" t="e">
        <f>+'staffing plan'!#REF!</f>
        <v>#REF!</v>
      </c>
      <c r="R188">
        <f>+'staffing plan'!BP198</f>
        <v>0</v>
      </c>
      <c r="S188">
        <v>187</v>
      </c>
    </row>
    <row r="189" spans="2:19">
      <c r="B189">
        <f t="shared" si="15"/>
        <v>2014</v>
      </c>
      <c r="C189">
        <f>+'staffing plan'!BK199</f>
        <v>41913</v>
      </c>
      <c r="D189" t="str">
        <f>'staffing plan'!A199</f>
        <v>OSEC-DILGB-LGOO2-30-1998</v>
      </c>
      <c r="E189" t="str">
        <f>+'staffing plan'!B199</f>
        <v>Local Government Operations Officer II</v>
      </c>
      <c r="F189">
        <f>+'staffing plan'!C199</f>
        <v>13</v>
      </c>
      <c r="G189" s="131">
        <f>+'staffing plan'!AH199</f>
        <v>302784</v>
      </c>
      <c r="H189" s="131">
        <f>+'staffing plan'!AI199</f>
        <v>306540</v>
      </c>
      <c r="I189" s="131">
        <f>+'staffing plan'!AJ199</f>
        <v>2</v>
      </c>
      <c r="J189" t="str">
        <f>+'staffing plan'!AW199</f>
        <v>NAMINGIT, Gyda Hoggang</v>
      </c>
      <c r="K189" t="str">
        <f>+'staffing plan'!AR199</f>
        <v>NAMINGIT</v>
      </c>
      <c r="L189" t="str">
        <f>UPPER('staffing plan'!AV199)</f>
        <v>GYDA H. NAMINGIT</v>
      </c>
      <c r="M189" t="str">
        <f>+'staffing plan'!AX199</f>
        <v>Ifugao</v>
      </c>
      <c r="N189" t="str">
        <f>+'staffing plan'!AY199</f>
        <v>F</v>
      </c>
      <c r="O189" s="145" t="e">
        <f>+'staffing plan'!#REF!</f>
        <v>#REF!</v>
      </c>
      <c r="P189" s="145" t="e">
        <f>+'staffing plan'!#REF!</f>
        <v>#REF!</v>
      </c>
      <c r="Q189" s="145" t="e">
        <f>+'staffing plan'!#REF!</f>
        <v>#REF!</v>
      </c>
      <c r="R189">
        <f>+'staffing plan'!BP199</f>
        <v>0</v>
      </c>
      <c r="S189">
        <v>188</v>
      </c>
    </row>
    <row r="190" spans="2:19" hidden="1">
      <c r="B190">
        <f t="shared" si="15"/>
        <v>2016</v>
      </c>
      <c r="C190">
        <f>+'staffing plan'!BK200</f>
        <v>42662</v>
      </c>
      <c r="D190" t="str">
        <f>'staffing plan'!A200</f>
        <v>OSEC-DILGB-LGOO2-32-1998</v>
      </c>
      <c r="E190" t="str">
        <f>+'staffing plan'!B200</f>
        <v>Local Government Operations Officer II</v>
      </c>
      <c r="F190">
        <f>+'staffing plan'!C200</f>
        <v>13</v>
      </c>
      <c r="G190" s="131">
        <f>+'staffing plan'!AH200</f>
        <v>302784</v>
      </c>
      <c r="H190" s="131">
        <f>+'staffing plan'!AI200</f>
        <v>302784</v>
      </c>
      <c r="I190" s="131">
        <f>+'staffing plan'!AJ200</f>
        <v>1</v>
      </c>
      <c r="J190" t="str">
        <f>+'staffing plan'!AW200</f>
        <v>BALANAY, Mark Anthony Gumabay</v>
      </c>
      <c r="K190" t="str">
        <f>+'staffing plan'!AR200</f>
        <v>BALANAY</v>
      </c>
      <c r="L190" t="str">
        <f>UPPER('staffing plan'!AV200)</f>
        <v>MARK ANTHONY G. BALANAY</v>
      </c>
      <c r="M190" t="str">
        <f>+'staffing plan'!AX200</f>
        <v>Abra</v>
      </c>
      <c r="N190" t="str">
        <f>+'staffing plan'!AY200</f>
        <v>M</v>
      </c>
      <c r="O190" s="145" t="e">
        <f>+'staffing plan'!#REF!</f>
        <v>#REF!</v>
      </c>
      <c r="P190" s="145" t="e">
        <f>+'staffing plan'!#REF!</f>
        <v>#REF!</v>
      </c>
      <c r="Q190" s="145" t="e">
        <f>+'staffing plan'!#REF!</f>
        <v>#REF!</v>
      </c>
      <c r="R190">
        <f>+'staffing plan'!BP200</f>
        <v>0</v>
      </c>
      <c r="S190">
        <v>189</v>
      </c>
    </row>
    <row r="191" spans="2:19" hidden="1">
      <c r="B191">
        <f t="shared" si="15"/>
        <v>2018</v>
      </c>
      <c r="C191">
        <f>+'staffing plan'!BK201</f>
        <v>43397</v>
      </c>
      <c r="D191" t="str">
        <f>'staffing plan'!A201</f>
        <v>OSEC-DILGB-LGOO2-33-1998</v>
      </c>
      <c r="E191" t="str">
        <f>+'staffing plan'!B201</f>
        <v>Local Government Operations Officer II</v>
      </c>
      <c r="F191">
        <f>+'staffing plan'!C201</f>
        <v>13</v>
      </c>
      <c r="G191" s="131">
        <f>+'staffing plan'!AH201</f>
        <v>302784</v>
      </c>
      <c r="H191" s="131">
        <f>+'staffing plan'!AI201</f>
        <v>302784</v>
      </c>
      <c r="I191" s="131">
        <f>+'staffing plan'!AJ201</f>
        <v>1</v>
      </c>
      <c r="J191" t="str">
        <f>+'staffing plan'!AW201</f>
        <v>ANAPEN, Humphrey Dumayas</v>
      </c>
      <c r="K191" t="str">
        <f>+'staffing plan'!AR201</f>
        <v>ANAPEN</v>
      </c>
      <c r="L191" t="str">
        <f>UPPER('staffing plan'!AV201)</f>
        <v>HUMPHREY D. ANAPEN</v>
      </c>
      <c r="M191" t="str">
        <f>+'staffing plan'!AX201</f>
        <v>Ifugao</v>
      </c>
      <c r="N191" t="str">
        <f>+'staffing plan'!AY201</f>
        <v>M</v>
      </c>
      <c r="O191" s="145" t="e">
        <f>+'staffing plan'!#REF!</f>
        <v>#REF!</v>
      </c>
      <c r="P191" s="145" t="e">
        <f>+'staffing plan'!#REF!</f>
        <v>#REF!</v>
      </c>
      <c r="Q191" s="145" t="e">
        <f>+'staffing plan'!#REF!</f>
        <v>#REF!</v>
      </c>
      <c r="R191">
        <f>+'staffing plan'!BP201</f>
        <v>0</v>
      </c>
      <c r="S191">
        <v>190</v>
      </c>
    </row>
    <row r="192" spans="2:19">
      <c r="B192">
        <f t="shared" ref="B192:B212" si="16">(YEAR(C192))</f>
        <v>2014</v>
      </c>
      <c r="C192">
        <f>+'staffing plan'!BK202</f>
        <v>41913</v>
      </c>
      <c r="D192" t="str">
        <f>'staffing plan'!A202</f>
        <v>OSEC-DILGB-LGOO2-37-1998</v>
      </c>
      <c r="E192" t="str">
        <f>+'staffing plan'!B202</f>
        <v>Local Government Operations Officer II</v>
      </c>
      <c r="F192">
        <f>+'staffing plan'!C202</f>
        <v>13</v>
      </c>
      <c r="G192" s="131">
        <f>+'staffing plan'!AH202</f>
        <v>302784</v>
      </c>
      <c r="H192" s="131">
        <f>+'staffing plan'!AI202</f>
        <v>306540</v>
      </c>
      <c r="I192" s="131">
        <f>+'staffing plan'!AJ202</f>
        <v>2</v>
      </c>
      <c r="J192" t="str">
        <f>+'staffing plan'!AW202</f>
        <v>UCOL, Edward Errol Bumanglag</v>
      </c>
      <c r="K192" t="str">
        <f>+'staffing plan'!AR202</f>
        <v>UCOL</v>
      </c>
      <c r="L192" t="str">
        <f>UPPER('staffing plan'!AV202)</f>
        <v>EDWARD ERROL B. UCOL</v>
      </c>
      <c r="M192" t="str">
        <f>+'staffing plan'!AX202</f>
        <v>Apayao</v>
      </c>
      <c r="N192" t="str">
        <f>+'staffing plan'!AY202</f>
        <v>M</v>
      </c>
      <c r="O192" s="145" t="e">
        <f>+'staffing plan'!#REF!</f>
        <v>#REF!</v>
      </c>
      <c r="P192" s="145" t="e">
        <f>+'staffing plan'!#REF!</f>
        <v>#REF!</v>
      </c>
      <c r="Q192" s="145" t="e">
        <f>+'staffing plan'!#REF!</f>
        <v>#REF!</v>
      </c>
      <c r="R192">
        <f>+'staffing plan'!BP202</f>
        <v>0</v>
      </c>
      <c r="S192">
        <v>191</v>
      </c>
    </row>
    <row r="193" spans="2:19" hidden="1">
      <c r="B193">
        <f t="shared" si="16"/>
        <v>2019</v>
      </c>
      <c r="C193">
        <f>+'staffing plan'!BK203</f>
        <v>43497</v>
      </c>
      <c r="D193" t="str">
        <f>'staffing plan'!A203</f>
        <v>OSEC-DILGB-LGOO2-38-1998</v>
      </c>
      <c r="E193" t="str">
        <f>+'staffing plan'!B203</f>
        <v>Local Government Operations Officer II</v>
      </c>
      <c r="F193">
        <f>+'staffing plan'!C203</f>
        <v>13</v>
      </c>
      <c r="G193" s="131">
        <f>+'staffing plan'!AH203</f>
        <v>302784</v>
      </c>
      <c r="H193" s="131">
        <f>+'staffing plan'!AI203</f>
        <v>302784</v>
      </c>
      <c r="I193" s="131">
        <f>+'staffing plan'!AJ203</f>
        <v>1</v>
      </c>
      <c r="J193" t="str">
        <f>+'staffing plan'!AW203</f>
        <v>FABAG, Sheren Sagsago</v>
      </c>
      <c r="K193" t="str">
        <f>+'staffing plan'!AR203</f>
        <v>FABAG</v>
      </c>
      <c r="L193" t="str">
        <f>UPPER('staffing plan'!AV203)</f>
        <v>SHEREN S. FABAG</v>
      </c>
      <c r="M193" t="str">
        <f>+'staffing plan'!AX203</f>
        <v>Mt. Province</v>
      </c>
      <c r="N193" t="str">
        <f>+'staffing plan'!AY203</f>
        <v>F</v>
      </c>
      <c r="O193" s="145" t="e">
        <f>+'staffing plan'!#REF!</f>
        <v>#REF!</v>
      </c>
      <c r="P193" s="145" t="e">
        <f>+'staffing plan'!#REF!</f>
        <v>#REF!</v>
      </c>
      <c r="Q193" s="145" t="e">
        <f>+'staffing plan'!#REF!</f>
        <v>#REF!</v>
      </c>
      <c r="R193">
        <f>+'staffing plan'!BP203</f>
        <v>0</v>
      </c>
      <c r="S193">
        <v>192</v>
      </c>
    </row>
    <row r="194" spans="2:19">
      <c r="B194">
        <f t="shared" si="16"/>
        <v>2017</v>
      </c>
      <c r="C194">
        <f>+'staffing plan'!BK204</f>
        <v>42863</v>
      </c>
      <c r="D194" t="str">
        <f>'staffing plan'!A204</f>
        <v>OSEC-DILGB-LGOO2-40-1998</v>
      </c>
      <c r="E194" t="str">
        <f>+'staffing plan'!B204</f>
        <v>Local Government Operations Officer II</v>
      </c>
      <c r="F194">
        <f>+'staffing plan'!C204</f>
        <v>13</v>
      </c>
      <c r="G194" s="131">
        <f>+'staffing plan'!AH204</f>
        <v>302784</v>
      </c>
      <c r="H194" s="131">
        <f>+'staffing plan'!AI204</f>
        <v>302784</v>
      </c>
      <c r="I194" s="131">
        <f>+'staffing plan'!AJ204</f>
        <v>1</v>
      </c>
      <c r="J194" t="str">
        <f>+'staffing plan'!AW204</f>
        <v>LIGLIGON, Randolph Lacamang</v>
      </c>
      <c r="K194" t="str">
        <f>+'staffing plan'!AR204</f>
        <v>LIGLIGON</v>
      </c>
      <c r="L194" t="str">
        <f>UPPER('staffing plan'!AV204)</f>
        <v>RANDOLPH L. LIGLIGON</v>
      </c>
      <c r="M194" t="str">
        <f>+'staffing plan'!AX204</f>
        <v>Benguet</v>
      </c>
      <c r="N194" t="str">
        <f>+'staffing plan'!AY204</f>
        <v>M</v>
      </c>
      <c r="O194" s="145" t="e">
        <f>+'staffing plan'!#REF!</f>
        <v>#REF!</v>
      </c>
      <c r="P194" s="145" t="e">
        <f>+'staffing plan'!#REF!</f>
        <v>#REF!</v>
      </c>
      <c r="Q194" s="145" t="e">
        <f>+'staffing plan'!#REF!</f>
        <v>#REF!</v>
      </c>
      <c r="R194">
        <f>+'staffing plan'!BP204</f>
        <v>0</v>
      </c>
      <c r="S194">
        <v>193</v>
      </c>
    </row>
    <row r="195" spans="2:19" hidden="1">
      <c r="B195">
        <f t="shared" si="16"/>
        <v>2019</v>
      </c>
      <c r="C195">
        <f>+'staffing plan'!BK205</f>
        <v>43544</v>
      </c>
      <c r="D195" t="str">
        <f>'staffing plan'!A205</f>
        <v>OSEC-DILGB-ADAS2-65-2005</v>
      </c>
      <c r="E195" t="str">
        <f>+'staffing plan'!B205</f>
        <v>Administrative Assistant II</v>
      </c>
      <c r="F195">
        <f>+'staffing plan'!C205</f>
        <v>8</v>
      </c>
      <c r="G195" s="131">
        <f>+'staffing plan'!AH205</f>
        <v>201096</v>
      </c>
      <c r="H195" s="131">
        <f>+'staffing plan'!AI205</f>
        <v>201096</v>
      </c>
      <c r="I195" s="131">
        <f>+'staffing plan'!AJ205</f>
        <v>1</v>
      </c>
      <c r="J195" t="str">
        <f>+'staffing plan'!AW205</f>
        <v>MACLI-ING, Giezzel Danglipen</v>
      </c>
      <c r="K195" t="str">
        <f>+'staffing plan'!AR205</f>
        <v>MACLI-ING</v>
      </c>
      <c r="L195" t="str">
        <f>UPPER('staffing plan'!AV205)</f>
        <v>GIEZZEL D. MACLI-ING</v>
      </c>
      <c r="M195" t="str">
        <f>+'staffing plan'!AX205</f>
        <v>Apayao</v>
      </c>
      <c r="N195" t="str">
        <f>+'staffing plan'!AY205</f>
        <v>F</v>
      </c>
      <c r="O195" s="145" t="e">
        <f>+'staffing plan'!#REF!</f>
        <v>#REF!</v>
      </c>
      <c r="P195" s="145" t="e">
        <f>+'staffing plan'!#REF!</f>
        <v>#REF!</v>
      </c>
      <c r="Q195" s="145" t="e">
        <f>+'staffing plan'!#REF!</f>
        <v>#REF!</v>
      </c>
      <c r="R195">
        <f>+'staffing plan'!BP205</f>
        <v>0</v>
      </c>
      <c r="S195">
        <v>194</v>
      </c>
    </row>
    <row r="196" spans="2:19" hidden="1">
      <c r="B196">
        <f t="shared" si="16"/>
        <v>1900</v>
      </c>
      <c r="C196">
        <f>+'staffing plan'!BK206</f>
        <v>0</v>
      </c>
      <c r="D196" t="str">
        <f>'staffing plan'!A206</f>
        <v>OSEC-DILGB-ADAS2-66-2005</v>
      </c>
      <c r="E196" t="str">
        <f>+'staffing plan'!B206</f>
        <v>Administrative Assistant II</v>
      </c>
      <c r="F196">
        <f>+'staffing plan'!C206</f>
        <v>8</v>
      </c>
      <c r="G196" s="131">
        <f>+'staffing plan'!AH206</f>
        <v>201096</v>
      </c>
      <c r="H196" s="131">
        <f>+'staffing plan'!AI206</f>
        <v>0</v>
      </c>
      <c r="I196" s="131">
        <f>+'staffing plan'!AJ206</f>
        <v>0</v>
      </c>
      <c r="J196" t="str">
        <f>+'staffing plan'!AW206</f>
        <v xml:space="preserve">Vacant DOMASING,  </v>
      </c>
      <c r="K196" t="str">
        <f>+'staffing plan'!AR206</f>
        <v>Vacant DOMASING</v>
      </c>
      <c r="L196" t="str">
        <f>UPPER('staffing plan'!AV206)</f>
        <v xml:space="preserve"> . VACANT DOMASING</v>
      </c>
      <c r="M196">
        <f>+'staffing plan'!AX206</f>
        <v>0</v>
      </c>
      <c r="N196">
        <f>+'staffing plan'!AY206</f>
        <v>0</v>
      </c>
      <c r="O196" s="145" t="e">
        <f>+'staffing plan'!#REF!</f>
        <v>#REF!</v>
      </c>
      <c r="P196" s="145" t="e">
        <f>+'staffing plan'!#REF!</f>
        <v>#REF!</v>
      </c>
      <c r="Q196" s="145" t="e">
        <f>+'staffing plan'!#REF!</f>
        <v>#REF!</v>
      </c>
      <c r="R196">
        <f>+'staffing plan'!BP206</f>
        <v>0</v>
      </c>
      <c r="S196">
        <v>195</v>
      </c>
    </row>
    <row r="197" spans="2:19" hidden="1">
      <c r="B197">
        <f t="shared" si="16"/>
        <v>2003</v>
      </c>
      <c r="C197">
        <f>+'staffing plan'!BK207</f>
        <v>37655</v>
      </c>
      <c r="D197" t="str">
        <f>'staffing plan'!A207</f>
        <v>OSEC-DILGB-ADAS2-67-2005</v>
      </c>
      <c r="E197" t="str">
        <f>+'staffing plan'!B207</f>
        <v>Administrative Assistant II</v>
      </c>
      <c r="F197">
        <f>+'staffing plan'!C207</f>
        <v>8</v>
      </c>
      <c r="G197" s="131">
        <f>+'staffing plan'!AH207</f>
        <v>201096</v>
      </c>
      <c r="H197" s="131">
        <f>+'staffing plan'!AI207</f>
        <v>210348</v>
      </c>
      <c r="I197" s="131">
        <f>+'staffing plan'!AJ207</f>
        <v>6</v>
      </c>
      <c r="J197" t="str">
        <f>+'staffing plan'!AW207</f>
        <v>TOMAS, Prescilla Kitan</v>
      </c>
      <c r="K197" t="str">
        <f>+'staffing plan'!AR207</f>
        <v>TOMAS</v>
      </c>
      <c r="L197" t="str">
        <f>UPPER('staffing plan'!AV207)</f>
        <v>PRESCILLA K. TOMAS</v>
      </c>
      <c r="M197" t="str">
        <f>+'staffing plan'!AX207</f>
        <v>Benguet</v>
      </c>
      <c r="N197" t="str">
        <f>+'staffing plan'!AY207</f>
        <v>F</v>
      </c>
      <c r="O197" s="145" t="e">
        <f>+'staffing plan'!#REF!</f>
        <v>#REF!</v>
      </c>
      <c r="P197" s="145" t="e">
        <f>+'staffing plan'!#REF!</f>
        <v>#REF!</v>
      </c>
      <c r="Q197" s="145" t="e">
        <f>+'staffing plan'!#REF!</f>
        <v>#REF!</v>
      </c>
      <c r="R197" t="str">
        <f>+'staffing plan'!BP207</f>
        <v>change of item 1-25-18</v>
      </c>
      <c r="S197">
        <v>196</v>
      </c>
    </row>
    <row r="198" spans="2:19" hidden="1">
      <c r="B198">
        <f t="shared" si="16"/>
        <v>2019</v>
      </c>
      <c r="C198">
        <f>+'staffing plan'!BK208</f>
        <v>43556</v>
      </c>
      <c r="D198" t="str">
        <f>'staffing plan'!A208</f>
        <v>OSEC-DILGB-ADAS2-68-2005</v>
      </c>
      <c r="E198" t="str">
        <f>+'staffing plan'!B208</f>
        <v>Administrative Assistant II</v>
      </c>
      <c r="F198">
        <f>+'staffing plan'!C208</f>
        <v>8</v>
      </c>
      <c r="G198" s="131">
        <f>+'staffing plan'!AH208</f>
        <v>201096</v>
      </c>
      <c r="H198" s="131">
        <f>+'staffing plan'!AI208</f>
        <v>201096</v>
      </c>
      <c r="I198" s="131">
        <f>+'staffing plan'!AJ208</f>
        <v>1</v>
      </c>
      <c r="J198" t="str">
        <f>+'staffing plan'!AW208</f>
        <v>DEPALOG, Kharla Lhyn Bagwan</v>
      </c>
      <c r="K198" t="str">
        <f>+'staffing plan'!AR208</f>
        <v>DEPALOG</v>
      </c>
      <c r="L198" t="str">
        <f>UPPER('staffing plan'!AV208)</f>
        <v>KHARLA LHYN B. DEPALOG</v>
      </c>
      <c r="M198" t="str">
        <f>+'staffing plan'!AX208</f>
        <v>Mt. Province</v>
      </c>
      <c r="N198" t="str">
        <f>+'staffing plan'!AY208</f>
        <v>F</v>
      </c>
      <c r="O198" s="145" t="e">
        <f>+'staffing plan'!#REF!</f>
        <v>#REF!</v>
      </c>
      <c r="P198" s="145" t="e">
        <f>+'staffing plan'!#REF!</f>
        <v>#REF!</v>
      </c>
      <c r="Q198" s="145" t="e">
        <f>+'staffing plan'!#REF!</f>
        <v>#REF!</v>
      </c>
      <c r="R198">
        <f>+'staffing plan'!BP208</f>
        <v>0</v>
      </c>
      <c r="S198">
        <v>197</v>
      </c>
    </row>
    <row r="199" spans="2:19" hidden="1">
      <c r="B199">
        <f t="shared" si="16"/>
        <v>1989</v>
      </c>
      <c r="C199">
        <f>+'staffing plan'!BK209</f>
        <v>32580</v>
      </c>
      <c r="D199" t="str">
        <f>'staffing plan'!A209</f>
        <v>OSEC-DILGB-ADAS2-70-2005</v>
      </c>
      <c r="E199" t="str">
        <f>+'staffing plan'!B209</f>
        <v>Administrative Assistant II</v>
      </c>
      <c r="F199">
        <f>+'staffing plan'!C209</f>
        <v>8</v>
      </c>
      <c r="G199" s="131">
        <f>+'staffing plan'!AH209</f>
        <v>201096</v>
      </c>
      <c r="H199" s="131">
        <f>+'staffing plan'!AI209</f>
        <v>214176</v>
      </c>
      <c r="I199" s="131">
        <f>+'staffing plan'!AJ209</f>
        <v>8</v>
      </c>
      <c r="J199" t="str">
        <f>+'staffing plan'!AW209</f>
        <v>ALCAYNA, Dennis Bantiyan</v>
      </c>
      <c r="K199" t="str">
        <f>+'staffing plan'!AR209</f>
        <v>ALCAYNA</v>
      </c>
      <c r="L199" t="str">
        <f>UPPER('staffing plan'!AV209)</f>
        <v>DENNIS B. ALCAYNA</v>
      </c>
      <c r="M199" t="str">
        <f>+'staffing plan'!AX209</f>
        <v>Ifugao</v>
      </c>
      <c r="N199" t="str">
        <f>+'staffing plan'!AY209</f>
        <v>M</v>
      </c>
      <c r="O199" s="145" t="e">
        <f>+'staffing plan'!#REF!</f>
        <v>#REF!</v>
      </c>
      <c r="P199" s="145" t="e">
        <f>+'staffing plan'!#REF!</f>
        <v>#REF!</v>
      </c>
      <c r="Q199" s="145" t="e">
        <f>+'staffing plan'!#REF!</f>
        <v>#REF!</v>
      </c>
      <c r="R199">
        <f>+'staffing plan'!BP209</f>
        <v>0</v>
      </c>
      <c r="S199">
        <v>198</v>
      </c>
    </row>
    <row r="200" spans="2:19" hidden="1">
      <c r="B200">
        <f t="shared" si="16"/>
        <v>1998</v>
      </c>
      <c r="C200">
        <f>+'staffing plan'!BK210</f>
        <v>36084</v>
      </c>
      <c r="D200" t="str">
        <f>'staffing plan'!A210</f>
        <v>OSEC-DILGB-ADAS2-71-2005</v>
      </c>
      <c r="E200" t="str">
        <f>+'staffing plan'!B210</f>
        <v>Administrative Assistant II</v>
      </c>
      <c r="F200">
        <f>+'staffing plan'!C210</f>
        <v>8</v>
      </c>
      <c r="G200" s="131">
        <f>+'staffing plan'!AH210</f>
        <v>201096</v>
      </c>
      <c r="H200" s="131">
        <f>+'staffing plan'!AI210</f>
        <v>212256</v>
      </c>
      <c r="I200" s="131">
        <f>+'staffing plan'!AJ210</f>
        <v>7</v>
      </c>
      <c r="J200" t="str">
        <f>+'staffing plan'!AW210</f>
        <v>TAMI-ING, Marilyn Kilayon</v>
      </c>
      <c r="K200" t="str">
        <f>+'staffing plan'!AR210</f>
        <v>TAMI-ING</v>
      </c>
      <c r="L200" t="str">
        <f>UPPER('staffing plan'!AV210)</f>
        <v>MARILYN K. TAMI-ING</v>
      </c>
      <c r="M200" t="str">
        <f>+'staffing plan'!AX210</f>
        <v>Mt. Province</v>
      </c>
      <c r="N200" t="str">
        <f>+'staffing plan'!AY210</f>
        <v>F</v>
      </c>
      <c r="O200" s="145" t="e">
        <f>+'staffing plan'!#REF!</f>
        <v>#REF!</v>
      </c>
      <c r="P200" s="145" t="e">
        <f>+'staffing plan'!#REF!</f>
        <v>#REF!</v>
      </c>
      <c r="Q200" s="145" t="e">
        <f>+'staffing plan'!#REF!</f>
        <v>#REF!</v>
      </c>
      <c r="R200">
        <f>+'staffing plan'!BP210</f>
        <v>0</v>
      </c>
      <c r="S200">
        <v>199</v>
      </c>
    </row>
    <row r="201" spans="2:19" hidden="1">
      <c r="B201">
        <f t="shared" si="16"/>
        <v>1991</v>
      </c>
      <c r="C201">
        <f>+'staffing plan'!BK211</f>
        <v>33484</v>
      </c>
      <c r="D201" t="str">
        <f>'staffing plan'!A211</f>
        <v>OSEC-DILGB-ADAS2-73-2005</v>
      </c>
      <c r="E201" t="str">
        <f>+'staffing plan'!B211</f>
        <v>Administrative Assistant II</v>
      </c>
      <c r="F201">
        <f>+'staffing plan'!C211</f>
        <v>8</v>
      </c>
      <c r="G201" s="131">
        <f>+'staffing plan'!AH211</f>
        <v>201096</v>
      </c>
      <c r="H201" s="131">
        <f>+'staffing plan'!AI211</f>
        <v>214176</v>
      </c>
      <c r="I201" s="131">
        <f>+'staffing plan'!AJ211</f>
        <v>8</v>
      </c>
      <c r="J201" t="str">
        <f>+'staffing plan'!AW211</f>
        <v>PACAMO, Ruby Quemerista</v>
      </c>
      <c r="K201" t="str">
        <f>+'staffing plan'!AR211</f>
        <v>PACAMO</v>
      </c>
      <c r="L201" t="str">
        <f>UPPER('staffing plan'!AV211)</f>
        <v>RUBY Q. PACAMO</v>
      </c>
      <c r="M201" t="str">
        <f>+'staffing plan'!AX211</f>
        <v>Abra</v>
      </c>
      <c r="N201" t="str">
        <f>+'staffing plan'!AY211</f>
        <v>F</v>
      </c>
      <c r="O201" s="145" t="e">
        <f>+'staffing plan'!#REF!</f>
        <v>#REF!</v>
      </c>
      <c r="P201" s="145" t="e">
        <f>+'staffing plan'!#REF!</f>
        <v>#REF!</v>
      </c>
      <c r="Q201" s="145" t="e">
        <f>+'staffing plan'!#REF!</f>
        <v>#REF!</v>
      </c>
      <c r="R201">
        <f>+'staffing plan'!BP211</f>
        <v>0</v>
      </c>
      <c r="S201">
        <v>200</v>
      </c>
    </row>
    <row r="202" spans="2:19" hidden="1">
      <c r="B202">
        <f t="shared" si="16"/>
        <v>1996</v>
      </c>
      <c r="C202">
        <f>+'staffing plan'!BK212</f>
        <v>35096</v>
      </c>
      <c r="D202" t="str">
        <f>'staffing plan'!A212</f>
        <v>OSEC-DILGB-ADAS2-74-2005</v>
      </c>
      <c r="E202" t="str">
        <f>+'staffing plan'!B212</f>
        <v>Administrative Assistant II</v>
      </c>
      <c r="F202">
        <f>+'staffing plan'!C212</f>
        <v>8</v>
      </c>
      <c r="G202" s="131">
        <f>+'staffing plan'!AH212</f>
        <v>201096</v>
      </c>
      <c r="H202" s="131">
        <f>+'staffing plan'!AI212</f>
        <v>214176</v>
      </c>
      <c r="I202" s="131">
        <f>+'staffing plan'!AJ212</f>
        <v>8</v>
      </c>
      <c r="J202" t="str">
        <f>+'staffing plan'!AW212</f>
        <v>VICENTE, Dominga Aglano</v>
      </c>
      <c r="K202" t="str">
        <f>+'staffing plan'!AR212</f>
        <v>VICENTE</v>
      </c>
      <c r="L202" t="str">
        <f>UPPER('staffing plan'!AV212)</f>
        <v>DOMINGA A. VICENTE</v>
      </c>
      <c r="M202" t="str">
        <f>+'staffing plan'!AX212</f>
        <v>Benguet</v>
      </c>
      <c r="N202" t="str">
        <f>+'staffing plan'!AY212</f>
        <v>F</v>
      </c>
      <c r="O202" s="145" t="e">
        <f>+'staffing plan'!#REF!</f>
        <v>#REF!</v>
      </c>
      <c r="P202" s="145" t="e">
        <f>+'staffing plan'!#REF!</f>
        <v>#REF!</v>
      </c>
      <c r="Q202" s="145" t="e">
        <f>+'staffing plan'!#REF!</f>
        <v>#REF!</v>
      </c>
      <c r="R202">
        <f>+'staffing plan'!BP212</f>
        <v>0</v>
      </c>
      <c r="S202">
        <v>201</v>
      </c>
    </row>
    <row r="203" spans="2:19" hidden="1">
      <c r="B203">
        <f t="shared" si="16"/>
        <v>2019</v>
      </c>
      <c r="C203">
        <f>+'staffing plan'!BK213</f>
        <v>43544</v>
      </c>
      <c r="D203" t="str">
        <f>'staffing plan'!A213</f>
        <v>OSEC-DILGB-ADAS2-75-2005</v>
      </c>
      <c r="E203" t="str">
        <f>+'staffing plan'!B213</f>
        <v>Administrative Assistant II</v>
      </c>
      <c r="F203">
        <f>+'staffing plan'!C213</f>
        <v>8</v>
      </c>
      <c r="G203" s="131">
        <f>+'staffing plan'!AH213</f>
        <v>201096</v>
      </c>
      <c r="H203" s="131">
        <f>+'staffing plan'!AI213</f>
        <v>201096</v>
      </c>
      <c r="I203" s="131">
        <f>+'staffing plan'!AJ213</f>
        <v>1</v>
      </c>
      <c r="J203" t="str">
        <f>+'staffing plan'!AW213</f>
        <v>KILLIA-EN, Unice Lipawen</v>
      </c>
      <c r="K203" t="str">
        <f>+'staffing plan'!AR213</f>
        <v>KILLIA-EN</v>
      </c>
      <c r="L203" t="str">
        <f>UPPER('staffing plan'!AV213)</f>
        <v>UNICE L. KILLIA-EN</v>
      </c>
      <c r="M203" t="str">
        <f>+'staffing plan'!AX213</f>
        <v>Kalinga</v>
      </c>
      <c r="N203" t="str">
        <f>+'staffing plan'!AY213</f>
        <v>F</v>
      </c>
      <c r="O203" s="145" t="e">
        <f>+'staffing plan'!#REF!</f>
        <v>#REF!</v>
      </c>
      <c r="P203" s="145" t="e">
        <f>+'staffing plan'!#REF!</f>
        <v>#REF!</v>
      </c>
      <c r="Q203" s="145" t="e">
        <f>+'staffing plan'!#REF!</f>
        <v>#REF!</v>
      </c>
      <c r="R203">
        <f>+'staffing plan'!BP213</f>
        <v>0</v>
      </c>
      <c r="S203">
        <v>202</v>
      </c>
    </row>
    <row r="204" spans="2:19" hidden="1">
      <c r="B204">
        <f t="shared" si="16"/>
        <v>1997</v>
      </c>
      <c r="C204">
        <f>+'staffing plan'!BK214</f>
        <v>35643</v>
      </c>
      <c r="D204" t="str">
        <f>'staffing plan'!A214</f>
        <v>OSEC-DILGB-ADAS2-76-2005</v>
      </c>
      <c r="E204" t="str">
        <f>+'staffing plan'!B214</f>
        <v>Administrative Assistant II</v>
      </c>
      <c r="F204">
        <f>+'staffing plan'!C214</f>
        <v>8</v>
      </c>
      <c r="G204" s="131">
        <f>+'staffing plan'!AH214</f>
        <v>201096</v>
      </c>
      <c r="H204" s="131">
        <f>+'staffing plan'!AI214</f>
        <v>214176</v>
      </c>
      <c r="I204" s="131">
        <f>+'staffing plan'!AJ214</f>
        <v>8</v>
      </c>
      <c r="J204" t="str">
        <f>+'staffing plan'!AW214</f>
        <v>BINTUDAN, Rosemarie Bumidang</v>
      </c>
      <c r="K204" t="str">
        <f>+'staffing plan'!AR214</f>
        <v>BINTUDAN</v>
      </c>
      <c r="L204" t="str">
        <f>UPPER('staffing plan'!AV214)</f>
        <v>ROSEMARIE B. BINTUDAN</v>
      </c>
      <c r="M204" t="str">
        <f>+'staffing plan'!AX214</f>
        <v>Ifugao</v>
      </c>
      <c r="N204" t="str">
        <f>+'staffing plan'!AY214</f>
        <v>F</v>
      </c>
      <c r="O204" s="145" t="e">
        <f>+'staffing plan'!#REF!</f>
        <v>#REF!</v>
      </c>
      <c r="P204" s="145" t="e">
        <f>+'staffing plan'!#REF!</f>
        <v>#REF!</v>
      </c>
      <c r="Q204" s="145" t="e">
        <f>+'staffing plan'!#REF!</f>
        <v>#REF!</v>
      </c>
      <c r="R204">
        <f>+'staffing plan'!BP214</f>
        <v>0</v>
      </c>
      <c r="S204">
        <v>203</v>
      </c>
    </row>
    <row r="205" spans="2:19" hidden="1">
      <c r="B205">
        <f t="shared" si="16"/>
        <v>2015</v>
      </c>
      <c r="C205">
        <f>+'staffing plan'!BK215</f>
        <v>42289</v>
      </c>
      <c r="D205" t="str">
        <f>'staffing plan'!A215</f>
        <v>OSEC-DILGB-ADAS2-77-2005</v>
      </c>
      <c r="E205" t="str">
        <f>+'staffing plan'!B215</f>
        <v>Administrative Assistant II</v>
      </c>
      <c r="F205">
        <f>+'staffing plan'!C215</f>
        <v>8</v>
      </c>
      <c r="G205" s="131">
        <f>+'staffing plan'!AH215</f>
        <v>201096</v>
      </c>
      <c r="H205" s="131">
        <f>+'staffing plan'!AI215</f>
        <v>202920</v>
      </c>
      <c r="I205" s="131">
        <f>+'staffing plan'!AJ215</f>
        <v>2</v>
      </c>
      <c r="J205" t="str">
        <f>+'staffing plan'!AW215</f>
        <v>GALLEMA, Michelle  Ignacio</v>
      </c>
      <c r="K205" t="str">
        <f>+'staffing plan'!AR215</f>
        <v>GALLEMA</v>
      </c>
      <c r="L205" t="str">
        <f>UPPER('staffing plan'!AV215)</f>
        <v>MICHELLE  I. GALLEMA</v>
      </c>
      <c r="M205" t="str">
        <f>+'staffing plan'!AX215</f>
        <v>Kalinga</v>
      </c>
      <c r="N205" t="str">
        <f>+'staffing plan'!AY215</f>
        <v>F</v>
      </c>
      <c r="O205" s="145" t="e">
        <f>+'staffing plan'!#REF!</f>
        <v>#REF!</v>
      </c>
      <c r="P205" s="145" t="e">
        <f>+'staffing plan'!#REF!</f>
        <v>#REF!</v>
      </c>
      <c r="Q205" s="145" t="e">
        <f>+'staffing plan'!#REF!</f>
        <v>#REF!</v>
      </c>
      <c r="R205">
        <f>+'staffing plan'!BP215</f>
        <v>0</v>
      </c>
      <c r="S205">
        <v>204</v>
      </c>
    </row>
    <row r="206" spans="2:19" hidden="1">
      <c r="B206">
        <f t="shared" si="16"/>
        <v>1996</v>
      </c>
      <c r="C206">
        <f>+'staffing plan'!BK216</f>
        <v>35254</v>
      </c>
      <c r="D206" t="str">
        <f>'staffing plan'!A216</f>
        <v>OSEC-DILGB-ADAS2-78-2005</v>
      </c>
      <c r="E206" t="str">
        <f>+'staffing plan'!B216</f>
        <v>Administrative Assistant II</v>
      </c>
      <c r="F206">
        <f>+'staffing plan'!C216</f>
        <v>8</v>
      </c>
      <c r="G206" s="131">
        <f>+'staffing plan'!AH216</f>
        <v>201096</v>
      </c>
      <c r="H206" s="131">
        <f>+'staffing plan'!AI216</f>
        <v>214176</v>
      </c>
      <c r="I206" s="131">
        <f>+'staffing plan'!AJ216</f>
        <v>8</v>
      </c>
      <c r="J206" t="str">
        <f>+'staffing plan'!AW216</f>
        <v>TAMOT, Judith Bermejo</v>
      </c>
      <c r="K206" t="str">
        <f>+'staffing plan'!AR216</f>
        <v>TAMOT</v>
      </c>
      <c r="L206" t="str">
        <f>UPPER('staffing plan'!AV216)</f>
        <v>JUDITH B. TAMOT</v>
      </c>
      <c r="M206" t="str">
        <f>+'staffing plan'!AX216</f>
        <v>Apayao</v>
      </c>
      <c r="N206" t="str">
        <f>+'staffing plan'!AY216</f>
        <v>F</v>
      </c>
      <c r="O206" s="145" t="e">
        <f>+'staffing plan'!#REF!</f>
        <v>#REF!</v>
      </c>
      <c r="P206" s="145" t="e">
        <f>+'staffing plan'!#REF!</f>
        <v>#REF!</v>
      </c>
      <c r="Q206" s="145" t="e">
        <f>+'staffing plan'!#REF!</f>
        <v>#REF!</v>
      </c>
      <c r="R206">
        <f>+'staffing plan'!BP216</f>
        <v>0</v>
      </c>
      <c r="S206">
        <v>205</v>
      </c>
    </row>
    <row r="207" spans="2:19" hidden="1">
      <c r="B207">
        <f t="shared" si="16"/>
        <v>1975</v>
      </c>
      <c r="C207">
        <f>+'staffing plan'!BK217</f>
        <v>27442</v>
      </c>
      <c r="D207" t="str">
        <f>'staffing plan'!A217</f>
        <v>OSEC-DILGB-ADA6-95-2005</v>
      </c>
      <c r="E207" t="str">
        <f>+'staffing plan'!B217</f>
        <v>Administrative Aide VI</v>
      </c>
      <c r="F207">
        <f>+'staffing plan'!C217</f>
        <v>6</v>
      </c>
      <c r="G207" s="131">
        <f>+'staffing plan'!AH217</f>
        <v>178164</v>
      </c>
      <c r="H207" s="131">
        <f>+'staffing plan'!AI217</f>
        <v>187968</v>
      </c>
      <c r="I207" s="131">
        <f>+'staffing plan'!AJ217</f>
        <v>8</v>
      </c>
      <c r="J207" t="str">
        <f>+'staffing plan'!AW217</f>
        <v>DEDUQUE, Katherine  Pablo</v>
      </c>
      <c r="K207" t="str">
        <f>+'staffing plan'!AR217</f>
        <v>DEDUQUE</v>
      </c>
      <c r="L207" t="str">
        <f>UPPER('staffing plan'!AV217)</f>
        <v>KATHERINE  P. DEDUQUE</v>
      </c>
      <c r="M207" t="str">
        <f>+'staffing plan'!AX217</f>
        <v>Regional Office</v>
      </c>
      <c r="N207" t="str">
        <f>+'staffing plan'!AY217</f>
        <v>F</v>
      </c>
      <c r="O207" s="145" t="e">
        <f>+'staffing plan'!#REF!</f>
        <v>#REF!</v>
      </c>
      <c r="P207" s="145" t="e">
        <f>+'staffing plan'!#REF!</f>
        <v>#REF!</v>
      </c>
      <c r="Q207" s="145" t="e">
        <f>+'staffing plan'!#REF!</f>
        <v>#REF!</v>
      </c>
      <c r="R207">
        <f>+'staffing plan'!BP217</f>
        <v>0</v>
      </c>
      <c r="S207">
        <v>206</v>
      </c>
    </row>
    <row r="208" spans="2:19" hidden="1">
      <c r="B208">
        <f t="shared" si="16"/>
        <v>2015</v>
      </c>
      <c r="C208">
        <f>+'staffing plan'!BK218</f>
        <v>42357</v>
      </c>
      <c r="D208" t="str">
        <f>'staffing plan'!A218</f>
        <v>OSEC-DILGB-ADA6-99-2005</v>
      </c>
      <c r="E208" t="str">
        <f>+'staffing plan'!B218</f>
        <v>Administrative Aide VI</v>
      </c>
      <c r="F208">
        <f>+'staffing plan'!C218</f>
        <v>6</v>
      </c>
      <c r="G208" s="131">
        <f>+'staffing plan'!AH218</f>
        <v>178164</v>
      </c>
      <c r="H208" s="131">
        <f>+'staffing plan'!AI218</f>
        <v>179532</v>
      </c>
      <c r="I208" s="131">
        <f>+'staffing plan'!AJ218</f>
        <v>2</v>
      </c>
      <c r="J208" t="str">
        <f>+'staffing plan'!AW218</f>
        <v>TAN, Corinne Marie Pauline Elveña</v>
      </c>
      <c r="K208" t="str">
        <f>+'staffing plan'!AR218</f>
        <v>TAN</v>
      </c>
      <c r="L208" t="str">
        <f>UPPER('staffing plan'!AV218)</f>
        <v>CORINNE MARIE PAULINE E. TAN</v>
      </c>
      <c r="M208" t="str">
        <f>+'staffing plan'!AX218</f>
        <v>Abra</v>
      </c>
      <c r="N208" t="str">
        <f>+'staffing plan'!AY218</f>
        <v>F</v>
      </c>
      <c r="O208" s="145" t="e">
        <f>+'staffing plan'!#REF!</f>
        <v>#REF!</v>
      </c>
      <c r="P208" s="145" t="e">
        <f>+'staffing plan'!#REF!</f>
        <v>#REF!</v>
      </c>
      <c r="Q208" s="145" t="e">
        <f>+'staffing plan'!#REF!</f>
        <v>#REF!</v>
      </c>
      <c r="R208">
        <f>+'staffing plan'!BP218</f>
        <v>0</v>
      </c>
      <c r="S208">
        <v>207</v>
      </c>
    </row>
    <row r="209" spans="2:19" hidden="1">
      <c r="B209">
        <f t="shared" si="16"/>
        <v>1993</v>
      </c>
      <c r="C209">
        <f>+'staffing plan'!BK219</f>
        <v>34151</v>
      </c>
      <c r="D209" t="str">
        <f>'staffing plan'!A219</f>
        <v>OSEC-DILGB-ADA6-100-2005</v>
      </c>
      <c r="E209" t="str">
        <f>+'staffing plan'!B219</f>
        <v>Administrative Aide VI</v>
      </c>
      <c r="F209">
        <f>+'staffing plan'!C219</f>
        <v>6</v>
      </c>
      <c r="G209" s="131">
        <f>+'staffing plan'!AH219</f>
        <v>178164</v>
      </c>
      <c r="H209" s="131">
        <f>+'staffing plan'!AI219</f>
        <v>187968</v>
      </c>
      <c r="I209" s="131">
        <f>+'staffing plan'!AJ219</f>
        <v>8</v>
      </c>
      <c r="J209" t="str">
        <f>+'staffing plan'!AW219</f>
        <v>LUCIO, Arthur Ambros</v>
      </c>
      <c r="K209" t="str">
        <f>+'staffing plan'!AR219</f>
        <v>LUCIO</v>
      </c>
      <c r="L209" t="str">
        <f>UPPER('staffing plan'!AV219)</f>
        <v>ARTHUR A. LUCIO</v>
      </c>
      <c r="M209" t="str">
        <f>+'staffing plan'!AX219</f>
        <v>Benguet</v>
      </c>
      <c r="N209" t="str">
        <f>+'staffing plan'!AY219</f>
        <v>M</v>
      </c>
      <c r="O209" s="145" t="e">
        <f>+'staffing plan'!#REF!</f>
        <v>#REF!</v>
      </c>
      <c r="P209" s="145" t="e">
        <f>+'staffing plan'!#REF!</f>
        <v>#REF!</v>
      </c>
      <c r="Q209" s="145" t="e">
        <f>+'staffing plan'!#REF!</f>
        <v>#REF!</v>
      </c>
      <c r="R209">
        <f>+'staffing plan'!BP219</f>
        <v>0</v>
      </c>
      <c r="S209">
        <v>208</v>
      </c>
    </row>
    <row r="210" spans="2:19" hidden="1">
      <c r="B210">
        <f t="shared" si="16"/>
        <v>1900</v>
      </c>
      <c r="C210">
        <f>+'staffing plan'!BK220</f>
        <v>0</v>
      </c>
      <c r="D210" t="str">
        <f>'staffing plan'!A220</f>
        <v>OSEC-DILGB-ADA6-101-2005</v>
      </c>
      <c r="E210" t="str">
        <f>+'staffing plan'!B220</f>
        <v>Administrative Aide VI</v>
      </c>
      <c r="F210">
        <f>+'staffing plan'!C220</f>
        <v>6</v>
      </c>
      <c r="G210" s="131">
        <f>+'staffing plan'!AH220</f>
        <v>178164</v>
      </c>
      <c r="H210" s="131">
        <f>+'staffing plan'!AI220</f>
        <v>0</v>
      </c>
      <c r="I210" s="131">
        <f>+'staffing plan'!AJ220</f>
        <v>0</v>
      </c>
      <c r="J210" t="str">
        <f>+'staffing plan'!AW220</f>
        <v xml:space="preserve">vacant FABAG,  </v>
      </c>
      <c r="K210" t="str">
        <f>+'staffing plan'!AR220</f>
        <v>vacant FABAG</v>
      </c>
      <c r="L210" t="str">
        <f>UPPER('staffing plan'!AV220)</f>
        <v xml:space="preserve"> . VACANT FABAG</v>
      </c>
      <c r="M210">
        <f>+'staffing plan'!AX220</f>
        <v>0</v>
      </c>
      <c r="N210">
        <f>+'staffing plan'!AY220</f>
        <v>0</v>
      </c>
      <c r="O210" s="145" t="e">
        <f>+'staffing plan'!#REF!</f>
        <v>#REF!</v>
      </c>
      <c r="P210" s="145" t="e">
        <f>+'staffing plan'!#REF!</f>
        <v>#REF!</v>
      </c>
      <c r="Q210" s="145" t="e">
        <f>+'staffing plan'!#REF!</f>
        <v>#REF!</v>
      </c>
      <c r="R210">
        <f>+'staffing plan'!BP220</f>
        <v>0</v>
      </c>
      <c r="S210">
        <v>209</v>
      </c>
    </row>
    <row r="211" spans="2:19" hidden="1">
      <c r="B211">
        <f t="shared" si="16"/>
        <v>1989</v>
      </c>
      <c r="C211">
        <f>+'staffing plan'!BK221</f>
        <v>32672</v>
      </c>
      <c r="D211" t="str">
        <f>'staffing plan'!A221</f>
        <v>OSEC-DILGB-ADA6-102-2005</v>
      </c>
      <c r="E211" t="str">
        <f>+'staffing plan'!B221</f>
        <v>Administrative Aide VI</v>
      </c>
      <c r="F211">
        <f>+'staffing plan'!C221</f>
        <v>6</v>
      </c>
      <c r="G211" s="131">
        <f>+'staffing plan'!AH221</f>
        <v>178164</v>
      </c>
      <c r="H211" s="131">
        <f>+'staffing plan'!AI221</f>
        <v>187968</v>
      </c>
      <c r="I211" s="131">
        <f>+'staffing plan'!AJ221</f>
        <v>8</v>
      </c>
      <c r="J211" t="str">
        <f>+'staffing plan'!AW221</f>
        <v>GONZALES, Marlene Castro</v>
      </c>
      <c r="K211" t="str">
        <f>+'staffing plan'!AR221</f>
        <v>GONZALES</v>
      </c>
      <c r="L211" t="str">
        <f>UPPER('staffing plan'!AV221)</f>
        <v>MARLENE C. GONZALES</v>
      </c>
      <c r="M211" t="str">
        <f>+'staffing plan'!AX221</f>
        <v>Regional Office</v>
      </c>
      <c r="N211" t="str">
        <f>+'staffing plan'!AY221</f>
        <v>F</v>
      </c>
      <c r="O211" s="145" t="e">
        <f>+'staffing plan'!#REF!</f>
        <v>#REF!</v>
      </c>
      <c r="P211" s="145" t="e">
        <f>+'staffing plan'!#REF!</f>
        <v>#REF!</v>
      </c>
      <c r="Q211" s="145" t="e">
        <f>+'staffing plan'!#REF!</f>
        <v>#REF!</v>
      </c>
      <c r="R211">
        <f>+'staffing plan'!BP221</f>
        <v>0</v>
      </c>
      <c r="S211">
        <v>210</v>
      </c>
    </row>
    <row r="212" spans="2:19" hidden="1">
      <c r="B212">
        <f t="shared" si="16"/>
        <v>1994</v>
      </c>
      <c r="C212">
        <f>+'staffing plan'!BK222</f>
        <v>34408</v>
      </c>
      <c r="D212" t="str">
        <f>'staffing plan'!A222</f>
        <v>OSEC-DILGB-ADA6-103-2005</v>
      </c>
      <c r="E212" t="str">
        <f>+'staffing plan'!B222</f>
        <v>Administrative Aide VI</v>
      </c>
      <c r="F212">
        <f>+'staffing plan'!C222</f>
        <v>6</v>
      </c>
      <c r="G212" s="131">
        <f>+'staffing plan'!AH222</f>
        <v>178164</v>
      </c>
      <c r="H212" s="131">
        <f>+'staffing plan'!AI222</f>
        <v>187968</v>
      </c>
      <c r="I212" s="131">
        <f>+'staffing plan'!AJ222</f>
        <v>8</v>
      </c>
      <c r="J212" t="str">
        <f>+'staffing plan'!AW222</f>
        <v>BACDAYAN, Wilfred Ramirez</v>
      </c>
      <c r="K212" t="str">
        <f>+'staffing plan'!AR222</f>
        <v>BACDAYAN</v>
      </c>
      <c r="L212" t="str">
        <f>UPPER('staffing plan'!AV222)</f>
        <v>WILFRED R. BACDAYAN</v>
      </c>
      <c r="M212" t="str">
        <f>+'staffing plan'!AX222</f>
        <v>Kalinga</v>
      </c>
      <c r="N212" t="str">
        <f>+'staffing plan'!AY222</f>
        <v>M</v>
      </c>
      <c r="O212" s="145" t="e">
        <f>+'staffing plan'!#REF!</f>
        <v>#REF!</v>
      </c>
      <c r="P212" s="145" t="e">
        <f>+'staffing plan'!#REF!</f>
        <v>#REF!</v>
      </c>
      <c r="Q212" s="145" t="e">
        <f>+'staffing plan'!#REF!</f>
        <v>#REF!</v>
      </c>
      <c r="R212">
        <f>+'staffing plan'!BP222</f>
        <v>0</v>
      </c>
      <c r="S212">
        <v>211</v>
      </c>
    </row>
    <row r="213" spans="2:19" hidden="1">
      <c r="B213">
        <f t="shared" ref="B213:B230" si="17">(YEAR(C213))</f>
        <v>1900</v>
      </c>
      <c r="C213">
        <f>+'staffing plan'!BK223</f>
        <v>0</v>
      </c>
      <c r="D213" t="str">
        <f>'staffing plan'!A223</f>
        <v>OSEC-DILGB-ADA4-88-2005</v>
      </c>
      <c r="E213" t="str">
        <f>+'staffing plan'!B223</f>
        <v>Administrative Aide IV</v>
      </c>
      <c r="F213">
        <f>+'staffing plan'!C223</f>
        <v>4</v>
      </c>
      <c r="G213" s="131">
        <f>+'staffing plan'!AH223</f>
        <v>158568</v>
      </c>
      <c r="H213" s="131">
        <f>+'staffing plan'!AI223</f>
        <v>0</v>
      </c>
      <c r="I213" s="131">
        <f>+'staffing plan'!AJ223</f>
        <v>0</v>
      </c>
      <c r="J213" t="str">
        <f>+'staffing plan'!AW223</f>
        <v xml:space="preserve">Vacant ANUA,  </v>
      </c>
      <c r="K213" t="str">
        <f>+'staffing plan'!AR223</f>
        <v>Vacant ANUA</v>
      </c>
      <c r="L213" t="str">
        <f>UPPER('staffing plan'!AV223)</f>
        <v xml:space="preserve"> . VACANT ANUA</v>
      </c>
      <c r="M213">
        <f>+'staffing plan'!AX223</f>
        <v>0</v>
      </c>
      <c r="N213">
        <f>+'staffing plan'!AY223</f>
        <v>0</v>
      </c>
      <c r="O213" s="145" t="e">
        <f>+'staffing plan'!#REF!</f>
        <v>#REF!</v>
      </c>
      <c r="P213" s="145" t="e">
        <f>+'staffing plan'!#REF!</f>
        <v>#REF!</v>
      </c>
      <c r="Q213" s="145" t="e">
        <f>+'staffing plan'!#REF!</f>
        <v>#REF!</v>
      </c>
      <c r="R213">
        <f>+'staffing plan'!BP223</f>
        <v>0</v>
      </c>
      <c r="S213">
        <v>212</v>
      </c>
    </row>
    <row r="214" spans="2:19" hidden="1">
      <c r="B214">
        <f t="shared" si="17"/>
        <v>2016</v>
      </c>
      <c r="C214">
        <f>+'staffing plan'!BK224</f>
        <v>42452</v>
      </c>
      <c r="D214" t="str">
        <f>'staffing plan'!A224</f>
        <v>OSEC-DILGB-ADA4-89-2005</v>
      </c>
      <c r="E214" t="str">
        <f>+'staffing plan'!B224</f>
        <v>Administrative Aide IV</v>
      </c>
      <c r="F214">
        <f>+'staffing plan'!C224</f>
        <v>4</v>
      </c>
      <c r="G214" s="131">
        <f>+'staffing plan'!AH224</f>
        <v>158568</v>
      </c>
      <c r="H214" s="131">
        <f>+'staffing plan'!AI224</f>
        <v>158568</v>
      </c>
      <c r="I214" s="131">
        <f>+'staffing plan'!AJ224</f>
        <v>1</v>
      </c>
      <c r="J214" t="str">
        <f>+'staffing plan'!AW224</f>
        <v>PAZ, Daryll Jane Trinidad</v>
      </c>
      <c r="K214" t="str">
        <f>+'staffing plan'!AR224</f>
        <v>PAZ</v>
      </c>
      <c r="L214" t="str">
        <f>UPPER('staffing plan'!AV224)</f>
        <v>DARYLL JANE T. PAZ</v>
      </c>
      <c r="M214" t="str">
        <f>+'staffing plan'!AX224</f>
        <v>Abra</v>
      </c>
      <c r="N214" t="str">
        <f>+'staffing plan'!AY224</f>
        <v>F</v>
      </c>
      <c r="O214" s="145" t="e">
        <f>+'staffing plan'!#REF!</f>
        <v>#REF!</v>
      </c>
      <c r="P214" s="145" t="e">
        <f>+'staffing plan'!#REF!</f>
        <v>#REF!</v>
      </c>
      <c r="Q214" s="145" t="e">
        <f>+'staffing plan'!#REF!</f>
        <v>#REF!</v>
      </c>
      <c r="R214" t="str">
        <f>+'staffing plan'!BP224</f>
        <v>change of item 1-25-18</v>
      </c>
      <c r="S214">
        <v>213</v>
      </c>
    </row>
    <row r="215" spans="2:19" hidden="1">
      <c r="B215">
        <f t="shared" si="17"/>
        <v>1998</v>
      </c>
      <c r="C215">
        <f>+'staffing plan'!BK225</f>
        <v>36115</v>
      </c>
      <c r="D215" t="str">
        <f>'staffing plan'!A225</f>
        <v>OSEC-DILGB-ADA4-90-2005</v>
      </c>
      <c r="E215" t="str">
        <f>+'staffing plan'!B225</f>
        <v>Administrative Aide IV</v>
      </c>
      <c r="F215">
        <f>+'staffing plan'!C225</f>
        <v>4</v>
      </c>
      <c r="G215" s="131">
        <f>+'staffing plan'!AH225</f>
        <v>158568</v>
      </c>
      <c r="H215" s="131">
        <f>+'staffing plan'!AI225</f>
        <v>166020</v>
      </c>
      <c r="I215" s="131">
        <f>+'staffing plan'!AJ225</f>
        <v>7</v>
      </c>
      <c r="J215" t="str">
        <f>+'staffing plan'!AW225</f>
        <v>BALASO, Gina Garcia</v>
      </c>
      <c r="K215" t="str">
        <f>+'staffing plan'!AR225</f>
        <v>BALASO</v>
      </c>
      <c r="L215" t="str">
        <f>UPPER('staffing plan'!AV225)</f>
        <v>GINA G. BALASO</v>
      </c>
      <c r="M215" t="str">
        <f>+'staffing plan'!AX225</f>
        <v>Benguet</v>
      </c>
      <c r="N215" t="str">
        <f>+'staffing plan'!AY225</f>
        <v>F</v>
      </c>
      <c r="O215" s="145" t="e">
        <f>+'staffing plan'!#REF!</f>
        <v>#REF!</v>
      </c>
      <c r="P215" s="145" t="e">
        <f>+'staffing plan'!#REF!</f>
        <v>#REF!</v>
      </c>
      <c r="Q215" s="145" t="e">
        <f>+'staffing plan'!#REF!</f>
        <v>#REF!</v>
      </c>
      <c r="R215">
        <f>+'staffing plan'!BP225</f>
        <v>0</v>
      </c>
      <c r="S215">
        <v>214</v>
      </c>
    </row>
    <row r="216" spans="2:19" hidden="1">
      <c r="B216">
        <f t="shared" si="17"/>
        <v>2018</v>
      </c>
      <c r="C216">
        <f>+'staffing plan'!BK226</f>
        <v>43193</v>
      </c>
      <c r="D216" t="str">
        <f>'staffing plan'!A226</f>
        <v>OSEC-DILGB-ADA4-91-2005</v>
      </c>
      <c r="E216" t="str">
        <f>+'staffing plan'!B226</f>
        <v>Administrative Aide IV</v>
      </c>
      <c r="F216">
        <f>+'staffing plan'!C226</f>
        <v>4</v>
      </c>
      <c r="G216" s="131">
        <f>+'staffing plan'!AH226</f>
        <v>158568</v>
      </c>
      <c r="H216" s="131">
        <f>+'staffing plan'!AI226</f>
        <v>158568</v>
      </c>
      <c r="I216" s="131">
        <f>+'staffing plan'!AJ226</f>
        <v>1</v>
      </c>
      <c r="J216" t="str">
        <f>+'staffing plan'!AW226</f>
        <v>LOMAS-E, Rose Mere Manarop</v>
      </c>
      <c r="K216" t="str">
        <f>+'staffing plan'!AR226</f>
        <v>LOMAS-E</v>
      </c>
      <c r="L216" t="str">
        <f>UPPER('staffing plan'!AV226)</f>
        <v>ROSE MERE M. LOMAS-E</v>
      </c>
      <c r="M216" t="str">
        <f>+'staffing plan'!AX226</f>
        <v>Mt. Province</v>
      </c>
      <c r="N216" t="str">
        <f>+'staffing plan'!AY226</f>
        <v>F</v>
      </c>
      <c r="O216" s="145" t="e">
        <f>+'staffing plan'!#REF!</f>
        <v>#REF!</v>
      </c>
      <c r="P216" s="145" t="e">
        <f>+'staffing plan'!#REF!</f>
        <v>#REF!</v>
      </c>
      <c r="Q216" s="145" t="e">
        <f>+'staffing plan'!#REF!</f>
        <v>#REF!</v>
      </c>
      <c r="R216" t="str">
        <f>+'staffing plan'!BP226</f>
        <v>MP Prov</v>
      </c>
      <c r="S216">
        <v>215</v>
      </c>
    </row>
    <row r="217" spans="2:19" hidden="1">
      <c r="B217">
        <f t="shared" si="17"/>
        <v>2015</v>
      </c>
      <c r="C217">
        <f>+'staffing plan'!BK227</f>
        <v>42289</v>
      </c>
      <c r="D217" t="str">
        <f>'staffing plan'!A227</f>
        <v>OSEC-DILGB-ADA4-92-2005</v>
      </c>
      <c r="E217" t="str">
        <f>+'staffing plan'!B227</f>
        <v>Administrative Aide IV</v>
      </c>
      <c r="F217">
        <f>+'staffing plan'!C227</f>
        <v>4</v>
      </c>
      <c r="G217" s="131">
        <f>+'staffing plan'!AH227</f>
        <v>158568</v>
      </c>
      <c r="H217" s="131">
        <f>+'staffing plan'!AI227</f>
        <v>159792</v>
      </c>
      <c r="I217" s="131">
        <f>+'staffing plan'!AJ227</f>
        <v>2</v>
      </c>
      <c r="J217" t="str">
        <f>+'staffing plan'!AW227</f>
        <v>PATAUEG, Clifford Pungod</v>
      </c>
      <c r="K217" t="str">
        <f>+'staffing plan'!AR227</f>
        <v>PATAUEG</v>
      </c>
      <c r="L217" t="str">
        <f>UPPER('staffing plan'!AV227)</f>
        <v>CLIFFORD P. PATAUEG</v>
      </c>
      <c r="M217" t="str">
        <f>+'staffing plan'!AX227</f>
        <v>Ifugao</v>
      </c>
      <c r="N217" t="str">
        <f>+'staffing plan'!AY227</f>
        <v>M</v>
      </c>
      <c r="O217" s="145" t="e">
        <f>+'staffing plan'!#REF!</f>
        <v>#REF!</v>
      </c>
      <c r="P217" s="145" t="e">
        <f>+'staffing plan'!#REF!</f>
        <v>#REF!</v>
      </c>
      <c r="Q217" s="145" t="e">
        <f>+'staffing plan'!#REF!</f>
        <v>#REF!</v>
      </c>
      <c r="R217" t="str">
        <f>+'staffing plan'!BP227</f>
        <v>Nurse</v>
      </c>
      <c r="S217">
        <v>216</v>
      </c>
    </row>
    <row r="218" spans="2:19" hidden="1">
      <c r="B218">
        <f t="shared" si="17"/>
        <v>2018</v>
      </c>
      <c r="C218">
        <f>+'staffing plan'!BK228</f>
        <v>43193</v>
      </c>
      <c r="D218" t="str">
        <f>'staffing plan'!A228</f>
        <v>OSEC-DILGB-ADA4-93-2005</v>
      </c>
      <c r="E218" t="str">
        <f>+'staffing plan'!B228</f>
        <v>Administrative Aide IV</v>
      </c>
      <c r="F218">
        <f>+'staffing plan'!C228</f>
        <v>4</v>
      </c>
      <c r="G218" s="131">
        <f>+'staffing plan'!AH228</f>
        <v>158568</v>
      </c>
      <c r="H218" s="131">
        <f>+'staffing plan'!AI228</f>
        <v>158568</v>
      </c>
      <c r="I218" s="131">
        <f>+'staffing plan'!AJ228</f>
        <v>1</v>
      </c>
      <c r="J218" t="str">
        <f>+'staffing plan'!AW228</f>
        <v>CAMPO, Nilo Palsic</v>
      </c>
      <c r="K218" t="str">
        <f>+'staffing plan'!AR228</f>
        <v>CAMPO</v>
      </c>
      <c r="L218" t="str">
        <f>UPPER('staffing plan'!AV228)</f>
        <v>NILO P. CAMPO</v>
      </c>
      <c r="M218" t="str">
        <f>+'staffing plan'!AX228</f>
        <v>Apayao</v>
      </c>
      <c r="N218" t="str">
        <f>+'staffing plan'!AY228</f>
        <v>M</v>
      </c>
      <c r="O218" s="145" t="e">
        <f>+'staffing plan'!#REF!</f>
        <v>#REF!</v>
      </c>
      <c r="P218" s="145" t="e">
        <f>+'staffing plan'!#REF!</f>
        <v>#REF!</v>
      </c>
      <c r="Q218" s="145" t="e">
        <f>+'staffing plan'!#REF!</f>
        <v>#REF!</v>
      </c>
      <c r="R218" t="str">
        <f>+'staffing plan'!BP228</f>
        <v>apayao</v>
      </c>
      <c r="S218">
        <v>217</v>
      </c>
    </row>
    <row r="219" spans="2:19" hidden="1">
      <c r="B219">
        <f t="shared" si="17"/>
        <v>2012</v>
      </c>
      <c r="C219">
        <f>+'staffing plan'!BK229</f>
        <v>40910</v>
      </c>
      <c r="D219" t="str">
        <f>'staffing plan'!A229</f>
        <v>OSEC-DILGB-ADA4-94-2005</v>
      </c>
      <c r="E219" t="str">
        <f>+'staffing plan'!B229</f>
        <v>Administrative Aide IV</v>
      </c>
      <c r="F219">
        <f>+'staffing plan'!C229</f>
        <v>4</v>
      </c>
      <c r="G219" s="131">
        <f>+'staffing plan'!AH229</f>
        <v>158568</v>
      </c>
      <c r="H219" s="131">
        <f>+'staffing plan'!AI229</f>
        <v>161016</v>
      </c>
      <c r="I219" s="131">
        <f>+'staffing plan'!AJ229</f>
        <v>3</v>
      </c>
      <c r="J219" t="str">
        <f>+'staffing plan'!AW229</f>
        <v>ANGAWA, Lilet Ahuday</v>
      </c>
      <c r="K219" t="str">
        <f>+'staffing plan'!AR229</f>
        <v>ANGAWA</v>
      </c>
      <c r="L219" t="str">
        <f>UPPER('staffing plan'!AV229)</f>
        <v>LILET A. ANGAWA</v>
      </c>
      <c r="M219" t="str">
        <f>+'staffing plan'!AX229</f>
        <v>Baguio City</v>
      </c>
      <c r="N219" t="str">
        <f>+'staffing plan'!AY229</f>
        <v>F</v>
      </c>
      <c r="O219" s="145" t="e">
        <f>+'staffing plan'!#REF!</f>
        <v>#REF!</v>
      </c>
      <c r="P219" s="145" t="e">
        <f>+'staffing plan'!#REF!</f>
        <v>#REF!</v>
      </c>
      <c r="Q219" s="145" t="e">
        <f>+'staffing plan'!#REF!</f>
        <v>#REF!</v>
      </c>
      <c r="R219">
        <f>+'staffing plan'!BP229</f>
        <v>0</v>
      </c>
      <c r="S219">
        <v>218</v>
      </c>
    </row>
    <row r="220" spans="2:19">
      <c r="B220">
        <f t="shared" si="17"/>
        <v>2002</v>
      </c>
      <c r="C220">
        <f>+'staffing plan'!BK230</f>
        <v>37305</v>
      </c>
      <c r="D220" t="str">
        <f>'staffing plan'!A230</f>
        <v>OSEC-DILGB-ADA3-62-2005</v>
      </c>
      <c r="E220" t="str">
        <f>+'staffing plan'!B230</f>
        <v>Administrative Aide III</v>
      </c>
      <c r="F220">
        <f>+'staffing plan'!C230</f>
        <v>3</v>
      </c>
      <c r="G220" s="131">
        <f>+'staffing plan'!AH230</f>
        <v>149592</v>
      </c>
      <c r="H220" s="131">
        <f>+'staffing plan'!AI230</f>
        <v>155424</v>
      </c>
      <c r="I220" s="131">
        <f>+'staffing plan'!AJ230</f>
        <v>6</v>
      </c>
      <c r="J220" t="str">
        <f>+'staffing plan'!AW230</f>
        <v>MICU, Benelito de Jesus</v>
      </c>
      <c r="K220" t="str">
        <f>+'staffing plan'!AR230</f>
        <v>MICU</v>
      </c>
      <c r="L220" t="str">
        <f>UPPER('staffing plan'!AV230)</f>
        <v>BENELITO DJ. MICU</v>
      </c>
      <c r="M220" t="str">
        <f>+'staffing plan'!AX230</f>
        <v>Apayao</v>
      </c>
      <c r="N220" t="str">
        <f>+'staffing plan'!AY230</f>
        <v>M</v>
      </c>
      <c r="O220" s="145" t="e">
        <f>+'staffing plan'!#REF!</f>
        <v>#REF!</v>
      </c>
      <c r="P220" s="145" t="e">
        <f>+'staffing plan'!#REF!</f>
        <v>#REF!</v>
      </c>
      <c r="Q220" s="145" t="e">
        <f>+'staffing plan'!#REF!</f>
        <v>#REF!</v>
      </c>
      <c r="R220">
        <f>+'staffing plan'!BP230</f>
        <v>0</v>
      </c>
      <c r="S220">
        <v>219</v>
      </c>
    </row>
    <row r="221" spans="2:19" hidden="1">
      <c r="B221">
        <f t="shared" si="17"/>
        <v>1989</v>
      </c>
      <c r="C221">
        <f>+'staffing plan'!BK231</f>
        <v>32580</v>
      </c>
      <c r="D221" t="str">
        <f>'staffing plan'!A231</f>
        <v>OSEC-DILGB-ADA3-63-2005</v>
      </c>
      <c r="E221" t="str">
        <f>+'staffing plan'!B231</f>
        <v>Administrative Aide III</v>
      </c>
      <c r="F221">
        <f>+'staffing plan'!C231</f>
        <v>3</v>
      </c>
      <c r="G221" s="131">
        <f>+'staffing plan'!AH231</f>
        <v>149592</v>
      </c>
      <c r="H221" s="131">
        <f>+'staffing plan'!AI231</f>
        <v>157824</v>
      </c>
      <c r="I221" s="131">
        <f>+'staffing plan'!AJ231</f>
        <v>8</v>
      </c>
      <c r="J221" t="str">
        <f>+'staffing plan'!AW231</f>
        <v>BRIONES, Rolando Atmosfera</v>
      </c>
      <c r="K221" t="str">
        <f>+'staffing plan'!AR231</f>
        <v>BRIONES</v>
      </c>
      <c r="L221" t="str">
        <f>UPPER('staffing plan'!AV231)</f>
        <v>ROLANDO A. BRIONES</v>
      </c>
      <c r="M221" t="str">
        <f>+'staffing plan'!AX231</f>
        <v>Abra</v>
      </c>
      <c r="N221" t="str">
        <f>+'staffing plan'!AY231</f>
        <v>M</v>
      </c>
      <c r="O221" s="145" t="e">
        <f>+'staffing plan'!#REF!</f>
        <v>#REF!</v>
      </c>
      <c r="P221" s="145" t="e">
        <f>+'staffing plan'!#REF!</f>
        <v>#REF!</v>
      </c>
      <c r="Q221" s="145" t="e">
        <f>+'staffing plan'!#REF!</f>
        <v>#REF!</v>
      </c>
      <c r="R221">
        <f>+'staffing plan'!BP231</f>
        <v>0</v>
      </c>
      <c r="S221">
        <v>220</v>
      </c>
    </row>
    <row r="222" spans="2:19" hidden="1">
      <c r="B222">
        <f t="shared" si="17"/>
        <v>1900</v>
      </c>
      <c r="C222">
        <f>+'staffing plan'!BK232</f>
        <v>0</v>
      </c>
      <c r="D222" t="str">
        <f>'staffing plan'!A232</f>
        <v>OSEC-DILGB-ADA3-64-2005</v>
      </c>
      <c r="E222" t="str">
        <f>+'staffing plan'!B232</f>
        <v>Administrative Aide III</v>
      </c>
      <c r="F222">
        <f>+'staffing plan'!C232</f>
        <v>3</v>
      </c>
      <c r="G222" s="131">
        <f>+'staffing plan'!AH232</f>
        <v>149592</v>
      </c>
      <c r="H222" s="131">
        <f>+'staffing plan'!AI232</f>
        <v>0</v>
      </c>
      <c r="I222" s="131">
        <f>+'staffing plan'!AJ232</f>
        <v>0</v>
      </c>
      <c r="J222" t="str">
        <f>+'staffing plan'!AW232</f>
        <v>Vacant BALTING, Jason Saingan
CTI-FOR SCRAPPING</v>
      </c>
      <c r="K222">
        <f>+'staffing plan'!AR232</f>
        <v>0</v>
      </c>
      <c r="L222" t="str">
        <f>UPPER('staffing plan'!AV232)</f>
        <v xml:space="preserve"> . </v>
      </c>
      <c r="M222">
        <f>+'staffing plan'!AX232</f>
        <v>0</v>
      </c>
      <c r="N222">
        <f>+'staffing plan'!AY232</f>
        <v>0</v>
      </c>
      <c r="O222" s="145" t="e">
        <f>+'staffing plan'!#REF!</f>
        <v>#REF!</v>
      </c>
      <c r="P222" s="145" t="e">
        <f>+'staffing plan'!#REF!</f>
        <v>#REF!</v>
      </c>
      <c r="Q222" s="145" t="e">
        <f>+'staffing plan'!#REF!</f>
        <v>#REF!</v>
      </c>
      <c r="R222">
        <f>+'staffing plan'!BP232</f>
        <v>0</v>
      </c>
      <c r="S222">
        <v>221</v>
      </c>
    </row>
    <row r="223" spans="2:19" hidden="1">
      <c r="B223">
        <f t="shared" si="17"/>
        <v>1900</v>
      </c>
      <c r="C223">
        <f>+'staffing plan'!BK233</f>
        <v>0</v>
      </c>
      <c r="D223" t="str">
        <f>'staffing plan'!A233</f>
        <v>OSEC-DILGB-ADA3-65-2005</v>
      </c>
      <c r="E223" t="str">
        <f>+'staffing plan'!B233</f>
        <v>Administrative Aide III</v>
      </c>
      <c r="F223">
        <f>+'staffing plan'!C233</f>
        <v>3</v>
      </c>
      <c r="G223" s="131">
        <f>+'staffing plan'!AH233</f>
        <v>149592</v>
      </c>
      <c r="H223" s="131">
        <f>+'staffing plan'!AI233</f>
        <v>0</v>
      </c>
      <c r="I223" s="131">
        <f>+'staffing plan'!AJ233</f>
        <v>0</v>
      </c>
      <c r="J223" t="str">
        <f>+'staffing plan'!AW233</f>
        <v>Vacant SANCHEZ, Roland Waking
CTI-FOR SCRAPPING</v>
      </c>
      <c r="K223">
        <f>+'staffing plan'!AR233</f>
        <v>0</v>
      </c>
      <c r="L223" t="str">
        <f>UPPER('staffing plan'!AV233)</f>
        <v xml:space="preserve"> . </v>
      </c>
      <c r="M223">
        <f>+'staffing plan'!AX233</f>
        <v>0</v>
      </c>
      <c r="N223">
        <f>+'staffing plan'!AY233</f>
        <v>0</v>
      </c>
      <c r="O223" s="145" t="e">
        <f>+'staffing plan'!#REF!</f>
        <v>#REF!</v>
      </c>
      <c r="P223" s="145" t="e">
        <f>+'staffing plan'!#REF!</f>
        <v>#REF!</v>
      </c>
      <c r="Q223" s="145" t="e">
        <f>+'staffing plan'!#REF!</f>
        <v>#REF!</v>
      </c>
      <c r="R223">
        <f>+'staffing plan'!BP233</f>
        <v>0</v>
      </c>
      <c r="S223">
        <v>222</v>
      </c>
    </row>
    <row r="224" spans="2:19" hidden="1">
      <c r="B224">
        <f t="shared" si="17"/>
        <v>1990</v>
      </c>
      <c r="C224">
        <f>+'staffing plan'!BK234</f>
        <v>33175</v>
      </c>
      <c r="D224" t="str">
        <f>'staffing plan'!A234</f>
        <v>OSEC-DILGB-ADA2-57-2005</v>
      </c>
      <c r="E224" t="str">
        <f>+'staffing plan'!B234</f>
        <v xml:space="preserve">Administrative Aide II   </v>
      </c>
      <c r="F224">
        <f>+'staffing plan'!C234</f>
        <v>2</v>
      </c>
      <c r="G224" s="131">
        <f>+'staffing plan'!AH234</f>
        <v>141132</v>
      </c>
      <c r="H224" s="131">
        <f>+'staffing plan'!AI234</f>
        <v>148884</v>
      </c>
      <c r="I224" s="131">
        <f>+'staffing plan'!AJ234</f>
        <v>8</v>
      </c>
      <c r="J224" t="str">
        <f>+'staffing plan'!AW234</f>
        <v>FERNANDO, Marvin Flores</v>
      </c>
      <c r="K224" t="str">
        <f>+'staffing plan'!AR234</f>
        <v>FERNANDO</v>
      </c>
      <c r="L224" t="str">
        <f>UPPER('staffing plan'!AV234)</f>
        <v>MARVIN F. FERNANDO</v>
      </c>
      <c r="M224" t="str">
        <f>+'staffing plan'!AX234</f>
        <v>Kalinga</v>
      </c>
      <c r="N224" t="str">
        <f>+'staffing plan'!AY234</f>
        <v>M</v>
      </c>
      <c r="O224" s="145" t="e">
        <f>+'staffing plan'!#REF!</f>
        <v>#REF!</v>
      </c>
      <c r="P224" s="145" t="e">
        <f>+'staffing plan'!#REF!</f>
        <v>#REF!</v>
      </c>
      <c r="Q224" s="145" t="e">
        <f>+'staffing plan'!#REF!</f>
        <v>#REF!</v>
      </c>
      <c r="R224">
        <f>+'staffing plan'!BP234</f>
        <v>0</v>
      </c>
      <c r="S224">
        <v>223</v>
      </c>
    </row>
    <row r="225" spans="1:19" hidden="1">
      <c r="B225">
        <f t="shared" si="17"/>
        <v>1900</v>
      </c>
      <c r="C225">
        <f>+'staffing plan'!BK235</f>
        <v>0</v>
      </c>
      <c r="D225" t="str">
        <f>'staffing plan'!A235</f>
        <v>OSEC-DILGB-ADA1-28-2005</v>
      </c>
      <c r="E225" t="str">
        <f>+'staffing plan'!B235</f>
        <v>Administrative Aide I</v>
      </c>
      <c r="F225">
        <f>+'staffing plan'!C235</f>
        <v>1</v>
      </c>
      <c r="G225" s="131">
        <f>+'staffing plan'!AH235</f>
        <v>132816</v>
      </c>
      <c r="H225" s="131">
        <f>+'staffing plan'!AI235</f>
        <v>0</v>
      </c>
      <c r="I225" s="131">
        <f>+'staffing plan'!AJ235</f>
        <v>0</v>
      </c>
      <c r="J225" t="str">
        <f>+'staffing plan'!AW235</f>
        <v>Vacant SAINGAN, Crisanto Ingosan
CTI-FOR SCRAPPING</v>
      </c>
      <c r="K225">
        <f>+'staffing plan'!AR235</f>
        <v>0</v>
      </c>
      <c r="L225" t="str">
        <f>UPPER('staffing plan'!AV235)</f>
        <v xml:space="preserve"> . </v>
      </c>
      <c r="M225">
        <f>+'staffing plan'!AX235</f>
        <v>0</v>
      </c>
      <c r="N225">
        <f>+'staffing plan'!AY235</f>
        <v>0</v>
      </c>
      <c r="O225" s="145" t="e">
        <f>+'staffing plan'!#REF!</f>
        <v>#REF!</v>
      </c>
      <c r="P225" s="145" t="e">
        <f>+'staffing plan'!#REF!</f>
        <v>#REF!</v>
      </c>
      <c r="Q225" s="145" t="e">
        <f>+'staffing plan'!#REF!</f>
        <v>#REF!</v>
      </c>
      <c r="R225">
        <f>+'staffing plan'!BP235</f>
        <v>0</v>
      </c>
      <c r="S225">
        <v>224</v>
      </c>
    </row>
    <row r="226" spans="1:19" hidden="1">
      <c r="B226">
        <f t="shared" si="17"/>
        <v>1996</v>
      </c>
      <c r="C226">
        <f>+'staffing plan'!BK236</f>
        <v>35254</v>
      </c>
      <c r="D226" t="str">
        <f>'staffing plan'!A236</f>
        <v>OSEC-DILGB-ADA1-29-2005</v>
      </c>
      <c r="E226" t="str">
        <f>+'staffing plan'!B236</f>
        <v>Administrative Aide I</v>
      </c>
      <c r="F226">
        <f>+'staffing plan'!C236</f>
        <v>1</v>
      </c>
      <c r="G226" s="131">
        <f>+'staffing plan'!AH236</f>
        <v>132816</v>
      </c>
      <c r="H226" s="131">
        <f>+'staffing plan'!AI236</f>
        <v>140784</v>
      </c>
      <c r="I226" s="131">
        <f>+'staffing plan'!AJ236</f>
        <v>8</v>
      </c>
      <c r="J226" t="str">
        <f>+'staffing plan'!AW236</f>
        <v>DANGEL, Merlyn Majuray</v>
      </c>
      <c r="K226" t="str">
        <f>+'staffing plan'!AR236</f>
        <v>DANGEL</v>
      </c>
      <c r="L226" t="str">
        <f>UPPER('staffing plan'!AV236)</f>
        <v>MERLYN M. DANGEL</v>
      </c>
      <c r="M226" t="str">
        <f>+'staffing plan'!AX236</f>
        <v>Apayao</v>
      </c>
      <c r="N226" t="str">
        <f>+'staffing plan'!AY236</f>
        <v>F</v>
      </c>
      <c r="O226" s="145" t="e">
        <f>+'staffing plan'!#REF!</f>
        <v>#REF!</v>
      </c>
      <c r="P226" s="145" t="e">
        <f>+'staffing plan'!#REF!</f>
        <v>#REF!</v>
      </c>
      <c r="Q226" s="145" t="e">
        <f>+'staffing plan'!#REF!</f>
        <v>#REF!</v>
      </c>
      <c r="R226">
        <f>+'staffing plan'!BP236</f>
        <v>0</v>
      </c>
      <c r="S226">
        <v>225</v>
      </c>
    </row>
    <row r="227" spans="1:19">
      <c r="B227">
        <f t="shared" si="17"/>
        <v>1999</v>
      </c>
      <c r="C227">
        <f>+'staffing plan'!BK237</f>
        <v>36356</v>
      </c>
      <c r="D227" t="str">
        <f>'staffing plan'!A237</f>
        <v>OSEC-DILGB-ADA1-30-2005</v>
      </c>
      <c r="E227" t="str">
        <f>+'staffing plan'!B237</f>
        <v>Administrative Aide I</v>
      </c>
      <c r="F227">
        <f>+'staffing plan'!C237</f>
        <v>1</v>
      </c>
      <c r="G227" s="131">
        <f>+'staffing plan'!AH237</f>
        <v>132816</v>
      </c>
      <c r="H227" s="131">
        <f>+'staffing plan'!AI237</f>
        <v>139620</v>
      </c>
      <c r="I227" s="131">
        <f>+'staffing plan'!AJ237</f>
        <v>7</v>
      </c>
      <c r="J227" t="str">
        <f>+'staffing plan'!AW237</f>
        <v>LOMAS-E, Wilmon Finotton</v>
      </c>
      <c r="K227" t="str">
        <f>+'staffing plan'!AR237</f>
        <v>LOMAS-E</v>
      </c>
      <c r="L227" t="str">
        <f>UPPER('staffing plan'!AV237)</f>
        <v>WILMON F. LOMAS-E</v>
      </c>
      <c r="M227" t="str">
        <f>+'staffing plan'!AX237</f>
        <v>Mt. Province</v>
      </c>
      <c r="N227" t="str">
        <f>+'staffing plan'!AY237</f>
        <v>M</v>
      </c>
      <c r="O227" s="145" t="e">
        <f>+'staffing plan'!#REF!</f>
        <v>#REF!</v>
      </c>
      <c r="P227" s="145" t="e">
        <f>+'staffing plan'!#REF!</f>
        <v>#REF!</v>
      </c>
      <c r="Q227" s="145" t="e">
        <f>+'staffing plan'!#REF!</f>
        <v>#REF!</v>
      </c>
      <c r="R227">
        <f>+'staffing plan'!BP237</f>
        <v>0</v>
      </c>
      <c r="S227">
        <v>226</v>
      </c>
    </row>
    <row r="228" spans="1:19" hidden="1">
      <c r="B228">
        <f t="shared" si="17"/>
        <v>1994</v>
      </c>
      <c r="C228">
        <f>+'staffing plan'!BK238</f>
        <v>34408</v>
      </c>
      <c r="D228" t="str">
        <f>'staffing plan'!A238</f>
        <v>OSEC-DILGB-ADA1-32-2005</v>
      </c>
      <c r="E228" t="str">
        <f>+'staffing plan'!B238</f>
        <v>Administrative Aide I</v>
      </c>
      <c r="F228">
        <f>+'staffing plan'!C238</f>
        <v>1</v>
      </c>
      <c r="G228" s="131">
        <f>+'staffing plan'!AH238</f>
        <v>132816</v>
      </c>
      <c r="H228" s="131">
        <f>+'staffing plan'!AI238</f>
        <v>140784</v>
      </c>
      <c r="I228" s="131">
        <f>+'staffing plan'!AJ238</f>
        <v>8</v>
      </c>
      <c r="J228" t="str">
        <f>+'staffing plan'!AW238</f>
        <v>KIBAYEN, Nelson Malnawan</v>
      </c>
      <c r="K228" t="str">
        <f>+'staffing plan'!AR238</f>
        <v>KIBAYEN</v>
      </c>
      <c r="L228" t="str">
        <f>UPPER('staffing plan'!AV238)</f>
        <v>NELSON M. KIBAYEN</v>
      </c>
      <c r="M228" t="str">
        <f>+'staffing plan'!AX238</f>
        <v>Kalinga</v>
      </c>
      <c r="N228" t="str">
        <f>+'staffing plan'!AY238</f>
        <v>M</v>
      </c>
      <c r="O228" s="145" t="e">
        <f>+'staffing plan'!#REF!</f>
        <v>#REF!</v>
      </c>
      <c r="P228" s="145" t="e">
        <f>+'staffing plan'!#REF!</f>
        <v>#REF!</v>
      </c>
      <c r="Q228" s="145" t="e">
        <f>+'staffing plan'!#REF!</f>
        <v>#REF!</v>
      </c>
      <c r="R228">
        <f>+'staffing plan'!BP238</f>
        <v>0</v>
      </c>
      <c r="S228">
        <v>227</v>
      </c>
    </row>
    <row r="229" spans="1:19" hidden="1">
      <c r="B229">
        <f t="shared" si="17"/>
        <v>1900</v>
      </c>
      <c r="C229">
        <f>+'staffing plan'!BK239</f>
        <v>0</v>
      </c>
      <c r="D229" t="str">
        <f>'staffing plan'!A239</f>
        <v>OSEC-DILGB-ADA1-33-2005</v>
      </c>
      <c r="E229" t="str">
        <f>+'staffing plan'!B239</f>
        <v>Administrative Aide I</v>
      </c>
      <c r="F229">
        <f>+'staffing plan'!C239</f>
        <v>1</v>
      </c>
      <c r="G229" s="131">
        <f>+'staffing plan'!AH239</f>
        <v>132816</v>
      </c>
      <c r="H229" s="131">
        <f>+'staffing plan'!AI239</f>
        <v>0</v>
      </c>
      <c r="I229" s="131">
        <f>+'staffing plan'!AJ239</f>
        <v>0</v>
      </c>
      <c r="J229" t="str">
        <f>+'staffing plan'!AW239</f>
        <v>Vacant BRAGAS, Suzette Dela Cruz
CTI-FOR SCRAPPING</v>
      </c>
      <c r="K229">
        <f>+'staffing plan'!AR239</f>
        <v>0</v>
      </c>
      <c r="L229" t="str">
        <f>UPPER('staffing plan'!AV239)</f>
        <v xml:space="preserve"> . </v>
      </c>
      <c r="M229">
        <f>+'staffing plan'!AX239</f>
        <v>0</v>
      </c>
      <c r="N229">
        <f>+'staffing plan'!AY239</f>
        <v>0</v>
      </c>
      <c r="O229" s="145" t="e">
        <f>+'staffing plan'!#REF!</f>
        <v>#REF!</v>
      </c>
      <c r="P229" s="145" t="e">
        <f>+'staffing plan'!#REF!</f>
        <v>#REF!</v>
      </c>
      <c r="Q229" s="145" t="e">
        <f>+'staffing plan'!#REF!</f>
        <v>#REF!</v>
      </c>
      <c r="R229">
        <f>+'staffing plan'!BP239</f>
        <v>0</v>
      </c>
      <c r="S229">
        <v>228</v>
      </c>
    </row>
    <row r="230" spans="1:19" hidden="1">
      <c r="B230">
        <f t="shared" si="17"/>
        <v>1900</v>
      </c>
      <c r="C230">
        <f>+'staffing plan'!BK240</f>
        <v>0</v>
      </c>
      <c r="D230" t="str">
        <f>'staffing plan'!A240</f>
        <v>OSEC-DILGB-ADA4-___-20__</v>
      </c>
      <c r="E230" t="str">
        <f>+'staffing plan'!B240</f>
        <v>Administrative Aide VI</v>
      </c>
      <c r="F230">
        <f>+'staffing plan'!C240</f>
        <v>4</v>
      </c>
      <c r="G230" s="131">
        <f>+'staffing plan'!AH240</f>
        <v>158568</v>
      </c>
      <c r="H230" s="131">
        <f>+'staffing plan'!AI240</f>
        <v>0</v>
      </c>
      <c r="I230" s="131">
        <f>+'staffing plan'!AJ240</f>
        <v>0</v>
      </c>
      <c r="J230" t="str">
        <f>+'staffing plan'!AW240</f>
        <v>vacant Still no NOSCA
WITH PENDING REQUEST</v>
      </c>
      <c r="K230">
        <f>+'staffing plan'!AR240</f>
        <v>0</v>
      </c>
      <c r="L230" t="str">
        <f>UPPER('staffing plan'!AV240)</f>
        <v xml:space="preserve"> . </v>
      </c>
      <c r="M230">
        <f>+'staffing plan'!AX240</f>
        <v>0</v>
      </c>
      <c r="N230">
        <f>+'staffing plan'!AY240</f>
        <v>0</v>
      </c>
      <c r="O230" s="145" t="e">
        <f>+'staffing plan'!#REF!</f>
        <v>#REF!</v>
      </c>
      <c r="P230" s="145" t="e">
        <f>+'staffing plan'!#REF!</f>
        <v>#REF!</v>
      </c>
      <c r="Q230" s="145" t="e">
        <f>+'staffing plan'!#REF!</f>
        <v>#REF!</v>
      </c>
      <c r="R230">
        <f>+'staffing plan'!BP240</f>
        <v>0</v>
      </c>
      <c r="S230">
        <v>229</v>
      </c>
    </row>
    <row r="231" spans="1:19">
      <c r="G231" s="131"/>
      <c r="H231" s="131"/>
      <c r="I231" s="131"/>
    </row>
    <row r="232" spans="1:19">
      <c r="A232" s="150"/>
      <c r="B232" s="150" t="s">
        <v>2765</v>
      </c>
      <c r="C232" s="151" t="s">
        <v>18</v>
      </c>
      <c r="D232" s="152" t="s">
        <v>2204</v>
      </c>
      <c r="E232" s="153" t="s">
        <v>7</v>
      </c>
      <c r="F232" s="153" t="s">
        <v>8</v>
      </c>
      <c r="G232" s="154" t="s">
        <v>2810</v>
      </c>
      <c r="H232" s="154" t="s">
        <v>2811</v>
      </c>
      <c r="I232" s="153" t="s">
        <v>10</v>
      </c>
      <c r="J232" s="153" t="s">
        <v>13</v>
      </c>
      <c r="K232" s="153" t="s">
        <v>2806</v>
      </c>
      <c r="L232" s="153" t="s">
        <v>2805</v>
      </c>
      <c r="M232" s="152" t="s">
        <v>2216</v>
      </c>
      <c r="N232" s="153" t="s">
        <v>2202</v>
      </c>
      <c r="O232" s="153" t="s">
        <v>2813</v>
      </c>
      <c r="P232" s="153" t="s">
        <v>2812</v>
      </c>
      <c r="Q232" s="153" t="s">
        <v>2809</v>
      </c>
      <c r="R232" s="153" t="s">
        <v>21</v>
      </c>
      <c r="S232" s="144" t="s">
        <v>2814</v>
      </c>
    </row>
    <row r="233" spans="1:19">
      <c r="A233">
        <v>2015</v>
      </c>
      <c r="B233">
        <v>2017</v>
      </c>
      <c r="C233">
        <v>42852</v>
      </c>
      <c r="D233" t="s">
        <v>2251</v>
      </c>
      <c r="E233" t="s">
        <v>68</v>
      </c>
      <c r="F233">
        <v>27</v>
      </c>
      <c r="G233" s="131">
        <v>1456932</v>
      </c>
      <c r="H233" s="131">
        <v>1456932</v>
      </c>
      <c r="I233" s="131">
        <v>1</v>
      </c>
      <c r="J233" t="s">
        <v>2715</v>
      </c>
      <c r="K233" t="s">
        <v>1955</v>
      </c>
      <c r="L233" t="s">
        <v>3227</v>
      </c>
      <c r="M233" t="s">
        <v>57</v>
      </c>
      <c r="N233" t="s">
        <v>100</v>
      </c>
      <c r="O233" s="145">
        <v>121411</v>
      </c>
      <c r="P233" s="145">
        <v>123393</v>
      </c>
      <c r="Q233" s="145">
        <v>1982</v>
      </c>
      <c r="R233">
        <v>0</v>
      </c>
      <c r="S233" s="155">
        <f t="shared" ref="S233:S258" ca="1" si="18">DATE(YEAR(NOW())+1,MONTH(C233),DAY(C233))</f>
        <v>46504</v>
      </c>
    </row>
    <row r="234" spans="1:19">
      <c r="A234">
        <v>2006</v>
      </c>
      <c r="B234">
        <v>2017</v>
      </c>
      <c r="C234">
        <v>42891</v>
      </c>
      <c r="D234" t="s">
        <v>132</v>
      </c>
      <c r="E234" t="s">
        <v>133</v>
      </c>
      <c r="F234">
        <v>4</v>
      </c>
      <c r="G234" s="131">
        <v>158568</v>
      </c>
      <c r="H234" s="131">
        <v>158568</v>
      </c>
      <c r="I234" s="131">
        <v>1</v>
      </c>
      <c r="J234" t="s">
        <v>3030</v>
      </c>
      <c r="K234" t="s">
        <v>2158</v>
      </c>
      <c r="L234" t="s">
        <v>3228</v>
      </c>
      <c r="M234" t="s">
        <v>57</v>
      </c>
      <c r="N234" t="s">
        <v>62</v>
      </c>
      <c r="O234" s="145">
        <v>13214</v>
      </c>
      <c r="P234" s="145">
        <v>13316</v>
      </c>
      <c r="Q234" s="145">
        <v>102</v>
      </c>
      <c r="R234">
        <v>0</v>
      </c>
      <c r="S234" s="155">
        <f t="shared" ca="1" si="18"/>
        <v>46543</v>
      </c>
    </row>
    <row r="235" spans="1:19">
      <c r="B235">
        <v>2008</v>
      </c>
      <c r="C235">
        <v>39510</v>
      </c>
      <c r="D235" t="s">
        <v>156</v>
      </c>
      <c r="E235" t="s">
        <v>157</v>
      </c>
      <c r="F235">
        <v>22</v>
      </c>
      <c r="G235" s="131">
        <v>783828</v>
      </c>
      <c r="H235" s="131">
        <v>822840</v>
      </c>
      <c r="I235" s="131">
        <v>4</v>
      </c>
      <c r="J235" t="s">
        <v>162</v>
      </c>
      <c r="K235" t="s">
        <v>159</v>
      </c>
      <c r="L235" t="s">
        <v>3229</v>
      </c>
      <c r="M235" t="s">
        <v>57</v>
      </c>
      <c r="N235" t="s">
        <v>100</v>
      </c>
      <c r="O235" s="145">
        <v>68570</v>
      </c>
      <c r="P235" s="145">
        <v>69689</v>
      </c>
      <c r="Q235" s="145">
        <v>1119</v>
      </c>
      <c r="R235">
        <v>0</v>
      </c>
      <c r="S235" s="155">
        <f t="shared" ca="1" si="18"/>
        <v>46449</v>
      </c>
    </row>
    <row r="236" spans="1:19">
      <c r="A236">
        <v>2007</v>
      </c>
      <c r="B236">
        <v>2005</v>
      </c>
      <c r="C236">
        <v>38607</v>
      </c>
      <c r="D236" t="s">
        <v>164</v>
      </c>
      <c r="E236" t="s">
        <v>165</v>
      </c>
      <c r="F236">
        <v>20</v>
      </c>
      <c r="G236" s="131">
        <v>613860</v>
      </c>
      <c r="H236" s="131">
        <v>654924</v>
      </c>
      <c r="I236" s="131">
        <v>5</v>
      </c>
      <c r="J236" t="s">
        <v>712</v>
      </c>
      <c r="K236" t="s">
        <v>120</v>
      </c>
      <c r="L236" t="s">
        <v>3230</v>
      </c>
      <c r="M236" t="s">
        <v>57</v>
      </c>
      <c r="N236" t="s">
        <v>62</v>
      </c>
      <c r="O236" s="145">
        <v>54577</v>
      </c>
      <c r="P236" s="145">
        <v>55468</v>
      </c>
      <c r="Q236" s="145">
        <v>891</v>
      </c>
      <c r="R236" t="s">
        <v>1207</v>
      </c>
      <c r="S236" s="155">
        <f t="shared" ca="1" si="18"/>
        <v>46642</v>
      </c>
    </row>
    <row r="237" spans="1:19">
      <c r="A237">
        <v>2004</v>
      </c>
      <c r="B237">
        <v>2002</v>
      </c>
      <c r="C237">
        <v>37355</v>
      </c>
      <c r="D237" t="s">
        <v>173</v>
      </c>
      <c r="E237" t="s">
        <v>165</v>
      </c>
      <c r="F237">
        <v>20</v>
      </c>
      <c r="G237" s="131">
        <v>613860</v>
      </c>
      <c r="H237" s="131">
        <v>665616</v>
      </c>
      <c r="I237" s="131">
        <v>6</v>
      </c>
      <c r="J237" t="s">
        <v>853</v>
      </c>
      <c r="K237" t="s">
        <v>851</v>
      </c>
      <c r="L237" t="s">
        <v>3231</v>
      </c>
      <c r="M237" t="s">
        <v>57</v>
      </c>
      <c r="N237" t="s">
        <v>62</v>
      </c>
      <c r="O237" s="145">
        <v>55468</v>
      </c>
      <c r="P237" s="145">
        <v>56373</v>
      </c>
      <c r="Q237" s="145">
        <v>905</v>
      </c>
      <c r="R237" t="s">
        <v>1207</v>
      </c>
      <c r="S237" s="155">
        <f t="shared" ca="1" si="18"/>
        <v>46486</v>
      </c>
    </row>
    <row r="238" spans="1:19">
      <c r="A238">
        <v>1998</v>
      </c>
      <c r="B238">
        <v>2017</v>
      </c>
      <c r="C238">
        <v>42835</v>
      </c>
      <c r="D238" t="s">
        <v>2328</v>
      </c>
      <c r="E238" t="s">
        <v>262</v>
      </c>
      <c r="F238">
        <v>15</v>
      </c>
      <c r="G238" s="131">
        <v>366372</v>
      </c>
      <c r="H238" s="131">
        <v>366372</v>
      </c>
      <c r="I238" s="131">
        <v>1</v>
      </c>
      <c r="J238" t="s">
        <v>2702</v>
      </c>
      <c r="K238" t="s">
        <v>2156</v>
      </c>
      <c r="L238" t="s">
        <v>3232</v>
      </c>
      <c r="M238" t="s">
        <v>57</v>
      </c>
      <c r="N238" t="s">
        <v>62</v>
      </c>
      <c r="O238" s="145">
        <v>30531</v>
      </c>
      <c r="P238" s="145">
        <v>30909</v>
      </c>
      <c r="Q238" s="145">
        <v>378</v>
      </c>
      <c r="R238">
        <v>0</v>
      </c>
      <c r="S238" s="155">
        <f t="shared" ca="1" si="18"/>
        <v>46487</v>
      </c>
    </row>
    <row r="239" spans="1:19">
      <c r="B239">
        <v>2014</v>
      </c>
      <c r="C239">
        <v>41967</v>
      </c>
      <c r="D239" t="s">
        <v>263</v>
      </c>
      <c r="E239" t="s">
        <v>264</v>
      </c>
      <c r="F239">
        <v>11</v>
      </c>
      <c r="G239" s="131">
        <v>249048</v>
      </c>
      <c r="H239" s="131">
        <v>252456</v>
      </c>
      <c r="I239" s="131">
        <v>2</v>
      </c>
      <c r="J239" t="s">
        <v>2711</v>
      </c>
      <c r="K239" t="s">
        <v>373</v>
      </c>
      <c r="L239" t="s">
        <v>3233</v>
      </c>
      <c r="M239" t="s">
        <v>57</v>
      </c>
      <c r="N239" t="s">
        <v>100</v>
      </c>
      <c r="O239" s="145">
        <v>21038</v>
      </c>
      <c r="P239" s="145">
        <v>21327</v>
      </c>
      <c r="Q239" s="145">
        <v>289</v>
      </c>
      <c r="R239">
        <v>0</v>
      </c>
      <c r="S239" s="155">
        <f t="shared" ca="1" si="18"/>
        <v>46715</v>
      </c>
    </row>
    <row r="240" spans="1:19">
      <c r="B240">
        <v>2017</v>
      </c>
      <c r="C240">
        <v>42821</v>
      </c>
      <c r="D240" t="s">
        <v>317</v>
      </c>
      <c r="E240" t="s">
        <v>318</v>
      </c>
      <c r="F240">
        <v>16</v>
      </c>
      <c r="G240" s="131">
        <v>403008</v>
      </c>
      <c r="H240" s="131">
        <v>403008</v>
      </c>
      <c r="I240" s="131">
        <v>1</v>
      </c>
      <c r="J240" t="s">
        <v>2712</v>
      </c>
      <c r="K240" t="s">
        <v>2153</v>
      </c>
      <c r="L240" t="s">
        <v>3234</v>
      </c>
      <c r="M240" t="s">
        <v>57</v>
      </c>
      <c r="N240" t="s">
        <v>100</v>
      </c>
      <c r="O240" s="145">
        <v>33584</v>
      </c>
      <c r="P240" s="145">
        <v>34000</v>
      </c>
      <c r="Q240" s="145">
        <v>416</v>
      </c>
      <c r="R240">
        <v>0</v>
      </c>
      <c r="S240" s="155">
        <f t="shared" ca="1" si="18"/>
        <v>46473</v>
      </c>
    </row>
    <row r="241" spans="2:19">
      <c r="B241">
        <v>2011</v>
      </c>
      <c r="C241">
        <v>40893</v>
      </c>
      <c r="D241" t="s">
        <v>2365</v>
      </c>
      <c r="E241" t="s">
        <v>2366</v>
      </c>
      <c r="F241">
        <v>15</v>
      </c>
      <c r="G241" s="131">
        <v>366372</v>
      </c>
      <c r="H241" s="131">
        <v>375504</v>
      </c>
      <c r="I241" s="131">
        <v>3</v>
      </c>
      <c r="J241" t="s">
        <v>348</v>
      </c>
      <c r="K241" t="s">
        <v>346</v>
      </c>
      <c r="L241" t="s">
        <v>3235</v>
      </c>
      <c r="M241" t="s">
        <v>57</v>
      </c>
      <c r="N241" t="s">
        <v>100</v>
      </c>
      <c r="O241" s="145">
        <v>31292</v>
      </c>
      <c r="P241" s="145">
        <v>31680</v>
      </c>
      <c r="Q241" s="145">
        <v>388</v>
      </c>
      <c r="R241">
        <v>0</v>
      </c>
      <c r="S241" s="155">
        <f t="shared" ca="1" si="18"/>
        <v>46737</v>
      </c>
    </row>
    <row r="242" spans="2:19">
      <c r="B242">
        <v>2014</v>
      </c>
      <c r="C242">
        <v>41946</v>
      </c>
      <c r="D242" t="s">
        <v>344</v>
      </c>
      <c r="E242" t="s">
        <v>2193</v>
      </c>
      <c r="F242">
        <v>14</v>
      </c>
      <c r="G242" s="131">
        <v>333060</v>
      </c>
      <c r="H242" s="131">
        <v>337188</v>
      </c>
      <c r="I242" s="131">
        <v>2</v>
      </c>
      <c r="J242" t="s">
        <v>2393</v>
      </c>
      <c r="K242" t="s">
        <v>2023</v>
      </c>
      <c r="L242" t="s">
        <v>3236</v>
      </c>
      <c r="M242" t="s">
        <v>57</v>
      </c>
      <c r="N242" t="s">
        <v>62</v>
      </c>
      <c r="O242" s="145">
        <v>28099</v>
      </c>
      <c r="P242" s="145">
        <v>28447</v>
      </c>
      <c r="Q242" s="145">
        <v>348</v>
      </c>
      <c r="R242">
        <v>0</v>
      </c>
      <c r="S242" s="155">
        <f t="shared" ca="1" si="18"/>
        <v>46694</v>
      </c>
    </row>
    <row r="243" spans="2:19">
      <c r="B243">
        <v>2014</v>
      </c>
      <c r="C243">
        <v>41988</v>
      </c>
      <c r="D243" t="s">
        <v>416</v>
      </c>
      <c r="E243" t="s">
        <v>455</v>
      </c>
      <c r="F243">
        <v>4</v>
      </c>
      <c r="G243" s="131">
        <v>158568</v>
      </c>
      <c r="H243" s="131">
        <v>159792</v>
      </c>
      <c r="I243" s="131">
        <v>2</v>
      </c>
      <c r="J243" t="s">
        <v>2714</v>
      </c>
      <c r="K243" t="s">
        <v>716</v>
      </c>
      <c r="L243" t="s">
        <v>3237</v>
      </c>
      <c r="M243" t="s">
        <v>57</v>
      </c>
      <c r="N243" t="s">
        <v>100</v>
      </c>
      <c r="O243" s="145">
        <v>13316</v>
      </c>
      <c r="P243" s="145">
        <v>13418</v>
      </c>
      <c r="Q243" s="145">
        <v>102</v>
      </c>
      <c r="R243">
        <v>0</v>
      </c>
      <c r="S243" s="155">
        <f t="shared" ca="1" si="18"/>
        <v>46736</v>
      </c>
    </row>
    <row r="244" spans="2:19">
      <c r="B244">
        <v>2011</v>
      </c>
      <c r="C244">
        <v>40634</v>
      </c>
      <c r="D244" t="s">
        <v>2394</v>
      </c>
      <c r="E244" t="s">
        <v>455</v>
      </c>
      <c r="F244">
        <v>4</v>
      </c>
      <c r="G244" s="131">
        <v>158568</v>
      </c>
      <c r="H244" s="131">
        <v>161016</v>
      </c>
      <c r="I244" s="131">
        <v>3</v>
      </c>
      <c r="J244" t="s">
        <v>452</v>
      </c>
      <c r="K244" t="s">
        <v>450</v>
      </c>
      <c r="L244" t="s">
        <v>3238</v>
      </c>
      <c r="M244" t="s">
        <v>57</v>
      </c>
      <c r="N244" t="s">
        <v>62</v>
      </c>
      <c r="O244" s="145">
        <v>13418</v>
      </c>
      <c r="P244" s="145">
        <v>13521</v>
      </c>
      <c r="Q244" s="145">
        <v>103</v>
      </c>
      <c r="R244">
        <v>0</v>
      </c>
      <c r="S244" s="155">
        <f t="shared" ca="1" si="18"/>
        <v>46478</v>
      </c>
    </row>
    <row r="245" spans="2:19">
      <c r="B245">
        <v>2011</v>
      </c>
      <c r="C245">
        <v>40603</v>
      </c>
      <c r="D245" t="s">
        <v>482</v>
      </c>
      <c r="E245" t="s">
        <v>463</v>
      </c>
      <c r="F245">
        <v>26</v>
      </c>
      <c r="G245" s="131">
        <v>1289328</v>
      </c>
      <c r="H245" s="131">
        <v>1353492</v>
      </c>
      <c r="I245" s="131">
        <v>4</v>
      </c>
      <c r="J245" t="s">
        <v>484</v>
      </c>
      <c r="K245" t="s">
        <v>483</v>
      </c>
      <c r="L245" t="s">
        <v>3239</v>
      </c>
      <c r="M245" t="s">
        <v>189</v>
      </c>
      <c r="N245" t="s">
        <v>100</v>
      </c>
      <c r="O245" s="145">
        <v>112791</v>
      </c>
      <c r="P245" s="145">
        <v>114632</v>
      </c>
      <c r="Q245" s="145">
        <v>1841</v>
      </c>
      <c r="R245" t="s">
        <v>2407</v>
      </c>
      <c r="S245" s="155">
        <f t="shared" ca="1" si="18"/>
        <v>46447</v>
      </c>
    </row>
    <row r="246" spans="2:19">
      <c r="B246">
        <v>2017</v>
      </c>
      <c r="C246">
        <v>43070</v>
      </c>
      <c r="D246" t="s">
        <v>1401</v>
      </c>
      <c r="E246" t="s">
        <v>157</v>
      </c>
      <c r="F246">
        <v>22</v>
      </c>
      <c r="G246" s="131">
        <v>783828</v>
      </c>
      <c r="H246" s="131">
        <v>783828</v>
      </c>
      <c r="I246" s="131">
        <v>1</v>
      </c>
      <c r="J246" t="s">
        <v>1400</v>
      </c>
      <c r="K246" t="s">
        <v>2039</v>
      </c>
      <c r="L246" t="s">
        <v>3240</v>
      </c>
      <c r="M246" t="s">
        <v>408</v>
      </c>
      <c r="N246" t="s">
        <v>62</v>
      </c>
      <c r="O246" s="145">
        <v>65319</v>
      </c>
      <c r="P246" s="145">
        <v>66385</v>
      </c>
      <c r="Q246" s="145">
        <v>1066</v>
      </c>
      <c r="R246">
        <v>0</v>
      </c>
      <c r="S246" s="155">
        <f t="shared" ca="1" si="18"/>
        <v>46722</v>
      </c>
    </row>
    <row r="247" spans="2:19">
      <c r="B247">
        <v>2017</v>
      </c>
      <c r="C247">
        <v>43070</v>
      </c>
      <c r="D247" t="s">
        <v>1402</v>
      </c>
      <c r="E247" t="s">
        <v>157</v>
      </c>
      <c r="F247">
        <v>22</v>
      </c>
      <c r="G247" s="131">
        <v>783828</v>
      </c>
      <c r="H247" s="131">
        <v>783828</v>
      </c>
      <c r="I247" s="131">
        <v>1</v>
      </c>
      <c r="J247" t="s">
        <v>564</v>
      </c>
      <c r="K247" t="s">
        <v>562</v>
      </c>
      <c r="L247" t="s">
        <v>3241</v>
      </c>
      <c r="M247" t="s">
        <v>408</v>
      </c>
      <c r="N247" t="s">
        <v>62</v>
      </c>
      <c r="O247" s="145">
        <v>65319</v>
      </c>
      <c r="P247" s="145">
        <v>66385</v>
      </c>
      <c r="Q247" s="145">
        <v>1066</v>
      </c>
      <c r="R247">
        <v>0</v>
      </c>
      <c r="S247" s="155">
        <f t="shared" ca="1" si="18"/>
        <v>46722</v>
      </c>
    </row>
    <row r="248" spans="2:19">
      <c r="B248">
        <v>2017</v>
      </c>
      <c r="C248">
        <v>43070</v>
      </c>
      <c r="D248" t="s">
        <v>1403</v>
      </c>
      <c r="E248" t="s">
        <v>157</v>
      </c>
      <c r="F248">
        <v>22</v>
      </c>
      <c r="G248" s="131">
        <v>783828</v>
      </c>
      <c r="H248" s="131">
        <v>783828</v>
      </c>
      <c r="I248" s="131">
        <v>1</v>
      </c>
      <c r="J248" t="s">
        <v>585</v>
      </c>
      <c r="K248" t="s">
        <v>583</v>
      </c>
      <c r="L248" t="s">
        <v>3242</v>
      </c>
      <c r="M248" t="s">
        <v>408</v>
      </c>
      <c r="N248" t="s">
        <v>62</v>
      </c>
      <c r="O248" s="145">
        <v>65319</v>
      </c>
      <c r="P248" s="145">
        <v>66385</v>
      </c>
      <c r="Q248" s="145">
        <v>1066</v>
      </c>
      <c r="R248">
        <v>0</v>
      </c>
      <c r="S248" s="155">
        <f t="shared" ca="1" si="18"/>
        <v>46722</v>
      </c>
    </row>
    <row r="249" spans="2:19">
      <c r="B249">
        <v>2017</v>
      </c>
      <c r="C249">
        <v>43070</v>
      </c>
      <c r="D249" t="s">
        <v>1405</v>
      </c>
      <c r="E249" t="s">
        <v>157</v>
      </c>
      <c r="F249">
        <v>22</v>
      </c>
      <c r="G249" s="131">
        <v>783828</v>
      </c>
      <c r="H249" s="131">
        <v>783828</v>
      </c>
      <c r="I249" s="131">
        <v>1</v>
      </c>
      <c r="J249" t="s">
        <v>1404</v>
      </c>
      <c r="K249" t="s">
        <v>2029</v>
      </c>
      <c r="L249" t="s">
        <v>3243</v>
      </c>
      <c r="M249" t="s">
        <v>408</v>
      </c>
      <c r="N249" t="s">
        <v>100</v>
      </c>
      <c r="O249" s="145">
        <v>65319</v>
      </c>
      <c r="P249" s="145">
        <v>66385</v>
      </c>
      <c r="Q249" s="145">
        <v>1066</v>
      </c>
      <c r="R249">
        <v>0</v>
      </c>
      <c r="S249" s="155">
        <f t="shared" ca="1" si="18"/>
        <v>46722</v>
      </c>
    </row>
    <row r="250" spans="2:19">
      <c r="B250">
        <v>2017</v>
      </c>
      <c r="C250">
        <v>43070</v>
      </c>
      <c r="D250" t="s">
        <v>1406</v>
      </c>
      <c r="E250" t="s">
        <v>157</v>
      </c>
      <c r="F250">
        <v>22</v>
      </c>
      <c r="G250" s="131">
        <v>783828</v>
      </c>
      <c r="H250" s="131">
        <v>783828</v>
      </c>
      <c r="I250" s="131">
        <v>1</v>
      </c>
      <c r="J250" t="s">
        <v>1120</v>
      </c>
      <c r="K250" t="s">
        <v>1118</v>
      </c>
      <c r="L250" t="s">
        <v>3244</v>
      </c>
      <c r="M250" t="s">
        <v>408</v>
      </c>
      <c r="N250" t="s">
        <v>100</v>
      </c>
      <c r="O250" s="145">
        <v>65319</v>
      </c>
      <c r="P250" s="145">
        <v>66385</v>
      </c>
      <c r="Q250" s="145">
        <v>1066</v>
      </c>
      <c r="R250">
        <v>0</v>
      </c>
      <c r="S250" s="155">
        <f t="shared" ca="1" si="18"/>
        <v>46722</v>
      </c>
    </row>
    <row r="251" spans="2:19">
      <c r="B251">
        <v>2017</v>
      </c>
      <c r="C251">
        <v>43070</v>
      </c>
      <c r="D251" t="s">
        <v>1408</v>
      </c>
      <c r="E251" t="s">
        <v>157</v>
      </c>
      <c r="F251">
        <v>22</v>
      </c>
      <c r="G251" s="131">
        <v>783828</v>
      </c>
      <c r="H251" s="131">
        <v>783828</v>
      </c>
      <c r="I251" s="131">
        <v>1</v>
      </c>
      <c r="J251" t="s">
        <v>1407</v>
      </c>
      <c r="K251" t="s">
        <v>611</v>
      </c>
      <c r="L251" t="s">
        <v>3245</v>
      </c>
      <c r="M251" t="s">
        <v>408</v>
      </c>
      <c r="N251" t="s">
        <v>100</v>
      </c>
      <c r="O251" s="145">
        <v>65319</v>
      </c>
      <c r="P251" s="145">
        <v>66385</v>
      </c>
      <c r="Q251" s="145">
        <v>1066</v>
      </c>
      <c r="R251">
        <v>0</v>
      </c>
      <c r="S251" s="155">
        <f t="shared" ca="1" si="18"/>
        <v>46722</v>
      </c>
    </row>
    <row r="252" spans="2:19">
      <c r="B252">
        <v>2017</v>
      </c>
      <c r="C252">
        <v>43070</v>
      </c>
      <c r="D252" t="s">
        <v>1409</v>
      </c>
      <c r="E252" t="s">
        <v>157</v>
      </c>
      <c r="F252">
        <v>22</v>
      </c>
      <c r="G252" s="131">
        <v>783828</v>
      </c>
      <c r="H252" s="131">
        <v>783828</v>
      </c>
      <c r="I252" s="131">
        <v>1</v>
      </c>
      <c r="J252" t="s">
        <v>619</v>
      </c>
      <c r="K252" t="s">
        <v>562</v>
      </c>
      <c r="L252" t="s">
        <v>3246</v>
      </c>
      <c r="M252" t="s">
        <v>408</v>
      </c>
      <c r="N252" t="s">
        <v>62</v>
      </c>
      <c r="O252" s="145">
        <v>65319</v>
      </c>
      <c r="P252" s="145">
        <v>66385</v>
      </c>
      <c r="Q252" s="145">
        <v>1066</v>
      </c>
      <c r="R252">
        <v>0</v>
      </c>
      <c r="S252" s="155">
        <f t="shared" ca="1" si="18"/>
        <v>46722</v>
      </c>
    </row>
    <row r="253" spans="2:19">
      <c r="B253">
        <v>2017</v>
      </c>
      <c r="C253">
        <v>43070</v>
      </c>
      <c r="D253" t="s">
        <v>1410</v>
      </c>
      <c r="E253" t="s">
        <v>157</v>
      </c>
      <c r="F253">
        <v>22</v>
      </c>
      <c r="G253" s="131">
        <v>783828</v>
      </c>
      <c r="H253" s="131">
        <v>783828</v>
      </c>
      <c r="I253" s="131">
        <v>1</v>
      </c>
      <c r="J253" t="s">
        <v>631</v>
      </c>
      <c r="K253" t="s">
        <v>629</v>
      </c>
      <c r="L253" t="s">
        <v>3247</v>
      </c>
      <c r="M253" t="s">
        <v>408</v>
      </c>
      <c r="N253" t="s">
        <v>62</v>
      </c>
      <c r="O253" s="145">
        <v>65319</v>
      </c>
      <c r="P253" s="145">
        <v>66385</v>
      </c>
      <c r="Q253" s="145">
        <v>1066</v>
      </c>
      <c r="R253">
        <v>0</v>
      </c>
      <c r="S253" s="155">
        <f t="shared" ca="1" si="18"/>
        <v>46722</v>
      </c>
    </row>
    <row r="254" spans="2:19">
      <c r="B254">
        <v>2017</v>
      </c>
      <c r="C254">
        <v>43070</v>
      </c>
      <c r="D254" t="s">
        <v>1411</v>
      </c>
      <c r="E254" t="s">
        <v>157</v>
      </c>
      <c r="F254">
        <v>22</v>
      </c>
      <c r="G254" s="131">
        <v>783828</v>
      </c>
      <c r="H254" s="131">
        <v>783828</v>
      </c>
      <c r="I254" s="131">
        <v>1</v>
      </c>
      <c r="J254" t="s">
        <v>637</v>
      </c>
      <c r="K254" t="s">
        <v>635</v>
      </c>
      <c r="L254" t="s">
        <v>3248</v>
      </c>
      <c r="M254" t="s">
        <v>408</v>
      </c>
      <c r="N254" t="s">
        <v>100</v>
      </c>
      <c r="O254" s="145">
        <v>65319</v>
      </c>
      <c r="P254" s="145">
        <v>66385</v>
      </c>
      <c r="Q254" s="145">
        <v>1066</v>
      </c>
      <c r="R254">
        <v>0</v>
      </c>
      <c r="S254" s="155">
        <f t="shared" ca="1" si="18"/>
        <v>46722</v>
      </c>
    </row>
    <row r="255" spans="2:19">
      <c r="B255">
        <v>2017</v>
      </c>
      <c r="C255">
        <v>43070</v>
      </c>
      <c r="D255" t="s">
        <v>1413</v>
      </c>
      <c r="E255" t="s">
        <v>157</v>
      </c>
      <c r="F255">
        <v>22</v>
      </c>
      <c r="G255" s="131">
        <v>783828</v>
      </c>
      <c r="H255" s="131">
        <v>783828</v>
      </c>
      <c r="I255" s="131">
        <v>1</v>
      </c>
      <c r="J255" t="s">
        <v>1412</v>
      </c>
      <c r="K255" t="s">
        <v>467</v>
      </c>
      <c r="L255" t="s">
        <v>3249</v>
      </c>
      <c r="M255" t="s">
        <v>408</v>
      </c>
      <c r="N255" t="s">
        <v>62</v>
      </c>
      <c r="O255" s="145">
        <v>65319</v>
      </c>
      <c r="P255" s="145">
        <v>66385</v>
      </c>
      <c r="Q255" s="145">
        <v>1066</v>
      </c>
      <c r="R255">
        <v>0</v>
      </c>
      <c r="S255" s="155">
        <f t="shared" ca="1" si="18"/>
        <v>46722</v>
      </c>
    </row>
    <row r="256" spans="2:19">
      <c r="B256">
        <v>2017</v>
      </c>
      <c r="C256">
        <v>43070</v>
      </c>
      <c r="D256" t="s">
        <v>1414</v>
      </c>
      <c r="E256" t="s">
        <v>157</v>
      </c>
      <c r="F256">
        <v>22</v>
      </c>
      <c r="G256" s="131">
        <v>783828</v>
      </c>
      <c r="H256" s="131">
        <v>783828</v>
      </c>
      <c r="I256" s="131">
        <v>1</v>
      </c>
      <c r="J256" t="s">
        <v>648</v>
      </c>
      <c r="K256" t="s">
        <v>595</v>
      </c>
      <c r="L256" t="s">
        <v>3250</v>
      </c>
      <c r="M256" t="s">
        <v>408</v>
      </c>
      <c r="N256" t="s">
        <v>100</v>
      </c>
      <c r="O256" s="145">
        <v>65319</v>
      </c>
      <c r="P256" s="145">
        <v>66385</v>
      </c>
      <c r="Q256" s="145">
        <v>1066</v>
      </c>
      <c r="R256">
        <v>0</v>
      </c>
      <c r="S256" s="155">
        <f t="shared" ca="1" si="18"/>
        <v>46722</v>
      </c>
    </row>
    <row r="257" spans="2:19">
      <c r="B257">
        <v>2014</v>
      </c>
      <c r="C257">
        <v>41711</v>
      </c>
      <c r="D257" t="s">
        <v>2446</v>
      </c>
      <c r="E257" t="s">
        <v>157</v>
      </c>
      <c r="F257">
        <v>22</v>
      </c>
      <c r="G257" s="131">
        <v>783828</v>
      </c>
      <c r="H257" s="131">
        <v>796620</v>
      </c>
      <c r="I257" s="131">
        <v>2</v>
      </c>
      <c r="J257" t="s">
        <v>3251</v>
      </c>
      <c r="K257" t="s">
        <v>1966</v>
      </c>
      <c r="L257" t="s">
        <v>3252</v>
      </c>
      <c r="M257" t="s">
        <v>189</v>
      </c>
      <c r="N257" t="s">
        <v>100</v>
      </c>
      <c r="O257" s="145">
        <v>66385</v>
      </c>
      <c r="P257" s="145">
        <v>67469</v>
      </c>
      <c r="Q257" s="145">
        <v>1084</v>
      </c>
      <c r="R257">
        <v>0</v>
      </c>
      <c r="S257" s="155">
        <f t="shared" ca="1" si="18"/>
        <v>46459</v>
      </c>
    </row>
    <row r="258" spans="2:19">
      <c r="B258">
        <v>2017</v>
      </c>
      <c r="C258">
        <v>43070</v>
      </c>
      <c r="D258" t="s">
        <v>1415</v>
      </c>
      <c r="E258" t="s">
        <v>157</v>
      </c>
      <c r="F258">
        <v>22</v>
      </c>
      <c r="G258" s="131">
        <v>783828</v>
      </c>
      <c r="H258" s="131">
        <v>783828</v>
      </c>
      <c r="I258" s="131">
        <v>1</v>
      </c>
      <c r="J258" t="s">
        <v>3253</v>
      </c>
      <c r="K258" t="s">
        <v>963</v>
      </c>
      <c r="L258" t="s">
        <v>3254</v>
      </c>
      <c r="M258" t="s">
        <v>408</v>
      </c>
      <c r="N258" t="s">
        <v>100</v>
      </c>
      <c r="O258" s="145">
        <v>65319</v>
      </c>
      <c r="P258" s="145">
        <v>66385</v>
      </c>
      <c r="Q258" s="145">
        <v>1066</v>
      </c>
      <c r="R258" t="s">
        <v>1207</v>
      </c>
      <c r="S258" s="155">
        <f t="shared" ca="1" si="18"/>
        <v>46722</v>
      </c>
    </row>
    <row r="259" spans="2:19">
      <c r="B259">
        <v>2017</v>
      </c>
      <c r="C259">
        <v>43070</v>
      </c>
      <c r="D259" t="s">
        <v>1416</v>
      </c>
      <c r="E259" t="s">
        <v>157</v>
      </c>
      <c r="F259">
        <v>22</v>
      </c>
      <c r="G259" s="131">
        <v>783828</v>
      </c>
      <c r="H259" s="131">
        <v>783828</v>
      </c>
      <c r="I259" s="131">
        <v>1</v>
      </c>
      <c r="J259" t="s">
        <v>659</v>
      </c>
      <c r="K259" t="s">
        <v>483</v>
      </c>
      <c r="L259" t="s">
        <v>3255</v>
      </c>
      <c r="M259" t="s">
        <v>408</v>
      </c>
      <c r="N259" t="s">
        <v>62</v>
      </c>
      <c r="O259" s="145">
        <v>65319</v>
      </c>
      <c r="P259" s="145">
        <v>66385</v>
      </c>
      <c r="Q259" s="145">
        <v>1066</v>
      </c>
      <c r="R259">
        <v>0</v>
      </c>
      <c r="S259" s="155">
        <f t="shared" ref="S259:S269" ca="1" si="19">DATE(YEAR(NOW())+1,MONTH(C259),DAY(C259))</f>
        <v>46722</v>
      </c>
    </row>
    <row r="260" spans="2:19">
      <c r="B260">
        <v>2017</v>
      </c>
      <c r="C260">
        <v>43070</v>
      </c>
      <c r="D260" t="s">
        <v>1417</v>
      </c>
      <c r="E260" t="s">
        <v>157</v>
      </c>
      <c r="F260">
        <v>22</v>
      </c>
      <c r="G260" s="131">
        <v>783828</v>
      </c>
      <c r="H260" s="131">
        <v>783828</v>
      </c>
      <c r="I260" s="131">
        <v>1</v>
      </c>
      <c r="J260" t="s">
        <v>665</v>
      </c>
      <c r="K260" t="s">
        <v>663</v>
      </c>
      <c r="L260" t="s">
        <v>3256</v>
      </c>
      <c r="M260" t="s">
        <v>408</v>
      </c>
      <c r="N260" t="s">
        <v>100</v>
      </c>
      <c r="O260" s="145">
        <v>65319</v>
      </c>
      <c r="P260" s="145">
        <v>66385</v>
      </c>
      <c r="Q260" s="145">
        <v>1066</v>
      </c>
      <c r="R260">
        <v>0</v>
      </c>
      <c r="S260" s="155">
        <f t="shared" ca="1" si="19"/>
        <v>46722</v>
      </c>
    </row>
    <row r="261" spans="2:19">
      <c r="B261">
        <v>2017</v>
      </c>
      <c r="C261">
        <v>43087</v>
      </c>
      <c r="D261" t="s">
        <v>1418</v>
      </c>
      <c r="E261" t="s">
        <v>157</v>
      </c>
      <c r="F261">
        <v>22</v>
      </c>
      <c r="G261" s="131">
        <v>783828</v>
      </c>
      <c r="H261" s="131">
        <v>783828</v>
      </c>
      <c r="I261" s="131">
        <v>1</v>
      </c>
      <c r="J261" t="s">
        <v>108</v>
      </c>
      <c r="K261" t="s">
        <v>106</v>
      </c>
      <c r="L261" t="s">
        <v>3257</v>
      </c>
      <c r="M261" t="s">
        <v>408</v>
      </c>
      <c r="N261" t="s">
        <v>62</v>
      </c>
      <c r="O261" s="145">
        <v>65319</v>
      </c>
      <c r="P261" s="145">
        <v>66385</v>
      </c>
      <c r="Q261" s="145">
        <v>1066</v>
      </c>
      <c r="R261">
        <v>0</v>
      </c>
      <c r="S261" s="155">
        <f t="shared" ca="1" si="19"/>
        <v>46739</v>
      </c>
    </row>
    <row r="262" spans="2:19">
      <c r="B262">
        <v>2017</v>
      </c>
      <c r="C262">
        <v>43070</v>
      </c>
      <c r="D262" t="s">
        <v>1419</v>
      </c>
      <c r="E262" t="s">
        <v>157</v>
      </c>
      <c r="F262">
        <v>22</v>
      </c>
      <c r="G262" s="131">
        <v>783828</v>
      </c>
      <c r="H262" s="131">
        <v>783828</v>
      </c>
      <c r="I262" s="131">
        <v>1</v>
      </c>
      <c r="J262" t="s">
        <v>677</v>
      </c>
      <c r="K262" t="s">
        <v>675</v>
      </c>
      <c r="L262" t="s">
        <v>3258</v>
      </c>
      <c r="M262" t="s">
        <v>408</v>
      </c>
      <c r="N262" t="s">
        <v>62</v>
      </c>
      <c r="O262" s="145">
        <v>65319</v>
      </c>
      <c r="P262" s="145">
        <v>66385</v>
      </c>
      <c r="Q262" s="145">
        <v>1066</v>
      </c>
      <c r="R262">
        <v>0</v>
      </c>
      <c r="S262" s="155">
        <f t="shared" ca="1" si="19"/>
        <v>46722</v>
      </c>
    </row>
    <row r="263" spans="2:19">
      <c r="B263">
        <v>2017</v>
      </c>
      <c r="C263">
        <v>43070</v>
      </c>
      <c r="D263" t="s">
        <v>1420</v>
      </c>
      <c r="E263" t="s">
        <v>157</v>
      </c>
      <c r="F263">
        <v>22</v>
      </c>
      <c r="G263" s="131">
        <v>783828</v>
      </c>
      <c r="H263" s="131">
        <v>783828</v>
      </c>
      <c r="I263" s="131">
        <v>1</v>
      </c>
      <c r="J263" t="s">
        <v>683</v>
      </c>
      <c r="K263" t="s">
        <v>681</v>
      </c>
      <c r="L263" t="s">
        <v>3259</v>
      </c>
      <c r="M263" t="s">
        <v>408</v>
      </c>
      <c r="N263" t="s">
        <v>62</v>
      </c>
      <c r="O263" s="145">
        <v>65319</v>
      </c>
      <c r="P263" s="145">
        <v>66385</v>
      </c>
      <c r="Q263" s="145">
        <v>1066</v>
      </c>
      <c r="R263">
        <v>0</v>
      </c>
      <c r="S263" s="155">
        <f t="shared" ca="1" si="19"/>
        <v>46722</v>
      </c>
    </row>
    <row r="264" spans="2:19">
      <c r="B264">
        <v>2017</v>
      </c>
      <c r="C264">
        <v>43070</v>
      </c>
      <c r="D264" t="s">
        <v>1422</v>
      </c>
      <c r="E264" t="s">
        <v>157</v>
      </c>
      <c r="F264">
        <v>22</v>
      </c>
      <c r="G264" s="131">
        <v>783828</v>
      </c>
      <c r="H264" s="131">
        <v>783828</v>
      </c>
      <c r="I264" s="131">
        <v>1</v>
      </c>
      <c r="J264" t="s">
        <v>697</v>
      </c>
      <c r="K264" t="s">
        <v>681</v>
      </c>
      <c r="L264" t="s">
        <v>3260</v>
      </c>
      <c r="M264" t="s">
        <v>408</v>
      </c>
      <c r="N264" t="s">
        <v>100</v>
      </c>
      <c r="O264" s="145">
        <v>65319</v>
      </c>
      <c r="P264" s="145">
        <v>66385</v>
      </c>
      <c r="Q264" s="145">
        <v>1066</v>
      </c>
      <c r="R264">
        <v>0</v>
      </c>
      <c r="S264" s="155">
        <f t="shared" ca="1" si="19"/>
        <v>46722</v>
      </c>
    </row>
    <row r="265" spans="2:19">
      <c r="B265">
        <v>2017</v>
      </c>
      <c r="C265">
        <v>43070</v>
      </c>
      <c r="D265" t="s">
        <v>1424</v>
      </c>
      <c r="E265" t="s">
        <v>157</v>
      </c>
      <c r="F265">
        <v>22</v>
      </c>
      <c r="G265" s="131">
        <v>783828</v>
      </c>
      <c r="H265" s="131">
        <v>783828</v>
      </c>
      <c r="I265" s="131">
        <v>1</v>
      </c>
      <c r="J265" t="s">
        <v>403</v>
      </c>
      <c r="K265" t="s">
        <v>401</v>
      </c>
      <c r="L265" t="s">
        <v>3261</v>
      </c>
      <c r="M265" t="s">
        <v>408</v>
      </c>
      <c r="N265" t="s">
        <v>62</v>
      </c>
      <c r="O265" s="145">
        <v>65319</v>
      </c>
      <c r="P265" s="145">
        <v>66385</v>
      </c>
      <c r="Q265" s="145">
        <v>1066</v>
      </c>
      <c r="R265" t="s">
        <v>1207</v>
      </c>
      <c r="S265" s="155">
        <f t="shared" ca="1" si="19"/>
        <v>46722</v>
      </c>
    </row>
    <row r="266" spans="2:19">
      <c r="B266">
        <v>2017</v>
      </c>
      <c r="C266">
        <v>43070</v>
      </c>
      <c r="D266" t="s">
        <v>1399</v>
      </c>
      <c r="E266" t="s">
        <v>157</v>
      </c>
      <c r="F266">
        <v>22</v>
      </c>
      <c r="G266" s="131">
        <v>783828</v>
      </c>
      <c r="H266" s="131">
        <v>783828</v>
      </c>
      <c r="I266" s="131">
        <v>1</v>
      </c>
      <c r="J266" t="s">
        <v>2685</v>
      </c>
      <c r="K266" t="s">
        <v>2018</v>
      </c>
      <c r="L266" t="s">
        <v>3262</v>
      </c>
      <c r="M266" t="s">
        <v>408</v>
      </c>
      <c r="N266" t="s">
        <v>100</v>
      </c>
      <c r="O266" s="145">
        <v>65319</v>
      </c>
      <c r="P266" s="145">
        <v>66385</v>
      </c>
      <c r="Q266" s="145">
        <v>1066</v>
      </c>
      <c r="R266">
        <v>0</v>
      </c>
      <c r="S266" s="155">
        <f t="shared" ca="1" si="19"/>
        <v>46722</v>
      </c>
    </row>
    <row r="267" spans="2:19">
      <c r="B267">
        <v>2017</v>
      </c>
      <c r="C267">
        <v>43070</v>
      </c>
      <c r="D267" t="s">
        <v>1421</v>
      </c>
      <c r="E267" t="s">
        <v>157</v>
      </c>
      <c r="F267">
        <v>22</v>
      </c>
      <c r="G267" s="131">
        <v>783828</v>
      </c>
      <c r="H267" s="131">
        <v>783828</v>
      </c>
      <c r="I267" s="131">
        <v>1</v>
      </c>
      <c r="J267" t="s">
        <v>687</v>
      </c>
      <c r="K267" t="s">
        <v>205</v>
      </c>
      <c r="L267" t="s">
        <v>3263</v>
      </c>
      <c r="M267" t="s">
        <v>408</v>
      </c>
      <c r="N267" t="s">
        <v>100</v>
      </c>
      <c r="O267" s="145">
        <v>65319</v>
      </c>
      <c r="P267" s="145">
        <v>66385</v>
      </c>
      <c r="Q267" s="145">
        <v>1066</v>
      </c>
      <c r="R267">
        <v>0</v>
      </c>
      <c r="S267" s="155">
        <f t="shared" ca="1" si="19"/>
        <v>46722</v>
      </c>
    </row>
    <row r="268" spans="2:19">
      <c r="B268">
        <v>2017</v>
      </c>
      <c r="C268">
        <v>43070</v>
      </c>
      <c r="D268" t="s">
        <v>1425</v>
      </c>
      <c r="E268" t="s">
        <v>157</v>
      </c>
      <c r="F268">
        <v>22</v>
      </c>
      <c r="G268" s="131">
        <v>783828</v>
      </c>
      <c r="H268" s="131">
        <v>783828</v>
      </c>
      <c r="I268" s="131">
        <v>1</v>
      </c>
      <c r="J268" t="s">
        <v>1140</v>
      </c>
      <c r="K268" t="s">
        <v>1138</v>
      </c>
      <c r="L268" t="s">
        <v>3264</v>
      </c>
      <c r="M268" t="s">
        <v>408</v>
      </c>
      <c r="N268" t="s">
        <v>62</v>
      </c>
      <c r="O268" s="145">
        <v>65319</v>
      </c>
      <c r="P268" s="145">
        <v>66385</v>
      </c>
      <c r="Q268" s="145">
        <v>1066</v>
      </c>
      <c r="R268">
        <v>0</v>
      </c>
      <c r="S268" s="155">
        <f t="shared" ca="1" si="19"/>
        <v>46722</v>
      </c>
    </row>
    <row r="269" spans="2:19">
      <c r="B269">
        <v>2017</v>
      </c>
      <c r="C269">
        <v>43070</v>
      </c>
      <c r="D269" t="s">
        <v>1426</v>
      </c>
      <c r="E269" t="s">
        <v>157</v>
      </c>
      <c r="F269">
        <v>22</v>
      </c>
      <c r="G269" s="131">
        <v>783828</v>
      </c>
      <c r="H269" s="131">
        <v>783828</v>
      </c>
      <c r="I269" s="131">
        <v>1</v>
      </c>
      <c r="J269" t="s">
        <v>986</v>
      </c>
      <c r="K269" t="s">
        <v>984</v>
      </c>
      <c r="L269" t="s">
        <v>3265</v>
      </c>
      <c r="M269" t="s">
        <v>408</v>
      </c>
      <c r="N269" t="s">
        <v>62</v>
      </c>
      <c r="O269" s="145">
        <v>65319</v>
      </c>
      <c r="P269" s="145">
        <v>66385</v>
      </c>
      <c r="Q269" s="145">
        <v>1066</v>
      </c>
      <c r="R269">
        <v>0</v>
      </c>
      <c r="S269" s="155">
        <f t="shared" ca="1" si="19"/>
        <v>46722</v>
      </c>
    </row>
    <row r="270" spans="2:19">
      <c r="B270">
        <v>2017</v>
      </c>
      <c r="C270">
        <v>43070</v>
      </c>
      <c r="D270" t="s">
        <v>1428</v>
      </c>
      <c r="E270" t="s">
        <v>157</v>
      </c>
      <c r="F270">
        <v>22</v>
      </c>
      <c r="G270" s="131">
        <v>783828</v>
      </c>
      <c r="H270" s="131">
        <v>783828</v>
      </c>
      <c r="I270">
        <v>1</v>
      </c>
      <c r="J270" t="s">
        <v>1427</v>
      </c>
      <c r="K270" t="s">
        <v>990</v>
      </c>
      <c r="L270" t="s">
        <v>3266</v>
      </c>
      <c r="M270" t="s">
        <v>408</v>
      </c>
      <c r="N270" t="s">
        <v>100</v>
      </c>
      <c r="O270" s="145">
        <v>65319</v>
      </c>
      <c r="P270" s="145">
        <v>66385</v>
      </c>
      <c r="Q270" s="145">
        <v>1066</v>
      </c>
      <c r="R270">
        <v>0</v>
      </c>
      <c r="S270" s="155">
        <f t="shared" ref="S270:S327" ca="1" si="20">DATE(YEAR(NOW())+1,MONTH(C270),DAY(C270))</f>
        <v>46722</v>
      </c>
    </row>
    <row r="271" spans="2:19">
      <c r="B271">
        <v>2017</v>
      </c>
      <c r="C271">
        <v>43070</v>
      </c>
      <c r="D271" t="s">
        <v>1430</v>
      </c>
      <c r="E271" t="s">
        <v>157</v>
      </c>
      <c r="F271">
        <v>22</v>
      </c>
      <c r="G271" s="131">
        <v>783828</v>
      </c>
      <c r="H271" s="131">
        <v>783828</v>
      </c>
      <c r="I271">
        <v>1</v>
      </c>
      <c r="J271" t="s">
        <v>1127</v>
      </c>
      <c r="K271" t="s">
        <v>1125</v>
      </c>
      <c r="L271" t="s">
        <v>3267</v>
      </c>
      <c r="M271" t="s">
        <v>181</v>
      </c>
      <c r="N271" t="s">
        <v>100</v>
      </c>
      <c r="O271" s="145">
        <v>65319</v>
      </c>
      <c r="P271" s="145">
        <v>66385</v>
      </c>
      <c r="Q271" s="145">
        <v>1066</v>
      </c>
      <c r="R271">
        <v>0</v>
      </c>
      <c r="S271" s="155">
        <f t="shared" ca="1" si="20"/>
        <v>46722</v>
      </c>
    </row>
    <row r="272" spans="2:19">
      <c r="B272">
        <v>2017</v>
      </c>
      <c r="C272">
        <v>43089</v>
      </c>
      <c r="D272" t="s">
        <v>1431</v>
      </c>
      <c r="E272" t="s">
        <v>157</v>
      </c>
      <c r="F272">
        <v>22</v>
      </c>
      <c r="G272" s="131">
        <v>783828</v>
      </c>
      <c r="H272" s="131">
        <v>783828</v>
      </c>
      <c r="I272">
        <v>1</v>
      </c>
      <c r="J272" t="s">
        <v>959</v>
      </c>
      <c r="K272" t="s">
        <v>957</v>
      </c>
      <c r="L272" t="s">
        <v>3268</v>
      </c>
      <c r="M272" t="s">
        <v>181</v>
      </c>
      <c r="N272" t="s">
        <v>100</v>
      </c>
      <c r="O272" s="145">
        <v>65319</v>
      </c>
      <c r="P272" s="145">
        <v>66385</v>
      </c>
      <c r="Q272" s="145">
        <v>1066</v>
      </c>
      <c r="R272" t="s">
        <v>1207</v>
      </c>
      <c r="S272" s="155">
        <f t="shared" ca="1" si="20"/>
        <v>46741</v>
      </c>
    </row>
    <row r="273" spans="2:19">
      <c r="B273">
        <v>2017</v>
      </c>
      <c r="C273">
        <v>43070</v>
      </c>
      <c r="D273" t="s">
        <v>1438</v>
      </c>
      <c r="E273" t="s">
        <v>157</v>
      </c>
      <c r="F273">
        <v>22</v>
      </c>
      <c r="G273" s="131">
        <v>783828</v>
      </c>
      <c r="H273" s="131">
        <v>783828</v>
      </c>
      <c r="I273">
        <v>1</v>
      </c>
      <c r="J273" t="s">
        <v>724</v>
      </c>
      <c r="K273" t="s">
        <v>722</v>
      </c>
      <c r="L273" t="s">
        <v>3269</v>
      </c>
      <c r="M273" t="s">
        <v>167</v>
      </c>
      <c r="N273" t="s">
        <v>100</v>
      </c>
      <c r="O273" s="145">
        <v>65319</v>
      </c>
      <c r="P273" s="145">
        <v>66385</v>
      </c>
      <c r="Q273" s="145">
        <v>1066</v>
      </c>
      <c r="R273">
        <v>0</v>
      </c>
      <c r="S273" s="155">
        <f t="shared" ca="1" si="20"/>
        <v>46722</v>
      </c>
    </row>
    <row r="274" spans="2:19">
      <c r="B274">
        <v>2017</v>
      </c>
      <c r="C274">
        <v>43087</v>
      </c>
      <c r="D274" t="s">
        <v>1440</v>
      </c>
      <c r="E274" t="s">
        <v>157</v>
      </c>
      <c r="F274">
        <v>22</v>
      </c>
      <c r="G274" s="131">
        <v>783828</v>
      </c>
      <c r="H274" s="131">
        <v>783828</v>
      </c>
      <c r="I274">
        <v>1</v>
      </c>
      <c r="J274" t="s">
        <v>1439</v>
      </c>
      <c r="K274" t="s">
        <v>2069</v>
      </c>
      <c r="L274" t="s">
        <v>3270</v>
      </c>
      <c r="M274" t="s">
        <v>167</v>
      </c>
      <c r="N274" t="s">
        <v>100</v>
      </c>
      <c r="O274" s="145">
        <v>65319</v>
      </c>
      <c r="P274" s="145">
        <v>66385</v>
      </c>
      <c r="Q274" s="145">
        <v>1066</v>
      </c>
      <c r="R274">
        <v>0</v>
      </c>
      <c r="S274" s="155">
        <f t="shared" ca="1" si="20"/>
        <v>46739</v>
      </c>
    </row>
    <row r="275" spans="2:19">
      <c r="B275">
        <v>2017</v>
      </c>
      <c r="C275">
        <v>43070</v>
      </c>
      <c r="D275" t="s">
        <v>1441</v>
      </c>
      <c r="E275" t="s">
        <v>157</v>
      </c>
      <c r="F275">
        <v>22</v>
      </c>
      <c r="G275" s="131">
        <v>783828</v>
      </c>
      <c r="H275" s="131">
        <v>783828</v>
      </c>
      <c r="I275">
        <v>1</v>
      </c>
      <c r="J275" t="s">
        <v>735</v>
      </c>
      <c r="K275" t="s">
        <v>733</v>
      </c>
      <c r="L275" t="s">
        <v>3271</v>
      </c>
      <c r="M275" t="s">
        <v>167</v>
      </c>
      <c r="N275" t="s">
        <v>100</v>
      </c>
      <c r="O275" s="145">
        <v>65319</v>
      </c>
      <c r="P275" s="145">
        <v>66385</v>
      </c>
      <c r="Q275" s="145">
        <v>1066</v>
      </c>
      <c r="R275">
        <v>0</v>
      </c>
      <c r="S275" s="155">
        <f t="shared" ca="1" si="20"/>
        <v>46722</v>
      </c>
    </row>
    <row r="276" spans="2:19">
      <c r="B276">
        <v>2017</v>
      </c>
      <c r="C276">
        <v>43070</v>
      </c>
      <c r="D276" t="s">
        <v>1442</v>
      </c>
      <c r="E276" t="s">
        <v>157</v>
      </c>
      <c r="F276">
        <v>22</v>
      </c>
      <c r="G276" s="131">
        <v>783828</v>
      </c>
      <c r="H276" s="131">
        <v>783828</v>
      </c>
      <c r="I276">
        <v>1</v>
      </c>
      <c r="J276" t="s">
        <v>3272</v>
      </c>
      <c r="K276" t="s">
        <v>739</v>
      </c>
      <c r="L276" t="s">
        <v>3273</v>
      </c>
      <c r="M276" t="s">
        <v>167</v>
      </c>
      <c r="N276" t="s">
        <v>100</v>
      </c>
      <c r="O276" s="145">
        <v>65319</v>
      </c>
      <c r="P276" s="145">
        <v>66385</v>
      </c>
      <c r="Q276" s="145">
        <v>1066</v>
      </c>
      <c r="R276">
        <v>0</v>
      </c>
      <c r="S276" s="155">
        <f t="shared" ca="1" si="20"/>
        <v>46722</v>
      </c>
    </row>
    <row r="277" spans="2:19">
      <c r="B277">
        <v>2017</v>
      </c>
      <c r="C277">
        <v>43070</v>
      </c>
      <c r="D277" t="s">
        <v>1443</v>
      </c>
      <c r="E277" t="s">
        <v>157</v>
      </c>
      <c r="F277">
        <v>22</v>
      </c>
      <c r="G277" s="131">
        <v>783828</v>
      </c>
      <c r="H277" s="131">
        <v>783828</v>
      </c>
      <c r="I277">
        <v>1</v>
      </c>
      <c r="J277" t="s">
        <v>830</v>
      </c>
      <c r="K277" t="s">
        <v>733</v>
      </c>
      <c r="L277" t="s">
        <v>3274</v>
      </c>
      <c r="M277" t="s">
        <v>167</v>
      </c>
      <c r="N277" t="s">
        <v>62</v>
      </c>
      <c r="O277" s="145">
        <v>65319</v>
      </c>
      <c r="P277" s="145">
        <v>66385</v>
      </c>
      <c r="Q277" s="145">
        <v>1066</v>
      </c>
      <c r="R277" t="s">
        <v>1207</v>
      </c>
      <c r="S277" s="155">
        <f t="shared" ca="1" si="20"/>
        <v>46722</v>
      </c>
    </row>
    <row r="278" spans="2:19">
      <c r="B278">
        <v>2017</v>
      </c>
      <c r="C278">
        <v>43070</v>
      </c>
      <c r="D278" t="s">
        <v>1444</v>
      </c>
      <c r="E278" t="s">
        <v>157</v>
      </c>
      <c r="F278">
        <v>22</v>
      </c>
      <c r="G278" s="131">
        <v>783828</v>
      </c>
      <c r="H278" s="131">
        <v>783828</v>
      </c>
      <c r="I278">
        <v>1</v>
      </c>
      <c r="J278" t="s">
        <v>1288</v>
      </c>
      <c r="K278" t="s">
        <v>1286</v>
      </c>
      <c r="L278" t="s">
        <v>3275</v>
      </c>
      <c r="M278" t="s">
        <v>167</v>
      </c>
      <c r="N278" t="s">
        <v>62</v>
      </c>
      <c r="O278" s="145">
        <v>65319</v>
      </c>
      <c r="P278" s="145">
        <v>66385</v>
      </c>
      <c r="Q278" s="145">
        <v>1066</v>
      </c>
      <c r="R278">
        <v>0</v>
      </c>
      <c r="S278" s="155">
        <f t="shared" ca="1" si="20"/>
        <v>46722</v>
      </c>
    </row>
    <row r="279" spans="2:19">
      <c r="B279">
        <v>2017</v>
      </c>
      <c r="C279">
        <v>43070</v>
      </c>
      <c r="D279" t="s">
        <v>1445</v>
      </c>
      <c r="E279" t="s">
        <v>157</v>
      </c>
      <c r="F279">
        <v>22</v>
      </c>
      <c r="G279" s="131">
        <v>783828</v>
      </c>
      <c r="H279" s="131">
        <v>783828</v>
      </c>
      <c r="I279">
        <v>1</v>
      </c>
      <c r="J279" t="s">
        <v>200</v>
      </c>
      <c r="K279" t="s">
        <v>198</v>
      </c>
      <c r="L279" t="s">
        <v>3276</v>
      </c>
      <c r="M279" t="s">
        <v>167</v>
      </c>
      <c r="N279" t="s">
        <v>62</v>
      </c>
      <c r="O279" s="145">
        <v>65319</v>
      </c>
      <c r="P279" s="145">
        <v>66385</v>
      </c>
      <c r="Q279" s="145">
        <v>1066</v>
      </c>
      <c r="R279">
        <v>0</v>
      </c>
      <c r="S279" s="155">
        <f t="shared" ca="1" si="20"/>
        <v>46722</v>
      </c>
    </row>
    <row r="280" spans="2:19">
      <c r="B280">
        <v>2017</v>
      </c>
      <c r="C280">
        <v>43070</v>
      </c>
      <c r="D280" t="s">
        <v>1447</v>
      </c>
      <c r="E280" t="s">
        <v>157</v>
      </c>
      <c r="F280">
        <v>22</v>
      </c>
      <c r="G280" s="131">
        <v>783828</v>
      </c>
      <c r="H280" s="131">
        <v>783828</v>
      </c>
      <c r="I280">
        <v>1</v>
      </c>
      <c r="J280" t="s">
        <v>257</v>
      </c>
      <c r="K280" t="s">
        <v>255</v>
      </c>
      <c r="L280" t="s">
        <v>3277</v>
      </c>
      <c r="M280" t="s">
        <v>167</v>
      </c>
      <c r="N280" t="s">
        <v>100</v>
      </c>
      <c r="O280" s="145">
        <v>65319</v>
      </c>
      <c r="P280" s="145">
        <v>66385</v>
      </c>
      <c r="Q280" s="145">
        <v>1066</v>
      </c>
      <c r="R280" t="s">
        <v>1207</v>
      </c>
      <c r="S280" s="155">
        <f t="shared" ca="1" si="20"/>
        <v>46722</v>
      </c>
    </row>
    <row r="281" spans="2:19">
      <c r="B281">
        <v>2017</v>
      </c>
      <c r="C281">
        <v>43070</v>
      </c>
      <c r="D281" t="s">
        <v>1448</v>
      </c>
      <c r="E281" t="s">
        <v>157</v>
      </c>
      <c r="F281">
        <v>22</v>
      </c>
      <c r="G281" s="131">
        <v>783828</v>
      </c>
      <c r="H281" s="131">
        <v>783828</v>
      </c>
      <c r="I281">
        <v>1</v>
      </c>
      <c r="J281" t="s">
        <v>776</v>
      </c>
      <c r="K281" t="s">
        <v>774</v>
      </c>
      <c r="L281" t="s">
        <v>3278</v>
      </c>
      <c r="M281" t="s">
        <v>167</v>
      </c>
      <c r="N281" t="s">
        <v>62</v>
      </c>
      <c r="O281" s="145">
        <v>65319</v>
      </c>
      <c r="P281" s="145">
        <v>66385</v>
      </c>
      <c r="Q281" s="145">
        <v>1066</v>
      </c>
      <c r="R281">
        <v>0</v>
      </c>
      <c r="S281" s="155">
        <f t="shared" ca="1" si="20"/>
        <v>46722</v>
      </c>
    </row>
    <row r="282" spans="2:19">
      <c r="B282">
        <v>2017</v>
      </c>
      <c r="C282">
        <v>43070</v>
      </c>
      <c r="D282" t="s">
        <v>1432</v>
      </c>
      <c r="E282" t="s">
        <v>157</v>
      </c>
      <c r="F282">
        <v>22</v>
      </c>
      <c r="G282" s="131">
        <v>783828</v>
      </c>
      <c r="H282" s="131">
        <v>783828</v>
      </c>
      <c r="I282">
        <v>1</v>
      </c>
      <c r="J282" t="s">
        <v>902</v>
      </c>
      <c r="K282" t="s">
        <v>681</v>
      </c>
      <c r="L282" t="s">
        <v>3279</v>
      </c>
      <c r="M282" t="s">
        <v>181</v>
      </c>
      <c r="N282" t="s">
        <v>62</v>
      </c>
      <c r="O282" s="145">
        <v>65319</v>
      </c>
      <c r="P282" s="145">
        <v>66385</v>
      </c>
      <c r="Q282" s="145">
        <v>1066</v>
      </c>
      <c r="R282">
        <v>0</v>
      </c>
      <c r="S282" s="155">
        <f t="shared" ca="1" si="20"/>
        <v>46722</v>
      </c>
    </row>
    <row r="283" spans="2:19">
      <c r="B283">
        <v>2017</v>
      </c>
      <c r="C283">
        <v>43087</v>
      </c>
      <c r="D283" t="s">
        <v>1434</v>
      </c>
      <c r="E283" t="s">
        <v>157</v>
      </c>
      <c r="F283">
        <v>22</v>
      </c>
      <c r="G283" s="131">
        <v>783828</v>
      </c>
      <c r="H283" s="131">
        <v>783828</v>
      </c>
      <c r="I283">
        <v>1</v>
      </c>
      <c r="J283" t="s">
        <v>1433</v>
      </c>
      <c r="K283" t="s">
        <v>2061</v>
      </c>
      <c r="L283" t="s">
        <v>3280</v>
      </c>
      <c r="M283" t="s">
        <v>181</v>
      </c>
      <c r="N283" t="s">
        <v>62</v>
      </c>
      <c r="O283" s="145">
        <v>65319</v>
      </c>
      <c r="P283" s="145">
        <v>66385</v>
      </c>
      <c r="Q283" s="145">
        <v>1066</v>
      </c>
      <c r="R283">
        <v>0</v>
      </c>
      <c r="S283" s="155">
        <f t="shared" ca="1" si="20"/>
        <v>46739</v>
      </c>
    </row>
    <row r="284" spans="2:19">
      <c r="B284">
        <v>2017</v>
      </c>
      <c r="C284">
        <v>43070</v>
      </c>
      <c r="D284" t="s">
        <v>1435</v>
      </c>
      <c r="E284" t="s">
        <v>157</v>
      </c>
      <c r="F284">
        <v>22</v>
      </c>
      <c r="G284" s="131">
        <v>783828</v>
      </c>
      <c r="H284" s="131">
        <v>783828</v>
      </c>
      <c r="I284">
        <v>1</v>
      </c>
      <c r="J284" t="s">
        <v>943</v>
      </c>
      <c r="K284" t="s">
        <v>941</v>
      </c>
      <c r="L284" t="s">
        <v>3281</v>
      </c>
      <c r="M284" t="s">
        <v>181</v>
      </c>
      <c r="N284" t="s">
        <v>100</v>
      </c>
      <c r="O284" s="145">
        <v>65319</v>
      </c>
      <c r="P284" s="145">
        <v>66385</v>
      </c>
      <c r="Q284" s="145">
        <v>1066</v>
      </c>
      <c r="R284">
        <v>0</v>
      </c>
      <c r="S284" s="155">
        <f t="shared" ca="1" si="20"/>
        <v>46722</v>
      </c>
    </row>
    <row r="285" spans="2:19">
      <c r="B285">
        <v>2017</v>
      </c>
      <c r="C285">
        <v>43070</v>
      </c>
      <c r="D285" t="s">
        <v>1436</v>
      </c>
      <c r="E285" t="s">
        <v>157</v>
      </c>
      <c r="F285">
        <v>22</v>
      </c>
      <c r="G285" s="131">
        <v>783828</v>
      </c>
      <c r="H285" s="131">
        <v>783828</v>
      </c>
      <c r="I285">
        <v>1</v>
      </c>
      <c r="J285" t="s">
        <v>654</v>
      </c>
      <c r="K285" t="s">
        <v>652</v>
      </c>
      <c r="L285" t="s">
        <v>3282</v>
      </c>
      <c r="M285" t="s">
        <v>181</v>
      </c>
      <c r="N285" t="s">
        <v>62</v>
      </c>
      <c r="O285" s="145">
        <v>65319</v>
      </c>
      <c r="P285" s="145">
        <v>66385</v>
      </c>
      <c r="Q285" s="145">
        <v>1066</v>
      </c>
      <c r="R285" t="s">
        <v>1207</v>
      </c>
      <c r="S285" s="155">
        <f t="shared" ca="1" si="20"/>
        <v>46722</v>
      </c>
    </row>
    <row r="286" spans="2:19">
      <c r="B286">
        <v>2017</v>
      </c>
      <c r="C286">
        <v>43070</v>
      </c>
      <c r="D286" t="s">
        <v>1449</v>
      </c>
      <c r="E286" t="s">
        <v>157</v>
      </c>
      <c r="F286">
        <v>22</v>
      </c>
      <c r="G286" s="131">
        <v>783828</v>
      </c>
      <c r="H286" s="131">
        <v>783828</v>
      </c>
      <c r="I286">
        <v>1</v>
      </c>
      <c r="J286" t="s">
        <v>1158</v>
      </c>
      <c r="K286" t="s">
        <v>1156</v>
      </c>
      <c r="L286" t="s">
        <v>3283</v>
      </c>
      <c r="M286" t="s">
        <v>167</v>
      </c>
      <c r="N286" t="s">
        <v>62</v>
      </c>
      <c r="O286" s="145">
        <v>65319</v>
      </c>
      <c r="P286" s="145">
        <v>66385</v>
      </c>
      <c r="Q286" s="145">
        <v>1066</v>
      </c>
      <c r="R286" t="s">
        <v>1207</v>
      </c>
      <c r="S286" s="155">
        <f t="shared" ca="1" si="20"/>
        <v>46722</v>
      </c>
    </row>
    <row r="287" spans="2:19">
      <c r="B287">
        <v>2017</v>
      </c>
      <c r="C287">
        <v>43089</v>
      </c>
      <c r="D287" t="s">
        <v>1450</v>
      </c>
      <c r="E287" t="s">
        <v>157</v>
      </c>
      <c r="F287">
        <v>22</v>
      </c>
      <c r="G287" s="131">
        <v>783828</v>
      </c>
      <c r="H287" s="131">
        <v>783828</v>
      </c>
      <c r="I287">
        <v>1</v>
      </c>
      <c r="J287" t="s">
        <v>309</v>
      </c>
      <c r="K287" t="s">
        <v>307</v>
      </c>
      <c r="L287" t="s">
        <v>3284</v>
      </c>
      <c r="M287" t="s">
        <v>167</v>
      </c>
      <c r="N287" t="s">
        <v>100</v>
      </c>
      <c r="O287" s="145">
        <v>65319</v>
      </c>
      <c r="P287" s="145">
        <v>66385</v>
      </c>
      <c r="Q287" s="145">
        <v>1066</v>
      </c>
      <c r="R287" t="s">
        <v>1207</v>
      </c>
      <c r="S287" s="155">
        <f t="shared" ca="1" si="20"/>
        <v>46741</v>
      </c>
    </row>
    <row r="288" spans="2:19">
      <c r="B288">
        <v>2017</v>
      </c>
      <c r="C288">
        <v>43070</v>
      </c>
      <c r="D288" t="s">
        <v>1452</v>
      </c>
      <c r="E288" t="s">
        <v>2489</v>
      </c>
      <c r="F288">
        <v>22</v>
      </c>
      <c r="G288" s="131">
        <v>783828</v>
      </c>
      <c r="H288" s="131">
        <v>783828</v>
      </c>
      <c r="I288">
        <v>1</v>
      </c>
      <c r="J288" t="s">
        <v>842</v>
      </c>
      <c r="K288" t="s">
        <v>840</v>
      </c>
      <c r="L288" t="s">
        <v>3285</v>
      </c>
      <c r="M288" t="s">
        <v>174</v>
      </c>
      <c r="N288" t="s">
        <v>100</v>
      </c>
      <c r="O288" s="145">
        <v>65319</v>
      </c>
      <c r="P288" s="145">
        <v>66385</v>
      </c>
      <c r="Q288" s="145">
        <v>1066</v>
      </c>
      <c r="R288">
        <v>0</v>
      </c>
      <c r="S288" s="155">
        <f t="shared" ca="1" si="20"/>
        <v>46722</v>
      </c>
    </row>
    <row r="289" spans="2:19">
      <c r="B289">
        <v>2017</v>
      </c>
      <c r="C289">
        <v>43070</v>
      </c>
      <c r="D289" t="s">
        <v>1454</v>
      </c>
      <c r="E289" t="s">
        <v>2489</v>
      </c>
      <c r="F289">
        <v>22</v>
      </c>
      <c r="G289" s="131">
        <v>783828</v>
      </c>
      <c r="H289" s="131">
        <v>783828</v>
      </c>
      <c r="I289">
        <v>1</v>
      </c>
      <c r="J289" t="s">
        <v>925</v>
      </c>
      <c r="K289" t="s">
        <v>923</v>
      </c>
      <c r="L289" t="s">
        <v>3286</v>
      </c>
      <c r="M289" t="s">
        <v>174</v>
      </c>
      <c r="N289" t="s">
        <v>62</v>
      </c>
      <c r="O289" s="145">
        <v>65319</v>
      </c>
      <c r="P289" s="145">
        <v>66385</v>
      </c>
      <c r="Q289" s="145">
        <v>1066</v>
      </c>
      <c r="R289" t="s">
        <v>1207</v>
      </c>
      <c r="S289" s="155">
        <f t="shared" ca="1" si="20"/>
        <v>46722</v>
      </c>
    </row>
    <row r="290" spans="2:19">
      <c r="B290">
        <v>2017</v>
      </c>
      <c r="C290">
        <v>43070</v>
      </c>
      <c r="D290" t="s">
        <v>1456</v>
      </c>
      <c r="E290" t="s">
        <v>2489</v>
      </c>
      <c r="F290">
        <v>22</v>
      </c>
      <c r="G290" s="131">
        <v>783828</v>
      </c>
      <c r="H290" s="131">
        <v>783828</v>
      </c>
      <c r="I290">
        <v>1</v>
      </c>
      <c r="J290" t="s">
        <v>1455</v>
      </c>
      <c r="K290" t="s">
        <v>857</v>
      </c>
      <c r="L290" t="s">
        <v>3287</v>
      </c>
      <c r="M290" t="s">
        <v>174</v>
      </c>
      <c r="N290" t="s">
        <v>100</v>
      </c>
      <c r="O290" s="145">
        <v>65319</v>
      </c>
      <c r="P290" s="145">
        <v>66385</v>
      </c>
      <c r="Q290" s="145">
        <v>1066</v>
      </c>
      <c r="R290">
        <v>0</v>
      </c>
      <c r="S290" s="155">
        <f t="shared" ca="1" si="20"/>
        <v>46722</v>
      </c>
    </row>
    <row r="291" spans="2:19">
      <c r="B291">
        <v>2017</v>
      </c>
      <c r="C291">
        <v>43070</v>
      </c>
      <c r="D291" t="s">
        <v>1457</v>
      </c>
      <c r="E291" t="s">
        <v>2489</v>
      </c>
      <c r="F291">
        <v>22</v>
      </c>
      <c r="G291" s="131">
        <v>783828</v>
      </c>
      <c r="H291" s="131">
        <v>783828</v>
      </c>
      <c r="I291">
        <v>1</v>
      </c>
      <c r="J291" t="s">
        <v>1446</v>
      </c>
      <c r="K291" t="s">
        <v>488</v>
      </c>
      <c r="L291" t="s">
        <v>3288</v>
      </c>
      <c r="M291" t="s">
        <v>174</v>
      </c>
      <c r="N291" t="s">
        <v>100</v>
      </c>
      <c r="O291" s="145">
        <v>65319</v>
      </c>
      <c r="P291" s="145">
        <v>66385</v>
      </c>
      <c r="Q291" s="145">
        <v>1066</v>
      </c>
      <c r="R291" t="s">
        <v>1207</v>
      </c>
      <c r="S291" s="155">
        <f t="shared" ca="1" si="20"/>
        <v>46722</v>
      </c>
    </row>
    <row r="292" spans="2:19">
      <c r="B292">
        <v>2017</v>
      </c>
      <c r="C292">
        <v>43070</v>
      </c>
      <c r="D292" t="s">
        <v>1458</v>
      </c>
      <c r="E292" t="s">
        <v>2489</v>
      </c>
      <c r="F292">
        <v>22</v>
      </c>
      <c r="G292" s="131">
        <v>783828</v>
      </c>
      <c r="H292" s="131">
        <v>783828</v>
      </c>
      <c r="I292">
        <v>1</v>
      </c>
      <c r="J292" t="s">
        <v>998</v>
      </c>
      <c r="K292" t="s">
        <v>996</v>
      </c>
      <c r="L292" t="s">
        <v>3289</v>
      </c>
      <c r="M292" t="s">
        <v>174</v>
      </c>
      <c r="N292" t="s">
        <v>100</v>
      </c>
      <c r="O292" s="145">
        <v>65319</v>
      </c>
      <c r="P292" s="145">
        <v>66385</v>
      </c>
      <c r="Q292" s="145">
        <v>1066</v>
      </c>
      <c r="R292" t="s">
        <v>1207</v>
      </c>
      <c r="S292" s="155">
        <f t="shared" ca="1" si="20"/>
        <v>46722</v>
      </c>
    </row>
    <row r="293" spans="2:19">
      <c r="B293">
        <v>2017</v>
      </c>
      <c r="C293">
        <v>43070</v>
      </c>
      <c r="D293" t="s">
        <v>1459</v>
      </c>
      <c r="E293" t="s">
        <v>2489</v>
      </c>
      <c r="F293">
        <v>22</v>
      </c>
      <c r="G293" s="131">
        <v>783828</v>
      </c>
      <c r="H293" s="131">
        <v>783828</v>
      </c>
      <c r="I293">
        <v>1</v>
      </c>
      <c r="J293" t="s">
        <v>881</v>
      </c>
      <c r="K293" t="s">
        <v>880</v>
      </c>
      <c r="L293" t="s">
        <v>3290</v>
      </c>
      <c r="M293" t="s">
        <v>174</v>
      </c>
      <c r="N293" t="s">
        <v>62</v>
      </c>
      <c r="O293" s="145">
        <v>65319</v>
      </c>
      <c r="P293" s="145">
        <v>66385</v>
      </c>
      <c r="Q293" s="145">
        <v>1066</v>
      </c>
      <c r="R293">
        <v>0</v>
      </c>
      <c r="S293" s="155">
        <f t="shared" ca="1" si="20"/>
        <v>46722</v>
      </c>
    </row>
    <row r="294" spans="2:19">
      <c r="B294">
        <v>2017</v>
      </c>
      <c r="C294">
        <v>43070</v>
      </c>
      <c r="D294" t="s">
        <v>1460</v>
      </c>
      <c r="E294" t="s">
        <v>2489</v>
      </c>
      <c r="F294">
        <v>22</v>
      </c>
      <c r="G294" s="131">
        <v>783828</v>
      </c>
      <c r="H294" s="131">
        <v>783828</v>
      </c>
      <c r="I294">
        <v>1</v>
      </c>
      <c r="J294" t="s">
        <v>886</v>
      </c>
      <c r="K294" t="s">
        <v>884</v>
      </c>
      <c r="L294" t="s">
        <v>3291</v>
      </c>
      <c r="M294" t="s">
        <v>174</v>
      </c>
      <c r="N294" t="s">
        <v>62</v>
      </c>
      <c r="O294" s="145">
        <v>65319</v>
      </c>
      <c r="P294" s="145">
        <v>66385</v>
      </c>
      <c r="Q294" s="145">
        <v>1066</v>
      </c>
      <c r="R294">
        <v>0</v>
      </c>
      <c r="S294" s="155">
        <f t="shared" ca="1" si="20"/>
        <v>46722</v>
      </c>
    </row>
    <row r="295" spans="2:19">
      <c r="B295">
        <v>2017</v>
      </c>
      <c r="C295">
        <v>43087</v>
      </c>
      <c r="D295" t="s">
        <v>1462</v>
      </c>
      <c r="E295" t="s">
        <v>2489</v>
      </c>
      <c r="F295">
        <v>22</v>
      </c>
      <c r="G295" s="131">
        <v>783828</v>
      </c>
      <c r="H295" s="131">
        <v>783828</v>
      </c>
      <c r="I295">
        <v>1</v>
      </c>
      <c r="J295" t="s">
        <v>1461</v>
      </c>
      <c r="K295" t="s">
        <v>2009</v>
      </c>
      <c r="L295" t="s">
        <v>3292</v>
      </c>
      <c r="M295" t="s">
        <v>174</v>
      </c>
      <c r="N295" t="s">
        <v>100</v>
      </c>
      <c r="O295" s="145">
        <v>65319</v>
      </c>
      <c r="P295" s="145">
        <v>66385</v>
      </c>
      <c r="Q295" s="145">
        <v>1066</v>
      </c>
      <c r="R295">
        <v>0</v>
      </c>
      <c r="S295" s="155">
        <f t="shared" ca="1" si="20"/>
        <v>46739</v>
      </c>
    </row>
    <row r="296" spans="2:19">
      <c r="B296">
        <v>2017</v>
      </c>
      <c r="C296">
        <v>43070</v>
      </c>
      <c r="D296" t="s">
        <v>1463</v>
      </c>
      <c r="E296" t="s">
        <v>2489</v>
      </c>
      <c r="F296">
        <v>22</v>
      </c>
      <c r="G296" s="131">
        <v>783828</v>
      </c>
      <c r="H296" s="131">
        <v>783828</v>
      </c>
      <c r="I296">
        <v>1</v>
      </c>
      <c r="J296" t="s">
        <v>1030</v>
      </c>
      <c r="K296" t="s">
        <v>1028</v>
      </c>
      <c r="L296" t="s">
        <v>3293</v>
      </c>
      <c r="M296" t="s">
        <v>174</v>
      </c>
      <c r="N296" t="s">
        <v>62</v>
      </c>
      <c r="O296" s="145">
        <v>65319</v>
      </c>
      <c r="P296" s="145">
        <v>66385</v>
      </c>
      <c r="Q296" s="145">
        <v>1066</v>
      </c>
      <c r="R296">
        <v>0</v>
      </c>
      <c r="S296" s="155">
        <f t="shared" ca="1" si="20"/>
        <v>46722</v>
      </c>
    </row>
    <row r="297" spans="2:19">
      <c r="B297">
        <v>2017</v>
      </c>
      <c r="C297">
        <v>43070</v>
      </c>
      <c r="D297" t="s">
        <v>1464</v>
      </c>
      <c r="E297" t="s">
        <v>2489</v>
      </c>
      <c r="F297">
        <v>22</v>
      </c>
      <c r="G297" s="131">
        <v>783828</v>
      </c>
      <c r="H297" s="131">
        <v>783828</v>
      </c>
      <c r="I297">
        <v>1</v>
      </c>
      <c r="J297" t="s">
        <v>1038</v>
      </c>
      <c r="K297" t="s">
        <v>1035</v>
      </c>
      <c r="L297" t="s">
        <v>3294</v>
      </c>
      <c r="M297" t="s">
        <v>174</v>
      </c>
      <c r="N297" t="s">
        <v>62</v>
      </c>
      <c r="O297" s="145">
        <v>65319</v>
      </c>
      <c r="P297" s="145">
        <v>66385</v>
      </c>
      <c r="Q297" s="145">
        <v>1066</v>
      </c>
      <c r="R297">
        <v>0</v>
      </c>
      <c r="S297" s="155">
        <f t="shared" ca="1" si="20"/>
        <v>46722</v>
      </c>
    </row>
    <row r="298" spans="2:19">
      <c r="B298">
        <v>2017</v>
      </c>
      <c r="C298">
        <v>43070</v>
      </c>
      <c r="D298" t="s">
        <v>1465</v>
      </c>
      <c r="E298" t="s">
        <v>2489</v>
      </c>
      <c r="F298">
        <v>22</v>
      </c>
      <c r="G298" s="131">
        <v>783828</v>
      </c>
      <c r="H298" s="131">
        <v>783828</v>
      </c>
      <c r="I298">
        <v>1</v>
      </c>
      <c r="J298" t="s">
        <v>1043</v>
      </c>
      <c r="K298" t="s">
        <v>1041</v>
      </c>
      <c r="L298" t="s">
        <v>3295</v>
      </c>
      <c r="M298" t="s">
        <v>174</v>
      </c>
      <c r="N298" t="s">
        <v>100</v>
      </c>
      <c r="O298" s="145">
        <v>65319</v>
      </c>
      <c r="P298" s="145">
        <v>66385</v>
      </c>
      <c r="Q298" s="145">
        <v>1066</v>
      </c>
      <c r="R298">
        <v>0</v>
      </c>
      <c r="S298" s="155">
        <f t="shared" ca="1" si="20"/>
        <v>46722</v>
      </c>
    </row>
    <row r="299" spans="2:19">
      <c r="B299">
        <v>2017</v>
      </c>
      <c r="C299">
        <v>43070</v>
      </c>
      <c r="D299" t="s">
        <v>1468</v>
      </c>
      <c r="E299" t="s">
        <v>2489</v>
      </c>
      <c r="F299">
        <v>22</v>
      </c>
      <c r="G299" s="131">
        <v>783828</v>
      </c>
      <c r="H299" s="131">
        <v>783828</v>
      </c>
      <c r="I299">
        <v>1</v>
      </c>
      <c r="J299" t="s">
        <v>1467</v>
      </c>
      <c r="K299" t="s">
        <v>2067</v>
      </c>
      <c r="L299" t="s">
        <v>3296</v>
      </c>
      <c r="M299" t="s">
        <v>211</v>
      </c>
      <c r="N299" t="s">
        <v>62</v>
      </c>
      <c r="O299" s="145">
        <v>65319</v>
      </c>
      <c r="P299" s="145">
        <v>66385</v>
      </c>
      <c r="Q299" s="145">
        <v>1066</v>
      </c>
      <c r="R299">
        <v>0</v>
      </c>
      <c r="S299" s="155">
        <f t="shared" ca="1" si="20"/>
        <v>46722</v>
      </c>
    </row>
    <row r="300" spans="2:19">
      <c r="B300">
        <v>2017</v>
      </c>
      <c r="C300">
        <v>43087</v>
      </c>
      <c r="D300" t="s">
        <v>1469</v>
      </c>
      <c r="E300" t="s">
        <v>2489</v>
      </c>
      <c r="F300">
        <v>22</v>
      </c>
      <c r="G300" s="131">
        <v>783828</v>
      </c>
      <c r="H300" s="131">
        <v>783828</v>
      </c>
      <c r="I300">
        <v>1</v>
      </c>
      <c r="J300" t="s">
        <v>919</v>
      </c>
      <c r="K300" t="s">
        <v>917</v>
      </c>
      <c r="L300" t="s">
        <v>3297</v>
      </c>
      <c r="M300" t="s">
        <v>211</v>
      </c>
      <c r="N300" t="s">
        <v>62</v>
      </c>
      <c r="O300" s="145">
        <v>65319</v>
      </c>
      <c r="P300" s="145">
        <v>66385</v>
      </c>
      <c r="Q300" s="145">
        <v>1066</v>
      </c>
      <c r="R300">
        <v>0</v>
      </c>
      <c r="S300" s="155">
        <f t="shared" ca="1" si="20"/>
        <v>46739</v>
      </c>
    </row>
    <row r="301" spans="2:19">
      <c r="B301">
        <v>2017</v>
      </c>
      <c r="C301">
        <v>43070</v>
      </c>
      <c r="D301" t="s">
        <v>1470</v>
      </c>
      <c r="E301" t="s">
        <v>2489</v>
      </c>
      <c r="F301">
        <v>22</v>
      </c>
      <c r="G301" s="131">
        <v>783828</v>
      </c>
      <c r="H301" s="131">
        <v>783828</v>
      </c>
      <c r="I301">
        <v>1</v>
      </c>
      <c r="J301" t="s">
        <v>1453</v>
      </c>
      <c r="K301" t="s">
        <v>846</v>
      </c>
      <c r="L301" t="s">
        <v>3298</v>
      </c>
      <c r="M301" t="s">
        <v>211</v>
      </c>
      <c r="N301" t="s">
        <v>100</v>
      </c>
      <c r="O301" s="145">
        <v>65319</v>
      </c>
      <c r="P301" s="145">
        <v>66385</v>
      </c>
      <c r="Q301" s="145">
        <v>1066</v>
      </c>
      <c r="R301" t="s">
        <v>1207</v>
      </c>
      <c r="S301" s="155">
        <f t="shared" ca="1" si="20"/>
        <v>46722</v>
      </c>
    </row>
    <row r="302" spans="2:19">
      <c r="B302">
        <v>2017</v>
      </c>
      <c r="C302">
        <v>43087</v>
      </c>
      <c r="D302" t="s">
        <v>1471</v>
      </c>
      <c r="E302" t="s">
        <v>2489</v>
      </c>
      <c r="F302">
        <v>22</v>
      </c>
      <c r="G302" s="131">
        <v>783828</v>
      </c>
      <c r="H302" s="131">
        <v>783828</v>
      </c>
      <c r="I302">
        <v>1</v>
      </c>
      <c r="J302" t="s">
        <v>866</v>
      </c>
      <c r="K302" t="s">
        <v>863</v>
      </c>
      <c r="L302" t="s">
        <v>3299</v>
      </c>
      <c r="M302" t="s">
        <v>211</v>
      </c>
      <c r="N302" t="s">
        <v>100</v>
      </c>
      <c r="O302" s="145">
        <v>65319</v>
      </c>
      <c r="P302" s="145">
        <v>66385</v>
      </c>
      <c r="Q302" s="145">
        <v>1066</v>
      </c>
      <c r="R302" t="s">
        <v>1207</v>
      </c>
      <c r="S302" s="155">
        <f t="shared" ca="1" si="20"/>
        <v>46739</v>
      </c>
    </row>
    <row r="303" spans="2:19">
      <c r="B303">
        <v>2017</v>
      </c>
      <c r="C303">
        <v>43070</v>
      </c>
      <c r="D303" t="s">
        <v>1472</v>
      </c>
      <c r="E303" t="s">
        <v>2489</v>
      </c>
      <c r="F303">
        <v>22</v>
      </c>
      <c r="G303" s="131">
        <v>783828</v>
      </c>
      <c r="H303" s="131">
        <v>783828</v>
      </c>
      <c r="I303">
        <v>1</v>
      </c>
      <c r="J303" t="s">
        <v>1107</v>
      </c>
      <c r="K303" t="s">
        <v>733</v>
      </c>
      <c r="L303" t="s">
        <v>3300</v>
      </c>
      <c r="M303" t="s">
        <v>211</v>
      </c>
      <c r="N303" t="s">
        <v>62</v>
      </c>
      <c r="O303" s="145">
        <v>65319</v>
      </c>
      <c r="P303" s="145">
        <v>66385</v>
      </c>
      <c r="Q303" s="145">
        <v>1066</v>
      </c>
      <c r="R303">
        <v>0</v>
      </c>
      <c r="S303" s="155">
        <f t="shared" ca="1" si="20"/>
        <v>46722</v>
      </c>
    </row>
    <row r="304" spans="2:19">
      <c r="B304">
        <v>2017</v>
      </c>
      <c r="C304">
        <v>43070</v>
      </c>
      <c r="D304" t="s">
        <v>1473</v>
      </c>
      <c r="E304" t="s">
        <v>2489</v>
      </c>
      <c r="F304">
        <v>22</v>
      </c>
      <c r="G304" s="131">
        <v>783828</v>
      </c>
      <c r="H304" s="131">
        <v>783828</v>
      </c>
      <c r="I304">
        <v>1</v>
      </c>
      <c r="J304" t="s">
        <v>949</v>
      </c>
      <c r="K304" t="s">
        <v>947</v>
      </c>
      <c r="L304" t="s">
        <v>3301</v>
      </c>
      <c r="M304" t="s">
        <v>211</v>
      </c>
      <c r="N304" t="s">
        <v>100</v>
      </c>
      <c r="O304" s="145">
        <v>65319</v>
      </c>
      <c r="P304" s="145">
        <v>66385</v>
      </c>
      <c r="Q304" s="145">
        <v>1066</v>
      </c>
      <c r="R304">
        <v>0</v>
      </c>
      <c r="S304" s="155">
        <f t="shared" ca="1" si="20"/>
        <v>46722</v>
      </c>
    </row>
    <row r="305" spans="2:19">
      <c r="B305">
        <v>2017</v>
      </c>
      <c r="C305">
        <v>43070</v>
      </c>
      <c r="D305" t="s">
        <v>1474</v>
      </c>
      <c r="E305" t="s">
        <v>2489</v>
      </c>
      <c r="F305">
        <v>22</v>
      </c>
      <c r="G305" s="131">
        <v>783828</v>
      </c>
      <c r="H305" s="131">
        <v>783828</v>
      </c>
      <c r="I305">
        <v>1</v>
      </c>
      <c r="J305" t="s">
        <v>573</v>
      </c>
      <c r="K305" t="s">
        <v>571</v>
      </c>
      <c r="L305" t="s">
        <v>3302</v>
      </c>
      <c r="M305" t="s">
        <v>211</v>
      </c>
      <c r="N305" t="s">
        <v>100</v>
      </c>
      <c r="O305" s="145">
        <v>65319</v>
      </c>
      <c r="P305" s="145">
        <v>66385</v>
      </c>
      <c r="Q305" s="145">
        <v>1066</v>
      </c>
      <c r="R305" t="s">
        <v>1207</v>
      </c>
      <c r="S305" s="155">
        <f t="shared" ca="1" si="20"/>
        <v>46722</v>
      </c>
    </row>
    <row r="306" spans="2:19">
      <c r="B306">
        <v>2017</v>
      </c>
      <c r="C306">
        <v>43070</v>
      </c>
      <c r="D306" t="s">
        <v>1475</v>
      </c>
      <c r="E306" t="s">
        <v>157</v>
      </c>
      <c r="F306">
        <v>22</v>
      </c>
      <c r="G306" s="131">
        <v>783828</v>
      </c>
      <c r="H306" s="131">
        <v>783828</v>
      </c>
      <c r="I306">
        <v>1</v>
      </c>
      <c r="J306" t="s">
        <v>782</v>
      </c>
      <c r="K306" t="s">
        <v>780</v>
      </c>
      <c r="L306" t="s">
        <v>3303</v>
      </c>
      <c r="M306" t="s">
        <v>268</v>
      </c>
      <c r="N306" t="s">
        <v>100</v>
      </c>
      <c r="O306" s="145">
        <v>65319</v>
      </c>
      <c r="P306" s="145">
        <v>66385</v>
      </c>
      <c r="Q306" s="145">
        <v>1066</v>
      </c>
      <c r="R306">
        <v>0</v>
      </c>
      <c r="S306" s="155">
        <f t="shared" ca="1" si="20"/>
        <v>46722</v>
      </c>
    </row>
    <row r="307" spans="2:19">
      <c r="B307">
        <v>2017</v>
      </c>
      <c r="C307">
        <v>43070</v>
      </c>
      <c r="D307" t="s">
        <v>1477</v>
      </c>
      <c r="E307" t="s">
        <v>157</v>
      </c>
      <c r="F307">
        <v>22</v>
      </c>
      <c r="G307" s="131">
        <v>783828</v>
      </c>
      <c r="H307" s="131">
        <v>783828</v>
      </c>
      <c r="I307">
        <v>1</v>
      </c>
      <c r="J307" t="s">
        <v>1476</v>
      </c>
      <c r="K307" t="s">
        <v>478</v>
      </c>
      <c r="L307" t="s">
        <v>3304</v>
      </c>
      <c r="M307" t="s">
        <v>268</v>
      </c>
      <c r="N307" t="s">
        <v>62</v>
      </c>
      <c r="O307" s="145">
        <v>65319</v>
      </c>
      <c r="P307" s="145">
        <v>66385</v>
      </c>
      <c r="Q307" s="145">
        <v>1066</v>
      </c>
      <c r="R307">
        <v>0</v>
      </c>
      <c r="S307" s="155">
        <f t="shared" ca="1" si="20"/>
        <v>46722</v>
      </c>
    </row>
    <row r="308" spans="2:19">
      <c r="B308">
        <v>2017</v>
      </c>
      <c r="C308">
        <v>43070</v>
      </c>
      <c r="D308" t="s">
        <v>1479</v>
      </c>
      <c r="E308" t="s">
        <v>157</v>
      </c>
      <c r="F308">
        <v>22</v>
      </c>
      <c r="G308" s="131">
        <v>783828</v>
      </c>
      <c r="H308" s="131">
        <v>783828</v>
      </c>
      <c r="I308">
        <v>1</v>
      </c>
      <c r="J308" t="s">
        <v>3305</v>
      </c>
      <c r="K308" t="s">
        <v>1112</v>
      </c>
      <c r="L308" t="s">
        <v>3306</v>
      </c>
      <c r="M308" t="s">
        <v>268</v>
      </c>
      <c r="N308" t="s">
        <v>100</v>
      </c>
      <c r="O308" s="145">
        <v>65319</v>
      </c>
      <c r="P308" s="145">
        <v>66385</v>
      </c>
      <c r="Q308" s="145">
        <v>1066</v>
      </c>
      <c r="R308">
        <v>0</v>
      </c>
      <c r="S308" s="155">
        <f t="shared" ca="1" si="20"/>
        <v>46722</v>
      </c>
    </row>
    <row r="309" spans="2:19">
      <c r="B309">
        <v>2017</v>
      </c>
      <c r="C309">
        <v>43087</v>
      </c>
      <c r="D309" t="s">
        <v>1480</v>
      </c>
      <c r="E309" t="s">
        <v>157</v>
      </c>
      <c r="F309">
        <v>22</v>
      </c>
      <c r="G309" s="131">
        <v>783828</v>
      </c>
      <c r="H309" s="131">
        <v>783828</v>
      </c>
      <c r="I309">
        <v>1</v>
      </c>
      <c r="J309" t="s">
        <v>271</v>
      </c>
      <c r="K309" t="s">
        <v>269</v>
      </c>
      <c r="L309" t="s">
        <v>3307</v>
      </c>
      <c r="M309" t="s">
        <v>268</v>
      </c>
      <c r="N309" t="s">
        <v>62</v>
      </c>
      <c r="O309" s="145">
        <v>65319</v>
      </c>
      <c r="P309" s="145">
        <v>66385</v>
      </c>
      <c r="Q309" s="145">
        <v>1066</v>
      </c>
      <c r="R309">
        <v>0</v>
      </c>
      <c r="S309" s="155">
        <f t="shared" ca="1" si="20"/>
        <v>46739</v>
      </c>
    </row>
    <row r="310" spans="2:19">
      <c r="B310">
        <v>2017</v>
      </c>
      <c r="C310">
        <v>43070</v>
      </c>
      <c r="D310" t="s">
        <v>1481</v>
      </c>
      <c r="E310" t="s">
        <v>157</v>
      </c>
      <c r="F310">
        <v>22</v>
      </c>
      <c r="G310" s="131">
        <v>783828</v>
      </c>
      <c r="H310" s="131">
        <v>783828</v>
      </c>
      <c r="I310">
        <v>1</v>
      </c>
      <c r="J310" t="s">
        <v>820</v>
      </c>
      <c r="K310" t="s">
        <v>818</v>
      </c>
      <c r="L310" t="s">
        <v>3308</v>
      </c>
      <c r="M310" t="s">
        <v>268</v>
      </c>
      <c r="N310" t="s">
        <v>100</v>
      </c>
      <c r="O310" s="145">
        <v>65319</v>
      </c>
      <c r="P310" s="145">
        <v>66385</v>
      </c>
      <c r="Q310" s="145">
        <v>1066</v>
      </c>
      <c r="R310">
        <v>0</v>
      </c>
      <c r="S310" s="155">
        <f t="shared" ca="1" si="20"/>
        <v>46722</v>
      </c>
    </row>
    <row r="311" spans="2:19">
      <c r="B311">
        <v>2017</v>
      </c>
      <c r="C311">
        <v>43089</v>
      </c>
      <c r="D311" t="s">
        <v>1482</v>
      </c>
      <c r="E311" t="s">
        <v>157</v>
      </c>
      <c r="F311">
        <v>22</v>
      </c>
      <c r="G311" s="131">
        <v>783828</v>
      </c>
      <c r="H311" s="131">
        <v>783828</v>
      </c>
      <c r="I311">
        <v>1</v>
      </c>
      <c r="J311" t="s">
        <v>3309</v>
      </c>
      <c r="K311" t="s">
        <v>2037</v>
      </c>
      <c r="L311" t="s">
        <v>3310</v>
      </c>
      <c r="M311" t="s">
        <v>268</v>
      </c>
      <c r="N311" t="s">
        <v>62</v>
      </c>
      <c r="O311" s="145">
        <v>65319</v>
      </c>
      <c r="P311" s="145">
        <v>66385</v>
      </c>
      <c r="Q311" s="145">
        <v>1066</v>
      </c>
      <c r="R311" t="s">
        <v>1207</v>
      </c>
      <c r="S311" s="155">
        <f t="shared" ca="1" si="20"/>
        <v>46741</v>
      </c>
    </row>
    <row r="312" spans="2:19">
      <c r="B312">
        <v>2017</v>
      </c>
      <c r="C312">
        <v>43070</v>
      </c>
      <c r="D312" t="s">
        <v>1483</v>
      </c>
      <c r="E312" t="s">
        <v>157</v>
      </c>
      <c r="F312">
        <v>22</v>
      </c>
      <c r="G312" s="131">
        <v>783828</v>
      </c>
      <c r="H312" s="131">
        <v>783828</v>
      </c>
      <c r="I312">
        <v>1</v>
      </c>
      <c r="J312" t="s">
        <v>1226</v>
      </c>
      <c r="K312" t="s">
        <v>1224</v>
      </c>
      <c r="L312" t="s">
        <v>3311</v>
      </c>
      <c r="M312" t="s">
        <v>268</v>
      </c>
      <c r="N312" t="s">
        <v>100</v>
      </c>
      <c r="O312" s="145">
        <v>65319</v>
      </c>
      <c r="P312" s="145">
        <v>66385</v>
      </c>
      <c r="Q312" s="145">
        <v>1066</v>
      </c>
      <c r="R312" t="s">
        <v>1207</v>
      </c>
      <c r="S312" s="155">
        <f t="shared" ca="1" si="20"/>
        <v>46722</v>
      </c>
    </row>
    <row r="313" spans="2:19">
      <c r="B313">
        <v>2017</v>
      </c>
      <c r="C313">
        <v>43070</v>
      </c>
      <c r="D313" t="s">
        <v>1484</v>
      </c>
      <c r="E313" t="s">
        <v>157</v>
      </c>
      <c r="F313">
        <v>22</v>
      </c>
      <c r="G313" s="131">
        <v>783828</v>
      </c>
      <c r="H313" s="131">
        <v>783828</v>
      </c>
      <c r="I313">
        <v>1</v>
      </c>
      <c r="J313" t="s">
        <v>3312</v>
      </c>
      <c r="K313" t="s">
        <v>1022</v>
      </c>
      <c r="L313" t="s">
        <v>3313</v>
      </c>
      <c r="M313" t="s">
        <v>268</v>
      </c>
      <c r="N313" t="s">
        <v>100</v>
      </c>
      <c r="O313" s="145">
        <v>65319</v>
      </c>
      <c r="P313" s="145">
        <v>66385</v>
      </c>
      <c r="Q313" s="145">
        <v>1066</v>
      </c>
      <c r="R313">
        <v>0</v>
      </c>
      <c r="S313" s="155">
        <f t="shared" ca="1" si="20"/>
        <v>46722</v>
      </c>
    </row>
    <row r="314" spans="2:19">
      <c r="B314">
        <v>2017</v>
      </c>
      <c r="C314">
        <v>43070</v>
      </c>
      <c r="D314" t="s">
        <v>1397</v>
      </c>
      <c r="E314" t="s">
        <v>157</v>
      </c>
      <c r="F314">
        <v>22</v>
      </c>
      <c r="G314" s="131">
        <v>783828</v>
      </c>
      <c r="H314" s="131">
        <v>783828</v>
      </c>
      <c r="I314">
        <v>1</v>
      </c>
      <c r="J314" t="s">
        <v>543</v>
      </c>
      <c r="K314" t="s">
        <v>240</v>
      </c>
      <c r="L314" t="s">
        <v>3314</v>
      </c>
      <c r="M314" t="s">
        <v>408</v>
      </c>
      <c r="N314" t="s">
        <v>62</v>
      </c>
      <c r="O314" s="145">
        <v>65319</v>
      </c>
      <c r="P314" s="145">
        <v>66385</v>
      </c>
      <c r="Q314" s="145">
        <v>1066</v>
      </c>
      <c r="R314">
        <v>0</v>
      </c>
      <c r="S314" s="155">
        <f t="shared" ca="1" si="20"/>
        <v>46722</v>
      </c>
    </row>
    <row r="315" spans="2:19">
      <c r="B315">
        <v>2017</v>
      </c>
      <c r="C315">
        <v>43070</v>
      </c>
      <c r="D315" t="s">
        <v>1392</v>
      </c>
      <c r="E315" t="s">
        <v>157</v>
      </c>
      <c r="F315">
        <v>22</v>
      </c>
      <c r="G315" s="131">
        <v>783828</v>
      </c>
      <c r="H315" s="131">
        <v>783828</v>
      </c>
      <c r="I315">
        <v>1</v>
      </c>
      <c r="J315" t="s">
        <v>1054</v>
      </c>
      <c r="K315" t="s">
        <v>1052</v>
      </c>
      <c r="L315" t="s">
        <v>3315</v>
      </c>
      <c r="M315" t="s">
        <v>408</v>
      </c>
      <c r="N315" t="s">
        <v>62</v>
      </c>
      <c r="O315" s="145">
        <v>65319</v>
      </c>
      <c r="P315" s="145">
        <v>66385</v>
      </c>
      <c r="Q315" s="145">
        <v>1066</v>
      </c>
      <c r="R315" t="s">
        <v>1207</v>
      </c>
      <c r="S315" s="155">
        <f t="shared" ca="1" si="20"/>
        <v>46722</v>
      </c>
    </row>
    <row r="316" spans="2:19">
      <c r="B316">
        <v>2011</v>
      </c>
      <c r="C316">
        <v>40896</v>
      </c>
      <c r="D316" t="s">
        <v>1489</v>
      </c>
      <c r="E316" t="s">
        <v>165</v>
      </c>
      <c r="F316">
        <v>20</v>
      </c>
      <c r="G316" s="131">
        <v>613860</v>
      </c>
      <c r="H316" s="131">
        <v>634056</v>
      </c>
      <c r="I316">
        <v>3</v>
      </c>
      <c r="J316" t="s">
        <v>1134</v>
      </c>
      <c r="K316" t="s">
        <v>1132</v>
      </c>
      <c r="L316" t="s">
        <v>3316</v>
      </c>
      <c r="M316" t="s">
        <v>268</v>
      </c>
      <c r="N316" t="s">
        <v>62</v>
      </c>
      <c r="O316" s="145">
        <v>52838</v>
      </c>
      <c r="P316" s="145">
        <v>53700</v>
      </c>
      <c r="Q316" s="145">
        <v>862</v>
      </c>
      <c r="R316">
        <v>0</v>
      </c>
      <c r="S316" s="155">
        <f t="shared" ca="1" si="20"/>
        <v>46740</v>
      </c>
    </row>
    <row r="317" spans="2:19">
      <c r="B317">
        <v>2002</v>
      </c>
      <c r="C317">
        <v>37453</v>
      </c>
      <c r="D317" t="s">
        <v>754</v>
      </c>
      <c r="E317" t="s">
        <v>165</v>
      </c>
      <c r="F317">
        <v>20</v>
      </c>
      <c r="G317" s="131">
        <v>613860</v>
      </c>
      <c r="H317" s="131">
        <v>665616</v>
      </c>
      <c r="I317">
        <v>6</v>
      </c>
      <c r="J317" t="s">
        <v>1058</v>
      </c>
      <c r="K317" t="s">
        <v>1057</v>
      </c>
      <c r="L317" t="s">
        <v>3317</v>
      </c>
      <c r="M317" t="s">
        <v>167</v>
      </c>
      <c r="N317" t="s">
        <v>100</v>
      </c>
      <c r="O317" s="145">
        <v>55468</v>
      </c>
      <c r="P317" s="145">
        <v>56373</v>
      </c>
      <c r="Q317" s="145">
        <v>905</v>
      </c>
      <c r="R317" t="s">
        <v>1207</v>
      </c>
      <c r="S317" s="155">
        <f t="shared" ca="1" si="20"/>
        <v>46584</v>
      </c>
    </row>
    <row r="318" spans="2:19">
      <c r="B318">
        <v>2014</v>
      </c>
      <c r="C318">
        <v>41869</v>
      </c>
      <c r="D318" t="s">
        <v>1056</v>
      </c>
      <c r="E318" t="s">
        <v>165</v>
      </c>
      <c r="F318">
        <v>20</v>
      </c>
      <c r="G318" s="131">
        <v>613860</v>
      </c>
      <c r="H318" s="131">
        <v>623868</v>
      </c>
      <c r="I318">
        <v>2</v>
      </c>
      <c r="J318" t="s">
        <v>1487</v>
      </c>
      <c r="K318" t="s">
        <v>2031</v>
      </c>
      <c r="L318" t="s">
        <v>3318</v>
      </c>
      <c r="M318" t="s">
        <v>181</v>
      </c>
      <c r="N318" t="s">
        <v>62</v>
      </c>
      <c r="O318" s="145">
        <v>51989</v>
      </c>
      <c r="P318" s="145">
        <v>52838</v>
      </c>
      <c r="Q318" s="145">
        <v>849</v>
      </c>
      <c r="R318" t="s">
        <v>1207</v>
      </c>
      <c r="S318" s="155">
        <f t="shared" ca="1" si="20"/>
        <v>46617</v>
      </c>
    </row>
    <row r="319" spans="2:19">
      <c r="B319">
        <v>2014</v>
      </c>
      <c r="C319">
        <v>41927</v>
      </c>
      <c r="D319" t="s">
        <v>1073</v>
      </c>
      <c r="E319" t="s">
        <v>1074</v>
      </c>
      <c r="F319">
        <v>13</v>
      </c>
      <c r="G319" s="131">
        <v>302784</v>
      </c>
      <c r="H319" s="131">
        <v>306540</v>
      </c>
      <c r="I319">
        <v>2</v>
      </c>
      <c r="J319" t="s">
        <v>2682</v>
      </c>
      <c r="K319" t="s">
        <v>2101</v>
      </c>
      <c r="L319" t="s">
        <v>3319</v>
      </c>
      <c r="M319" t="s">
        <v>408</v>
      </c>
      <c r="N319" t="s">
        <v>100</v>
      </c>
      <c r="O319" s="145">
        <v>25545</v>
      </c>
      <c r="P319" s="145">
        <v>25861</v>
      </c>
      <c r="Q319" s="145">
        <v>316</v>
      </c>
      <c r="R319">
        <v>0</v>
      </c>
      <c r="S319" s="155">
        <f t="shared" ca="1" si="20"/>
        <v>46675</v>
      </c>
    </row>
    <row r="320" spans="2:19">
      <c r="B320">
        <v>2014</v>
      </c>
      <c r="C320">
        <v>41932</v>
      </c>
      <c r="D320" t="s">
        <v>1096</v>
      </c>
      <c r="E320" t="s">
        <v>1074</v>
      </c>
      <c r="F320">
        <v>13</v>
      </c>
      <c r="G320" s="131">
        <v>302784</v>
      </c>
      <c r="H320" s="131">
        <v>306540</v>
      </c>
      <c r="I320">
        <v>2</v>
      </c>
      <c r="J320" t="s">
        <v>2699</v>
      </c>
      <c r="K320" t="s">
        <v>2112</v>
      </c>
      <c r="L320" t="s">
        <v>3320</v>
      </c>
      <c r="M320" t="s">
        <v>268</v>
      </c>
      <c r="N320" t="s">
        <v>100</v>
      </c>
      <c r="O320" s="145">
        <v>25545</v>
      </c>
      <c r="P320" s="145">
        <v>25861</v>
      </c>
      <c r="Q320" s="145">
        <v>316</v>
      </c>
      <c r="R320">
        <v>0</v>
      </c>
      <c r="S320" s="155">
        <f t="shared" ca="1" si="20"/>
        <v>46680</v>
      </c>
    </row>
    <row r="321" spans="2:19">
      <c r="B321">
        <v>2014</v>
      </c>
      <c r="C321">
        <v>41913</v>
      </c>
      <c r="D321" t="s">
        <v>1111</v>
      </c>
      <c r="E321" t="s">
        <v>1074</v>
      </c>
      <c r="F321">
        <v>13</v>
      </c>
      <c r="G321" s="131">
        <v>302784</v>
      </c>
      <c r="H321" s="131">
        <v>306540</v>
      </c>
      <c r="I321">
        <v>2</v>
      </c>
      <c r="J321" t="s">
        <v>1243</v>
      </c>
      <c r="K321" t="s">
        <v>1241</v>
      </c>
      <c r="L321" t="s">
        <v>3321</v>
      </c>
      <c r="M321" t="s">
        <v>181</v>
      </c>
      <c r="N321" t="s">
        <v>62</v>
      </c>
      <c r="O321" s="145">
        <v>25545</v>
      </c>
      <c r="P321" s="145">
        <v>25861</v>
      </c>
      <c r="Q321" s="145">
        <v>316</v>
      </c>
      <c r="R321">
        <v>0</v>
      </c>
      <c r="S321" s="155">
        <f t="shared" ca="1" si="20"/>
        <v>46661</v>
      </c>
    </row>
    <row r="322" spans="2:19">
      <c r="B322">
        <v>2017</v>
      </c>
      <c r="C322">
        <v>42851</v>
      </c>
      <c r="D322" t="s">
        <v>1129</v>
      </c>
      <c r="E322" t="s">
        <v>1074</v>
      </c>
      <c r="F322">
        <v>13</v>
      </c>
      <c r="G322" s="131">
        <v>302784</v>
      </c>
      <c r="H322" s="131">
        <v>302784</v>
      </c>
      <c r="I322">
        <v>1</v>
      </c>
      <c r="J322" t="s">
        <v>2630</v>
      </c>
      <c r="K322" t="s">
        <v>2092</v>
      </c>
      <c r="L322" t="s">
        <v>3322</v>
      </c>
      <c r="M322" t="s">
        <v>268</v>
      </c>
      <c r="N322" t="s">
        <v>100</v>
      </c>
      <c r="O322" s="145">
        <v>25232</v>
      </c>
      <c r="P322" s="145">
        <v>25545</v>
      </c>
      <c r="Q322" s="145">
        <v>313</v>
      </c>
      <c r="R322">
        <v>0</v>
      </c>
      <c r="S322" s="155">
        <f t="shared" ca="1" si="20"/>
        <v>46503</v>
      </c>
    </row>
    <row r="323" spans="2:19">
      <c r="B323">
        <v>2014</v>
      </c>
      <c r="C323">
        <v>41913</v>
      </c>
      <c r="D323" t="s">
        <v>1131</v>
      </c>
      <c r="E323" t="s">
        <v>1074</v>
      </c>
      <c r="F323">
        <v>13</v>
      </c>
      <c r="G323" s="131">
        <v>302784</v>
      </c>
      <c r="H323" s="131">
        <v>306540</v>
      </c>
      <c r="I323">
        <v>2</v>
      </c>
      <c r="J323" t="s">
        <v>2342</v>
      </c>
      <c r="K323" t="s">
        <v>2045</v>
      </c>
      <c r="L323" t="s">
        <v>3323</v>
      </c>
      <c r="M323" t="s">
        <v>174</v>
      </c>
      <c r="N323" t="s">
        <v>100</v>
      </c>
      <c r="O323" s="145">
        <v>25545</v>
      </c>
      <c r="P323" s="145">
        <v>25861</v>
      </c>
      <c r="Q323" s="145">
        <v>316</v>
      </c>
      <c r="R323">
        <v>0</v>
      </c>
      <c r="S323" s="155">
        <f t="shared" ca="1" si="20"/>
        <v>46661</v>
      </c>
    </row>
    <row r="324" spans="2:19">
      <c r="B324">
        <v>2014</v>
      </c>
      <c r="C324">
        <v>41913</v>
      </c>
      <c r="D324" t="s">
        <v>1149</v>
      </c>
      <c r="E324" t="s">
        <v>1074</v>
      </c>
      <c r="F324">
        <v>13</v>
      </c>
      <c r="G324" s="131">
        <v>302784</v>
      </c>
      <c r="H324" s="131">
        <v>306540</v>
      </c>
      <c r="I324">
        <v>2</v>
      </c>
      <c r="J324" t="s">
        <v>2688</v>
      </c>
      <c r="K324" t="s">
        <v>2026</v>
      </c>
      <c r="L324" t="s">
        <v>3324</v>
      </c>
      <c r="M324" t="s">
        <v>181</v>
      </c>
      <c r="N324" t="s">
        <v>62</v>
      </c>
      <c r="O324" s="145">
        <v>25545</v>
      </c>
      <c r="P324" s="145">
        <v>25861</v>
      </c>
      <c r="Q324" s="145">
        <v>316</v>
      </c>
      <c r="R324">
        <v>0</v>
      </c>
      <c r="S324" s="155">
        <f t="shared" ca="1" si="20"/>
        <v>46661</v>
      </c>
    </row>
    <row r="325" spans="2:19">
      <c r="B325">
        <v>2017</v>
      </c>
      <c r="C325">
        <v>42863</v>
      </c>
      <c r="D325" t="s">
        <v>1165</v>
      </c>
      <c r="E325" t="s">
        <v>1074</v>
      </c>
      <c r="F325">
        <v>13</v>
      </c>
      <c r="G325" s="131">
        <v>302784</v>
      </c>
      <c r="H325" s="131">
        <v>302784</v>
      </c>
      <c r="I325">
        <v>1</v>
      </c>
      <c r="J325" t="s">
        <v>2636</v>
      </c>
      <c r="K325" t="s">
        <v>2138</v>
      </c>
      <c r="L325" t="s">
        <v>3325</v>
      </c>
      <c r="M325" t="s">
        <v>167</v>
      </c>
      <c r="N325" t="s">
        <v>62</v>
      </c>
      <c r="O325" s="145">
        <v>25232</v>
      </c>
      <c r="P325" s="145">
        <v>25545</v>
      </c>
      <c r="Q325" s="145">
        <v>313</v>
      </c>
      <c r="R325">
        <v>0</v>
      </c>
      <c r="S325" s="155">
        <f t="shared" ca="1" si="20"/>
        <v>46515</v>
      </c>
    </row>
    <row r="326" spans="2:19">
      <c r="B326">
        <v>2002</v>
      </c>
      <c r="C326">
        <v>37305</v>
      </c>
      <c r="D326" t="s">
        <v>1291</v>
      </c>
      <c r="E326" t="s">
        <v>2194</v>
      </c>
      <c r="F326">
        <v>3</v>
      </c>
      <c r="G326" s="131">
        <v>149592</v>
      </c>
      <c r="H326" s="131">
        <v>155424</v>
      </c>
      <c r="I326">
        <v>6</v>
      </c>
      <c r="J326" t="s">
        <v>1293</v>
      </c>
      <c r="K326" t="s">
        <v>1125</v>
      </c>
      <c r="L326" t="s">
        <v>3326</v>
      </c>
      <c r="M326" t="s">
        <v>181</v>
      </c>
      <c r="N326" t="s">
        <v>62</v>
      </c>
      <c r="O326" s="145">
        <v>12952</v>
      </c>
      <c r="P326" s="145">
        <v>13052</v>
      </c>
      <c r="Q326" s="145">
        <v>100</v>
      </c>
      <c r="R326">
        <v>0</v>
      </c>
      <c r="S326" s="155">
        <f t="shared" ca="1" si="20"/>
        <v>46436</v>
      </c>
    </row>
    <row r="327" spans="2:19">
      <c r="B327">
        <v>1999</v>
      </c>
      <c r="C327">
        <v>36356</v>
      </c>
      <c r="D327" t="s">
        <v>1363</v>
      </c>
      <c r="E327" t="s">
        <v>2196</v>
      </c>
      <c r="F327">
        <v>1</v>
      </c>
      <c r="G327" s="131">
        <v>132816</v>
      </c>
      <c r="H327" s="131">
        <v>139620</v>
      </c>
      <c r="I327">
        <v>7</v>
      </c>
      <c r="J327" t="s">
        <v>1366</v>
      </c>
      <c r="K327" t="s">
        <v>1364</v>
      </c>
      <c r="L327" t="s">
        <v>3327</v>
      </c>
      <c r="M327" t="s">
        <v>268</v>
      </c>
      <c r="N327" t="s">
        <v>62</v>
      </c>
      <c r="O327" s="145">
        <v>11635</v>
      </c>
      <c r="P327" s="145">
        <v>11732</v>
      </c>
      <c r="Q327" s="145">
        <v>97</v>
      </c>
      <c r="R327">
        <v>0</v>
      </c>
      <c r="S327" s="155">
        <f t="shared" ca="1" si="20"/>
        <v>46583</v>
      </c>
    </row>
  </sheetData>
  <autoFilter ref="A1:Y230" xr:uid="{00000000-0009-0000-0000-000011000000}">
    <filterColumn colId="1">
      <filters>
        <filter val="1999"/>
        <filter val="2002"/>
        <filter val="2005"/>
        <filter val="2008"/>
        <filter val="2011"/>
        <filter val="2014"/>
        <filter val="2017"/>
      </filters>
    </filterColumn>
  </autoFilter>
  <dataValidations count="1">
    <dataValidation allowBlank="1" showInputMessage="1" showErrorMessage="1" sqref="C1:XFD1 C2:J2 M2:XFD2 C38 D38 E38 F38 G38 H38 I38 J38 K38 L38 M38 N38 O38 P38 Q38 R38 C39 D39 E39 F39 G39 H39 I39 J39 K39 L39 M39 N39 O39 P39 Q39 R39 C40 D40 E40 F40 G40 H40 I40 J40 K40 L40 M40 N40 O40 P40 Q40 R40 C41 D41 E41 F41 G41 H41 I41 J41 K41 L41 M41 N41 O41 P41 Q41 R41 C42 D42 E42 F42 G42 H42 I42 J42 K42 L42 M42 N42 O42 P42 Q42 R42 C43 D43 E43 F43 G43 H43 I43 J43 K43 L43 M43 N43 O43 P43 Q43 R43 C44 D44 E44 F44 G44 H44 I44 J44 K44 L44 M44 N44 O44 P44 Q44 R44 C45 D45 E45 F45 G45 H45 I45 J45 K45 L45 M45 N45 O45 P45 Q45 R45 C46 D46 E46 F46 G46 H46 I46 J46 K46 L46 M46 N46 O46 P46 Q46 R46 C47 D47 E47 F47 G47 H47 I47 J47 K47 L47 M47 N47 O47 P47 Q47 R47 C48 D48 E48 F48 G48 H48 I48 J48 K48 L48 M48 N48 O48 P48 Q48 R48 C49 D49 E49 F49 G49 H49 I49 J49 K49 L49 M49 N49 O49 P49 Q49 R49 C50 D50 E50 F50 G50 H50 I50 J50 K50 L50 M50 N50 O50 P50 Q50 R50 C51 D51 E51 F51 G51 H51 I51 J51 K51 L51 M51 N51 O51 P51 Q51 R51 C52 D52 E52 F52 G52 H52 I52 J52 K52 L52 M52 N52 O52 P52 Q52 R52 C53 D53 E53 F53 G53 H53 I53 J53 K53 L53 M53 N53 O53 P53 Q53 R53 C54 D54 E54 F54 G54 H54 I54 J54 K54 L54 M54 N54 O54 P54 Q54 R54 C55 D55 E55 F55 G55 H55 I55 J55 K55 L55 M55 N55 O55 P55 Q55 R55 C56 D56 E56 F56 G56 H56 I56 J56 K56 L56 M56 N56 O56 P56 Q56 R56 S56:XFD56 C57 D57 E57 F57 G57 H57 I57 J57 K57 L57 M57 N57 O57 P57 Q57 R57 S57:XFD57 C58 D58 E58 F58 G58 H58 I58 J58 K58 L58 M58 N58 O58 P58 Q58 R58 S58:XFD58 C59 D59 E59 F59 G59 H59 I59 J59 K59 L59 M59 N59 O59 P59 Q59 R59 S59:XFD59 C60 D60 E60 F60 G60 H60 I60 J60 K60 L60 M60 N60 O60 P60 Q60 R60 S60:XFD60 C61 D61 E61 F61 G61 H61 I61 J61 K61 L61 M61 N61 O61 P61 Q61 R61 S61:XFD61 C62 D62 E62 F62 G62 H62 I62 J62 K62 L62 M62 N62 O62 P62 Q62 R62 S62:XFD62 C63 D63 E63 F63 G63 H63 I63 J63 K63 L63 M63 N63 O63 P63 Q63 R63 S63:XFD63 C64 D64 E64 F64 G64 H64 I64 J64 K64 L64 M64 N64 O64 P64 Q64 R64 S64:XFD64 C65 D65 E65 F65 G65 H65 I65 J65 K65 L65 M65 N65 O65 P65 Q65 R65 S65:XFD65 C66 D66 E66 F66 G66 H66 I66 J66 K66 L66 M66 N66 O66 P66 Q66 R66 S66:XFD66 C67 D67 E67 F67 G67 H67 I67 J67 K67 L67 M67 N67 O67 P67 Q67 R67 S67:XFD67 C68 D68 E68 F68 G68 H68 I68 J68 K68 L68 M68 N68 O68 P68 Q68 R68 S68:XFD68 C69 D69 E69 F69 G69 H69 I69 J69 K69 L69 M69 N69 O69 P69 Q69 R69 S69:XFD69 C70 D70 E70 F70 G70 H70 I70 J70 K70 L70 M70 N70 O70 P70 Q70 R70 S70:XFD70 C71 D71 E71 F71 G71 H71 I71 J71 K71 L71 M71 N71 O71 P71 Q71 R71 S71:XFD71 C72 D72 E72 F72 G72 H72 I72 J72 K72 L72 M72 N72 O72 P72 Q72 R72 S72:XFD72 C73 D73 E73 F73 G73 H73 I73 J73 K73 L73 M73 N73 O73 P73 Q73 R73 S73:XFD73 C74 D74 E74 F74 G74 H74 I74 J74 K74 L74 M74 N74 O74 P74 Q74 R74 S74:XFD74 C75 D75 E75 F75 G75 H75 I75 J75 K75 L75 M75 N75 O75 P75 Q75 R75 S75:XFD75 C76 D76 E76 F76 G76 H76 I76 J76 K76 L76 M76 N76 O76 P76 Q76 R76 S76:XFD76 C77 D77 E77 F77 G77 H77 I77 J77 K77 L77 M77 N77 O77 P77 Q77 R77 S77:XFD77 C78 D78 E78 F78 G78 H78 I78 J78 K78 L78 M78 N78 O78 P78 Q78 R78 S78:XFD78 C79 D79 E79 F79 G79 H79 I79 J79 K79 L79 M79 N79 O79 P79 Q79 R79 C80 D80 E80 F80 G80 H80 I80 J80 K80 L80 M80 N80 O80 P80 Q80 R80 C81 D81 E81 F81 G81 H81 I81 J81 K81 L81 M81 N81 O81 P81 Q81 R81 C82 D82 E82 F82 G82 H82 I82 J82 K82 L82 M82 N82 O82 P82 Q82 R82 S82:XFD82 C83 D83 E83 F83 G83 H83 I83 J83 K83 L83 M83 N83 O83 P83 Q83 R83 S83:XFD83 C84 D84 E84 F84 G84 H84 I84 J84 K84 L84 M84 N84 O84 P84 Q84 R84 S84:XFD84 C85 D85 E85 F85 G85 H85 I85 J85 K85 L85 M85 N85 O85 P85 Q85 R85 S85:XFD85 C86 D86 E86 F86 G86 H86 I86 J86 K86 L86 M86 N86 O86 P86 Q86 R86 S86:XFD86 C87 D87 E87 F87 G87 H87 I87 J87 K87 L87 M87 N87 O87 P87 Q87 R87 S87:XFD87 C88 D88 E88 F88 G88 H88 I88 J88 K88 L88 M88 N88 O88 P88 Q88 R88 S88:XFD88 C89 D89 E89 F89 G89 H89 I89 J89 K89 L89 M89 N89 O89 P89 Q89 R89 S89:XFD89 C90 D90 E90 F90 G90 H90 I90 J90 K90 L90 M90 N90 O90 P90 Q90 R90 S90:XFD90 C91 D91 E91 F91 G91 H91 I91 J91 K91 L91 M91 N91 O91 P91 Q91 R91 S91:XFD91 C92 D92 E92 F92 G92 H92 I92 J92 K92 L92 M92 N92 O92 P92 Q92 R92 S92:XFD92 C93 D93 E93 F93 G93 H93 I93 J93 K93 L93 M93 N93 O93 P93 Q93 R93 S93:XFD93 C94 D94 E94 F94 G94 H94 I94 J94 K94 L94 M94 N94 O94 P94 Q94 R94 S94:XFD94 C95 D95 E95 F95 G95 H95 I95 J95 K95 L95 M95 N95 O95 P95 Q95 R95 S95:XFD95 C96 D96 E96 F96 G96 H96 I96 J96 K96 L96 M96 N96 O96 P96 Q96 R96 S96:XFD96 C97 D97 E97 F97 G97 H97 I97 J97 K97 L97 M97 N97 O97 P97 Q97 R97 S97:XFD97 C98 D98 E98 F98 G98 H98 I98 J98 K98 L98 M98 N98 O98 P98 Q98 R98 S98:XFD98 C99 D99 E99 F99 G99 H99 I99 J99 K99 L99 M99 N99 O99 P99 Q99 R99 S99:XFD99 C100 D100 E100 F100 G100 H100 I100 J100 K100 L100 M100 N100 O100 P100 Q100 R100 S100:XFD100 C101 D101 E101 F101 G101 H101 I101 J101 K101 L101 M101 N101 O101 P101 Q101 R101 S101:XFD101 C102 D102 E102 F102 G102 H102 I102 J102 K102 L102 M102 N102 O102 P102 Q102 R102 S102:XFD102 C103 D103 E103 F103 G103 H103 I103 J103 K103 L103 M103 N103 O103 P103 Q103 R103 S103:XFD103 C104 D104 E104 F104 G104 H104 I104 J104 K104 L104 M104 N104 O104 P104 Q104 R104 S104:XFD104 C105 D105 E105 F105 G105 H105 I105 J105 K105 L105 M105 N105 O105 P105 Q105 R105 S105:XFD105 C106 D106 E106 F106 G106 H106 I106 J106 K106 L106 M106 N106 O106 P106 Q106 R106 S106:XFD106 C107 D107 E107 F107 G107 H107 I107 J107 K107 L107 M107 N107 O107 P107 Q107 R107 S107:XFD107 C108 D108 E108 F108 G108 H108 I108 J108 K108 L108 M108 N108 O108 P108 Q108 R108 S108:XFD108 C109 D109 E109 F109 G109 H109 I109 J109 K109 L109 M109 N109 O109 P109 Q109 R109 S109:XFD109 C110 D110 E110 F110 G110 H110 I110 J110 K110 L110 M110 N110 O110 P110 Q110 R110 S110:XFD110 C111 D111 E111 F111 G111 H111 I111 J111 K111 L111 M111 N111 O111 P111 Q111 R111 S111:XFD111 C112 D112 E112 F112 G112 H112 I112 J112 K112 L112 M112 N112 O112 P112 Q112 R112 S112:XFD112 C113 D113 E113 F113 G113 H113 I113 J113 K113 L113 M113 N113 O113 P113 Q113 R113 S113:XFD113 C114 D114 E114 F114 G114 H114 I114 J114 K114 L114 M114 N114 O114 P114 Q114 R114 S114:XFD114 C115 D115 E115 F115 G115 H115 I115 J115 K115 L115 M115 N115 O115 P115 Q115 R115 S115:XFD115 C116 D116 E116 F116 G116 H116 I116 J116 K116 L116 M116 N116 O116 P116 Q116 R116 S116:XFD116 C117 D117 E117 F117 G117 H117 I117 J117 K117 L117 M117 N117 O117 P117 Q117 R117 S117:XFD117 C118 D118 E118 F118 G118 H118 I118 J118 K118 L118 M118 N118 O118 P118 Q118 R118 S118:XFD118 C119 D119 E119 F119 G119 H119 I119 J119 K119 L119 M119 N119 O119 P119 Q119 R119 S119:XFD119 C120 D120 E120 F120 G120 H120 I120 J120 K120 L120 M120 N120 O120 P120 Q120 R120 S120:XFD120 C121 D121 E121 F121 G121 H121 I121 J121 K121 L121 M121 N121 O121 P121 Q121 R121 S121:XFD121 C122 D122 E122 F122 G122 H122 I122 J122 K122 L122 M122 N122 O122 P122 Q122 R122 S122:XFD122 C123 D123 E123 F123 G123 H123 I123 J123 K123 L123 M123 N123 O123 P123 Q123 R123 S123:XFD123 C124 D124 E124 F124 G124 H124 I124 J124 K124 L124 M124 N124 O124 P124 Q124 R124 S124:XFD124 C125 D125 E125 F125 G125 H125 I125 J125 K125 L125 M125 N125 O125 P125 Q125 R125 S125:XFD125 C126 D126 E126 F126 G126 H126 I126 J126 K126 L126 M126 N126 O126 P126 Q126 R126 S126:XFD126 C127 D127 E127 F127 G127 H127 I127 J127 K127 L127 M127 N127 O127 P127 Q127 R127 S127:XFD127 C128 D128 E128 F128 G128 H128 I128 J128 K128 L128 M128 N128 O128 P128 Q128 R128 S128:XFD128 C129 D129 E129 F129 G129 H129 I129 J129 K129 L129 M129 N129 O129 P129 Q129 R129 S129:XFD129 C130 D130 E130 F130 G130 H130 I130 J130 K130 L130 M130 N130 O130 P130 Q130 R130 S130:XFD130 C131 D131 E131 F131 G131 H131 I131 J131 K131 L131 M131 N131 O131 P131 Q131 R131 S131:XFD131 C132 D132 E132 F132 G132 H132 I132 J132 K132 L132 M132 N132 O132 P132 Q132 R132 S132:XFD132 C133 D133 E133 F133 G133 H133 I133 J133 K133 L133 M133 N133 O133 P133 Q133 R133 S133:XFD133 C134 D134 E134 F134 G134 H134 I134 J134 K134 L134 M134 N134 O134 P134 Q134 R134 S134:XFD134 C135 D135 E135 F135 G135 H135 I135 J135 K135 L135 M135 N135 O135 P135 Q135 R135 S135:XFD135 C136 D136 E136 F136 G136 H136 I136 J136 K136 L136 M136 N136 O136 P136 Q136 R136 S136:XFD136 C137 D137 E137 F137 G137 H137 I137 J137 K137 L137 M137 N137 O137 P137 Q137 R137 S137:XFD137 C138 D138 E138 F138 G138 H138 I138 J138 K138 L138 M138 N138 O138 P138 Q138 R138 S138:XFD138 C139 D139 E139 F139 G139 H139 I139 J139 K139 L139 M139 N139 O139 P139 Q139 R139 S139:XFD139 C140 D140 E140 F140 G140 H140 I140 J140 K140 L140 M140 N140 O140 P140 Q140 R140 S140:XFD140 C141 D141 E141 F141 G141 H141 I141 J141 K141 L141 M141 N141 O141 P141 Q141 R141 S141:XFD141 C142 D142 E142 F142 G142 H142 I142 J142 K142 L142 M142 N142 O142 P142 Q142 R142 S142:XFD142 C143 D143 E143 F143 G143 H143 I143 J143 K143 L143 M143 N143 O143 P143 Q143 R143 S143:XFD143 C144 D144 E144 F144 G144 H144 I144 J144 K144 L144 M144 N144 O144 P144 Q144 R144 S144:XFD144 C145 D145 E145 F145 G145 H145 I145 J145 K145 L145 M145 N145 O145 P145 Q145 R145 S145:XFD145 C146 D146 E146 F146 G146 H146 I146 J146 K146 L146 M146 N146 O146 P146 Q146 R146 S146:XFD146 C147 D147 E147 F147 G147 H147 I147 J147 K147 L147 M147 N147 O147 P147 Q147 R147 S147:XFD147 C148 D148 E148 F148 G148 H148 I148 J148 K148 L148 M148 N148 O148 P148 Q148 R148 S148:XFD148 C149 D149 E149 F149 G149 H149 I149 J149 K149 L149 M149 N149 O149 P149 Q149 R149 S149:XFD149 C150 D150 E150 F150 G150 H150 I150 J150 K150 L150 M150 N150 O150 P150 Q150 R150 S150:XFD150 C151 D151 E151 F151 G151 H151 I151 J151 K151 L151 M151 N151 O151 P151 Q151 R151 S151:XFD151 C152 D152 E152 F152 G152 H152 I152 J152 K152 L152 M152 N152 O152 P152 Q152 R152 S152:XFD152 C153 D153 E153 F153 G153 H153 I153 J153 K153 L153 M153 N153 O153 P153 Q153 R153 S153:XFD153 C154 D154 E154 F154 G154 H154 I154 J154 K154 L154 M154 N154 O154 P154 Q154 R154 S154:XFD154 C155 D155 E155 F155 G155 H155 I155 J155 K155 L155 M155 N155 O155 P155 Q155 R155 S155:XFD155 C156 D156 E156 F156 G156 H156 I156 J156 K156 L156 M156 N156 O156 P156 Q156 R156 S156:XFD156 C157 D157 E157 F157 G157 H157 I157 J157 K157 L157 M157 N157 O157 P157 Q157 R157 S157:XFD157 C158 D158 E158 F158 G158 H158 I158 J158 K158 L158 M158 N158 O158 P158 Q158 R158 S158:XFD158 C159 D159 E159 F159 G159 H159 I159 J159 K159 L159 M159 N159 O159 P159 Q159 R159 S159:XFD159 C160 D160 E160 F160 G160 H160 I160 J160 K160 L160 M160 N160 O160 P160 Q160 R160 S160:XFD160 C161 D161 E161 F161 G161 H161 I161 J161 K161 L161 M161 N161 O161 P161 Q161 R161 S161:XFD161 C162 D162 E162 F162 G162 H162 I162 J162 K162 L162 M162 N162 O162 P162 Q162 R162 S162:XFD162 C163 D163 E163 F163 G163 H163 I163 J163 K163 L163 M163 N163 O163 P163 Q163 R163 S163:XFD163 C164 D164 E164 F164 G164 H164 I164 J164 K164 L164 M164 N164 O164 P164 Q164 R164 S164:XFD164 C165 D165 E165 F165 G165 H165 I165 J165 K165 L165 M165 N165 O165 P165 Q165 R165 S165:XFD165 C166 D166 E166 F166 G166 H166 I166 J166 K166 L166 M166 N166 O166 P166 Q166 R166 S166:XFD166 C167 D167 E167 F167 G167 H167 I167 J167 K167 L167 M167 N167 O167 P167 Q167 R167 S167:XFD167 C168 D168 E168 F168 G168 H168 I168 J168 K168 L168 M168 N168 O168 P168 Q168 R168 S168:XFD168 C169 D169 E169 F169 G169 H169 I169 J169 K169 L169 M169 N169 O169 P169 Q169 R169 S169:XFD169 C170 D170 E170 F170 G170 H170 I170 J170 K170 L170 M170 N170 O170 P170 Q170 R170 S170:XFD170 C171 D171 E171 F171 G171 H171 I171 J171 K171 L171 M171 N171 O171 P171 Q171 R171 S171:XFD171 C172 D172 E172 F172 G172 H172 I172 J172 K172 L172 M172 N172 O172 P172 Q172 R172 S172:XFD172 C173 D173 E173 F173 G173 H173 I173 J173 K173 L173 M173 N173 O173 P173 Q173 R173 S173:XFD173 C174 D174 E174 F174 G174 H174 I174 J174 K174 L174 M174 N174 O174 P174 Q174 R174 S174:XFD174 C175 D175 E175 F175 G175 H175 I175 J175 K175 L175 M175 N175 O175 P175 Q175 R175 S175:XFD175 C176 D176 E176 F176 G176 H176 I176 J176 K176 L176 M176 N176 O176 P176 Q176 R176 S176:XFD176 C177 D177 E177 F177 G177 H177 I177 J177 K177 L177 M177 N177 O177 P177 Q177 R177 S177:XFD177 C178 D178 E178 F178 G178 H178 I178 J178 K178 L178 M178 N178 O178 P178 Q178 R178 S178:XFD178 C179 D179 E179 F179 G179 H179 I179 J179 K179 L179 M179 N179 O179 P179 Q179 R179 S179:XFD179 C180 D180 E180 F180 G180 H180 I180 J180 K180 L180 M180 N180 O180 P180 Q180 R180 S180:XFD180 C181 D181 E181 F181 G181 H181 I181 J181 K181 L181 M181 N181 O181 P181 Q181 R181 S181:XFD181 C182 D182 E182 F182 G182 H182 I182 J182 K182 L182 M182 N182 O182 P182 Q182 R182 S182:XFD182 C183 D183 E183 F183 G183 H183 I183 J183 K183 L183 M183 N183 O183 P183 Q183 R183 S183:XFD183 C184 D184 E184 F184 G184 H184 I184 J184 K184 L184 M184 N184 O184 P184 Q184 R184 S184:XFD184 C185 D185 E185 F185 G185 H185 I185 J185 K185 L185 M185 N185 O185 P185 Q185 R185 S185:XFD185 C186 D186 E186 F186 G186 H186 I186 J186 K186 L186 M186 N186 O186 P186 Q186 R186 S186:XFD186 C187 D187 E187 F187 G187 H187 I187 J187 K187 L187 M187 N187 O187 P187 Q187 R187 S187:XFD187 C188 D188 E188 F188 G188 H188 I188 J188 K188 L188 M188 N188 O188 P188 Q188 R188 S188:XFD188 C189 D189 E189 F189 G189 H189 I189 J189 K189 L189 M189 N189 O189 P189 Q189 R189 S189:XFD189 C190 D190 E190 F190 G190 H190 I190 J190 K190 L190 M190 N190 O190 P190 Q190 R190 S190:XFD190 C191 D191 E191 F191 G191 H191 I191 J191 K191 L191 M191 N191 O191 P191 Q191 R191 S191:XFD191 C192 D192 E192 F192 G192 H192 I192 J192 K192 L192 M192 N192 O192 P192 Q192 R192 S192:XFD192 C193 D193 E193 F193 G193 H193 I193 J193 K193 L193 M193 N193 O193 P193 Q193 R193 S193:XFD193 C194 D194 E194 F194 G194 H194 I194 J194 K194 L194 M194 N194 O194 P194 Q194 R194 S194:XFD194 C195 D195 E195 F195 G195 H195 I195 J195 K195 L195 M195 N195 O195 P195 Q195 R195 S195:XFD195 C196 D196 E196 F196 G196 H196 I196 J196 K196 L196 M196 N196 O196 P196 Q196 R196 S196:XFD196 C197 D197 E197 F197 G197 H197 I197 J197 K197 L197 M197 N197 O197 P197 Q197 R197 S197:XFD197 C198 D198 E198 F198 G198 H198 I198 J198 K198 L198 M198 N198 O198 P198 Q198 R198 S198:XFD198 C199 D199 E199 F199 G199 H199 I199 J199 K199 L199 M199 N199 O199 P199 Q199 R199 S199:XFD199 C200 D200 E200 F200 G200 H200 I200 J200 K200 L200 M200 N200 O200 P200 Q200 R200 S200:XFD200 C201 D201 E201 F201 G201 H201 I201 J201 K201 L201 M201 N201 O201 P201 Q201 R201 S201:XFD201 C202 D202 E202 F202 G202 H202 I202 J202 K202 L202 M202 N202 O202 P202 Q202 R202 S202:XFD202 C203 D203 E203 F203 G203 H203 I203 J203 K203 L203 M203 N203 O203 P203 Q203 R203 S203:XFD203 C204 D204 E204 F204 G204 H204 I204 J204 K204 L204 M204 N204 O204 P204 Q204 R204 S204:XFD204 C205 D205 E205 F205 G205 H205 I205 J205 K205 L205 M205 N205 O205 P205 Q205 R205 S205:XFD205 C206 D206 E206 F206 G206 H206 I206 J206 K206 L206 M206 N206 O206 P206 Q206 R206 S206:XFD206 C207 D207 E207 F207 G207 H207 I207 J207 K207 L207 M207 N207 O207 P207 Q207 R207 S207:XFD207 C208 D208 E208 F208 G208 H208 I208 J208 K208 L208 M208 N208 O208 P208 Q208 R208 S208:XFD208 C209 D209 E209 F209 G209 H209 I209 J209 K209 L209 M209 N209 O209 P209 Q209 R209 S209:XFD209 C210 D210 E210 F210 G210 H210 I210 J210 K210 L210 M210 N210 O210 P210 Q210 R210 S210:XFD210 C211 D211 E211 F211 G211 H211 I211 J211 K211 L211 M211 N211 O211 P211 Q211 R211 S211:XFD211 C212 D212 E212 F212 G212 H212 I212 J212 K212 L212 M212 N212 O212 P212 Q212 R212 S212:XFD212 C213 D213 E213 F213 G213 H213 I213 J213 K213 L213 M213 N213 O213 P213 Q213 R213 S213:XFD213 C214 D214 E214 F214 G214 H214 I214 J214 K214 L214 M214 N214 O214 P214 Q214 R214 S214:XFD214 C215 D215 E215 F215 G215 H215 I215 J215 K215 L215 M215 N215 O215 P215 Q215 R215 S215:XFD215 C216 D216 E216 F216 G216 H216 I216 J216 K216 L216 M216 N216 O216 P216 Q216 R216 S216:XFD216 C217 D217 E217 F217 G217 H217 I217 J217 K217 L217 M217 N217 O217 P217 Q217 R217 S217:XFD217 C218 D218 E218 F218 G218 H218 I218 J218 K218 L218 M218 N218 O218 P218 Q218 R218 S218:XFD218 C219 D219 E219 F219 G219 H219 I219 J219 K219 L219 M219 N219 O219 P219 Q219 R219 S219:XFD219 C220 D220 E220 F220 G220 H220 I220 J220 K220 L220 M220 N220 O220 P220 Q220 R220 S220:XFD220 C221 D221 E221 F221 G221 H221 I221 J221 K221 L221 M221 N221 O221 P221 Q221 R221 S221:XFD221 C222 D222 E222 F222 G222 H222 I222 J222 K222 L222 M222 N222 O222 P222 Q222 R222 S222:XFD222 C223 D223 E223 F223 G223 H223 I223 J223 K223 L223 M223 N223 O223 P223 Q223 R223 S223:XFD223 C224 D224 E224 F224 G224 H224 I224 J224 K224 L224 M224 N224 O224 P224 Q224 R224 S224:XFD224 C225 D225 E225 F225 G225 H225 I225 J225 K225 L225 M225 N225 O225 P225 Q225 R225 S225:XFD225 C226 D226 E226 F226 G226 H226 I226 J226 K226 L226 M226 N226 O226 P226 Q226 R226 S226:XFD226 C227 D227 E227 F227 G227 H227 I227 J227 K227 L227 M227 N227 O227 P227 Q227 R227 S227:XFD227 C228 D228 E228 F228 G228 H228 I228 J228 K228 L228 M228 N228 O228 P228 Q228 R228 S228:XFD228 C229 D229 E229 F229 G229 H229 I229 J229 K229 L229 M229 N229 O229 P229 Q229 R229 S229:XFD229 C230 D230 E230 F230 G230 H230 I230 J230 K230 L230 M230 N230 O230 P230 Q230 R230 S230:XFD230 C270:R270 T270:XFD270 K2:K37 L2:L37 S233:S258 S259:S270 S295:S327 C295:R327 T295:XFD327 C328:XFD1048576 S79:XFD81 C3:J37 M3:XFD37 S38:XFD55 C271:XFD294 C255:R269 T255:XFD269 C231:XFD232 C233:R254 T233:XFD254" xr:uid="{00000000-0002-0000-1100-000000000000}"/>
  </dataValidations>
  <pageMargins left="0.69930555555555596" right="0.69930555555555596" top="0.75" bottom="0.75"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O197"/>
  <sheetViews>
    <sheetView workbookViewId="0">
      <selection activeCell="F32" sqref="F32"/>
    </sheetView>
  </sheetViews>
  <sheetFormatPr defaultColWidth="9" defaultRowHeight="14.4"/>
  <cols>
    <col min="1" max="1" width="27.109375" customWidth="1"/>
    <col min="2" max="2" width="36" customWidth="1"/>
    <col min="3" max="3" width="3.6640625" customWidth="1"/>
    <col min="4" max="4" width="5.109375" customWidth="1"/>
    <col min="5" max="5" width="28.6640625" customWidth="1"/>
    <col min="6" max="6" width="26.44140625" customWidth="1"/>
    <col min="7" max="7" width="14.6640625" customWidth="1"/>
    <col min="8" max="8" width="14" customWidth="1"/>
    <col min="9" max="9" width="4.109375" customWidth="1"/>
    <col min="10" max="13" width="13.5546875" style="128" customWidth="1"/>
    <col min="15" max="15" width="18.88671875" style="129" customWidth="1"/>
  </cols>
  <sheetData>
    <row r="1" spans="1:15" s="127" customFormat="1">
      <c r="A1" s="130" t="str">
        <f>+mirror!D233</f>
        <v xml:space="preserve">ITEM NUMBER </v>
      </c>
      <c r="B1" s="130" t="str">
        <f>+mirror!E233</f>
        <v xml:space="preserve">POSITION TITLE </v>
      </c>
      <c r="C1" s="130" t="str">
        <f>+mirror!F233</f>
        <v>S G</v>
      </c>
      <c r="D1" s="130" t="str">
        <f>+mirror!I233</f>
        <v>STEP</v>
      </c>
      <c r="E1" s="130" t="s">
        <v>3328</v>
      </c>
      <c r="F1" s="130" t="str">
        <f>+mirror!L233</f>
        <v>Fullname</v>
      </c>
      <c r="G1" s="130" t="str">
        <f>+mirror!M233</f>
        <v>STATION</v>
      </c>
      <c r="H1" s="130" t="str">
        <f>+mirror!K233</f>
        <v>Lname</v>
      </c>
      <c r="I1" s="130" t="s">
        <v>1876</v>
      </c>
      <c r="J1" s="132" t="str">
        <f>+mirror!C233</f>
        <v>DATE OF LAST PROMO-TION</v>
      </c>
      <c r="K1" s="132" t="s">
        <v>2813</v>
      </c>
      <c r="L1" s="132" t="s">
        <v>2812</v>
      </c>
      <c r="M1" s="132" t="s">
        <v>3329</v>
      </c>
      <c r="N1" s="130" t="str">
        <f>+mirror!R233</f>
        <v>REMARK</v>
      </c>
      <c r="O1" s="133"/>
    </row>
    <row r="2" spans="1:15" ht="15.75" customHeight="1">
      <c r="A2" t="str">
        <f>mirror2020!D233</f>
        <v>OSEC-DILGB-DIR3-4-1998</v>
      </c>
      <c r="B2" t="str">
        <f>mirror2020!E233</f>
        <v>Director III</v>
      </c>
      <c r="C2">
        <f>mirror2020!F233</f>
        <v>27</v>
      </c>
      <c r="D2" s="131">
        <f>mirror2020!I233</f>
        <v>1</v>
      </c>
      <c r="E2" t="str">
        <f>mirror2020!J233</f>
        <v>SAN JOSE, Araceli Arruejo</v>
      </c>
      <c r="F2" t="str">
        <f>mirror2020!L233</f>
        <v>ARACELI A. SAN JOSE</v>
      </c>
      <c r="G2" t="str">
        <f>mirror2020!M233</f>
        <v>Regional Office</v>
      </c>
      <c r="H2" t="str">
        <f>mirror2020!K233</f>
        <v>SAN JOSE</v>
      </c>
      <c r="I2" t="str">
        <f>mirror2020!N233</f>
        <v>F</v>
      </c>
      <c r="J2" s="128">
        <f>mirror2020!C233</f>
        <v>42852</v>
      </c>
      <c r="K2" s="134">
        <f>mirror2020!O233</f>
        <v>121411</v>
      </c>
      <c r="L2" s="134">
        <f>mirror2020!P233</f>
        <v>123393</v>
      </c>
      <c r="M2" s="134">
        <f>mirror2020!Q233</f>
        <v>1982</v>
      </c>
      <c r="N2">
        <f>mirror2020!R233</f>
        <v>0</v>
      </c>
      <c r="O2" s="135">
        <f ca="1">mirror2020!S233</f>
        <v>46504</v>
      </c>
    </row>
    <row r="3" spans="1:15" ht="15.75" customHeight="1">
      <c r="A3" t="str">
        <f>mirror2020!D234</f>
        <v>OSEC-DILGB-ADA4-83-2005</v>
      </c>
      <c r="B3" t="str">
        <f>mirror2020!E234</f>
        <v>Administrative Aide IV (Driver II)</v>
      </c>
      <c r="C3">
        <f>mirror2020!F234</f>
        <v>4</v>
      </c>
      <c r="D3" s="131">
        <f>mirror2020!I234</f>
        <v>1</v>
      </c>
      <c r="E3" t="str">
        <f>mirror2020!J234</f>
        <v>PULTZ, El-wood Duane  Lingbawan</v>
      </c>
      <c r="F3" t="str">
        <f>mirror2020!L234</f>
        <v>EL-WOOD DUANE  L. PULTZ</v>
      </c>
      <c r="G3" t="str">
        <f>mirror2020!M234</f>
        <v>Regional Office</v>
      </c>
      <c r="H3" t="str">
        <f>mirror2020!K234</f>
        <v>PULTZ</v>
      </c>
      <c r="I3" t="str">
        <f>mirror2020!N234</f>
        <v>M</v>
      </c>
      <c r="J3" s="128">
        <f>mirror2020!C234</f>
        <v>42891</v>
      </c>
      <c r="K3" s="134">
        <f>mirror2020!O234</f>
        <v>13214</v>
      </c>
      <c r="L3" s="134">
        <f>mirror2020!P234</f>
        <v>13316</v>
      </c>
      <c r="M3" s="134">
        <f>mirror2020!Q234</f>
        <v>102</v>
      </c>
      <c r="N3">
        <f>mirror2020!R234</f>
        <v>0</v>
      </c>
      <c r="O3" s="135">
        <f ca="1">mirror2020!S234</f>
        <v>46543</v>
      </c>
    </row>
    <row r="4" spans="1:15" ht="15.75" customHeight="1">
      <c r="A4" t="str">
        <f>mirror2020!D235</f>
        <v>OSEC-DILGB-LGOO6-12-1998</v>
      </c>
      <c r="B4" t="str">
        <f>mirror2020!E235</f>
        <v>Local Government Operations Officer VI</v>
      </c>
      <c r="C4">
        <f>mirror2020!F235</f>
        <v>22</v>
      </c>
      <c r="D4" s="131">
        <f>mirror2020!I235</f>
        <v>4</v>
      </c>
      <c r="E4" t="str">
        <f>mirror2020!J235</f>
        <v>CLAUDIO, Ofelia Linggon</v>
      </c>
      <c r="F4" t="str">
        <f>mirror2020!L235</f>
        <v>OFELIA L. CLAUDIO</v>
      </c>
      <c r="G4" t="str">
        <f>mirror2020!M235</f>
        <v>Regional Office</v>
      </c>
      <c r="H4" t="str">
        <f>mirror2020!K235</f>
        <v>CLAUDIO</v>
      </c>
      <c r="I4" t="str">
        <f>mirror2020!N235</f>
        <v>F</v>
      </c>
      <c r="J4" s="128">
        <f>mirror2020!C235</f>
        <v>39510</v>
      </c>
      <c r="K4" s="134">
        <f>mirror2020!O235</f>
        <v>68570</v>
      </c>
      <c r="L4" s="134">
        <f>mirror2020!P235</f>
        <v>69689</v>
      </c>
      <c r="M4" s="134">
        <f>mirror2020!Q235</f>
        <v>1119</v>
      </c>
      <c r="N4">
        <f>mirror2020!R235</f>
        <v>0</v>
      </c>
      <c r="O4" s="135">
        <f ca="1">mirror2020!S235</f>
        <v>46449</v>
      </c>
    </row>
    <row r="5" spans="1:15" ht="15.75" customHeight="1">
      <c r="A5" t="str">
        <f>mirror2020!D236</f>
        <v>OSEC-DILGB-LGOO5-791-1998</v>
      </c>
      <c r="B5" t="str">
        <f>mirror2020!E236</f>
        <v>Local Government Operations Officer V</v>
      </c>
      <c r="C5">
        <f>mirror2020!F236</f>
        <v>20</v>
      </c>
      <c r="D5" s="131">
        <f>mirror2020!I236</f>
        <v>5</v>
      </c>
      <c r="E5" t="str">
        <f>mirror2020!J236</f>
        <v>GONZALES, Rolando Ronquillo</v>
      </c>
      <c r="F5" t="str">
        <f>mirror2020!L236</f>
        <v>ROLANDO R. GONZALES</v>
      </c>
      <c r="G5" t="str">
        <f>mirror2020!M236</f>
        <v>Regional Office</v>
      </c>
      <c r="H5" t="str">
        <f>mirror2020!K236</f>
        <v>GONZALES</v>
      </c>
      <c r="I5" t="str">
        <f>mirror2020!N236</f>
        <v>M</v>
      </c>
      <c r="J5" s="128">
        <f>mirror2020!C236</f>
        <v>38607</v>
      </c>
      <c r="K5" s="134">
        <f>mirror2020!O236</f>
        <v>54577</v>
      </c>
      <c r="L5" s="134">
        <f>mirror2020!P236</f>
        <v>55468</v>
      </c>
      <c r="M5" s="134">
        <f>mirror2020!Q236</f>
        <v>891</v>
      </c>
      <c r="N5" t="str">
        <f>mirror2020!R236</f>
        <v>Shifting</v>
      </c>
      <c r="O5" s="135">
        <f ca="1">mirror2020!S236</f>
        <v>46642</v>
      </c>
    </row>
    <row r="6" spans="1:15" ht="15.75" customHeight="1">
      <c r="A6" t="str">
        <f>mirror2020!D237</f>
        <v>OSEC-DILGB-LGOO5-802-1998</v>
      </c>
      <c r="B6" t="str">
        <f>mirror2020!E237</f>
        <v>Local Government Operations Officer V</v>
      </c>
      <c r="C6">
        <f>mirror2020!F237</f>
        <v>20</v>
      </c>
      <c r="D6" s="131">
        <f>mirror2020!I237</f>
        <v>6</v>
      </c>
      <c r="E6" t="str">
        <f>mirror2020!J237</f>
        <v>MAUTING, Johnny Laayon</v>
      </c>
      <c r="F6" t="str">
        <f>mirror2020!L237</f>
        <v>JOHNNY L. MAUTING</v>
      </c>
      <c r="G6" t="str">
        <f>mirror2020!M237</f>
        <v>Regional Office</v>
      </c>
      <c r="H6" t="str">
        <f>mirror2020!K237</f>
        <v>MAUTING</v>
      </c>
      <c r="I6" t="str">
        <f>mirror2020!N237</f>
        <v>M</v>
      </c>
      <c r="J6" s="128">
        <f>mirror2020!C237</f>
        <v>37355</v>
      </c>
      <c r="K6" s="134">
        <f>mirror2020!O237</f>
        <v>55468</v>
      </c>
      <c r="L6" s="134">
        <f>mirror2020!P237</f>
        <v>56373</v>
      </c>
      <c r="M6" s="134">
        <f>mirror2020!Q237</f>
        <v>905</v>
      </c>
      <c r="N6" t="str">
        <f>mirror2020!R237</f>
        <v>Shifting</v>
      </c>
      <c r="O6" s="135">
        <f ca="1">mirror2020!S237</f>
        <v>46486</v>
      </c>
    </row>
    <row r="7" spans="1:15" ht="15.75" customHeight="1">
      <c r="A7" t="str">
        <f>mirror2020!D238</f>
        <v>OSEC-DILGB-STAT2-101-2010</v>
      </c>
      <c r="B7" t="str">
        <f>mirror2020!E238</f>
        <v>Statistician II</v>
      </c>
      <c r="C7">
        <f>mirror2020!F238</f>
        <v>15</v>
      </c>
      <c r="D7" s="131">
        <f>mirror2020!I238</f>
        <v>1</v>
      </c>
      <c r="E7" t="str">
        <f>mirror2020!J238</f>
        <v>AZARCON, Danilo Jr Estrella</v>
      </c>
      <c r="F7" t="str">
        <f>mirror2020!L238</f>
        <v>DANILO JR E. AZARCON</v>
      </c>
      <c r="G7" t="str">
        <f>mirror2020!M238</f>
        <v>Regional Office</v>
      </c>
      <c r="H7" t="str">
        <f>mirror2020!K238</f>
        <v>AZARCON</v>
      </c>
      <c r="I7" t="str">
        <f>mirror2020!N238</f>
        <v>M</v>
      </c>
      <c r="J7" s="128">
        <f>mirror2020!C238</f>
        <v>42835</v>
      </c>
      <c r="K7" s="134">
        <f>mirror2020!O238</f>
        <v>30531</v>
      </c>
      <c r="L7" s="134">
        <f>mirror2020!P238</f>
        <v>30909</v>
      </c>
      <c r="M7" s="134">
        <f>mirror2020!Q238</f>
        <v>378</v>
      </c>
      <c r="N7">
        <f>mirror2020!R238</f>
        <v>0</v>
      </c>
      <c r="O7" s="135">
        <f ca="1">mirror2020!S238</f>
        <v>46487</v>
      </c>
    </row>
    <row r="8" spans="1:15" ht="15.75" customHeight="1">
      <c r="A8" t="str">
        <f>mirror2020!D239</f>
        <v>OSEC-DILGB-STAT1-3-1998</v>
      </c>
      <c r="B8" t="str">
        <f>mirror2020!E239</f>
        <v>Statistician I</v>
      </c>
      <c r="C8">
        <f>mirror2020!F239</f>
        <v>11</v>
      </c>
      <c r="D8" s="131">
        <f>mirror2020!I239</f>
        <v>2</v>
      </c>
      <c r="E8" t="str">
        <f>mirror2020!J239</f>
        <v>LOPEZ, Sesvir Castañeda</v>
      </c>
      <c r="F8" t="str">
        <f>mirror2020!L239</f>
        <v>SESVIR C. LOPEZ</v>
      </c>
      <c r="G8" t="str">
        <f>mirror2020!M239</f>
        <v>Regional Office</v>
      </c>
      <c r="H8" t="str">
        <f>mirror2020!K239</f>
        <v>LOPEZ</v>
      </c>
      <c r="I8" t="str">
        <f>mirror2020!N239</f>
        <v>F</v>
      </c>
      <c r="J8" s="128">
        <f>mirror2020!C239</f>
        <v>41967</v>
      </c>
      <c r="K8" s="134">
        <f>mirror2020!O239</f>
        <v>21038</v>
      </c>
      <c r="L8" s="134">
        <f>mirror2020!P239</f>
        <v>21327</v>
      </c>
      <c r="M8" s="134">
        <f>mirror2020!Q239</f>
        <v>289</v>
      </c>
      <c r="N8">
        <f>mirror2020!R239</f>
        <v>0</v>
      </c>
      <c r="O8" s="135">
        <f ca="1">mirror2020!S239</f>
        <v>46715</v>
      </c>
    </row>
    <row r="9" spans="1:15" ht="15.75" customHeight="1">
      <c r="A9" t="str">
        <f>mirror2020!D240</f>
        <v>OSEC-DILGB-A2-6-1998</v>
      </c>
      <c r="B9" t="str">
        <f>mirror2020!E240</f>
        <v>Accountant II</v>
      </c>
      <c r="C9">
        <f>mirror2020!F240</f>
        <v>16</v>
      </c>
      <c r="D9" s="131">
        <f>mirror2020!I240</f>
        <v>1</v>
      </c>
      <c r="E9" t="str">
        <f>mirror2020!J240</f>
        <v>MACASIEB, Marlyn Pilot</v>
      </c>
      <c r="F9" t="str">
        <f>mirror2020!L240</f>
        <v>MARLYN P. MACASIEB</v>
      </c>
      <c r="G9" t="str">
        <f>mirror2020!M240</f>
        <v>Regional Office</v>
      </c>
      <c r="H9" t="str">
        <f>mirror2020!K240</f>
        <v>MACASIEB</v>
      </c>
      <c r="I9" t="str">
        <f>mirror2020!N240</f>
        <v>F</v>
      </c>
      <c r="J9" s="128">
        <f>mirror2020!C240</f>
        <v>42821</v>
      </c>
      <c r="K9" s="134">
        <f>mirror2020!O240</f>
        <v>33584</v>
      </c>
      <c r="L9" s="134">
        <f>mirror2020!P240</f>
        <v>34000</v>
      </c>
      <c r="M9" s="134">
        <f>mirror2020!Q240</f>
        <v>416</v>
      </c>
      <c r="N9">
        <f>mirror2020!R240</f>
        <v>0</v>
      </c>
      <c r="O9" s="135">
        <f ca="1">mirror2020!S240</f>
        <v>46473</v>
      </c>
    </row>
    <row r="10" spans="1:15" ht="15.75" customHeight="1">
      <c r="A10" t="str">
        <f>mirror2020!D241</f>
        <v>OSEC-DILGB-ADOF4-79-2005</v>
      </c>
      <c r="B10" t="str">
        <f>mirror2020!E241</f>
        <v>Administrative Officer IV</v>
      </c>
      <c r="C10">
        <f>mirror2020!F241</f>
        <v>15</v>
      </c>
      <c r="D10" s="131">
        <f>mirror2020!I241</f>
        <v>3</v>
      </c>
      <c r="E10" t="str">
        <f>mirror2020!J241</f>
        <v>GED-ANG, Chrysantine Chan</v>
      </c>
      <c r="F10" t="str">
        <f>mirror2020!L241</f>
        <v>CHRYSANTINE C. GED-ANG</v>
      </c>
      <c r="G10" t="str">
        <f>mirror2020!M241</f>
        <v>Regional Office</v>
      </c>
      <c r="H10" t="str">
        <f>mirror2020!K241</f>
        <v>GED-ANG</v>
      </c>
      <c r="I10" t="str">
        <f>mirror2020!N241</f>
        <v>F</v>
      </c>
      <c r="J10" s="128">
        <f>mirror2020!C241</f>
        <v>40893</v>
      </c>
      <c r="K10" s="134">
        <f>mirror2020!O241</f>
        <v>31292</v>
      </c>
      <c r="L10" s="134">
        <f>mirror2020!P241</f>
        <v>31680</v>
      </c>
      <c r="M10" s="134">
        <f>mirror2020!Q241</f>
        <v>388</v>
      </c>
      <c r="N10">
        <f>mirror2020!R241</f>
        <v>0</v>
      </c>
      <c r="O10" s="135">
        <f ca="1">mirror2020!S241</f>
        <v>46737</v>
      </c>
    </row>
    <row r="11" spans="1:15" ht="15.75" customHeight="1">
      <c r="A11" t="str">
        <f>mirror2020!D242</f>
        <v>OSEC-DILGB-ADOF3-44-2005</v>
      </c>
      <c r="B11" t="str">
        <f>mirror2020!E242</f>
        <v xml:space="preserve">Administrative Officer III </v>
      </c>
      <c r="C11">
        <f>mirror2020!F242</f>
        <v>14</v>
      </c>
      <c r="D11" s="131">
        <f>mirror2020!I242</f>
        <v>2</v>
      </c>
      <c r="E11" t="str">
        <f>mirror2020!J242</f>
        <v>RAMIREZ, Ronnel Fronda</v>
      </c>
      <c r="F11" t="str">
        <f>mirror2020!L242</f>
        <v>RONNEL F. RAMIREZ</v>
      </c>
      <c r="G11" t="str">
        <f>mirror2020!M242</f>
        <v>Regional Office</v>
      </c>
      <c r="H11" t="str">
        <f>mirror2020!K242</f>
        <v>RAMIREZ</v>
      </c>
      <c r="I11" t="str">
        <f>mirror2020!N242</f>
        <v>M</v>
      </c>
      <c r="J11" s="128">
        <f>mirror2020!C242</f>
        <v>41946</v>
      </c>
      <c r="K11" s="134">
        <f>mirror2020!O242</f>
        <v>28099</v>
      </c>
      <c r="L11" s="134">
        <f>mirror2020!P242</f>
        <v>28447</v>
      </c>
      <c r="M11" s="134">
        <f>mirror2020!Q242</f>
        <v>348</v>
      </c>
      <c r="N11">
        <f>mirror2020!R242</f>
        <v>0</v>
      </c>
      <c r="O11" s="135">
        <f ca="1">mirror2020!S242</f>
        <v>46694</v>
      </c>
    </row>
    <row r="12" spans="1:15" ht="15.75" customHeight="1">
      <c r="A12" t="str">
        <f>mirror2020!D243</f>
        <v>OSEC-DILGB-ADA4-87-2005</v>
      </c>
      <c r="B12" t="str">
        <f>mirror2020!E243</f>
        <v>Administrative Aide IV</v>
      </c>
      <c r="C12">
        <f>mirror2020!F243</f>
        <v>4</v>
      </c>
      <c r="D12" s="131">
        <f>mirror2020!I243</f>
        <v>2</v>
      </c>
      <c r="E12" t="str">
        <f>mirror2020!J243</f>
        <v>MONANG, Veronica Gadgad</v>
      </c>
      <c r="F12" t="str">
        <f>mirror2020!L243</f>
        <v>VERONICA G. MONANG</v>
      </c>
      <c r="G12" t="str">
        <f>mirror2020!M243</f>
        <v>Regional Office</v>
      </c>
      <c r="H12" t="str">
        <f>mirror2020!K243</f>
        <v>MONANG</v>
      </c>
      <c r="I12" t="str">
        <f>mirror2020!N243</f>
        <v>F</v>
      </c>
      <c r="J12" s="128">
        <f>mirror2020!C243</f>
        <v>41988</v>
      </c>
      <c r="K12" s="134">
        <f>mirror2020!O243</f>
        <v>13316</v>
      </c>
      <c r="L12" s="134">
        <f>mirror2020!P243</f>
        <v>13418</v>
      </c>
      <c r="M12" s="134">
        <f>mirror2020!Q243</f>
        <v>102</v>
      </c>
      <c r="N12">
        <f>mirror2020!R243</f>
        <v>0</v>
      </c>
      <c r="O12" s="135">
        <f ca="1">mirror2020!S243</f>
        <v>46736</v>
      </c>
    </row>
    <row r="13" spans="1:15" ht="15.75" customHeight="1">
      <c r="A13" t="str">
        <f>mirror2020!D244</f>
        <v>OSEC-DILGB-ADA4-91-2010</v>
      </c>
      <c r="B13" t="str">
        <f>mirror2020!E244</f>
        <v>Administrative Aide IV</v>
      </c>
      <c r="C13">
        <f>mirror2020!F244</f>
        <v>4</v>
      </c>
      <c r="D13" s="131">
        <f>mirror2020!I244</f>
        <v>3</v>
      </c>
      <c r="E13" t="str">
        <f>mirror2020!J244</f>
        <v>PASCUA, Diosdado Aquino</v>
      </c>
      <c r="F13" t="str">
        <f>mirror2020!L244</f>
        <v>DIOSDADO A. PASCUA</v>
      </c>
      <c r="G13" t="str">
        <f>mirror2020!M244</f>
        <v>Regional Office</v>
      </c>
      <c r="H13" t="str">
        <f>mirror2020!K244</f>
        <v>PASCUA</v>
      </c>
      <c r="I13" t="str">
        <f>mirror2020!N244</f>
        <v>M</v>
      </c>
      <c r="J13" s="128">
        <f>mirror2020!C244</f>
        <v>40634</v>
      </c>
      <c r="K13" s="134">
        <f>mirror2020!O244</f>
        <v>13418</v>
      </c>
      <c r="L13" s="134">
        <f>mirror2020!P244</f>
        <v>13521</v>
      </c>
      <c r="M13" s="134">
        <f>mirror2020!Q244</f>
        <v>103</v>
      </c>
      <c r="N13">
        <f>mirror2020!R244</f>
        <v>0</v>
      </c>
      <c r="O13" s="135">
        <f ca="1">mirror2020!S244</f>
        <v>46478</v>
      </c>
    </row>
    <row r="14" spans="1:15" ht="15.75" customHeight="1">
      <c r="A14" t="str">
        <f>mirror2020!D245</f>
        <v>OSEC-DILGB-LGOO8-67-1998</v>
      </c>
      <c r="B14" t="str">
        <f>mirror2020!E245</f>
        <v>Local Government Operations Officer VIII</v>
      </c>
      <c r="C14">
        <f>mirror2020!F245</f>
        <v>26</v>
      </c>
      <c r="D14" s="131">
        <f>mirror2020!I245</f>
        <v>4</v>
      </c>
      <c r="E14" t="str">
        <f>mirror2020!J245</f>
        <v>TRINIDAD, Evelyn Ballug</v>
      </c>
      <c r="F14" t="str">
        <f>mirror2020!L245</f>
        <v>EVELYN B. TRINIDAD</v>
      </c>
      <c r="G14" t="str">
        <f>mirror2020!M245</f>
        <v>Baguio City</v>
      </c>
      <c r="H14" t="str">
        <f>mirror2020!K245</f>
        <v>TRINIDAD</v>
      </c>
      <c r="I14" t="str">
        <f>mirror2020!N245</f>
        <v>F</v>
      </c>
      <c r="J14" s="128">
        <f>mirror2020!C245</f>
        <v>40603</v>
      </c>
      <c r="K14" s="134">
        <f>mirror2020!O245</f>
        <v>112791</v>
      </c>
      <c r="L14" s="134">
        <f>mirror2020!P245</f>
        <v>114632</v>
      </c>
      <c r="M14" s="134">
        <f>mirror2020!Q245</f>
        <v>1841</v>
      </c>
      <c r="N14" t="str">
        <f>mirror2020!R245</f>
        <v>Step 2</v>
      </c>
      <c r="O14" s="135">
        <f ca="1">mirror2020!S245</f>
        <v>46447</v>
      </c>
    </row>
    <row r="15" spans="1:15" ht="15.75" customHeight="1">
      <c r="A15" t="str">
        <f>mirror2020!D246</f>
        <v>OSEC-DILGB-LGOO6-1-2017</v>
      </c>
      <c r="B15" t="str">
        <f>mirror2020!E246</f>
        <v>Local Government Operations Officer VI</v>
      </c>
      <c r="C15">
        <f>mirror2020!F246</f>
        <v>22</v>
      </c>
      <c r="D15" s="131">
        <f>mirror2020!I246</f>
        <v>1</v>
      </c>
      <c r="E15" t="str">
        <f>mirror2020!J246</f>
        <v>VILLAMOR, Juvenal Hufano</v>
      </c>
      <c r="F15" t="str">
        <f>mirror2020!L246</f>
        <v>JUVENAL H. VILLAMOR</v>
      </c>
      <c r="G15" t="str">
        <f>mirror2020!M246</f>
        <v>Abra</v>
      </c>
      <c r="H15" t="str">
        <f>mirror2020!K246</f>
        <v>VILLAMOR</v>
      </c>
      <c r="I15" t="str">
        <f>mirror2020!N246</f>
        <v>M</v>
      </c>
      <c r="J15" s="128">
        <f>mirror2020!C246</f>
        <v>43070</v>
      </c>
      <c r="K15" s="134">
        <f>mirror2020!O246</f>
        <v>65319</v>
      </c>
      <c r="L15" s="134">
        <f>mirror2020!P246</f>
        <v>66385</v>
      </c>
      <c r="M15" s="134">
        <f>mirror2020!Q246</f>
        <v>1066</v>
      </c>
      <c r="N15">
        <f>mirror2020!R246</f>
        <v>0</v>
      </c>
      <c r="O15" s="135">
        <f ca="1">mirror2020!S246</f>
        <v>46722</v>
      </c>
    </row>
    <row r="16" spans="1:15" ht="15.75" customHeight="1">
      <c r="A16" t="str">
        <f>mirror2020!D247</f>
        <v>OSEC-DILGB-LGOO6-2-2017</v>
      </c>
      <c r="B16" t="str">
        <f>mirror2020!E247</f>
        <v>Local Government Operations Officer VI</v>
      </c>
      <c r="C16">
        <f>mirror2020!F247</f>
        <v>22</v>
      </c>
      <c r="D16" s="131">
        <f>mirror2020!I247</f>
        <v>1</v>
      </c>
      <c r="E16" t="str">
        <f>mirror2020!J247</f>
        <v>TURQUEZA, Emmanuel Astudillo</v>
      </c>
      <c r="F16" t="str">
        <f>mirror2020!L247</f>
        <v>EMMANUEL A. TURQUEZA</v>
      </c>
      <c r="G16" t="str">
        <f>mirror2020!M247</f>
        <v>Abra</v>
      </c>
      <c r="H16" t="str">
        <f>mirror2020!K247</f>
        <v>TURQUEZA</v>
      </c>
      <c r="I16" t="str">
        <f>mirror2020!N247</f>
        <v>M</v>
      </c>
      <c r="J16" s="128">
        <f>mirror2020!C247</f>
        <v>43070</v>
      </c>
      <c r="K16" s="134">
        <f>mirror2020!O247</f>
        <v>65319</v>
      </c>
      <c r="L16" s="134">
        <f>mirror2020!P247</f>
        <v>66385</v>
      </c>
      <c r="M16" s="134">
        <f>mirror2020!Q247</f>
        <v>1066</v>
      </c>
      <c r="N16">
        <f>mirror2020!R247</f>
        <v>0</v>
      </c>
      <c r="O16" s="135">
        <f ca="1">mirror2020!S247</f>
        <v>46722</v>
      </c>
    </row>
    <row r="17" spans="1:15" ht="15.75" customHeight="1">
      <c r="A17" t="str">
        <f>mirror2020!D248</f>
        <v>OSEC-DILGB-LGOO6-3-2017</v>
      </c>
      <c r="B17" t="str">
        <f>mirror2020!E248</f>
        <v>Local Government Operations Officer VI</v>
      </c>
      <c r="C17">
        <f>mirror2020!F248</f>
        <v>22</v>
      </c>
      <c r="D17" s="131">
        <f>mirror2020!I248</f>
        <v>1</v>
      </c>
      <c r="E17" t="str">
        <f>mirror2020!J248</f>
        <v>TENEZA, Valentino Barbieto</v>
      </c>
      <c r="F17" t="str">
        <f>mirror2020!L248</f>
        <v>VALENTINO B. TENEZA</v>
      </c>
      <c r="G17" t="str">
        <f>mirror2020!M248</f>
        <v>Abra</v>
      </c>
      <c r="H17" t="str">
        <f>mirror2020!K248</f>
        <v>TENEZA</v>
      </c>
      <c r="I17" t="str">
        <f>mirror2020!N248</f>
        <v>M</v>
      </c>
      <c r="J17" s="128">
        <f>mirror2020!C248</f>
        <v>43070</v>
      </c>
      <c r="K17" s="134">
        <f>mirror2020!O248</f>
        <v>65319</v>
      </c>
      <c r="L17" s="134">
        <f>mirror2020!P248</f>
        <v>66385</v>
      </c>
      <c r="M17" s="134">
        <f>mirror2020!Q248</f>
        <v>1066</v>
      </c>
      <c r="N17">
        <f>mirror2020!R248</f>
        <v>0</v>
      </c>
      <c r="O17" s="135">
        <f ca="1">mirror2020!S248</f>
        <v>46722</v>
      </c>
    </row>
    <row r="18" spans="1:15" ht="15.75" customHeight="1">
      <c r="A18" t="str">
        <f>mirror2020!D249</f>
        <v>OSEC-DILGB-LGOO6-4-2017</v>
      </c>
      <c r="B18" t="str">
        <f>mirror2020!E249</f>
        <v>Local Government Operations Officer VI</v>
      </c>
      <c r="C18">
        <f>mirror2020!F249</f>
        <v>22</v>
      </c>
      <c r="D18" s="131">
        <f>mirror2020!I249</f>
        <v>1</v>
      </c>
      <c r="E18" t="str">
        <f>mirror2020!J249</f>
        <v>ABADEZA, Charisma Salimbay</v>
      </c>
      <c r="F18" t="str">
        <f>mirror2020!L249</f>
        <v>CHARISMA S. ABADEZA</v>
      </c>
      <c r="G18" t="str">
        <f>mirror2020!M249</f>
        <v>Abra</v>
      </c>
      <c r="H18" t="str">
        <f>mirror2020!K249</f>
        <v>ABADEZA</v>
      </c>
      <c r="I18" t="str">
        <f>mirror2020!N249</f>
        <v>F</v>
      </c>
      <c r="J18" s="128">
        <f>mirror2020!C249</f>
        <v>43070</v>
      </c>
      <c r="K18" s="134">
        <f>mirror2020!O249</f>
        <v>65319</v>
      </c>
      <c r="L18" s="134">
        <f>mirror2020!P249</f>
        <v>66385</v>
      </c>
      <c r="M18" s="134">
        <f>mirror2020!Q249</f>
        <v>1066</v>
      </c>
      <c r="N18">
        <f>mirror2020!R249</f>
        <v>0</v>
      </c>
      <c r="O18" s="135">
        <f ca="1">mirror2020!S249</f>
        <v>46722</v>
      </c>
    </row>
    <row r="19" spans="1:15" ht="15.75" customHeight="1">
      <c r="A19" t="str">
        <f>mirror2020!D250</f>
        <v>OSEC-DILGB-LGOO6-5-2017</v>
      </c>
      <c r="B19" t="str">
        <f>mirror2020!E250</f>
        <v>Local Government Operations Officer VI</v>
      </c>
      <c r="C19">
        <f>mirror2020!F250</f>
        <v>22</v>
      </c>
      <c r="D19" s="131">
        <f>mirror2020!I250</f>
        <v>1</v>
      </c>
      <c r="E19" t="str">
        <f>mirror2020!J250</f>
        <v>LAPASTORA, Ameurfina Castillo</v>
      </c>
      <c r="F19" t="str">
        <f>mirror2020!L250</f>
        <v>AMEURFINA C. LAPASTORA</v>
      </c>
      <c r="G19" t="str">
        <f>mirror2020!M250</f>
        <v>Abra</v>
      </c>
      <c r="H19" t="str">
        <f>mirror2020!K250</f>
        <v>LAPASTORA</v>
      </c>
      <c r="I19" t="str">
        <f>mirror2020!N250</f>
        <v>F</v>
      </c>
      <c r="J19" s="128">
        <f>mirror2020!C250</f>
        <v>43070</v>
      </c>
      <c r="K19" s="134">
        <f>mirror2020!O250</f>
        <v>65319</v>
      </c>
      <c r="L19" s="134">
        <f>mirror2020!P250</f>
        <v>66385</v>
      </c>
      <c r="M19" s="134">
        <f>mirror2020!Q250</f>
        <v>1066</v>
      </c>
      <c r="N19">
        <f>mirror2020!R250</f>
        <v>0</v>
      </c>
      <c r="O19" s="135">
        <f ca="1">mirror2020!S250</f>
        <v>46722</v>
      </c>
    </row>
    <row r="20" spans="1:15" ht="15.75" customHeight="1">
      <c r="A20" t="str">
        <f>mirror2020!D251</f>
        <v>OSEC-DILGB-LGOO6-6-2017</v>
      </c>
      <c r="B20" t="str">
        <f>mirror2020!E251</f>
        <v>Local Government Operations Officer VI</v>
      </c>
      <c r="C20">
        <f>mirror2020!F251</f>
        <v>22</v>
      </c>
      <c r="D20" s="131">
        <f>mirror2020!I251</f>
        <v>1</v>
      </c>
      <c r="E20" t="str">
        <f>mirror2020!J251</f>
        <v>BERNARDEZ, Viva Ascension Zapata</v>
      </c>
      <c r="F20" t="str">
        <f>mirror2020!L251</f>
        <v>VIVA ASCENSION Z. BERNARDEZ</v>
      </c>
      <c r="G20" t="str">
        <f>mirror2020!M251</f>
        <v>Abra</v>
      </c>
      <c r="H20" t="str">
        <f>mirror2020!K251</f>
        <v>BERNARDEZ</v>
      </c>
      <c r="I20" t="str">
        <f>mirror2020!N251</f>
        <v>F</v>
      </c>
      <c r="J20" s="128">
        <f>mirror2020!C251</f>
        <v>43070</v>
      </c>
      <c r="K20" s="134">
        <f>mirror2020!O251</f>
        <v>65319</v>
      </c>
      <c r="L20" s="134">
        <f>mirror2020!P251</f>
        <v>66385</v>
      </c>
      <c r="M20" s="134">
        <f>mirror2020!Q251</f>
        <v>1066</v>
      </c>
      <c r="N20">
        <f>mirror2020!R251</f>
        <v>0</v>
      </c>
      <c r="O20" s="135">
        <f ca="1">mirror2020!S251</f>
        <v>46722</v>
      </c>
    </row>
    <row r="21" spans="1:15" ht="15.75" customHeight="1">
      <c r="A21" t="str">
        <f>mirror2020!D252</f>
        <v>OSEC-DILGB-LGOO6-7-2017</v>
      </c>
      <c r="B21" t="str">
        <f>mirror2020!E252</f>
        <v>Local Government Operations Officer VI</v>
      </c>
      <c r="C21">
        <f>mirror2020!F252</f>
        <v>22</v>
      </c>
      <c r="D21" s="131">
        <f>mirror2020!I252</f>
        <v>1</v>
      </c>
      <c r="E21" t="str">
        <f>mirror2020!J252</f>
        <v>TURQUEZA, Ephraim Pascua</v>
      </c>
      <c r="F21" t="str">
        <f>mirror2020!L252</f>
        <v>EPHRAIM P. TURQUEZA</v>
      </c>
      <c r="G21" t="str">
        <f>mirror2020!M252</f>
        <v>Abra</v>
      </c>
      <c r="H21" t="str">
        <f>mirror2020!K252</f>
        <v>TURQUEZA</v>
      </c>
      <c r="I21" t="str">
        <f>mirror2020!N252</f>
        <v>M</v>
      </c>
      <c r="J21" s="128">
        <f>mirror2020!C252</f>
        <v>43070</v>
      </c>
      <c r="K21" s="134">
        <f>mirror2020!O252</f>
        <v>65319</v>
      </c>
      <c r="L21" s="134">
        <f>mirror2020!P252</f>
        <v>66385</v>
      </c>
      <c r="M21" s="134">
        <f>mirror2020!Q252</f>
        <v>1066</v>
      </c>
      <c r="N21">
        <f>mirror2020!R252</f>
        <v>0</v>
      </c>
      <c r="O21" s="135">
        <f ca="1">mirror2020!S252</f>
        <v>46722</v>
      </c>
    </row>
    <row r="22" spans="1:15" ht="15.75" customHeight="1">
      <c r="A22" t="str">
        <f>mirror2020!D253</f>
        <v>OSEC-DILGB-LGOO6-8-2017</v>
      </c>
      <c r="B22" t="str">
        <f>mirror2020!E253</f>
        <v>Local Government Operations Officer VI</v>
      </c>
      <c r="C22">
        <f>mirror2020!F253</f>
        <v>22</v>
      </c>
      <c r="D22" s="131">
        <f>mirror2020!I253</f>
        <v>1</v>
      </c>
      <c r="E22" t="str">
        <f>mirror2020!J253</f>
        <v>LINGBAOAN, Joel Barbasa</v>
      </c>
      <c r="F22" t="str">
        <f>mirror2020!L253</f>
        <v>JOEL B. LINGBAOAN</v>
      </c>
      <c r="G22" t="str">
        <f>mirror2020!M253</f>
        <v>Abra</v>
      </c>
      <c r="H22" t="str">
        <f>mirror2020!K253</f>
        <v>LINGBAOAN</v>
      </c>
      <c r="I22" t="str">
        <f>mirror2020!N253</f>
        <v>M</v>
      </c>
      <c r="J22" s="128">
        <f>mirror2020!C253</f>
        <v>43070</v>
      </c>
      <c r="K22" s="134">
        <f>mirror2020!O253</f>
        <v>65319</v>
      </c>
      <c r="L22" s="134">
        <f>mirror2020!P253</f>
        <v>66385</v>
      </c>
      <c r="M22" s="134">
        <f>mirror2020!Q253</f>
        <v>1066</v>
      </c>
      <c r="N22">
        <f>mirror2020!R253</f>
        <v>0</v>
      </c>
      <c r="O22" s="135">
        <f ca="1">mirror2020!S253</f>
        <v>46722</v>
      </c>
    </row>
    <row r="23" spans="1:15" ht="15.75" customHeight="1">
      <c r="A23" t="str">
        <f>mirror2020!D254</f>
        <v>OSEC-DILGB-LGOO6-9-2017</v>
      </c>
      <c r="B23" t="str">
        <f>mirror2020!E254</f>
        <v>Local Government Operations Officer VI</v>
      </c>
      <c r="C23">
        <f>mirror2020!F254</f>
        <v>22</v>
      </c>
      <c r="D23" s="131">
        <f>mirror2020!I254</f>
        <v>1</v>
      </c>
      <c r="E23" t="str">
        <f>mirror2020!J254</f>
        <v>CASTILLO, Mila Benedito</v>
      </c>
      <c r="F23" t="str">
        <f>mirror2020!L254</f>
        <v>MILA B. CASTILLO</v>
      </c>
      <c r="G23" t="str">
        <f>mirror2020!M254</f>
        <v>Abra</v>
      </c>
      <c r="H23" t="str">
        <f>mirror2020!K254</f>
        <v>CASTILLO</v>
      </c>
      <c r="I23" t="str">
        <f>mirror2020!N254</f>
        <v>F</v>
      </c>
      <c r="J23" s="128">
        <f>mirror2020!C254</f>
        <v>43070</v>
      </c>
      <c r="K23" s="134">
        <f>mirror2020!O254</f>
        <v>65319</v>
      </c>
      <c r="L23" s="134">
        <f>mirror2020!P254</f>
        <v>66385</v>
      </c>
      <c r="M23" s="134">
        <f>mirror2020!Q254</f>
        <v>1066</v>
      </c>
      <c r="N23">
        <f>mirror2020!R254</f>
        <v>0</v>
      </c>
      <c r="O23" s="135">
        <f ca="1">mirror2020!S254</f>
        <v>46722</v>
      </c>
    </row>
    <row r="24" spans="1:15" ht="15.75" customHeight="1">
      <c r="A24" t="str">
        <f>mirror2020!D255</f>
        <v>OSEC-DILGB-LGOO6-10-2017</v>
      </c>
      <c r="B24" t="str">
        <f>mirror2020!E255</f>
        <v>Local Government Operations Officer VI</v>
      </c>
      <c r="C24">
        <f>mirror2020!F255</f>
        <v>22</v>
      </c>
      <c r="D24" s="131">
        <f>mirror2020!I255</f>
        <v>1</v>
      </c>
      <c r="E24" t="str">
        <f>mirror2020!J255</f>
        <v>CALINA, Crescencio II Benauro</v>
      </c>
      <c r="F24" t="str">
        <f>mirror2020!L255</f>
        <v>CRESCENCIO II B. CALINA</v>
      </c>
      <c r="G24" t="str">
        <f>mirror2020!M255</f>
        <v>Abra</v>
      </c>
      <c r="H24" t="str">
        <f>mirror2020!K255</f>
        <v>CALINA</v>
      </c>
      <c r="I24" t="str">
        <f>mirror2020!N255</f>
        <v>M</v>
      </c>
      <c r="J24" s="128">
        <f>mirror2020!C255</f>
        <v>43070</v>
      </c>
      <c r="K24" s="134">
        <f>mirror2020!O255</f>
        <v>65319</v>
      </c>
      <c r="L24" s="134">
        <f>mirror2020!P255</f>
        <v>66385</v>
      </c>
      <c r="M24" s="134">
        <f>mirror2020!Q255</f>
        <v>1066</v>
      </c>
      <c r="N24">
        <f>mirror2020!R255</f>
        <v>0</v>
      </c>
      <c r="O24" s="135">
        <f ca="1">mirror2020!S255</f>
        <v>46722</v>
      </c>
    </row>
    <row r="25" spans="1:15" ht="15.75" customHeight="1">
      <c r="A25" t="str">
        <f>mirror2020!D256</f>
        <v>OSEC-DILGB-LGOO6-11-2017</v>
      </c>
      <c r="B25" t="str">
        <f>mirror2020!E256</f>
        <v>Local Government Operations Officer VI</v>
      </c>
      <c r="C25">
        <f>mirror2020!F256</f>
        <v>22</v>
      </c>
      <c r="D25" s="131">
        <f>mirror2020!I256</f>
        <v>1</v>
      </c>
      <c r="E25" t="str">
        <f>mirror2020!J256</f>
        <v>CARIÑO, Erma Hernandez</v>
      </c>
      <c r="F25" t="str">
        <f>mirror2020!L256</f>
        <v>ERMA H. CARIÑO</v>
      </c>
      <c r="G25" t="str">
        <f>mirror2020!M256</f>
        <v>Abra</v>
      </c>
      <c r="H25" t="str">
        <f>mirror2020!K256</f>
        <v>CARIÑO</v>
      </c>
      <c r="I25" t="str">
        <f>mirror2020!N256</f>
        <v>F</v>
      </c>
      <c r="J25" s="128">
        <f>mirror2020!C256</f>
        <v>43070</v>
      </c>
      <c r="K25" s="134">
        <f>mirror2020!O256</f>
        <v>65319</v>
      </c>
      <c r="L25" s="134">
        <f>mirror2020!P256</f>
        <v>66385</v>
      </c>
      <c r="M25" s="134">
        <f>mirror2020!Q256</f>
        <v>1066</v>
      </c>
      <c r="N25">
        <f>mirror2020!R256</f>
        <v>0</v>
      </c>
      <c r="O25" s="135">
        <f ca="1">mirror2020!S256</f>
        <v>46722</v>
      </c>
    </row>
    <row r="26" spans="1:15" ht="15.75" customHeight="1">
      <c r="A26" t="str">
        <f>mirror2020!D257</f>
        <v>OSEC-DILGB-LGOO6-11-2010</v>
      </c>
      <c r="B26" t="str">
        <f>mirror2020!E257</f>
        <v>Local Government Operations Officer VI</v>
      </c>
      <c r="C26">
        <f>mirror2020!F257</f>
        <v>22</v>
      </c>
      <c r="D26" s="131">
        <f>mirror2020!I257</f>
        <v>2</v>
      </c>
      <c r="E26" t="str">
        <f>mirror2020!J257</f>
        <v>CAMACHO, Anabelle  Laron</v>
      </c>
      <c r="F26" t="str">
        <f>mirror2020!L257</f>
        <v>ANABELLE  L. CAMACHO</v>
      </c>
      <c r="G26" t="str">
        <f>mirror2020!M257</f>
        <v>Baguio City</v>
      </c>
      <c r="H26" t="str">
        <f>mirror2020!K257</f>
        <v>CAMACHO</v>
      </c>
      <c r="I26" t="str">
        <f>mirror2020!N257</f>
        <v>F</v>
      </c>
      <c r="J26" s="128">
        <f>mirror2020!C257</f>
        <v>41711</v>
      </c>
      <c r="K26" s="134">
        <f>mirror2020!O257</f>
        <v>66385</v>
      </c>
      <c r="L26" s="134">
        <f>mirror2020!P257</f>
        <v>67469</v>
      </c>
      <c r="M26" s="134">
        <f>mirror2020!Q257</f>
        <v>1084</v>
      </c>
      <c r="N26">
        <f>mirror2020!R257</f>
        <v>0</v>
      </c>
      <c r="O26" s="135">
        <f ca="1">mirror2020!S257</f>
        <v>46459</v>
      </c>
    </row>
    <row r="27" spans="1:15" ht="15.75" customHeight="1">
      <c r="A27" t="str">
        <f>mirror2020!D258</f>
        <v>OSEC-DILGB-LGOO6-12-2017</v>
      </c>
      <c r="B27" t="str">
        <f>mirror2020!E258</f>
        <v>Local Government Operations Officer VI</v>
      </c>
      <c r="C27">
        <f>mirror2020!F258</f>
        <v>22</v>
      </c>
      <c r="D27" s="131">
        <f>mirror2020!I258</f>
        <v>1</v>
      </c>
      <c r="E27" t="str">
        <f>mirror2020!J258</f>
        <v>HERNANDEZ, Jean  Smith</v>
      </c>
      <c r="F27" t="str">
        <f>mirror2020!L258</f>
        <v>JEAN  S. HERNANDEZ</v>
      </c>
      <c r="G27" t="str">
        <f>mirror2020!M258</f>
        <v>Abra</v>
      </c>
      <c r="H27" t="str">
        <f>mirror2020!K258</f>
        <v>HERNANDEZ</v>
      </c>
      <c r="I27" t="str">
        <f>mirror2020!N258</f>
        <v>F</v>
      </c>
      <c r="J27" s="128">
        <f>mirror2020!C258</f>
        <v>43070</v>
      </c>
      <c r="K27" s="134">
        <f>mirror2020!O258</f>
        <v>65319</v>
      </c>
      <c r="L27" s="134">
        <f>mirror2020!P258</f>
        <v>66385</v>
      </c>
      <c r="M27" s="134">
        <f>mirror2020!Q258</f>
        <v>1066</v>
      </c>
      <c r="N27" t="str">
        <f>mirror2020!R258</f>
        <v>Shifting</v>
      </c>
      <c r="O27" s="135">
        <f ca="1">mirror2020!S258</f>
        <v>46722</v>
      </c>
    </row>
    <row r="28" spans="1:15" ht="15.75" customHeight="1">
      <c r="A28" t="str">
        <f>mirror2020!D259</f>
        <v>OSEC-DILGB-LGOO6-13-2017</v>
      </c>
      <c r="B28" t="str">
        <f>mirror2020!E259</f>
        <v>Local Government Operations Officer VI</v>
      </c>
      <c r="C28">
        <f>mirror2020!F259</f>
        <v>22</v>
      </c>
      <c r="D28" s="131">
        <f>mirror2020!I259</f>
        <v>1</v>
      </c>
      <c r="E28" t="str">
        <f>mirror2020!J259</f>
        <v>TRINIDAD, Bernabe Bejarin</v>
      </c>
      <c r="F28" t="str">
        <f>mirror2020!L259</f>
        <v>BERNABE B. TRINIDAD</v>
      </c>
      <c r="G28" t="str">
        <f>mirror2020!M259</f>
        <v>Abra</v>
      </c>
      <c r="H28" t="str">
        <f>mirror2020!K259</f>
        <v>TRINIDAD</v>
      </c>
      <c r="I28" t="str">
        <f>mirror2020!N259</f>
        <v>M</v>
      </c>
      <c r="J28" s="128">
        <f>mirror2020!C259</f>
        <v>43070</v>
      </c>
      <c r="K28" s="134">
        <f>mirror2020!O259</f>
        <v>65319</v>
      </c>
      <c r="L28" s="134">
        <f>mirror2020!P259</f>
        <v>66385</v>
      </c>
      <c r="M28" s="134">
        <f>mirror2020!Q259</f>
        <v>1066</v>
      </c>
      <c r="N28">
        <f>mirror2020!R259</f>
        <v>0</v>
      </c>
      <c r="O28" s="135">
        <f ca="1">mirror2020!S259</f>
        <v>46722</v>
      </c>
    </row>
    <row r="29" spans="1:15" ht="15.75" customHeight="1">
      <c r="A29" t="str">
        <f>mirror2020!D260</f>
        <v>OSEC-DILGB-LGOO6-14-2017</v>
      </c>
      <c r="B29" t="str">
        <f>mirror2020!E260</f>
        <v>Local Government Operations Officer VI</v>
      </c>
      <c r="C29">
        <f>mirror2020!F260</f>
        <v>22</v>
      </c>
      <c r="D29" s="131">
        <f>mirror2020!I260</f>
        <v>1</v>
      </c>
      <c r="E29" t="str">
        <f>mirror2020!J260</f>
        <v>ABANCE, Mary Jane Samonte</v>
      </c>
      <c r="F29" t="str">
        <f>mirror2020!L260</f>
        <v>MARY JANE S. ABANCE</v>
      </c>
      <c r="G29" t="str">
        <f>mirror2020!M260</f>
        <v>Abra</v>
      </c>
      <c r="H29" t="str">
        <f>mirror2020!K260</f>
        <v>ABANCE</v>
      </c>
      <c r="I29" t="str">
        <f>mirror2020!N260</f>
        <v>F</v>
      </c>
      <c r="J29" s="128">
        <f>mirror2020!C260</f>
        <v>43070</v>
      </c>
      <c r="K29" s="134">
        <f>mirror2020!O260</f>
        <v>65319</v>
      </c>
      <c r="L29" s="134">
        <f>mirror2020!P260</f>
        <v>66385</v>
      </c>
      <c r="M29" s="134">
        <f>mirror2020!Q260</f>
        <v>1066</v>
      </c>
      <c r="N29">
        <f>mirror2020!R260</f>
        <v>0</v>
      </c>
      <c r="O29" s="135">
        <f ca="1">mirror2020!S260</f>
        <v>46722</v>
      </c>
    </row>
    <row r="30" spans="1:15" ht="15.75" customHeight="1">
      <c r="A30" t="str">
        <f>mirror2020!D261</f>
        <v>OSEC-DILGB-LGOO6-15-2017</v>
      </c>
      <c r="B30" t="str">
        <f>mirror2020!E261</f>
        <v>Local Government Operations Officer VI</v>
      </c>
      <c r="C30">
        <f>mirror2020!F261</f>
        <v>22</v>
      </c>
      <c r="D30" s="131">
        <f>mirror2020!I261</f>
        <v>1</v>
      </c>
      <c r="E30" t="str">
        <f>mirror2020!J261</f>
        <v>WALANG, Marlon Silvada</v>
      </c>
      <c r="F30" t="str">
        <f>mirror2020!L261</f>
        <v>MARLON S. WALANG</v>
      </c>
      <c r="G30" t="str">
        <f>mirror2020!M261</f>
        <v>Abra</v>
      </c>
      <c r="H30" t="str">
        <f>mirror2020!K261</f>
        <v>WALANG</v>
      </c>
      <c r="I30" t="str">
        <f>mirror2020!N261</f>
        <v>M</v>
      </c>
      <c r="J30" s="128">
        <f>mirror2020!C261</f>
        <v>43087</v>
      </c>
      <c r="K30" s="134">
        <f>mirror2020!O261</f>
        <v>65319</v>
      </c>
      <c r="L30" s="134">
        <f>mirror2020!P261</f>
        <v>66385</v>
      </c>
      <c r="M30" s="134">
        <f>mirror2020!Q261</f>
        <v>1066</v>
      </c>
      <c r="N30">
        <f>mirror2020!R261</f>
        <v>0</v>
      </c>
      <c r="O30" s="135">
        <f ca="1">mirror2020!S261</f>
        <v>46739</v>
      </c>
    </row>
    <row r="31" spans="1:15" ht="15.75" customHeight="1">
      <c r="A31" t="str">
        <f>mirror2020!D262</f>
        <v>OSEC-DILGB-LGOO6-16-2017</v>
      </c>
      <c r="B31" t="str">
        <f>mirror2020!E262</f>
        <v>Local Government Operations Officer VI</v>
      </c>
      <c r="C31">
        <f>mirror2020!F262</f>
        <v>22</v>
      </c>
      <c r="D31" s="131">
        <f>mirror2020!I262</f>
        <v>1</v>
      </c>
      <c r="E31" t="str">
        <f>mirror2020!J262</f>
        <v>BARRERAS, Carlito Tejero</v>
      </c>
      <c r="F31" t="str">
        <f>mirror2020!L262</f>
        <v>CARLITO T. BARRERAS</v>
      </c>
      <c r="G31" t="str">
        <f>mirror2020!M262</f>
        <v>Abra</v>
      </c>
      <c r="H31" t="str">
        <f>mirror2020!K262</f>
        <v>BARRERAS</v>
      </c>
      <c r="I31" t="str">
        <f>mirror2020!N262</f>
        <v>M</v>
      </c>
      <c r="J31" s="128">
        <f>mirror2020!C262</f>
        <v>43070</v>
      </c>
      <c r="K31" s="134">
        <f>mirror2020!O262</f>
        <v>65319</v>
      </c>
      <c r="L31" s="134">
        <f>mirror2020!P262</f>
        <v>66385</v>
      </c>
      <c r="M31" s="134">
        <f>mirror2020!Q262</f>
        <v>1066</v>
      </c>
      <c r="N31">
        <f>mirror2020!R262</f>
        <v>0</v>
      </c>
      <c r="O31" s="135">
        <f ca="1">mirror2020!S262</f>
        <v>46722</v>
      </c>
    </row>
    <row r="32" spans="1:15" ht="15.75" customHeight="1">
      <c r="A32" t="str">
        <f>mirror2020!D263</f>
        <v>OSEC-DILGB-LGOO6-17-2017</v>
      </c>
      <c r="B32" t="str">
        <f>mirror2020!E263</f>
        <v>Local Government Operations Officer VI</v>
      </c>
      <c r="C32">
        <f>mirror2020!F263</f>
        <v>22</v>
      </c>
      <c r="D32" s="131">
        <f>mirror2020!I263</f>
        <v>1</v>
      </c>
      <c r="E32" t="str">
        <f>mirror2020!J263</f>
        <v>VENUS, Nolito Domingo</v>
      </c>
      <c r="F32" t="str">
        <f>mirror2020!L263</f>
        <v>NOLITO D. VENUS</v>
      </c>
      <c r="G32" t="str">
        <f>mirror2020!M263</f>
        <v>Abra</v>
      </c>
      <c r="H32" t="str">
        <f>mirror2020!K263</f>
        <v>VENUS</v>
      </c>
      <c r="I32" t="str">
        <f>mirror2020!N263</f>
        <v>M</v>
      </c>
      <c r="J32" s="128">
        <f>mirror2020!C263</f>
        <v>43070</v>
      </c>
      <c r="K32" s="134">
        <f>mirror2020!O263</f>
        <v>65319</v>
      </c>
      <c r="L32" s="134">
        <f>mirror2020!P263</f>
        <v>66385</v>
      </c>
      <c r="M32" s="134">
        <f>mirror2020!Q263</f>
        <v>1066</v>
      </c>
      <c r="N32">
        <f>mirror2020!R263</f>
        <v>0</v>
      </c>
      <c r="O32" s="135">
        <f ca="1">mirror2020!S263</f>
        <v>46722</v>
      </c>
    </row>
    <row r="33" spans="1:15" ht="15.75" customHeight="1">
      <c r="A33" t="str">
        <f>mirror2020!D264</f>
        <v>OSEC-DILGB-LGOO6-18-2017</v>
      </c>
      <c r="B33" t="str">
        <f>mirror2020!E264</f>
        <v>Local Government Operations Officer VI</v>
      </c>
      <c r="C33">
        <f>mirror2020!F264</f>
        <v>22</v>
      </c>
      <c r="D33" s="131">
        <f>mirror2020!I264</f>
        <v>1</v>
      </c>
      <c r="E33" t="str">
        <f>mirror2020!J264</f>
        <v>VENUS, Normita Cruz</v>
      </c>
      <c r="F33" t="str">
        <f>mirror2020!L264</f>
        <v>NORMITA C. VENUS</v>
      </c>
      <c r="G33" t="str">
        <f>mirror2020!M264</f>
        <v>Abra</v>
      </c>
      <c r="H33" t="str">
        <f>mirror2020!K264</f>
        <v>VENUS</v>
      </c>
      <c r="I33" t="str">
        <f>mirror2020!N264</f>
        <v>F</v>
      </c>
      <c r="J33" s="128">
        <f>mirror2020!C264</f>
        <v>43070</v>
      </c>
      <c r="K33" s="134">
        <f>mirror2020!O264</f>
        <v>65319</v>
      </c>
      <c r="L33" s="134">
        <f>mirror2020!P264</f>
        <v>66385</v>
      </c>
      <c r="M33" s="134">
        <f>mirror2020!Q264</f>
        <v>1066</v>
      </c>
      <c r="N33">
        <f>mirror2020!R264</f>
        <v>0</v>
      </c>
      <c r="O33" s="135">
        <f ca="1">mirror2020!S264</f>
        <v>46722</v>
      </c>
    </row>
    <row r="34" spans="1:15" ht="15.75" customHeight="1">
      <c r="A34" t="str">
        <f>mirror2020!D265</f>
        <v>OSEC-DILGB-LGOO6-19-2017</v>
      </c>
      <c r="B34" t="str">
        <f>mirror2020!E265</f>
        <v>Local Government Operations Officer VI</v>
      </c>
      <c r="C34">
        <f>mirror2020!F265</f>
        <v>22</v>
      </c>
      <c r="D34" s="131">
        <f>mirror2020!I265</f>
        <v>1</v>
      </c>
      <c r="E34" t="str">
        <f>mirror2020!J265</f>
        <v>IDOS, Dexter Las-o</v>
      </c>
      <c r="F34" t="str">
        <f>mirror2020!L265</f>
        <v>DEXTER L. IDOS</v>
      </c>
      <c r="G34" t="str">
        <f>mirror2020!M265</f>
        <v>Abra</v>
      </c>
      <c r="H34" t="str">
        <f>mirror2020!K265</f>
        <v>IDOS</v>
      </c>
      <c r="I34" t="str">
        <f>mirror2020!N265</f>
        <v>M</v>
      </c>
      <c r="J34" s="128">
        <f>mirror2020!C265</f>
        <v>43070</v>
      </c>
      <c r="K34" s="134">
        <f>mirror2020!O265</f>
        <v>65319</v>
      </c>
      <c r="L34" s="134">
        <f>mirror2020!P265</f>
        <v>66385</v>
      </c>
      <c r="M34" s="134">
        <f>mirror2020!Q265</f>
        <v>1066</v>
      </c>
      <c r="N34" t="str">
        <f>mirror2020!R265</f>
        <v>Shifting</v>
      </c>
      <c r="O34" s="135">
        <f ca="1">mirror2020!S265</f>
        <v>46722</v>
      </c>
    </row>
    <row r="35" spans="1:15" ht="15.75" customHeight="1">
      <c r="A35" t="str">
        <f>mirror2020!D266</f>
        <v>OSEC-DILGB-LGOO6-20-2017</v>
      </c>
      <c r="B35" t="str">
        <f>mirror2020!E266</f>
        <v>Local Government Operations Officer VI</v>
      </c>
      <c r="C35">
        <f>mirror2020!F266</f>
        <v>22</v>
      </c>
      <c r="D35" s="131">
        <f>mirror2020!I266</f>
        <v>1</v>
      </c>
      <c r="E35" t="str">
        <f>mirror2020!J266</f>
        <v>TON, Janice Cristine Barreras</v>
      </c>
      <c r="F35" t="str">
        <f>mirror2020!L266</f>
        <v>JANICE CRISTINE B. TON</v>
      </c>
      <c r="G35" t="str">
        <f>mirror2020!M266</f>
        <v>Abra</v>
      </c>
      <c r="H35" t="str">
        <f>mirror2020!K266</f>
        <v>TON</v>
      </c>
      <c r="I35" t="str">
        <f>mirror2020!N266</f>
        <v>F</v>
      </c>
      <c r="J35" s="128">
        <f>mirror2020!C266</f>
        <v>43070</v>
      </c>
      <c r="K35" s="134">
        <f>mirror2020!O266</f>
        <v>65319</v>
      </c>
      <c r="L35" s="134">
        <f>mirror2020!P266</f>
        <v>66385</v>
      </c>
      <c r="M35" s="134">
        <f>mirror2020!Q266</f>
        <v>1066</v>
      </c>
      <c r="N35">
        <f>mirror2020!R266</f>
        <v>0</v>
      </c>
      <c r="O35" s="135">
        <f ca="1">mirror2020!S266</f>
        <v>46722</v>
      </c>
    </row>
    <row r="36" spans="1:15" ht="15.75" customHeight="1">
      <c r="A36" t="str">
        <f>mirror2020!D267</f>
        <v>OSEC-DILGB-LGOO6-21-2017</v>
      </c>
      <c r="B36" t="str">
        <f>mirror2020!E267</f>
        <v>Local Government Operations Officer VI</v>
      </c>
      <c r="C36">
        <f>mirror2020!F267</f>
        <v>22</v>
      </c>
      <c r="D36" s="131">
        <f>mirror2020!I267</f>
        <v>1</v>
      </c>
      <c r="E36" t="str">
        <f>mirror2020!J267</f>
        <v>GARCIA, Evelyn Arizabal</v>
      </c>
      <c r="F36" t="str">
        <f>mirror2020!L267</f>
        <v>EVELYN A. GARCIA</v>
      </c>
      <c r="G36" t="str">
        <f>mirror2020!M267</f>
        <v>Abra</v>
      </c>
      <c r="H36" t="str">
        <f>mirror2020!K267</f>
        <v>GARCIA</v>
      </c>
      <c r="I36" t="str">
        <f>mirror2020!N267</f>
        <v>F</v>
      </c>
      <c r="J36" s="128">
        <f>mirror2020!C267</f>
        <v>43070</v>
      </c>
      <c r="K36" s="134">
        <f>mirror2020!O267</f>
        <v>65319</v>
      </c>
      <c r="L36" s="134">
        <f>mirror2020!P267</f>
        <v>66385</v>
      </c>
      <c r="M36" s="134">
        <f>mirror2020!Q267</f>
        <v>1066</v>
      </c>
      <c r="N36">
        <f>mirror2020!R267</f>
        <v>0</v>
      </c>
      <c r="O36" s="135">
        <f ca="1">mirror2020!S267</f>
        <v>46722</v>
      </c>
    </row>
    <row r="37" spans="1:15" ht="15.75" customHeight="1">
      <c r="A37" t="str">
        <f>mirror2020!D268</f>
        <v>OSEC-DILGB-LGOO6-22-2017</v>
      </c>
      <c r="B37" t="str">
        <f>mirror2020!E268</f>
        <v>Local Government Operations Officer VI</v>
      </c>
      <c r="C37">
        <f>mirror2020!F268</f>
        <v>22</v>
      </c>
      <c r="D37" s="131">
        <f>mirror2020!I268</f>
        <v>1</v>
      </c>
      <c r="E37" t="str">
        <f>mirror2020!J268</f>
        <v>RULLAN, Dan Joel Suaya</v>
      </c>
      <c r="F37" t="str">
        <f>mirror2020!L268</f>
        <v>DAN JOEL S. RULLAN</v>
      </c>
      <c r="G37" t="str">
        <f>mirror2020!M268</f>
        <v>Abra</v>
      </c>
      <c r="H37" t="str">
        <f>mirror2020!K268</f>
        <v>RULLAN</v>
      </c>
      <c r="I37" t="str">
        <f>mirror2020!N268</f>
        <v>M</v>
      </c>
      <c r="J37" s="128">
        <f>mirror2020!C268</f>
        <v>43070</v>
      </c>
      <c r="K37" s="134">
        <f>mirror2020!O268</f>
        <v>65319</v>
      </c>
      <c r="L37" s="134">
        <f>mirror2020!P268</f>
        <v>66385</v>
      </c>
      <c r="M37" s="134">
        <f>mirror2020!Q268</f>
        <v>1066</v>
      </c>
      <c r="N37">
        <f>mirror2020!R268</f>
        <v>0</v>
      </c>
      <c r="O37" s="135">
        <f ca="1">mirror2020!S268</f>
        <v>46722</v>
      </c>
    </row>
    <row r="38" spans="1:15" ht="15.75" customHeight="1">
      <c r="A38" t="str">
        <f>mirror2020!D269</f>
        <v>OSEC-DILGB-LGOO6-23-2017</v>
      </c>
      <c r="B38" t="str">
        <f>mirror2020!E269</f>
        <v>Local Government Operations Officer VI</v>
      </c>
      <c r="C38">
        <f>mirror2020!F269</f>
        <v>22</v>
      </c>
      <c r="D38" s="131">
        <f>mirror2020!I269</f>
        <v>1</v>
      </c>
      <c r="E38" t="str">
        <f>mirror2020!J269</f>
        <v>WACNANG, Dayan Salimbay</v>
      </c>
      <c r="F38" t="str">
        <f>mirror2020!L269</f>
        <v>DAYAN S. WACNANG</v>
      </c>
      <c r="G38" t="str">
        <f>mirror2020!M269</f>
        <v>Abra</v>
      </c>
      <c r="H38" t="str">
        <f>mirror2020!K269</f>
        <v>WACNANG</v>
      </c>
      <c r="I38" t="str">
        <f>mirror2020!N269</f>
        <v>M</v>
      </c>
      <c r="J38" s="128">
        <f>mirror2020!C269</f>
        <v>43070</v>
      </c>
      <c r="K38" s="134">
        <f>mirror2020!O269</f>
        <v>65319</v>
      </c>
      <c r="L38" s="134">
        <f>mirror2020!P269</f>
        <v>66385</v>
      </c>
      <c r="M38" s="134">
        <f>mirror2020!Q269</f>
        <v>1066</v>
      </c>
      <c r="N38">
        <f>mirror2020!R269</f>
        <v>0</v>
      </c>
      <c r="O38" s="135">
        <f ca="1">mirror2020!S269</f>
        <v>46722</v>
      </c>
    </row>
    <row r="39" spans="1:15" ht="15.75" customHeight="1">
      <c r="A39" t="str">
        <f>mirror2020!D270</f>
        <v>OSEC-DILGB-LGOO6-24-2017</v>
      </c>
      <c r="B39" t="str">
        <f>mirror2020!E270</f>
        <v>Local Government Operations Officer VI</v>
      </c>
      <c r="C39">
        <f>mirror2020!F270</f>
        <v>22</v>
      </c>
      <c r="D39" s="131">
        <f>mirror2020!I270</f>
        <v>1</v>
      </c>
      <c r="E39" t="str">
        <f>mirror2020!J270</f>
        <v>MONREAL, Prescila Alzate</v>
      </c>
      <c r="F39" t="str">
        <f>mirror2020!L270</f>
        <v>PRESCILA A. MONREAL</v>
      </c>
      <c r="G39" t="str">
        <f>mirror2020!M270</f>
        <v>Abra</v>
      </c>
      <c r="H39" t="str">
        <f>mirror2020!K270</f>
        <v>MONREAL</v>
      </c>
      <c r="I39" t="str">
        <f>mirror2020!N270</f>
        <v>F</v>
      </c>
      <c r="J39" s="128">
        <f>mirror2020!C270</f>
        <v>43070</v>
      </c>
      <c r="K39" s="134">
        <f>mirror2020!O270</f>
        <v>65319</v>
      </c>
      <c r="L39" s="134">
        <f>mirror2020!P270</f>
        <v>66385</v>
      </c>
      <c r="M39" s="134">
        <f>mirror2020!Q270</f>
        <v>1066</v>
      </c>
      <c r="N39">
        <f>mirror2020!R270</f>
        <v>0</v>
      </c>
      <c r="O39" s="135">
        <f ca="1">mirror2020!S270</f>
        <v>46722</v>
      </c>
    </row>
    <row r="40" spans="1:15" ht="15.75" customHeight="1">
      <c r="A40" t="str">
        <f>mirror2020!D271</f>
        <v>OSEC-DILGB-LGOO6-25-2017</v>
      </c>
      <c r="B40" t="str">
        <f>mirror2020!E271</f>
        <v>Local Government Operations Officer VI</v>
      </c>
      <c r="C40">
        <f>mirror2020!F271</f>
        <v>22</v>
      </c>
      <c r="D40" s="131">
        <f>mirror2020!I271</f>
        <v>1</v>
      </c>
      <c r="E40" t="str">
        <f>mirror2020!J271</f>
        <v>MICU, Mary Beth Agustin</v>
      </c>
      <c r="F40" t="str">
        <f>mirror2020!L271</f>
        <v>MARY BETH A. MICU</v>
      </c>
      <c r="G40" t="str">
        <f>mirror2020!M271</f>
        <v>Apayao</v>
      </c>
      <c r="H40" t="str">
        <f>mirror2020!K271</f>
        <v>MICU</v>
      </c>
      <c r="I40" t="str">
        <f>mirror2020!N271</f>
        <v>F</v>
      </c>
      <c r="J40" s="128">
        <f>mirror2020!C271</f>
        <v>43070</v>
      </c>
      <c r="K40" s="134">
        <f>mirror2020!O271</f>
        <v>65319</v>
      </c>
      <c r="L40" s="134">
        <f>mirror2020!P271</f>
        <v>66385</v>
      </c>
      <c r="M40" s="134">
        <f>mirror2020!Q271</f>
        <v>1066</v>
      </c>
      <c r="N40">
        <f>mirror2020!R271</f>
        <v>0</v>
      </c>
      <c r="O40" s="135">
        <f ca="1">mirror2020!S271</f>
        <v>46722</v>
      </c>
    </row>
    <row r="41" spans="1:15" ht="15.75" customHeight="1">
      <c r="A41" t="str">
        <f>mirror2020!D272</f>
        <v>OSEC-DILGB-LGOO6-26-2017</v>
      </c>
      <c r="B41" t="str">
        <f>mirror2020!E272</f>
        <v>Local Government Operations Officer VI</v>
      </c>
      <c r="C41">
        <f>mirror2020!F272</f>
        <v>22</v>
      </c>
      <c r="D41" s="131">
        <f>mirror2020!I272</f>
        <v>1</v>
      </c>
      <c r="E41" t="str">
        <f>mirror2020!J272</f>
        <v>GALVEZ, Filipinita Marigza</v>
      </c>
      <c r="F41" t="str">
        <f>mirror2020!L272</f>
        <v>FILIPINITA M. GALVEZ</v>
      </c>
      <c r="G41" t="str">
        <f>mirror2020!M272</f>
        <v>Apayao</v>
      </c>
      <c r="H41" t="str">
        <f>mirror2020!K272</f>
        <v>GALVEZ</v>
      </c>
      <c r="I41" t="str">
        <f>mirror2020!N272</f>
        <v>F</v>
      </c>
      <c r="J41" s="128">
        <f>mirror2020!C272</f>
        <v>43089</v>
      </c>
      <c r="K41" s="134">
        <f>mirror2020!O272</f>
        <v>65319</v>
      </c>
      <c r="L41" s="134">
        <f>mirror2020!P272</f>
        <v>66385</v>
      </c>
      <c r="M41" s="134">
        <f>mirror2020!Q272</f>
        <v>1066</v>
      </c>
      <c r="N41" t="str">
        <f>mirror2020!R272</f>
        <v>Shifting</v>
      </c>
      <c r="O41" s="135">
        <f ca="1">mirror2020!S272</f>
        <v>46741</v>
      </c>
    </row>
    <row r="42" spans="1:15" ht="15.75" customHeight="1">
      <c r="A42" t="str">
        <f>mirror2020!D273</f>
        <v>OSEC-DILGB-LGOO6-27-2017</v>
      </c>
      <c r="B42" t="str">
        <f>mirror2020!E273</f>
        <v>Local Government Operations Officer VI</v>
      </c>
      <c r="C42">
        <f>mirror2020!F273</f>
        <v>22</v>
      </c>
      <c r="D42" s="131">
        <f>mirror2020!I273</f>
        <v>1</v>
      </c>
      <c r="E42" t="str">
        <f>mirror2020!J273</f>
        <v>CHAN, Virginia Lucas</v>
      </c>
      <c r="F42" t="str">
        <f>mirror2020!L273</f>
        <v>VIRGINIA L. CHAN</v>
      </c>
      <c r="G42" t="str">
        <f>mirror2020!M273</f>
        <v>Benguet</v>
      </c>
      <c r="H42" t="str">
        <f>mirror2020!K273</f>
        <v>CHAN</v>
      </c>
      <c r="I42" t="str">
        <f>mirror2020!N273</f>
        <v>F</v>
      </c>
      <c r="J42" s="128">
        <f>mirror2020!C273</f>
        <v>43070</v>
      </c>
      <c r="K42" s="134">
        <f>mirror2020!O273</f>
        <v>65319</v>
      </c>
      <c r="L42" s="134">
        <f>mirror2020!P273</f>
        <v>66385</v>
      </c>
      <c r="M42" s="134">
        <f>mirror2020!Q273</f>
        <v>1066</v>
      </c>
      <c r="N42">
        <f>mirror2020!R273</f>
        <v>0</v>
      </c>
      <c r="O42" s="135">
        <f ca="1">mirror2020!S273</f>
        <v>46722</v>
      </c>
    </row>
    <row r="43" spans="1:15" ht="15.75" customHeight="1">
      <c r="A43" t="str">
        <f>mirror2020!D274</f>
        <v>OSEC-DILGB-LGOO6-28-2017</v>
      </c>
      <c r="B43" t="str">
        <f>mirror2020!E274</f>
        <v>Local Government Operations Officer VI</v>
      </c>
      <c r="C43">
        <f>mirror2020!F274</f>
        <v>22</v>
      </c>
      <c r="D43" s="131">
        <f>mirror2020!I274</f>
        <v>1</v>
      </c>
      <c r="E43" t="str">
        <f>mirror2020!J274</f>
        <v>SAHOY, Jonilou Fukai</v>
      </c>
      <c r="F43" t="str">
        <f>mirror2020!L274</f>
        <v>JONILOU F. SAHOY</v>
      </c>
      <c r="G43" t="str">
        <f>mirror2020!M274</f>
        <v>Benguet</v>
      </c>
      <c r="H43" t="str">
        <f>mirror2020!K274</f>
        <v>SAHOY</v>
      </c>
      <c r="I43" t="str">
        <f>mirror2020!N274</f>
        <v>F</v>
      </c>
      <c r="J43" s="128">
        <f>mirror2020!C274</f>
        <v>43087</v>
      </c>
      <c r="K43" s="134">
        <f>mirror2020!O274</f>
        <v>65319</v>
      </c>
      <c r="L43" s="134">
        <f>mirror2020!P274</f>
        <v>66385</v>
      </c>
      <c r="M43" s="134">
        <f>mirror2020!Q274</f>
        <v>1066</v>
      </c>
      <c r="N43">
        <f>mirror2020!R274</f>
        <v>0</v>
      </c>
      <c r="O43" s="135">
        <f ca="1">mirror2020!S274</f>
        <v>46739</v>
      </c>
    </row>
    <row r="44" spans="1:15" ht="15.75" customHeight="1">
      <c r="A44" t="str">
        <f>mirror2020!D275</f>
        <v>OSEC-DILGB-LGOO6-29-2017</v>
      </c>
      <c r="B44" t="str">
        <f>mirror2020!E275</f>
        <v>Local Government Operations Officer VI</v>
      </c>
      <c r="C44">
        <f>mirror2020!F275</f>
        <v>22</v>
      </c>
      <c r="D44" s="131">
        <f>mirror2020!I275</f>
        <v>1</v>
      </c>
      <c r="E44" t="str">
        <f>mirror2020!J275</f>
        <v>ATING, Janet Belingon</v>
      </c>
      <c r="F44" t="str">
        <f>mirror2020!L275</f>
        <v>JANET B. ATING</v>
      </c>
      <c r="G44" t="str">
        <f>mirror2020!M275</f>
        <v>Benguet</v>
      </c>
      <c r="H44" t="str">
        <f>mirror2020!K275</f>
        <v>ATING</v>
      </c>
      <c r="I44" t="str">
        <f>mirror2020!N275</f>
        <v>F</v>
      </c>
      <c r="J44" s="128">
        <f>mirror2020!C275</f>
        <v>43070</v>
      </c>
      <c r="K44" s="134">
        <f>mirror2020!O275</f>
        <v>65319</v>
      </c>
      <c r="L44" s="134">
        <f>mirror2020!P275</f>
        <v>66385</v>
      </c>
      <c r="M44" s="134">
        <f>mirror2020!Q275</f>
        <v>1066</v>
      </c>
      <c r="N44">
        <f>mirror2020!R275</f>
        <v>0</v>
      </c>
      <c r="O44" s="135">
        <f ca="1">mirror2020!S275</f>
        <v>46722</v>
      </c>
    </row>
    <row r="45" spans="1:15" ht="15.75" customHeight="1">
      <c r="A45" t="str">
        <f>mirror2020!D276</f>
        <v>OSEC-DILGB-LGOO6-30-2017</v>
      </c>
      <c r="B45" t="str">
        <f>mirror2020!E276</f>
        <v>Local Government Operations Officer VI</v>
      </c>
      <c r="C45">
        <f>mirror2020!F276</f>
        <v>22</v>
      </c>
      <c r="D45" s="131">
        <f>mirror2020!I276</f>
        <v>1</v>
      </c>
      <c r="E45" t="str">
        <f>mirror2020!J276</f>
        <v>ULEP, Brigitte  Adeban</v>
      </c>
      <c r="F45" t="str">
        <f>mirror2020!L276</f>
        <v>BRIGITTE  A. ULEP</v>
      </c>
      <c r="G45" t="str">
        <f>mirror2020!M276</f>
        <v>Benguet</v>
      </c>
      <c r="H45" t="str">
        <f>mirror2020!K276</f>
        <v>ULEP</v>
      </c>
      <c r="I45" t="str">
        <f>mirror2020!N276</f>
        <v>F</v>
      </c>
      <c r="J45" s="128">
        <f>mirror2020!C276</f>
        <v>43070</v>
      </c>
      <c r="K45" s="134">
        <f>mirror2020!O276</f>
        <v>65319</v>
      </c>
      <c r="L45" s="134">
        <f>mirror2020!P276</f>
        <v>66385</v>
      </c>
      <c r="M45" s="134">
        <f>mirror2020!Q276</f>
        <v>1066</v>
      </c>
      <c r="N45">
        <f>mirror2020!R276</f>
        <v>0</v>
      </c>
      <c r="O45" s="135">
        <f ca="1">mirror2020!S276</f>
        <v>46722</v>
      </c>
    </row>
    <row r="46" spans="1:15" ht="15.75" customHeight="1">
      <c r="A46" t="str">
        <f>mirror2020!D277</f>
        <v>OSEC-DILGB-LGOO6-31-2017</v>
      </c>
      <c r="B46" t="str">
        <f>mirror2020!E277</f>
        <v>Local Government Operations Officer VI</v>
      </c>
      <c r="C46">
        <f>mirror2020!F277</f>
        <v>22</v>
      </c>
      <c r="D46" s="131">
        <f>mirror2020!I277</f>
        <v>1</v>
      </c>
      <c r="E46" t="str">
        <f>mirror2020!J277</f>
        <v>ATING, Cesar Uemura</v>
      </c>
      <c r="F46" t="str">
        <f>mirror2020!L277</f>
        <v>CESAR U. ATING</v>
      </c>
      <c r="G46" t="str">
        <f>mirror2020!M277</f>
        <v>Benguet</v>
      </c>
      <c r="H46" t="str">
        <f>mirror2020!K277</f>
        <v>ATING</v>
      </c>
      <c r="I46" t="str">
        <f>mirror2020!N277</f>
        <v>M</v>
      </c>
      <c r="J46" s="128">
        <f>mirror2020!C277</f>
        <v>43070</v>
      </c>
      <c r="K46" s="134">
        <f>mirror2020!O277</f>
        <v>65319</v>
      </c>
      <c r="L46" s="134">
        <f>mirror2020!P277</f>
        <v>66385</v>
      </c>
      <c r="M46" s="134">
        <f>mirror2020!Q277</f>
        <v>1066</v>
      </c>
      <c r="N46" t="str">
        <f>mirror2020!R277</f>
        <v>Shifting</v>
      </c>
      <c r="O46" s="135">
        <f ca="1">mirror2020!S277</f>
        <v>46722</v>
      </c>
    </row>
    <row r="47" spans="1:15" ht="15.75" customHeight="1">
      <c r="A47" t="str">
        <f>mirror2020!D278</f>
        <v>OSEC-DILGB-LGOO6-32-2017</v>
      </c>
      <c r="B47" t="str">
        <f>mirror2020!E278</f>
        <v>Local Government Operations Officer VI</v>
      </c>
      <c r="C47">
        <f>mirror2020!F278</f>
        <v>22</v>
      </c>
      <c r="D47" s="131">
        <f>mirror2020!I278</f>
        <v>1</v>
      </c>
      <c r="E47" t="str">
        <f>mirror2020!J278</f>
        <v>LUMA-ANG, Randy Thomas</v>
      </c>
      <c r="F47" t="str">
        <f>mirror2020!L278</f>
        <v>RANDY T. LUMA-ANG</v>
      </c>
      <c r="G47" t="str">
        <f>mirror2020!M278</f>
        <v>Benguet</v>
      </c>
      <c r="H47" t="str">
        <f>mirror2020!K278</f>
        <v>LUMA-ANG</v>
      </c>
      <c r="I47" t="str">
        <f>mirror2020!N278</f>
        <v>M</v>
      </c>
      <c r="J47" s="128">
        <f>mirror2020!C278</f>
        <v>43070</v>
      </c>
      <c r="K47" s="134">
        <f>mirror2020!O278</f>
        <v>65319</v>
      </c>
      <c r="L47" s="134">
        <f>mirror2020!P278</f>
        <v>66385</v>
      </c>
      <c r="M47" s="134">
        <f>mirror2020!Q278</f>
        <v>1066</v>
      </c>
      <c r="N47">
        <f>mirror2020!R278</f>
        <v>0</v>
      </c>
      <c r="O47" s="135">
        <f ca="1">mirror2020!S278</f>
        <v>46722</v>
      </c>
    </row>
    <row r="48" spans="1:15" ht="15.75" customHeight="1">
      <c r="A48" t="str">
        <f>mirror2020!D279</f>
        <v>OSEC-DILGB-LGOO6-33-2017</v>
      </c>
      <c r="B48" t="str">
        <f>mirror2020!E279</f>
        <v>Local Government Operations Officer VI</v>
      </c>
      <c r="C48">
        <f>mirror2020!F279</f>
        <v>22</v>
      </c>
      <c r="D48" s="131">
        <f>mirror2020!I279</f>
        <v>1</v>
      </c>
      <c r="E48" t="str">
        <f>mirror2020!J279</f>
        <v>CAWIS, Odemar Mendoza</v>
      </c>
      <c r="F48" t="str">
        <f>mirror2020!L279</f>
        <v>ODEMAR M. CAWIS</v>
      </c>
      <c r="G48" t="str">
        <f>mirror2020!M279</f>
        <v>Benguet</v>
      </c>
      <c r="H48" t="str">
        <f>mirror2020!K279</f>
        <v>CAWIS</v>
      </c>
      <c r="I48" t="str">
        <f>mirror2020!N279</f>
        <v>M</v>
      </c>
      <c r="J48" s="128">
        <f>mirror2020!C279</f>
        <v>43070</v>
      </c>
      <c r="K48" s="134">
        <f>mirror2020!O279</f>
        <v>65319</v>
      </c>
      <c r="L48" s="134">
        <f>mirror2020!P279</f>
        <v>66385</v>
      </c>
      <c r="M48" s="134">
        <f>mirror2020!Q279</f>
        <v>1066</v>
      </c>
      <c r="N48">
        <f>mirror2020!R279</f>
        <v>0</v>
      </c>
      <c r="O48" s="135">
        <f ca="1">mirror2020!S279</f>
        <v>46722</v>
      </c>
    </row>
    <row r="49" spans="1:15" ht="15.75" customHeight="1">
      <c r="A49" t="str">
        <f>mirror2020!D280</f>
        <v>OSEC-DILGB-LGOO6-34-2017</v>
      </c>
      <c r="B49" t="str">
        <f>mirror2020!E280</f>
        <v>Local Government Operations Officer VI</v>
      </c>
      <c r="C49">
        <f>mirror2020!F280</f>
        <v>22</v>
      </c>
      <c r="D49" s="131">
        <f>mirror2020!I280</f>
        <v>1</v>
      </c>
      <c r="E49" t="str">
        <f>mirror2020!J280</f>
        <v>CARDENAS, Cheryl Rose Flores</v>
      </c>
      <c r="F49" t="str">
        <f>mirror2020!L280</f>
        <v>CHERYL ROSE F. CARDENAS</v>
      </c>
      <c r="G49" t="str">
        <f>mirror2020!M280</f>
        <v>Benguet</v>
      </c>
      <c r="H49" t="str">
        <f>mirror2020!K280</f>
        <v>CARDENAS</v>
      </c>
      <c r="I49" t="str">
        <f>mirror2020!N280</f>
        <v>F</v>
      </c>
      <c r="J49" s="128">
        <f>mirror2020!C280</f>
        <v>43070</v>
      </c>
      <c r="K49" s="134">
        <f>mirror2020!O280</f>
        <v>65319</v>
      </c>
      <c r="L49" s="134">
        <f>mirror2020!P280</f>
        <v>66385</v>
      </c>
      <c r="M49" s="134">
        <f>mirror2020!Q280</f>
        <v>1066</v>
      </c>
      <c r="N49" t="str">
        <f>mirror2020!R280</f>
        <v>Shifting</v>
      </c>
      <c r="O49" s="135">
        <f ca="1">mirror2020!S280</f>
        <v>46722</v>
      </c>
    </row>
    <row r="50" spans="1:15" ht="15.75" customHeight="1">
      <c r="A50" t="str">
        <f>mirror2020!D281</f>
        <v>OSEC-DILGB-LGOO6-35-2017</v>
      </c>
      <c r="B50" t="str">
        <f>mirror2020!E281</f>
        <v>Local Government Operations Officer VI</v>
      </c>
      <c r="C50">
        <f>mirror2020!F281</f>
        <v>22</v>
      </c>
      <c r="D50" s="131">
        <f>mirror2020!I281</f>
        <v>1</v>
      </c>
      <c r="E50" t="str">
        <f>mirror2020!J281</f>
        <v>EBES, Linston Bolislis</v>
      </c>
      <c r="F50" t="str">
        <f>mirror2020!L281</f>
        <v>LINSTON B. EBES</v>
      </c>
      <c r="G50" t="str">
        <f>mirror2020!M281</f>
        <v>Benguet</v>
      </c>
      <c r="H50" t="str">
        <f>mirror2020!K281</f>
        <v>EBES</v>
      </c>
      <c r="I50" t="str">
        <f>mirror2020!N281</f>
        <v>M</v>
      </c>
      <c r="J50" s="128">
        <f>mirror2020!C281</f>
        <v>43070</v>
      </c>
      <c r="K50" s="134">
        <f>mirror2020!O281</f>
        <v>65319</v>
      </c>
      <c r="L50" s="134">
        <f>mirror2020!P281</f>
        <v>66385</v>
      </c>
      <c r="M50" s="134">
        <f>mirror2020!Q281</f>
        <v>1066</v>
      </c>
      <c r="N50">
        <f>mirror2020!R281</f>
        <v>0</v>
      </c>
      <c r="O50" s="135">
        <f ca="1">mirror2020!S281</f>
        <v>46722</v>
      </c>
    </row>
    <row r="51" spans="1:15" ht="15.75" customHeight="1">
      <c r="A51" t="str">
        <f>mirror2020!D282</f>
        <v>OSEC-DILGB-LGOO6-36-2017</v>
      </c>
      <c r="B51" t="str">
        <f>mirror2020!E282</f>
        <v>Local Government Operations Officer VI</v>
      </c>
      <c r="C51">
        <f>mirror2020!F282</f>
        <v>22</v>
      </c>
      <c r="D51" s="131">
        <f>mirror2020!I282</f>
        <v>1</v>
      </c>
      <c r="E51" t="str">
        <f>mirror2020!J282</f>
        <v>VENUS, Norman Domingo</v>
      </c>
      <c r="F51" t="str">
        <f>mirror2020!L282</f>
        <v>NORMAN D. VENUS</v>
      </c>
      <c r="G51" t="str">
        <f>mirror2020!M282</f>
        <v>Apayao</v>
      </c>
      <c r="H51" t="str">
        <f>mirror2020!K282</f>
        <v>VENUS</v>
      </c>
      <c r="I51" t="str">
        <f>mirror2020!N282</f>
        <v>M</v>
      </c>
      <c r="J51" s="128">
        <f>mirror2020!C282</f>
        <v>43070</v>
      </c>
      <c r="K51" s="134">
        <f>mirror2020!O282</f>
        <v>65319</v>
      </c>
      <c r="L51" s="134">
        <f>mirror2020!P282</f>
        <v>66385</v>
      </c>
      <c r="M51" s="134">
        <f>mirror2020!Q282</f>
        <v>1066</v>
      </c>
      <c r="N51">
        <f>mirror2020!R282</f>
        <v>0</v>
      </c>
      <c r="O51" s="135">
        <f ca="1">mirror2020!S282</f>
        <v>46722</v>
      </c>
    </row>
    <row r="52" spans="1:15" ht="15.75" customHeight="1">
      <c r="A52" t="str">
        <f>mirror2020!D283</f>
        <v>OSEC-DILGB-LGOO6-37-2017</v>
      </c>
      <c r="B52" t="str">
        <f>mirror2020!E283</f>
        <v>Local Government Operations Officer VI</v>
      </c>
      <c r="C52">
        <f>mirror2020!F283</f>
        <v>22</v>
      </c>
      <c r="D52" s="131">
        <f>mirror2020!I283</f>
        <v>1</v>
      </c>
      <c r="E52" t="str">
        <f>mirror2020!J283</f>
        <v>VISITACION, Rhiener Cardenas</v>
      </c>
      <c r="F52" t="str">
        <f>mirror2020!L283</f>
        <v>RHIENER C. VISITACION</v>
      </c>
      <c r="G52" t="str">
        <f>mirror2020!M283</f>
        <v>Apayao</v>
      </c>
      <c r="H52" t="str">
        <f>mirror2020!K283</f>
        <v>VISITACION</v>
      </c>
      <c r="I52" t="str">
        <f>mirror2020!N283</f>
        <v>M</v>
      </c>
      <c r="J52" s="128">
        <f>mirror2020!C283</f>
        <v>43087</v>
      </c>
      <c r="K52" s="134">
        <f>mirror2020!O283</f>
        <v>65319</v>
      </c>
      <c r="L52" s="134">
        <f>mirror2020!P283</f>
        <v>66385</v>
      </c>
      <c r="M52" s="134">
        <f>mirror2020!Q283</f>
        <v>1066</v>
      </c>
      <c r="N52">
        <f>mirror2020!R283</f>
        <v>0</v>
      </c>
      <c r="O52" s="135">
        <f ca="1">mirror2020!S283</f>
        <v>46739</v>
      </c>
    </row>
    <row r="53" spans="1:15" ht="15.75" customHeight="1">
      <c r="A53" t="str">
        <f>mirror2020!D284</f>
        <v>OSEC-DILGB-LGOO6-38-2017</v>
      </c>
      <c r="B53" t="str">
        <f>mirror2020!E284</f>
        <v>Local Government Operations Officer VI</v>
      </c>
      <c r="C53">
        <f>mirror2020!F284</f>
        <v>22</v>
      </c>
      <c r="D53" s="131">
        <f>mirror2020!I284</f>
        <v>1</v>
      </c>
      <c r="E53" t="str">
        <f>mirror2020!J284</f>
        <v>EUGENIO, Cecile Cagurangan</v>
      </c>
      <c r="F53" t="str">
        <f>mirror2020!L284</f>
        <v>CECILE C. EUGENIO</v>
      </c>
      <c r="G53" t="str">
        <f>mirror2020!M284</f>
        <v>Apayao</v>
      </c>
      <c r="H53" t="str">
        <f>mirror2020!K284</f>
        <v>EUGENIO</v>
      </c>
      <c r="I53" t="str">
        <f>mirror2020!N284</f>
        <v>F</v>
      </c>
      <c r="J53" s="128">
        <f>mirror2020!C284</f>
        <v>43070</v>
      </c>
      <c r="K53" s="134">
        <f>mirror2020!O284</f>
        <v>65319</v>
      </c>
      <c r="L53" s="134">
        <f>mirror2020!P284</f>
        <v>66385</v>
      </c>
      <c r="M53" s="134">
        <f>mirror2020!Q284</f>
        <v>1066</v>
      </c>
      <c r="N53">
        <f>mirror2020!R284</f>
        <v>0</v>
      </c>
      <c r="O53" s="135">
        <f ca="1">mirror2020!S284</f>
        <v>46722</v>
      </c>
    </row>
    <row r="54" spans="1:15">
      <c r="A54" t="str">
        <f>mirror2020!D285</f>
        <v>OSEC-DILGB-LGOO6-39-2017</v>
      </c>
      <c r="B54" t="str">
        <f>mirror2020!E285</f>
        <v>Local Government Operations Officer VI</v>
      </c>
      <c r="C54">
        <f>mirror2020!F285</f>
        <v>22</v>
      </c>
      <c r="D54" s="131">
        <f>mirror2020!I285</f>
        <v>1</v>
      </c>
      <c r="E54" t="str">
        <f>mirror2020!J285</f>
        <v>BEGTANG, Roderick Domingo</v>
      </c>
      <c r="F54" t="str">
        <f>mirror2020!L285</f>
        <v>RODERICK D. BEGTANG</v>
      </c>
      <c r="G54" t="str">
        <f>mirror2020!M285</f>
        <v>Apayao</v>
      </c>
      <c r="H54" t="str">
        <f>mirror2020!K285</f>
        <v>BEGTANG</v>
      </c>
      <c r="I54" t="str">
        <f>mirror2020!N285</f>
        <v>M</v>
      </c>
      <c r="J54" s="128">
        <f>mirror2020!C285</f>
        <v>43070</v>
      </c>
      <c r="K54" s="134">
        <f>mirror2020!O285</f>
        <v>65319</v>
      </c>
      <c r="L54" s="134">
        <f>mirror2020!P285</f>
        <v>66385</v>
      </c>
      <c r="M54" s="134">
        <f>mirror2020!Q285</f>
        <v>1066</v>
      </c>
      <c r="N54" t="str">
        <f>mirror2020!R285</f>
        <v>Shifting</v>
      </c>
      <c r="O54" s="135">
        <f ca="1">mirror2020!S285</f>
        <v>46722</v>
      </c>
    </row>
    <row r="55" spans="1:15">
      <c r="A55" t="str">
        <f>mirror2020!D286</f>
        <v>OSEC-DILGB-LGOO6-40-2017</v>
      </c>
      <c r="B55" t="str">
        <f>mirror2020!E286</f>
        <v>Local Government Operations Officer VI</v>
      </c>
      <c r="C55">
        <f>mirror2020!F286</f>
        <v>22</v>
      </c>
      <c r="D55" s="131">
        <f>mirror2020!I286</f>
        <v>1</v>
      </c>
      <c r="E55" t="str">
        <f>mirror2020!J286</f>
        <v>MANACNIS, Euchols Plazo</v>
      </c>
      <c r="F55" t="str">
        <f>mirror2020!L286</f>
        <v>EUCHOLS P. MANACNIS</v>
      </c>
      <c r="G55" t="str">
        <f>mirror2020!M286</f>
        <v>Benguet</v>
      </c>
      <c r="H55" t="str">
        <f>mirror2020!K286</f>
        <v>MANACNIS</v>
      </c>
      <c r="I55" t="str">
        <f>mirror2020!N286</f>
        <v>M</v>
      </c>
      <c r="J55" s="128">
        <f>mirror2020!C286</f>
        <v>43070</v>
      </c>
      <c r="K55" s="134">
        <f>mirror2020!O286</f>
        <v>65319</v>
      </c>
      <c r="L55" s="134">
        <f>mirror2020!P286</f>
        <v>66385</v>
      </c>
      <c r="M55" s="134">
        <f>mirror2020!Q286</f>
        <v>1066</v>
      </c>
      <c r="N55" t="str">
        <f>mirror2020!R286</f>
        <v>Shifting</v>
      </c>
      <c r="O55" s="135">
        <f ca="1">mirror2020!S286</f>
        <v>46722</v>
      </c>
    </row>
    <row r="56" spans="1:15">
      <c r="A56" t="str">
        <f>mirror2020!D287</f>
        <v>OSEC-DILGB-LGOO6-41-2017</v>
      </c>
      <c r="B56" t="str">
        <f>mirror2020!E287</f>
        <v>Local Government Operations Officer VI</v>
      </c>
      <c r="C56">
        <f>mirror2020!F287</f>
        <v>22</v>
      </c>
      <c r="D56" s="131">
        <f>mirror2020!I287</f>
        <v>1</v>
      </c>
      <c r="E56" t="str">
        <f>mirror2020!J287</f>
        <v>SAINGAN, Evelyn Mensi</v>
      </c>
      <c r="F56" t="str">
        <f>mirror2020!L287</f>
        <v>EVELYN M. SAINGAN</v>
      </c>
      <c r="G56" t="str">
        <f>mirror2020!M287</f>
        <v>Benguet</v>
      </c>
      <c r="H56" t="str">
        <f>mirror2020!K287</f>
        <v>SAINGAN</v>
      </c>
      <c r="I56" t="str">
        <f>mirror2020!N287</f>
        <v>F</v>
      </c>
      <c r="J56" s="128">
        <f>mirror2020!C287</f>
        <v>43089</v>
      </c>
      <c r="K56" s="134">
        <f>mirror2020!O287</f>
        <v>65319</v>
      </c>
      <c r="L56" s="134">
        <f>mirror2020!P287</f>
        <v>66385</v>
      </c>
      <c r="M56" s="134">
        <f>mirror2020!Q287</f>
        <v>1066</v>
      </c>
      <c r="N56" t="str">
        <f>mirror2020!R287</f>
        <v>Shifting</v>
      </c>
      <c r="O56" s="135">
        <f ca="1">mirror2020!S287</f>
        <v>46741</v>
      </c>
    </row>
    <row r="57" spans="1:15">
      <c r="A57" t="str">
        <f>mirror2020!D288</f>
        <v>OSEC-DILGB-LGOO6-43-2017</v>
      </c>
      <c r="B57" t="str">
        <f>mirror2020!E288</f>
        <v>Local Government Operations OFFICER VI</v>
      </c>
      <c r="C57">
        <f>mirror2020!F288</f>
        <v>22</v>
      </c>
      <c r="D57" s="131">
        <f>mirror2020!I288</f>
        <v>1</v>
      </c>
      <c r="E57" t="str">
        <f>mirror2020!J288</f>
        <v>CABANAYAN, Carol Chulipa</v>
      </c>
      <c r="F57" t="str">
        <f>mirror2020!L288</f>
        <v>CAROL C. CABANAYAN</v>
      </c>
      <c r="G57" t="str">
        <f>mirror2020!M288</f>
        <v>Ifugao</v>
      </c>
      <c r="H57" t="str">
        <f>mirror2020!K288</f>
        <v>CABANAYAN</v>
      </c>
      <c r="I57" t="str">
        <f>mirror2020!N288</f>
        <v>F</v>
      </c>
      <c r="J57" s="128">
        <f>mirror2020!C288</f>
        <v>43070</v>
      </c>
      <c r="K57" s="134">
        <f>mirror2020!O288</f>
        <v>65319</v>
      </c>
      <c r="L57" s="134">
        <f>mirror2020!P288</f>
        <v>66385</v>
      </c>
      <c r="M57" s="134">
        <f>mirror2020!Q288</f>
        <v>1066</v>
      </c>
      <c r="N57">
        <f>mirror2020!R288</f>
        <v>0</v>
      </c>
      <c r="O57" s="135">
        <f ca="1">mirror2020!S288</f>
        <v>46722</v>
      </c>
    </row>
    <row r="58" spans="1:15">
      <c r="A58" t="str">
        <f>mirror2020!D289</f>
        <v>OSEC-DILGB-LGOO6-44-2017</v>
      </c>
      <c r="B58" t="str">
        <f>mirror2020!E289</f>
        <v>Local Government Operations OFFICER VI</v>
      </c>
      <c r="C58">
        <f>mirror2020!F289</f>
        <v>22</v>
      </c>
      <c r="D58" s="131">
        <f>mirror2020!I289</f>
        <v>1</v>
      </c>
      <c r="E58" t="str">
        <f>mirror2020!J289</f>
        <v>PAGADDUT, Jimmy Bantiyan</v>
      </c>
      <c r="F58" t="str">
        <f>mirror2020!L289</f>
        <v>JIMMY B. PAGADDUT</v>
      </c>
      <c r="G58" t="str">
        <f>mirror2020!M289</f>
        <v>Ifugao</v>
      </c>
      <c r="H58" t="str">
        <f>mirror2020!K289</f>
        <v>PAGADDUT</v>
      </c>
      <c r="I58" t="str">
        <f>mirror2020!N289</f>
        <v>M</v>
      </c>
      <c r="J58" s="128">
        <f>mirror2020!C289</f>
        <v>43070</v>
      </c>
      <c r="K58" s="134">
        <f>mirror2020!O289</f>
        <v>65319</v>
      </c>
      <c r="L58" s="134">
        <f>mirror2020!P289</f>
        <v>66385</v>
      </c>
      <c r="M58" s="134">
        <f>mirror2020!Q289</f>
        <v>1066</v>
      </c>
      <c r="N58" t="str">
        <f>mirror2020!R289</f>
        <v>Shifting</v>
      </c>
      <c r="O58" s="135">
        <f ca="1">mirror2020!S289</f>
        <v>46722</v>
      </c>
    </row>
    <row r="59" spans="1:15">
      <c r="A59" t="str">
        <f>mirror2020!D290</f>
        <v>OSEC-DILGB-LGOO6-45-2017</v>
      </c>
      <c r="B59" t="str">
        <f>mirror2020!E290</f>
        <v>Local Government Operations OFFICER VI</v>
      </c>
      <c r="C59">
        <f>mirror2020!F290</f>
        <v>22</v>
      </c>
      <c r="D59" s="131">
        <f>mirror2020!I290</f>
        <v>1</v>
      </c>
      <c r="E59" t="str">
        <f>mirror2020!J290</f>
        <v>BULAYUNGAN, Isabel Allaga</v>
      </c>
      <c r="F59" t="str">
        <f>mirror2020!L290</f>
        <v>ISABEL A. BULAYUNGAN</v>
      </c>
      <c r="G59" t="str">
        <f>mirror2020!M290</f>
        <v>Ifugao</v>
      </c>
      <c r="H59" t="str">
        <f>mirror2020!K290</f>
        <v>BULAYUNGAN</v>
      </c>
      <c r="I59" t="str">
        <f>mirror2020!N290</f>
        <v>F</v>
      </c>
      <c r="J59" s="128">
        <f>mirror2020!C290</f>
        <v>43070</v>
      </c>
      <c r="K59" s="134">
        <f>mirror2020!O290</f>
        <v>65319</v>
      </c>
      <c r="L59" s="134">
        <f>mirror2020!P290</f>
        <v>66385</v>
      </c>
      <c r="M59" s="134">
        <f>mirror2020!Q290</f>
        <v>1066</v>
      </c>
      <c r="N59">
        <f>mirror2020!R290</f>
        <v>0</v>
      </c>
      <c r="O59" s="135">
        <f ca="1">mirror2020!S290</f>
        <v>46722</v>
      </c>
    </row>
    <row r="60" spans="1:15">
      <c r="A60" t="str">
        <f>mirror2020!D291</f>
        <v>OSEC-DILGB-LGOO6-46-2017</v>
      </c>
      <c r="B60" t="str">
        <f>mirror2020!E291</f>
        <v>Local Government Operations OFFICER VI</v>
      </c>
      <c r="C60">
        <f>mirror2020!F291</f>
        <v>22</v>
      </c>
      <c r="D60" s="131">
        <f>mirror2020!I291</f>
        <v>1</v>
      </c>
      <c r="E60" t="str">
        <f>mirror2020!J291</f>
        <v>MONAYAO, Jeda Paulha</v>
      </c>
      <c r="F60" t="str">
        <f>mirror2020!L291</f>
        <v>JEDA P. MONAYAO</v>
      </c>
      <c r="G60" t="str">
        <f>mirror2020!M291</f>
        <v>Ifugao</v>
      </c>
      <c r="H60" t="str">
        <f>mirror2020!K291</f>
        <v>MONAYAO</v>
      </c>
      <c r="I60" t="str">
        <f>mirror2020!N291</f>
        <v>F</v>
      </c>
      <c r="J60" s="128">
        <f>mirror2020!C291</f>
        <v>43070</v>
      </c>
      <c r="K60" s="134">
        <f>mirror2020!O291</f>
        <v>65319</v>
      </c>
      <c r="L60" s="134">
        <f>mirror2020!P291</f>
        <v>66385</v>
      </c>
      <c r="M60" s="134">
        <f>mirror2020!Q291</f>
        <v>1066</v>
      </c>
      <c r="N60" t="str">
        <f>mirror2020!R291</f>
        <v>Shifting</v>
      </c>
      <c r="O60" s="135">
        <f ca="1">mirror2020!S291</f>
        <v>46722</v>
      </c>
    </row>
    <row r="61" spans="1:15">
      <c r="A61" t="str">
        <f>mirror2020!D292</f>
        <v>OSEC-DILGB-LGOO6-47-2017</v>
      </c>
      <c r="B61" t="str">
        <f>mirror2020!E292</f>
        <v>Local Government Operations OFFICER VI</v>
      </c>
      <c r="C61">
        <f>mirror2020!F292</f>
        <v>22</v>
      </c>
      <c r="D61" s="131">
        <f>mirror2020!I292</f>
        <v>1</v>
      </c>
      <c r="E61" t="str">
        <f>mirror2020!J292</f>
        <v>DONG-E, Regina Tayaban</v>
      </c>
      <c r="F61" t="str">
        <f>mirror2020!L292</f>
        <v>REGINA T. DONG-E</v>
      </c>
      <c r="G61" t="str">
        <f>mirror2020!M292</f>
        <v>Ifugao</v>
      </c>
      <c r="H61" t="str">
        <f>mirror2020!K292</f>
        <v>DONG-E</v>
      </c>
      <c r="I61" t="str">
        <f>mirror2020!N292</f>
        <v>F</v>
      </c>
      <c r="J61" s="128">
        <f>mirror2020!C292</f>
        <v>43070</v>
      </c>
      <c r="K61" s="134">
        <f>mirror2020!O292</f>
        <v>65319</v>
      </c>
      <c r="L61" s="134">
        <f>mirror2020!P292</f>
        <v>66385</v>
      </c>
      <c r="M61" s="134">
        <f>mirror2020!Q292</f>
        <v>1066</v>
      </c>
      <c r="N61" t="str">
        <f>mirror2020!R292</f>
        <v>Shifting</v>
      </c>
      <c r="O61" s="135">
        <f ca="1">mirror2020!S292</f>
        <v>46722</v>
      </c>
    </row>
    <row r="62" spans="1:15">
      <c r="A62" t="str">
        <f>mirror2020!D293</f>
        <v>OSEC-DILGB-LGOO6-48-2017</v>
      </c>
      <c r="B62" t="str">
        <f>mirror2020!E293</f>
        <v>Local Government Operations OFFICER VI</v>
      </c>
      <c r="C62">
        <f>mirror2020!F293</f>
        <v>22</v>
      </c>
      <c r="D62" s="131">
        <f>mirror2020!I293</f>
        <v>1</v>
      </c>
      <c r="E62" t="str">
        <f>mirror2020!J293</f>
        <v>BANGO, Emmanuel Hiadan</v>
      </c>
      <c r="F62" t="str">
        <f>mirror2020!L293</f>
        <v>EMMANUEL H. BANGO</v>
      </c>
      <c r="G62" t="str">
        <f>mirror2020!M293</f>
        <v>Ifugao</v>
      </c>
      <c r="H62" t="str">
        <f>mirror2020!K293</f>
        <v>BANGO</v>
      </c>
      <c r="I62" t="str">
        <f>mirror2020!N293</f>
        <v>M</v>
      </c>
      <c r="J62" s="128">
        <f>mirror2020!C293</f>
        <v>43070</v>
      </c>
      <c r="K62" s="134">
        <f>mirror2020!O293</f>
        <v>65319</v>
      </c>
      <c r="L62" s="134">
        <f>mirror2020!P293</f>
        <v>66385</v>
      </c>
      <c r="M62" s="134">
        <f>mirror2020!Q293</f>
        <v>1066</v>
      </c>
      <c r="N62">
        <f>mirror2020!R293</f>
        <v>0</v>
      </c>
      <c r="O62" s="135">
        <f ca="1">mirror2020!S293</f>
        <v>46722</v>
      </c>
    </row>
    <row r="63" spans="1:15">
      <c r="A63" t="str">
        <f>mirror2020!D294</f>
        <v>OSEC-DILGB-LGOO6-49-2017</v>
      </c>
      <c r="B63" t="str">
        <f>mirror2020!E294</f>
        <v>Local Government Operations OFFICER VI</v>
      </c>
      <c r="C63">
        <f>mirror2020!F294</f>
        <v>22</v>
      </c>
      <c r="D63" s="131">
        <f>mirror2020!I294</f>
        <v>1</v>
      </c>
      <c r="E63" t="str">
        <f>mirror2020!J294</f>
        <v>ADAWE, Guillaume Lebbet</v>
      </c>
      <c r="F63" t="str">
        <f>mirror2020!L294</f>
        <v>GUILLAUME L. ADAWE</v>
      </c>
      <c r="G63" t="str">
        <f>mirror2020!M294</f>
        <v>Ifugao</v>
      </c>
      <c r="H63" t="str">
        <f>mirror2020!K294</f>
        <v>ADAWE</v>
      </c>
      <c r="I63" t="str">
        <f>mirror2020!N294</f>
        <v>M</v>
      </c>
      <c r="J63" s="128">
        <f>mirror2020!C294</f>
        <v>43070</v>
      </c>
      <c r="K63" s="134">
        <f>mirror2020!O294</f>
        <v>65319</v>
      </c>
      <c r="L63" s="134">
        <f>mirror2020!P294</f>
        <v>66385</v>
      </c>
      <c r="M63" s="134">
        <f>mirror2020!Q294</f>
        <v>1066</v>
      </c>
      <c r="N63">
        <f>mirror2020!R294</f>
        <v>0</v>
      </c>
      <c r="O63" s="135">
        <f ca="1">mirror2020!S294</f>
        <v>46722</v>
      </c>
    </row>
    <row r="64" spans="1:15">
      <c r="A64" t="str">
        <f>mirror2020!D295</f>
        <v>OSEC-DILGB-LGOO6-50-2017</v>
      </c>
      <c r="B64" t="str">
        <f>mirror2020!E295</f>
        <v>Local Government Operations OFFICER VI</v>
      </c>
      <c r="C64">
        <f>mirror2020!F295</f>
        <v>22</v>
      </c>
      <c r="D64" s="131">
        <f>mirror2020!I295</f>
        <v>1</v>
      </c>
      <c r="E64" t="str">
        <f>mirror2020!J295</f>
        <v>APLOSEN, Roselle Nanglegan</v>
      </c>
      <c r="F64" t="str">
        <f>mirror2020!L295</f>
        <v>ROSELLE N. APLOSEN</v>
      </c>
      <c r="G64" t="str">
        <f>mirror2020!M295</f>
        <v>Ifugao</v>
      </c>
      <c r="H64" t="str">
        <f>mirror2020!K295</f>
        <v>APLOSEN</v>
      </c>
      <c r="I64" t="str">
        <f>mirror2020!N295</f>
        <v>F</v>
      </c>
      <c r="J64" s="128">
        <f>mirror2020!C295</f>
        <v>43087</v>
      </c>
      <c r="K64" s="134">
        <f>mirror2020!O295</f>
        <v>65319</v>
      </c>
      <c r="L64" s="134">
        <f>mirror2020!P295</f>
        <v>66385</v>
      </c>
      <c r="M64" s="134">
        <f>mirror2020!Q295</f>
        <v>1066</v>
      </c>
      <c r="N64">
        <f>mirror2020!R295</f>
        <v>0</v>
      </c>
      <c r="O64" s="135">
        <f ca="1">mirror2020!S295</f>
        <v>46739</v>
      </c>
    </row>
    <row r="65" spans="1:15">
      <c r="A65" t="str">
        <f>mirror2020!D296</f>
        <v>OSEC-DILGB-LGOO6-51-2017</v>
      </c>
      <c r="B65" t="str">
        <f>mirror2020!E296</f>
        <v>Local Government Operations OFFICER VI</v>
      </c>
      <c r="C65">
        <f>mirror2020!F296</f>
        <v>22</v>
      </c>
      <c r="D65" s="131">
        <f>mirror2020!I296</f>
        <v>1</v>
      </c>
      <c r="E65" t="str">
        <f>mirror2020!J296</f>
        <v>UMALCO, Wilbert Mayam-o</v>
      </c>
      <c r="F65" t="str">
        <f>mirror2020!L296</f>
        <v>WILBERT M. UMALCO</v>
      </c>
      <c r="G65" t="str">
        <f>mirror2020!M296</f>
        <v>Ifugao</v>
      </c>
      <c r="H65" t="str">
        <f>mirror2020!K296</f>
        <v>UMALCO</v>
      </c>
      <c r="I65" t="str">
        <f>mirror2020!N296</f>
        <v>M</v>
      </c>
      <c r="J65" s="128">
        <f>mirror2020!C296</f>
        <v>43070</v>
      </c>
      <c r="K65" s="134">
        <f>mirror2020!O296</f>
        <v>65319</v>
      </c>
      <c r="L65" s="134">
        <f>mirror2020!P296</f>
        <v>66385</v>
      </c>
      <c r="M65" s="134">
        <f>mirror2020!Q296</f>
        <v>1066</v>
      </c>
      <c r="N65">
        <f>mirror2020!R296</f>
        <v>0</v>
      </c>
      <c r="O65" s="135">
        <f ca="1">mirror2020!S296</f>
        <v>46722</v>
      </c>
    </row>
    <row r="66" spans="1:15">
      <c r="A66" t="str">
        <f>mirror2020!D297</f>
        <v>OSEC-DILGB-LGOO6-52-2017</v>
      </c>
      <c r="B66" t="str">
        <f>mirror2020!E297</f>
        <v>Local Government Operations OFFICER VI</v>
      </c>
      <c r="C66">
        <f>mirror2020!F297</f>
        <v>22</v>
      </c>
      <c r="D66" s="131">
        <f>mirror2020!I297</f>
        <v>1</v>
      </c>
      <c r="E66" t="str">
        <f>mirror2020!J297</f>
        <v>LINDAWAN, Gilbert Nayahangan</v>
      </c>
      <c r="F66" t="str">
        <f>mirror2020!L297</f>
        <v>GILBERT N. LINDAWAN</v>
      </c>
      <c r="G66" t="str">
        <f>mirror2020!M297</f>
        <v>Ifugao</v>
      </c>
      <c r="H66" t="str">
        <f>mirror2020!K297</f>
        <v>LINDAWAN</v>
      </c>
      <c r="I66" t="str">
        <f>mirror2020!N297</f>
        <v>M</v>
      </c>
      <c r="J66" s="128">
        <f>mirror2020!C297</f>
        <v>43070</v>
      </c>
      <c r="K66" s="134">
        <f>mirror2020!O297</f>
        <v>65319</v>
      </c>
      <c r="L66" s="134">
        <f>mirror2020!P297</f>
        <v>66385</v>
      </c>
      <c r="M66" s="134">
        <f>mirror2020!Q297</f>
        <v>1066</v>
      </c>
      <c r="N66">
        <f>mirror2020!R297</f>
        <v>0</v>
      </c>
      <c r="O66" s="135">
        <f ca="1">mirror2020!S297</f>
        <v>46722</v>
      </c>
    </row>
    <row r="67" spans="1:15">
      <c r="A67" t="str">
        <f>mirror2020!D298</f>
        <v>OSEC-DILGB-LGOO6-53-2017</v>
      </c>
      <c r="B67" t="str">
        <f>mirror2020!E298</f>
        <v>Local Government Operations OFFICER VI</v>
      </c>
      <c r="C67">
        <f>mirror2020!F298</f>
        <v>22</v>
      </c>
      <c r="D67" s="131">
        <f>mirror2020!I298</f>
        <v>1</v>
      </c>
      <c r="E67" t="str">
        <f>mirror2020!J298</f>
        <v>MARCAIDA, Linda Himoldang</v>
      </c>
      <c r="F67" t="str">
        <f>mirror2020!L298</f>
        <v>LINDA H. MARCAIDA</v>
      </c>
      <c r="G67" t="str">
        <f>mirror2020!M298</f>
        <v>Ifugao</v>
      </c>
      <c r="H67" t="str">
        <f>mirror2020!K298</f>
        <v>MARCAIDA</v>
      </c>
      <c r="I67" t="str">
        <f>mirror2020!N298</f>
        <v>F</v>
      </c>
      <c r="J67" s="128">
        <f>mirror2020!C298</f>
        <v>43070</v>
      </c>
      <c r="K67" s="134">
        <f>mirror2020!O298</f>
        <v>65319</v>
      </c>
      <c r="L67" s="134">
        <f>mirror2020!P298</f>
        <v>66385</v>
      </c>
      <c r="M67" s="134">
        <f>mirror2020!Q298</f>
        <v>1066</v>
      </c>
      <c r="N67">
        <f>mirror2020!R298</f>
        <v>0</v>
      </c>
      <c r="O67" s="135">
        <f ca="1">mirror2020!S298</f>
        <v>46722</v>
      </c>
    </row>
    <row r="68" spans="1:15">
      <c r="A68" t="str">
        <f>mirror2020!D299</f>
        <v>OSEC-DILGB-LGOO6-54-2017</v>
      </c>
      <c r="B68" t="str">
        <f>mirror2020!E299</f>
        <v>Local Government Operations OFFICER VI</v>
      </c>
      <c r="C68">
        <f>mirror2020!F299</f>
        <v>22</v>
      </c>
      <c r="D68" s="131">
        <f>mirror2020!I299</f>
        <v>1</v>
      </c>
      <c r="E68" t="str">
        <f>mirror2020!J299</f>
        <v>LUCAS, Chris Berana</v>
      </c>
      <c r="F68" t="str">
        <f>mirror2020!L299</f>
        <v>CHRIS B. LUCAS</v>
      </c>
      <c r="G68" t="str">
        <f>mirror2020!M299</f>
        <v>Kalinga</v>
      </c>
      <c r="H68" t="str">
        <f>mirror2020!K299</f>
        <v>LUCAS</v>
      </c>
      <c r="I68" t="str">
        <f>mirror2020!N299</f>
        <v>M</v>
      </c>
      <c r="J68" s="128">
        <f>mirror2020!C299</f>
        <v>43070</v>
      </c>
      <c r="K68" s="134">
        <f>mirror2020!O299</f>
        <v>65319</v>
      </c>
      <c r="L68" s="134">
        <f>mirror2020!P299</f>
        <v>66385</v>
      </c>
      <c r="M68" s="134">
        <f>mirror2020!Q299</f>
        <v>1066</v>
      </c>
      <c r="N68">
        <f>mirror2020!R299</f>
        <v>0</v>
      </c>
      <c r="O68" s="135">
        <f ca="1">mirror2020!S299</f>
        <v>46722</v>
      </c>
    </row>
    <row r="69" spans="1:15">
      <c r="A69" t="str">
        <f>mirror2020!D300</f>
        <v>OSEC-DILGB-LGOO6-55-2017</v>
      </c>
      <c r="B69" t="str">
        <f>mirror2020!E300</f>
        <v>Local Government Operations OFFICER VI</v>
      </c>
      <c r="C69">
        <f>mirror2020!F300</f>
        <v>22</v>
      </c>
      <c r="D69" s="131">
        <f>mirror2020!I300</f>
        <v>1</v>
      </c>
      <c r="E69" t="str">
        <f>mirror2020!J300</f>
        <v>ACUAT, Alexander Gacuya</v>
      </c>
      <c r="F69" t="str">
        <f>mirror2020!L300</f>
        <v>ALEXANDER G. ACUAT</v>
      </c>
      <c r="G69" t="str">
        <f>mirror2020!M300</f>
        <v>Kalinga</v>
      </c>
      <c r="H69" t="str">
        <f>mirror2020!K300</f>
        <v>ACUAT</v>
      </c>
      <c r="I69" t="str">
        <f>mirror2020!N300</f>
        <v>M</v>
      </c>
      <c r="J69" s="128">
        <f>mirror2020!C300</f>
        <v>43087</v>
      </c>
      <c r="K69" s="134">
        <f>mirror2020!O300</f>
        <v>65319</v>
      </c>
      <c r="L69" s="134">
        <f>mirror2020!P300</f>
        <v>66385</v>
      </c>
      <c r="M69" s="134">
        <f>mirror2020!Q300</f>
        <v>1066</v>
      </c>
      <c r="N69">
        <f>mirror2020!R300</f>
        <v>0</v>
      </c>
      <c r="O69" s="135">
        <f ca="1">mirror2020!S300</f>
        <v>46739</v>
      </c>
    </row>
    <row r="70" spans="1:15">
      <c r="A70" t="str">
        <f>mirror2020!D301</f>
        <v>OSEC-DILGB-LGOO6-56-2017</v>
      </c>
      <c r="B70" t="str">
        <f>mirror2020!E301</f>
        <v>Local Government Operations OFFICER VI</v>
      </c>
      <c r="C70">
        <f>mirror2020!F301</f>
        <v>22</v>
      </c>
      <c r="D70" s="131">
        <f>mirror2020!I301</f>
        <v>1</v>
      </c>
      <c r="E70" t="str">
        <f>mirror2020!J301</f>
        <v>LORENZO, Elizabeth Perpetua Baylon</v>
      </c>
      <c r="F70" t="str">
        <f>mirror2020!L301</f>
        <v>ELIZABETH PERPETUA B. LORENZO</v>
      </c>
      <c r="G70" t="str">
        <f>mirror2020!M301</f>
        <v>Kalinga</v>
      </c>
      <c r="H70" t="str">
        <f>mirror2020!K301</f>
        <v>LORENZO</v>
      </c>
      <c r="I70" t="str">
        <f>mirror2020!N301</f>
        <v>F</v>
      </c>
      <c r="J70" s="128">
        <f>mirror2020!C301</f>
        <v>43070</v>
      </c>
      <c r="K70" s="134">
        <f>mirror2020!O301</f>
        <v>65319</v>
      </c>
      <c r="L70" s="134">
        <f>mirror2020!P301</f>
        <v>66385</v>
      </c>
      <c r="M70" s="134">
        <f>mirror2020!Q301</f>
        <v>1066</v>
      </c>
      <c r="N70" t="str">
        <f>mirror2020!R301</f>
        <v>Shifting</v>
      </c>
      <c r="O70" s="135">
        <f ca="1">mirror2020!S301</f>
        <v>46722</v>
      </c>
    </row>
    <row r="71" spans="1:15">
      <c r="A71" t="str">
        <f>mirror2020!D302</f>
        <v>OSEC-DILGB-LGOO6-57-2017</v>
      </c>
      <c r="B71" t="str">
        <f>mirror2020!E302</f>
        <v>Local Government Operations OFFICER VI</v>
      </c>
      <c r="C71">
        <f>mirror2020!F302</f>
        <v>22</v>
      </c>
      <c r="D71" s="131">
        <f>mirror2020!I302</f>
        <v>1</v>
      </c>
      <c r="E71" t="str">
        <f>mirror2020!J302</f>
        <v>LACUESTA, Helen Espita</v>
      </c>
      <c r="F71" t="str">
        <f>mirror2020!L302</f>
        <v>HELEN E. LACUESTA</v>
      </c>
      <c r="G71" t="str">
        <f>mirror2020!M302</f>
        <v>Kalinga</v>
      </c>
      <c r="H71" t="str">
        <f>mirror2020!K302</f>
        <v>LACUESTA</v>
      </c>
      <c r="I71" t="str">
        <f>mirror2020!N302</f>
        <v>F</v>
      </c>
      <c r="J71" s="128">
        <f>mirror2020!C302</f>
        <v>43087</v>
      </c>
      <c r="K71" s="134">
        <f>mirror2020!O302</f>
        <v>65319</v>
      </c>
      <c r="L71" s="134">
        <f>mirror2020!P302</f>
        <v>66385</v>
      </c>
      <c r="M71" s="134">
        <f>mirror2020!Q302</f>
        <v>1066</v>
      </c>
      <c r="N71" t="str">
        <f>mirror2020!R302</f>
        <v>Shifting</v>
      </c>
      <c r="O71" s="135">
        <f ca="1">mirror2020!S302</f>
        <v>46739</v>
      </c>
    </row>
    <row r="72" spans="1:15">
      <c r="A72" t="str">
        <f>mirror2020!D303</f>
        <v>OSEC-DILGB-LGOO6-58-2017</v>
      </c>
      <c r="B72" t="str">
        <f>mirror2020!E303</f>
        <v>Local Government Operations OFFICER VI</v>
      </c>
      <c r="C72">
        <f>mirror2020!F303</f>
        <v>22</v>
      </c>
      <c r="D72" s="131">
        <f>mirror2020!I303</f>
        <v>1</v>
      </c>
      <c r="E72" t="str">
        <f>mirror2020!J303</f>
        <v>ATING, Lucas Alsiyao</v>
      </c>
      <c r="F72" t="str">
        <f>mirror2020!L303</f>
        <v>LUCAS A. ATING</v>
      </c>
      <c r="G72" t="str">
        <f>mirror2020!M303</f>
        <v>Kalinga</v>
      </c>
      <c r="H72" t="str">
        <f>mirror2020!K303</f>
        <v>ATING</v>
      </c>
      <c r="I72" t="str">
        <f>mirror2020!N303</f>
        <v>M</v>
      </c>
      <c r="J72" s="128">
        <f>mirror2020!C303</f>
        <v>43070</v>
      </c>
      <c r="K72" s="134">
        <f>mirror2020!O303</f>
        <v>65319</v>
      </c>
      <c r="L72" s="134">
        <f>mirror2020!P303</f>
        <v>66385</v>
      </c>
      <c r="M72" s="134">
        <f>mirror2020!Q303</f>
        <v>1066</v>
      </c>
      <c r="N72">
        <f>mirror2020!R303</f>
        <v>0</v>
      </c>
      <c r="O72" s="135">
        <f ca="1">mirror2020!S303</f>
        <v>46722</v>
      </c>
    </row>
    <row r="73" spans="1:15">
      <c r="A73" t="str">
        <f>mirror2020!D304</f>
        <v>OSEC-DILGB-LGOO6-59-2017</v>
      </c>
      <c r="B73" t="str">
        <f>mirror2020!E304</f>
        <v>Local Government Operations OFFICER VI</v>
      </c>
      <c r="C73">
        <f>mirror2020!F304</f>
        <v>22</v>
      </c>
      <c r="D73" s="131">
        <f>mirror2020!I304</f>
        <v>1</v>
      </c>
      <c r="E73" t="str">
        <f>mirror2020!J304</f>
        <v>BAWANTA, Gemma Oga-oy</v>
      </c>
      <c r="F73" t="str">
        <f>mirror2020!L304</f>
        <v>GEMMA O. BAWANTA</v>
      </c>
      <c r="G73" t="str">
        <f>mirror2020!M304</f>
        <v>Kalinga</v>
      </c>
      <c r="H73" t="str">
        <f>mirror2020!K304</f>
        <v>BAWANTA</v>
      </c>
      <c r="I73" t="str">
        <f>mirror2020!N304</f>
        <v>F</v>
      </c>
      <c r="J73" s="128">
        <f>mirror2020!C304</f>
        <v>43070</v>
      </c>
      <c r="K73" s="134">
        <f>mirror2020!O304</f>
        <v>65319</v>
      </c>
      <c r="L73" s="134">
        <f>mirror2020!P304</f>
        <v>66385</v>
      </c>
      <c r="M73" s="134">
        <f>mirror2020!Q304</f>
        <v>1066</v>
      </c>
      <c r="N73">
        <f>mirror2020!R304</f>
        <v>0</v>
      </c>
      <c r="O73" s="135">
        <f ca="1">mirror2020!S304</f>
        <v>46722</v>
      </c>
    </row>
    <row r="74" spans="1:15">
      <c r="A74" t="str">
        <f>mirror2020!D305</f>
        <v>OSEC-DILGB-LGOO6-60-2017</v>
      </c>
      <c r="B74" t="str">
        <f>mirror2020!E305</f>
        <v>Local Government Operations OFFICER VI</v>
      </c>
      <c r="C74">
        <f>mirror2020!F305</f>
        <v>22</v>
      </c>
      <c r="D74" s="131">
        <f>mirror2020!I305</f>
        <v>1</v>
      </c>
      <c r="E74" t="str">
        <f>mirror2020!J305</f>
        <v>GAYUDAN, Franchita Lucob</v>
      </c>
      <c r="F74" t="str">
        <f>mirror2020!L305</f>
        <v>FRANCHITA L. GAYUDAN</v>
      </c>
      <c r="G74" t="str">
        <f>mirror2020!M305</f>
        <v>Kalinga</v>
      </c>
      <c r="H74" t="str">
        <f>mirror2020!K305</f>
        <v>GAYUDAN</v>
      </c>
      <c r="I74" t="str">
        <f>mirror2020!N305</f>
        <v>F</v>
      </c>
      <c r="J74" s="128">
        <f>mirror2020!C305</f>
        <v>43070</v>
      </c>
      <c r="K74" s="134">
        <f>mirror2020!O305</f>
        <v>65319</v>
      </c>
      <c r="L74" s="134">
        <f>mirror2020!P305</f>
        <v>66385</v>
      </c>
      <c r="M74" s="134">
        <f>mirror2020!Q305</f>
        <v>1066</v>
      </c>
      <c r="N74" t="str">
        <f>mirror2020!R305</f>
        <v>Shifting</v>
      </c>
      <c r="O74" s="135">
        <f ca="1">mirror2020!S305</f>
        <v>46722</v>
      </c>
    </row>
    <row r="75" spans="1:15">
      <c r="A75" t="str">
        <f>mirror2020!D306</f>
        <v>OSEC-DILGB-LGOO6-61-2017</v>
      </c>
      <c r="B75" t="str">
        <f>mirror2020!E306</f>
        <v>Local Government Operations Officer VI</v>
      </c>
      <c r="C75">
        <f>mirror2020!F306</f>
        <v>22</v>
      </c>
      <c r="D75" s="131">
        <f>mirror2020!I306</f>
        <v>1</v>
      </c>
      <c r="E75" t="str">
        <f>mirror2020!J306</f>
        <v>PEEL, Lourdes Claire Fanusan</v>
      </c>
      <c r="F75" t="str">
        <f>mirror2020!L306</f>
        <v>LOURDES CLAIRE F. PEEL</v>
      </c>
      <c r="G75" t="str">
        <f>mirror2020!M306</f>
        <v>Mt. Province</v>
      </c>
      <c r="H75" t="str">
        <f>mirror2020!K306</f>
        <v>PEEL</v>
      </c>
      <c r="I75" t="str">
        <f>mirror2020!N306</f>
        <v>F</v>
      </c>
      <c r="J75" s="128">
        <f>mirror2020!C306</f>
        <v>43070</v>
      </c>
      <c r="K75" s="134">
        <f>mirror2020!O306</f>
        <v>65319</v>
      </c>
      <c r="L75" s="134">
        <f>mirror2020!P306</f>
        <v>66385</v>
      </c>
      <c r="M75" s="134">
        <f>mirror2020!Q306</f>
        <v>1066</v>
      </c>
      <c r="N75">
        <f>mirror2020!R306</f>
        <v>0</v>
      </c>
      <c r="O75" s="135">
        <f ca="1">mirror2020!S306</f>
        <v>46722</v>
      </c>
    </row>
    <row r="76" spans="1:15">
      <c r="A76" t="str">
        <f>mirror2020!D307</f>
        <v>OSEC-DILGB-LGOO6-62-2017</v>
      </c>
      <c r="B76" t="str">
        <f>mirror2020!E307</f>
        <v>Local Government Operations Officer VI</v>
      </c>
      <c r="C76">
        <f>mirror2020!F307</f>
        <v>22</v>
      </c>
      <c r="D76" s="131">
        <f>mirror2020!I307</f>
        <v>1</v>
      </c>
      <c r="E76" t="str">
        <f>mirror2020!J307</f>
        <v>FEGCAN, Erwin Gerald Talusig</v>
      </c>
      <c r="F76" t="str">
        <f>mirror2020!L307</f>
        <v>ERWIN GERALD T. FEGCAN</v>
      </c>
      <c r="G76" t="str">
        <f>mirror2020!M307</f>
        <v>Mt. Province</v>
      </c>
      <c r="H76" t="str">
        <f>mirror2020!K307</f>
        <v>FEGCAN</v>
      </c>
      <c r="I76" t="str">
        <f>mirror2020!N307</f>
        <v>M</v>
      </c>
      <c r="J76" s="128">
        <f>mirror2020!C307</f>
        <v>43070</v>
      </c>
      <c r="K76" s="134">
        <f>mirror2020!O307</f>
        <v>65319</v>
      </c>
      <c r="L76" s="134">
        <f>mirror2020!P307</f>
        <v>66385</v>
      </c>
      <c r="M76" s="134">
        <f>mirror2020!Q307</f>
        <v>1066</v>
      </c>
      <c r="N76">
        <f>mirror2020!R307</f>
        <v>0</v>
      </c>
      <c r="O76" s="135">
        <f ca="1">mirror2020!S307</f>
        <v>46722</v>
      </c>
    </row>
    <row r="77" spans="1:15">
      <c r="A77" t="str">
        <f>mirror2020!D308</f>
        <v>OSEC-DILGB-LGOO6-64-2017</v>
      </c>
      <c r="B77" t="str">
        <f>mirror2020!E308</f>
        <v>Local Government Operations Officer VI</v>
      </c>
      <c r="C77">
        <f>mirror2020!F308</f>
        <v>22</v>
      </c>
      <c r="D77" s="131">
        <f>mirror2020!I308</f>
        <v>1</v>
      </c>
      <c r="E77" t="str">
        <f>mirror2020!J308</f>
        <v>FA-ED, Jill  Fanged</v>
      </c>
      <c r="F77" t="str">
        <f>mirror2020!L308</f>
        <v>JILL  F. FA-ED</v>
      </c>
      <c r="G77" t="str">
        <f>mirror2020!M308</f>
        <v>Mt. Province</v>
      </c>
      <c r="H77" t="str">
        <f>mirror2020!K308</f>
        <v>FA-ED</v>
      </c>
      <c r="I77" t="str">
        <f>mirror2020!N308</f>
        <v>F</v>
      </c>
      <c r="J77" s="128">
        <f>mirror2020!C308</f>
        <v>43070</v>
      </c>
      <c r="K77" s="134">
        <f>mirror2020!O308</f>
        <v>65319</v>
      </c>
      <c r="L77" s="134">
        <f>mirror2020!P308</f>
        <v>66385</v>
      </c>
      <c r="M77" s="134">
        <f>mirror2020!Q308</f>
        <v>1066</v>
      </c>
      <c r="N77">
        <f>mirror2020!R308</f>
        <v>0</v>
      </c>
      <c r="O77" s="135">
        <f ca="1">mirror2020!S308</f>
        <v>46722</v>
      </c>
    </row>
    <row r="78" spans="1:15">
      <c r="A78" t="str">
        <f>mirror2020!D309</f>
        <v>OSEC-DILGB-LGOO6-65-2017</v>
      </c>
      <c r="B78" t="str">
        <f>mirror2020!E309</f>
        <v>Local Government Operations Officer VI</v>
      </c>
      <c r="C78">
        <f>mirror2020!F309</f>
        <v>22</v>
      </c>
      <c r="D78" s="131">
        <f>mirror2020!I309</f>
        <v>1</v>
      </c>
      <c r="E78" t="str">
        <f>mirror2020!J309</f>
        <v>BASCO, Raymundo Jacinto Pandoyos</v>
      </c>
      <c r="F78" t="str">
        <f>mirror2020!L309</f>
        <v>RAYMUNDO JACINTO P. BASCO</v>
      </c>
      <c r="G78" t="str">
        <f>mirror2020!M309</f>
        <v>Mt. Province</v>
      </c>
      <c r="H78" t="str">
        <f>mirror2020!K309</f>
        <v>BASCO</v>
      </c>
      <c r="I78" t="str">
        <f>mirror2020!N309</f>
        <v>M</v>
      </c>
      <c r="J78" s="128">
        <f>mirror2020!C309</f>
        <v>43087</v>
      </c>
      <c r="K78" s="134">
        <f>mirror2020!O309</f>
        <v>65319</v>
      </c>
      <c r="L78" s="134">
        <f>mirror2020!P309</f>
        <v>66385</v>
      </c>
      <c r="M78" s="134">
        <f>mirror2020!Q309</f>
        <v>1066</v>
      </c>
      <c r="N78">
        <f>mirror2020!R309</f>
        <v>0</v>
      </c>
      <c r="O78" s="135">
        <f ca="1">mirror2020!S309</f>
        <v>46739</v>
      </c>
    </row>
    <row r="79" spans="1:15">
      <c r="A79" t="str">
        <f>mirror2020!D310</f>
        <v>OSEC-DILGB-LGOO6-66-2017</v>
      </c>
      <c r="B79" t="str">
        <f>mirror2020!E310</f>
        <v>Local Government Operations Officer VI</v>
      </c>
      <c r="C79">
        <f>mirror2020!F310</f>
        <v>22</v>
      </c>
      <c r="D79" s="131">
        <f>mirror2020!I310</f>
        <v>1</v>
      </c>
      <c r="E79" t="str">
        <f>mirror2020!J310</f>
        <v>PILUDEN, Judy Colabot</v>
      </c>
      <c r="F79" t="str">
        <f>mirror2020!L310</f>
        <v>JUDY C. PILUDEN</v>
      </c>
      <c r="G79" t="str">
        <f>mirror2020!M310</f>
        <v>Mt. Province</v>
      </c>
      <c r="H79" t="str">
        <f>mirror2020!K310</f>
        <v>PILUDEN</v>
      </c>
      <c r="I79" t="str">
        <f>mirror2020!N310</f>
        <v>F</v>
      </c>
      <c r="J79" s="128">
        <f>mirror2020!C310</f>
        <v>43070</v>
      </c>
      <c r="K79" s="134">
        <f>mirror2020!O310</f>
        <v>65319</v>
      </c>
      <c r="L79" s="134">
        <f>mirror2020!P310</f>
        <v>66385</v>
      </c>
      <c r="M79" s="134">
        <f>mirror2020!Q310</f>
        <v>1066</v>
      </c>
      <c r="N79">
        <f>mirror2020!R310</f>
        <v>0</v>
      </c>
      <c r="O79" s="135">
        <f ca="1">mirror2020!S310</f>
        <v>46722</v>
      </c>
    </row>
    <row r="80" spans="1:15">
      <c r="A80" t="str">
        <f>mirror2020!D311</f>
        <v>OSEC-DILGB-LGOO6-67-2017</v>
      </c>
      <c r="B80" t="str">
        <f>mirror2020!E311</f>
        <v>Local Government Operations Officer VI</v>
      </c>
      <c r="C80">
        <f>mirror2020!F311</f>
        <v>22</v>
      </c>
      <c r="D80" s="131">
        <f>mirror2020!I311</f>
        <v>1</v>
      </c>
      <c r="E80" t="str">
        <f>mirror2020!J311</f>
        <v>MAYMAYA, Johnny Jr.  Mukay</v>
      </c>
      <c r="F80" t="str">
        <f>mirror2020!L311</f>
        <v>JOHNNY JR.  M. MAYMAYA</v>
      </c>
      <c r="G80" t="str">
        <f>mirror2020!M311</f>
        <v>Mt. Province</v>
      </c>
      <c r="H80" t="str">
        <f>mirror2020!K311</f>
        <v>MAYMAYA</v>
      </c>
      <c r="I80" t="str">
        <f>mirror2020!N311</f>
        <v>M</v>
      </c>
      <c r="J80" s="128">
        <f>mirror2020!C311</f>
        <v>43089</v>
      </c>
      <c r="K80" s="134">
        <f>mirror2020!O311</f>
        <v>65319</v>
      </c>
      <c r="L80" s="134">
        <f>mirror2020!P311</f>
        <v>66385</v>
      </c>
      <c r="M80" s="134">
        <f>mirror2020!Q311</f>
        <v>1066</v>
      </c>
      <c r="N80" t="str">
        <f>mirror2020!R311</f>
        <v>Shifting</v>
      </c>
      <c r="O80" s="135">
        <f ca="1">mirror2020!S311</f>
        <v>46741</v>
      </c>
    </row>
    <row r="81" spans="1:15">
      <c r="A81" t="str">
        <f>mirror2020!D312</f>
        <v>OSEC-DILGB-LGOO6-68-2017</v>
      </c>
      <c r="B81" t="str">
        <f>mirror2020!E312</f>
        <v>Local Government Operations Officer VI</v>
      </c>
      <c r="C81">
        <f>mirror2020!F312</f>
        <v>22</v>
      </c>
      <c r="D81" s="131">
        <f>mirror2020!I312</f>
        <v>1</v>
      </c>
      <c r="E81" t="str">
        <f>mirror2020!J312</f>
        <v>GUIAWAN, Maria Addalay</v>
      </c>
      <c r="F81" t="str">
        <f>mirror2020!L312</f>
        <v>MARIA A. GUIAWAN</v>
      </c>
      <c r="G81" t="str">
        <f>mirror2020!M312</f>
        <v>Mt. Province</v>
      </c>
      <c r="H81" t="str">
        <f>mirror2020!K312</f>
        <v>GUIAWAN</v>
      </c>
      <c r="I81" t="str">
        <f>mirror2020!N312</f>
        <v>F</v>
      </c>
      <c r="J81" s="128">
        <f>mirror2020!C312</f>
        <v>43070</v>
      </c>
      <c r="K81" s="134">
        <f>mirror2020!O312</f>
        <v>65319</v>
      </c>
      <c r="L81" s="134">
        <f>mirror2020!P312</f>
        <v>66385</v>
      </c>
      <c r="M81" s="134">
        <f>mirror2020!Q312</f>
        <v>1066</v>
      </c>
      <c r="N81" t="str">
        <f>mirror2020!R312</f>
        <v>Shifting</v>
      </c>
      <c r="O81" s="135">
        <f ca="1">mirror2020!S312</f>
        <v>46722</v>
      </c>
    </row>
    <row r="82" spans="1:15">
      <c r="A82" t="str">
        <f>mirror2020!D313</f>
        <v>OSEC-DILGB-LGOO6-69-2017</v>
      </c>
      <c r="B82" t="str">
        <f>mirror2020!E313</f>
        <v>Local Government Operations Officer VI</v>
      </c>
      <c r="C82">
        <f>mirror2020!F313</f>
        <v>22</v>
      </c>
      <c r="D82" s="131">
        <f>mirror2020!I313</f>
        <v>1</v>
      </c>
      <c r="E82" t="str">
        <f>mirror2020!J313</f>
        <v>BASILIO, Caridad  Ballang</v>
      </c>
      <c r="F82" t="str">
        <f>mirror2020!L313</f>
        <v>CARIDAD  B. BASILIO</v>
      </c>
      <c r="G82" t="str">
        <f>mirror2020!M313</f>
        <v>Mt. Province</v>
      </c>
      <c r="H82" t="str">
        <f>mirror2020!K313</f>
        <v>BASILIO</v>
      </c>
      <c r="I82" t="str">
        <f>mirror2020!N313</f>
        <v>F</v>
      </c>
      <c r="J82" s="128">
        <f>mirror2020!C313</f>
        <v>43070</v>
      </c>
      <c r="K82" s="134">
        <f>mirror2020!O313</f>
        <v>65319</v>
      </c>
      <c r="L82" s="134">
        <f>mirror2020!P313</f>
        <v>66385</v>
      </c>
      <c r="M82" s="134">
        <f>mirror2020!Q313</f>
        <v>1066</v>
      </c>
      <c r="N82">
        <f>mirror2020!R313</f>
        <v>0</v>
      </c>
      <c r="O82" s="135">
        <f ca="1">mirror2020!S313</f>
        <v>46722</v>
      </c>
    </row>
    <row r="83" spans="1:15">
      <c r="A83" t="str">
        <f>mirror2020!D314</f>
        <v>OSEC-DILGB-LGOO6-70-2017</v>
      </c>
      <c r="B83" t="str">
        <f>mirror2020!E314</f>
        <v>Local Government Operations Officer VI</v>
      </c>
      <c r="C83">
        <f>mirror2020!F314</f>
        <v>22</v>
      </c>
      <c r="D83" s="131">
        <f>mirror2020!I314</f>
        <v>1</v>
      </c>
      <c r="E83" t="str">
        <f>mirror2020!J314</f>
        <v>BALDERAMA, Antonio Badere</v>
      </c>
      <c r="F83" t="str">
        <f>mirror2020!L314</f>
        <v>ANTONIO B. BALDERAMA</v>
      </c>
      <c r="G83" t="str">
        <f>mirror2020!M314</f>
        <v>Abra</v>
      </c>
      <c r="H83" t="str">
        <f>mirror2020!K314</f>
        <v>BALDERAMA</v>
      </c>
      <c r="I83" t="str">
        <f>mirror2020!N314</f>
        <v>M</v>
      </c>
      <c r="J83" s="128">
        <f>mirror2020!C314</f>
        <v>43070</v>
      </c>
      <c r="K83" s="134">
        <f>mirror2020!O314</f>
        <v>65319</v>
      </c>
      <c r="L83" s="134">
        <f>mirror2020!P314</f>
        <v>66385</v>
      </c>
      <c r="M83" s="134">
        <f>mirror2020!Q314</f>
        <v>1066</v>
      </c>
      <c r="N83">
        <f>mirror2020!R314</f>
        <v>0</v>
      </c>
      <c r="O83" s="135">
        <f ca="1">mirror2020!S314</f>
        <v>46722</v>
      </c>
    </row>
    <row r="84" spans="1:15">
      <c r="A84" t="str">
        <f>mirror2020!D315</f>
        <v>OSEC-DILGB-LGOO6-72-2017</v>
      </c>
      <c r="B84" t="str">
        <f>mirror2020!E315</f>
        <v>Local Government Operations Officer VI</v>
      </c>
      <c r="C84">
        <f>mirror2020!F315</f>
        <v>22</v>
      </c>
      <c r="D84" s="131">
        <f>mirror2020!I315</f>
        <v>1</v>
      </c>
      <c r="E84" t="str">
        <f>mirror2020!J315</f>
        <v>MINA, Bramie Madarcos</v>
      </c>
      <c r="F84" t="str">
        <f>mirror2020!L315</f>
        <v>BRAMIE M. MINA</v>
      </c>
      <c r="G84" t="str">
        <f>mirror2020!M315</f>
        <v>Abra</v>
      </c>
      <c r="H84" t="str">
        <f>mirror2020!K315</f>
        <v>MINA</v>
      </c>
      <c r="I84" t="str">
        <f>mirror2020!N315</f>
        <v>M</v>
      </c>
      <c r="J84" s="128">
        <f>mirror2020!C315</f>
        <v>43070</v>
      </c>
      <c r="K84" s="134">
        <f>mirror2020!O315</f>
        <v>65319</v>
      </c>
      <c r="L84" s="134">
        <f>mirror2020!P315</f>
        <v>66385</v>
      </c>
      <c r="M84" s="134">
        <f>mirror2020!Q315</f>
        <v>1066</v>
      </c>
      <c r="N84" t="str">
        <f>mirror2020!R315</f>
        <v>Shifting</v>
      </c>
      <c r="O84" s="135">
        <f ca="1">mirror2020!S315</f>
        <v>46722</v>
      </c>
    </row>
    <row r="85" spans="1:15">
      <c r="A85" t="str">
        <f>mirror2020!D316</f>
        <v>OSEC-DILGB-LGOO5-101-2010</v>
      </c>
      <c r="B85" t="str">
        <f>mirror2020!E316</f>
        <v>Local Government Operations Officer V</v>
      </c>
      <c r="C85">
        <f>mirror2020!F316</f>
        <v>20</v>
      </c>
      <c r="D85" s="131">
        <f>mirror2020!I316</f>
        <v>3</v>
      </c>
      <c r="E85" t="str">
        <f>mirror2020!J316</f>
        <v>MABIASAN, Domingo Gaw-i</v>
      </c>
      <c r="F85" t="str">
        <f>mirror2020!L316</f>
        <v>DOMINGO G. MABIASAN</v>
      </c>
      <c r="G85" t="str">
        <f>mirror2020!M316</f>
        <v>Mt. Province</v>
      </c>
      <c r="H85" t="str">
        <f>mirror2020!K316</f>
        <v>MABIASAN</v>
      </c>
      <c r="I85" t="str">
        <f>mirror2020!N316</f>
        <v>M</v>
      </c>
      <c r="J85" s="128">
        <f>mirror2020!C316</f>
        <v>40896</v>
      </c>
      <c r="K85" s="134">
        <f>mirror2020!O316</f>
        <v>52838</v>
      </c>
      <c r="L85" s="134">
        <f>mirror2020!P316</f>
        <v>53700</v>
      </c>
      <c r="M85" s="134">
        <f>mirror2020!Q316</f>
        <v>862</v>
      </c>
      <c r="N85">
        <f>mirror2020!R316</f>
        <v>0</v>
      </c>
      <c r="O85" s="135">
        <f ca="1">mirror2020!S316</f>
        <v>46740</v>
      </c>
    </row>
    <row r="86" spans="1:15">
      <c r="A86" t="str">
        <f>mirror2020!D317</f>
        <v>OSEC-DILGB-LGOO5-934-1998</v>
      </c>
      <c r="B86" t="str">
        <f>mirror2020!E317</f>
        <v>Local Government Operations Officer V</v>
      </c>
      <c r="C86">
        <f>mirror2020!F317</f>
        <v>20</v>
      </c>
      <c r="D86" s="131">
        <f>mirror2020!I317</f>
        <v>6</v>
      </c>
      <c r="E86" t="str">
        <f>mirror2020!J317</f>
        <v>OLANGCAY, Elizabeth Saguid</v>
      </c>
      <c r="F86" t="str">
        <f>mirror2020!L317</f>
        <v>ELIZABETH S. OLANGCAY</v>
      </c>
      <c r="G86" t="str">
        <f>mirror2020!M317</f>
        <v>Benguet</v>
      </c>
      <c r="H86" t="str">
        <f>mirror2020!K317</f>
        <v>OLANGCAY</v>
      </c>
      <c r="I86" t="str">
        <f>mirror2020!N317</f>
        <v>F</v>
      </c>
      <c r="J86" s="128">
        <f>mirror2020!C317</f>
        <v>37453</v>
      </c>
      <c r="K86" s="134">
        <f>mirror2020!O317</f>
        <v>55468</v>
      </c>
      <c r="L86" s="134">
        <f>mirror2020!P317</f>
        <v>56373</v>
      </c>
      <c r="M86" s="134">
        <f>mirror2020!Q317</f>
        <v>905</v>
      </c>
      <c r="N86" t="str">
        <f>mirror2020!R317</f>
        <v>Shifting</v>
      </c>
      <c r="O86" s="135">
        <f ca="1">mirror2020!S317</f>
        <v>46584</v>
      </c>
    </row>
    <row r="87" spans="1:15">
      <c r="A87" t="str">
        <f>mirror2020!D318</f>
        <v>OSEC-DILGB-LGOO5-993-1998</v>
      </c>
      <c r="B87" t="str">
        <f>mirror2020!E318</f>
        <v>Local Government Operations Officer V</v>
      </c>
      <c r="C87">
        <f>mirror2020!F318</f>
        <v>20</v>
      </c>
      <c r="D87" s="131">
        <f>mirror2020!I318</f>
        <v>2</v>
      </c>
      <c r="E87" t="str">
        <f>mirror2020!J318</f>
        <v>ALVAREZ, Kristoffer Dave Rigonan</v>
      </c>
      <c r="F87" t="str">
        <f>mirror2020!L318</f>
        <v>KRISTOFFER DAVE R. ALVAREZ</v>
      </c>
      <c r="G87" t="str">
        <f>mirror2020!M318</f>
        <v>Apayao</v>
      </c>
      <c r="H87" t="str">
        <f>mirror2020!K318</f>
        <v>ALVAREZ</v>
      </c>
      <c r="I87" t="str">
        <f>mirror2020!N318</f>
        <v>M</v>
      </c>
      <c r="J87" s="128">
        <f>mirror2020!C318</f>
        <v>41869</v>
      </c>
      <c r="K87" s="134">
        <f>mirror2020!O318</f>
        <v>51989</v>
      </c>
      <c r="L87" s="134">
        <f>mirror2020!P318</f>
        <v>52838</v>
      </c>
      <c r="M87" s="134">
        <f>mirror2020!Q318</f>
        <v>849</v>
      </c>
      <c r="N87" t="str">
        <f>mirror2020!R318</f>
        <v>Shifting</v>
      </c>
      <c r="O87" s="135">
        <f ca="1">mirror2020!S318</f>
        <v>46617</v>
      </c>
    </row>
    <row r="88" spans="1:15">
      <c r="A88" t="str">
        <f>mirror2020!D319</f>
        <v>OSEC-DILGB-LGOO2-6-1998</v>
      </c>
      <c r="B88" t="str">
        <f>mirror2020!E319</f>
        <v>Local Government Operations Officer II</v>
      </c>
      <c r="C88">
        <f>mirror2020!F319</f>
        <v>13</v>
      </c>
      <c r="D88" s="131">
        <f>mirror2020!I319</f>
        <v>2</v>
      </c>
      <c r="E88" t="str">
        <f>mirror2020!J319</f>
        <v>LAYUGAN, Elizabeth Barros</v>
      </c>
      <c r="F88" t="str">
        <f>mirror2020!L319</f>
        <v>ELIZABETH B. LAYUGAN</v>
      </c>
      <c r="G88" t="str">
        <f>mirror2020!M319</f>
        <v>Abra</v>
      </c>
      <c r="H88" t="str">
        <f>mirror2020!K319</f>
        <v>LAYUGAN</v>
      </c>
      <c r="I88" t="str">
        <f>mirror2020!N319</f>
        <v>F</v>
      </c>
      <c r="J88" s="128">
        <f>mirror2020!C319</f>
        <v>41927</v>
      </c>
      <c r="K88" s="134">
        <f>mirror2020!O319</f>
        <v>25545</v>
      </c>
      <c r="L88" s="134">
        <f>mirror2020!P319</f>
        <v>25861</v>
      </c>
      <c r="M88" s="134">
        <f>mirror2020!Q319</f>
        <v>316</v>
      </c>
      <c r="N88">
        <f>mirror2020!R319</f>
        <v>0</v>
      </c>
      <c r="O88" s="135">
        <f ca="1">mirror2020!S319</f>
        <v>46675</v>
      </c>
    </row>
    <row r="89" spans="1:15">
      <c r="A89" t="str">
        <f>mirror2020!D320</f>
        <v>OSEC-DILGB-LGOO2-17-1998</v>
      </c>
      <c r="B89" t="str">
        <f>mirror2020!E320</f>
        <v>Local Government Operations Officer II</v>
      </c>
      <c r="C89">
        <f>mirror2020!F320</f>
        <v>13</v>
      </c>
      <c r="D89" s="131">
        <f>mirror2020!I320</f>
        <v>2</v>
      </c>
      <c r="E89" t="str">
        <f>mirror2020!J320</f>
        <v>DOGUP, Trisha Marie Alangsab</v>
      </c>
      <c r="F89" t="str">
        <f>mirror2020!L320</f>
        <v>TRISHA MARIE A. DOGUP</v>
      </c>
      <c r="G89" t="str">
        <f>mirror2020!M320</f>
        <v>Mt. Province</v>
      </c>
      <c r="H89" t="str">
        <f>mirror2020!K320</f>
        <v>DOGUP</v>
      </c>
      <c r="I89" t="str">
        <f>mirror2020!N320</f>
        <v>F</v>
      </c>
      <c r="J89" s="128">
        <f>mirror2020!C320</f>
        <v>41932</v>
      </c>
      <c r="K89" s="134">
        <f>mirror2020!O320</f>
        <v>25545</v>
      </c>
      <c r="L89" s="134">
        <f>mirror2020!P320</f>
        <v>25861</v>
      </c>
      <c r="M89" s="134">
        <f>mirror2020!Q320</f>
        <v>316</v>
      </c>
      <c r="N89">
        <f>mirror2020!R320</f>
        <v>0</v>
      </c>
      <c r="O89" s="135">
        <f ca="1">mirror2020!S320</f>
        <v>46680</v>
      </c>
    </row>
    <row r="90" spans="1:15">
      <c r="A90" t="str">
        <f>mirror2020!D321</f>
        <v>OSEC-DILGB-LGOO2-23-1998</v>
      </c>
      <c r="B90" t="str">
        <f>mirror2020!E321</f>
        <v>Local Government Operations Officer II</v>
      </c>
      <c r="C90">
        <f>mirror2020!F321</f>
        <v>13</v>
      </c>
      <c r="D90" s="131">
        <f>mirror2020!I321</f>
        <v>2</v>
      </c>
      <c r="E90" t="str">
        <f>mirror2020!J321</f>
        <v>ALCANTARA, Joey Paul Bistayan</v>
      </c>
      <c r="F90" t="str">
        <f>mirror2020!L321</f>
        <v>JOEY PAUL B. ALCANTARA</v>
      </c>
      <c r="G90" t="str">
        <f>mirror2020!M321</f>
        <v>Apayao</v>
      </c>
      <c r="H90" t="str">
        <f>mirror2020!K321</f>
        <v>ALCANTARA</v>
      </c>
      <c r="I90" t="str">
        <f>mirror2020!N321</f>
        <v>M</v>
      </c>
      <c r="J90" s="128">
        <f>mirror2020!C321</f>
        <v>41913</v>
      </c>
      <c r="K90" s="134">
        <f>mirror2020!O321</f>
        <v>25545</v>
      </c>
      <c r="L90" s="134">
        <f>mirror2020!P321</f>
        <v>25861</v>
      </c>
      <c r="M90" s="134">
        <f>mirror2020!Q321</f>
        <v>316</v>
      </c>
      <c r="N90">
        <f>mirror2020!R321</f>
        <v>0</v>
      </c>
      <c r="O90" s="135">
        <f ca="1">mirror2020!S321</f>
        <v>46661</v>
      </c>
    </row>
    <row r="91" spans="1:15">
      <c r="A91" t="str">
        <f>mirror2020!D322</f>
        <v>OSEC-DILGB-LGOO2-28-1998</v>
      </c>
      <c r="B91" t="str">
        <f>mirror2020!E322</f>
        <v>Local Government Operations Officer II</v>
      </c>
      <c r="C91">
        <f>mirror2020!F322</f>
        <v>13</v>
      </c>
      <c r="D91" s="131">
        <f>mirror2020!I322</f>
        <v>1</v>
      </c>
      <c r="E91" t="str">
        <f>mirror2020!J322</f>
        <v>BANGANAN, Imelda Farnigan</v>
      </c>
      <c r="F91" t="str">
        <f>mirror2020!L322</f>
        <v>IMELDA F. BANGANAN</v>
      </c>
      <c r="G91" t="str">
        <f>mirror2020!M322</f>
        <v>Mt. Province</v>
      </c>
      <c r="H91" t="str">
        <f>mirror2020!K322</f>
        <v>BANGANAN</v>
      </c>
      <c r="I91" t="str">
        <f>mirror2020!N322</f>
        <v>F</v>
      </c>
      <c r="J91" s="128">
        <f>mirror2020!C322</f>
        <v>42851</v>
      </c>
      <c r="K91" s="134">
        <f>mirror2020!O322</f>
        <v>25232</v>
      </c>
      <c r="L91" s="134">
        <f>mirror2020!P322</f>
        <v>25545</v>
      </c>
      <c r="M91" s="134">
        <f>mirror2020!Q322</f>
        <v>313</v>
      </c>
      <c r="N91">
        <f>mirror2020!R322</f>
        <v>0</v>
      </c>
      <c r="O91" s="135">
        <f ca="1">mirror2020!S322</f>
        <v>46503</v>
      </c>
    </row>
    <row r="92" spans="1:15">
      <c r="A92" t="str">
        <f>mirror2020!D323</f>
        <v>OSEC-DILGB-LGOO2-30-1998</v>
      </c>
      <c r="B92" t="str">
        <f>mirror2020!E323</f>
        <v>Local Government Operations Officer II</v>
      </c>
      <c r="C92">
        <f>mirror2020!F323</f>
        <v>13</v>
      </c>
      <c r="D92" s="131">
        <f>mirror2020!I323</f>
        <v>2</v>
      </c>
      <c r="E92" t="str">
        <f>mirror2020!J323</f>
        <v>NAMINGIT, Gyda Hoggang</v>
      </c>
      <c r="F92" t="str">
        <f>mirror2020!L323</f>
        <v>GYDA H. NAMINGIT</v>
      </c>
      <c r="G92" t="str">
        <f>mirror2020!M323</f>
        <v>Ifugao</v>
      </c>
      <c r="H92" t="str">
        <f>mirror2020!K323</f>
        <v>NAMINGIT</v>
      </c>
      <c r="I92" t="str">
        <f>mirror2020!N323</f>
        <v>F</v>
      </c>
      <c r="J92" s="128">
        <f>mirror2020!C323</f>
        <v>41913</v>
      </c>
      <c r="K92" s="134">
        <f>mirror2020!O323</f>
        <v>25545</v>
      </c>
      <c r="L92" s="134">
        <f>mirror2020!P323</f>
        <v>25861</v>
      </c>
      <c r="M92" s="134">
        <f>mirror2020!Q323</f>
        <v>316</v>
      </c>
      <c r="N92">
        <f>mirror2020!R323</f>
        <v>0</v>
      </c>
      <c r="O92" s="135">
        <f ca="1">mirror2020!S323</f>
        <v>46661</v>
      </c>
    </row>
    <row r="93" spans="1:15">
      <c r="A93" t="str">
        <f>mirror2020!D324</f>
        <v>OSEC-DILGB-LGOO2-37-1998</v>
      </c>
      <c r="B93" t="str">
        <f>mirror2020!E324</f>
        <v>Local Government Operations Officer II</v>
      </c>
      <c r="C93">
        <f>mirror2020!F324</f>
        <v>13</v>
      </c>
      <c r="D93" s="131">
        <f>mirror2020!I324</f>
        <v>2</v>
      </c>
      <c r="E93" t="str">
        <f>mirror2020!J324</f>
        <v>UCOL, Edward Errol Bumanglag</v>
      </c>
      <c r="F93" t="str">
        <f>mirror2020!L324</f>
        <v>EDWARD ERROL B. UCOL</v>
      </c>
      <c r="G93" t="str">
        <f>mirror2020!M324</f>
        <v>Apayao</v>
      </c>
      <c r="H93" t="str">
        <f>mirror2020!K324</f>
        <v>UCOL</v>
      </c>
      <c r="I93" t="str">
        <f>mirror2020!N324</f>
        <v>M</v>
      </c>
      <c r="J93" s="128">
        <f>mirror2020!C324</f>
        <v>41913</v>
      </c>
      <c r="K93" s="134">
        <f>mirror2020!O324</f>
        <v>25545</v>
      </c>
      <c r="L93" s="134">
        <f>mirror2020!P324</f>
        <v>25861</v>
      </c>
      <c r="M93" s="134">
        <f>mirror2020!Q324</f>
        <v>316</v>
      </c>
      <c r="N93">
        <f>mirror2020!R324</f>
        <v>0</v>
      </c>
      <c r="O93" s="135">
        <f ca="1">mirror2020!S324</f>
        <v>46661</v>
      </c>
    </row>
    <row r="94" spans="1:15">
      <c r="A94" t="str">
        <f>mirror2020!D325</f>
        <v>OSEC-DILGB-LGOO2-40-1998</v>
      </c>
      <c r="B94" t="str">
        <f>mirror2020!E325</f>
        <v>Local Government Operations Officer II</v>
      </c>
      <c r="C94">
        <f>mirror2020!F325</f>
        <v>13</v>
      </c>
      <c r="D94" s="131">
        <f>mirror2020!I325</f>
        <v>1</v>
      </c>
      <c r="E94" t="str">
        <f>mirror2020!J325</f>
        <v>LIGLIGON, Randolph Lacamang</v>
      </c>
      <c r="F94" t="str">
        <f>mirror2020!L325</f>
        <v>RANDOLPH L. LIGLIGON</v>
      </c>
      <c r="G94" t="str">
        <f>mirror2020!M325</f>
        <v>Benguet</v>
      </c>
      <c r="H94" t="str">
        <f>mirror2020!K325</f>
        <v>LIGLIGON</v>
      </c>
      <c r="I94" t="str">
        <f>mirror2020!N325</f>
        <v>M</v>
      </c>
      <c r="J94" s="128">
        <f>mirror2020!C325</f>
        <v>42863</v>
      </c>
      <c r="K94" s="134">
        <f>mirror2020!O325</f>
        <v>25232</v>
      </c>
      <c r="L94" s="134">
        <f>mirror2020!P325</f>
        <v>25545</v>
      </c>
      <c r="M94" s="134">
        <f>mirror2020!Q325</f>
        <v>313</v>
      </c>
      <c r="N94">
        <f>mirror2020!R325</f>
        <v>0</v>
      </c>
      <c r="O94" s="135">
        <f ca="1">mirror2020!S325</f>
        <v>46515</v>
      </c>
    </row>
    <row r="95" spans="1:15">
      <c r="A95" t="str">
        <f>mirror2020!D326</f>
        <v>OSEC-DILGB-ADA3-62-2005</v>
      </c>
      <c r="B95" t="str">
        <f>mirror2020!E326</f>
        <v>Administrative Aide III</v>
      </c>
      <c r="C95">
        <f>mirror2020!F326</f>
        <v>3</v>
      </c>
      <c r="D95" s="131">
        <f>mirror2020!I326</f>
        <v>6</v>
      </c>
      <c r="E95" t="str">
        <f>mirror2020!J326</f>
        <v>MICU, Benelito de Jesus</v>
      </c>
      <c r="F95" t="str">
        <f>mirror2020!L326</f>
        <v>BENELITO DJ. MICU</v>
      </c>
      <c r="G95" t="str">
        <f>mirror2020!M326</f>
        <v>Apayao</v>
      </c>
      <c r="H95" t="str">
        <f>mirror2020!K326</f>
        <v>MICU</v>
      </c>
      <c r="I95" t="str">
        <f>mirror2020!N326</f>
        <v>M</v>
      </c>
      <c r="J95" s="128">
        <f>mirror2020!C326</f>
        <v>37305</v>
      </c>
      <c r="K95" s="134">
        <f>mirror2020!O326</f>
        <v>12952</v>
      </c>
      <c r="L95" s="134">
        <f>mirror2020!P326</f>
        <v>13052</v>
      </c>
      <c r="M95" s="134">
        <f>mirror2020!Q326</f>
        <v>100</v>
      </c>
      <c r="N95">
        <f>mirror2020!R326</f>
        <v>0</v>
      </c>
      <c r="O95" s="135">
        <f ca="1">mirror2020!S326</f>
        <v>46436</v>
      </c>
    </row>
    <row r="96" spans="1:15">
      <c r="A96" t="str">
        <f>mirror2020!D327</f>
        <v>OSEC-DILGB-ADA1-30-2005</v>
      </c>
      <c r="B96" t="str">
        <f>mirror2020!E327</f>
        <v>Administrative Aide I</v>
      </c>
      <c r="C96">
        <f>mirror2020!F327</f>
        <v>1</v>
      </c>
      <c r="D96" s="131">
        <f>mirror2020!I327</f>
        <v>7</v>
      </c>
      <c r="E96" t="str">
        <f>mirror2020!J327</f>
        <v>LOMAS-E, Wilmon Finotton</v>
      </c>
      <c r="F96" t="str">
        <f>mirror2020!L327</f>
        <v>WILMON F. LOMAS-E</v>
      </c>
      <c r="G96" t="str">
        <f>mirror2020!M327</f>
        <v>Mt. Province</v>
      </c>
      <c r="H96" t="str">
        <f>mirror2020!K327</f>
        <v>LOMAS-E</v>
      </c>
      <c r="I96" t="str">
        <f>mirror2020!N327</f>
        <v>M</v>
      </c>
      <c r="J96" s="128">
        <f>mirror2020!C327</f>
        <v>36356</v>
      </c>
      <c r="K96" s="134">
        <f>mirror2020!O327</f>
        <v>11635</v>
      </c>
      <c r="L96" s="134">
        <f>mirror2020!P327</f>
        <v>11732</v>
      </c>
      <c r="M96" s="134">
        <f>mirror2020!Q327</f>
        <v>97</v>
      </c>
      <c r="N96">
        <f>mirror2020!R327</f>
        <v>0</v>
      </c>
      <c r="O96" s="135">
        <f ca="1">mirror2020!S327</f>
        <v>46583</v>
      </c>
    </row>
    <row r="97" spans="11:15">
      <c r="K97" s="134"/>
      <c r="L97" s="134"/>
      <c r="M97" s="134">
        <f>SUM(M2:M96)</f>
        <v>88521</v>
      </c>
      <c r="O97" s="136"/>
    </row>
    <row r="98" spans="11:15">
      <c r="K98" s="134"/>
      <c r="L98" s="134"/>
      <c r="M98" s="134"/>
      <c r="O98" s="136"/>
    </row>
    <row r="99" spans="11:15">
      <c r="K99" s="134"/>
      <c r="L99" s="134"/>
      <c r="M99" s="134"/>
      <c r="O99" s="136"/>
    </row>
    <row r="100" spans="11:15">
      <c r="K100" s="134"/>
      <c r="L100" s="134"/>
      <c r="M100" s="134"/>
      <c r="O100" s="136"/>
    </row>
    <row r="101" spans="11:15">
      <c r="K101" s="134"/>
      <c r="L101" s="134"/>
      <c r="M101" s="134"/>
      <c r="O101" s="136"/>
    </row>
    <row r="102" spans="11:15">
      <c r="K102" s="134"/>
      <c r="L102" s="134"/>
      <c r="M102" s="134"/>
      <c r="O102" s="136"/>
    </row>
    <row r="103" spans="11:15">
      <c r="K103" s="134"/>
      <c r="L103" s="134"/>
      <c r="M103" s="134"/>
      <c r="O103" s="136"/>
    </row>
    <row r="104" spans="11:15">
      <c r="K104" s="134"/>
      <c r="L104" s="134"/>
      <c r="M104" s="134"/>
      <c r="O104" s="136"/>
    </row>
    <row r="105" spans="11:15">
      <c r="K105" s="134"/>
      <c r="L105" s="134"/>
      <c r="M105" s="134"/>
      <c r="O105" s="136"/>
    </row>
    <row r="106" spans="11:15">
      <c r="K106" s="134"/>
      <c r="L106" s="134"/>
      <c r="M106" s="134"/>
      <c r="O106" s="136"/>
    </row>
    <row r="107" spans="11:15">
      <c r="K107" s="134"/>
      <c r="L107" s="134"/>
      <c r="M107" s="134"/>
      <c r="O107" s="136"/>
    </row>
    <row r="108" spans="11:15">
      <c r="K108" s="134"/>
      <c r="L108" s="134"/>
      <c r="M108" s="134"/>
      <c r="O108" s="136"/>
    </row>
    <row r="109" spans="11:15">
      <c r="K109" s="134"/>
      <c r="L109" s="134"/>
      <c r="M109" s="134"/>
      <c r="O109" s="136"/>
    </row>
    <row r="110" spans="11:15">
      <c r="K110" s="134"/>
      <c r="L110" s="134"/>
      <c r="M110" s="134"/>
      <c r="O110" s="136"/>
    </row>
    <row r="111" spans="11:15">
      <c r="K111" s="134"/>
      <c r="L111" s="134"/>
      <c r="M111" s="134"/>
      <c r="O111" s="136"/>
    </row>
    <row r="112" spans="11:15">
      <c r="K112" s="134"/>
      <c r="L112" s="134"/>
      <c r="M112" s="134"/>
      <c r="O112" s="136"/>
    </row>
    <row r="113" spans="11:15">
      <c r="K113" s="134"/>
      <c r="L113" s="134"/>
      <c r="M113" s="134"/>
      <c r="O113" s="136"/>
    </row>
    <row r="114" spans="11:15">
      <c r="K114" s="134"/>
      <c r="L114" s="134"/>
      <c r="M114" s="134"/>
      <c r="O114" s="136"/>
    </row>
    <row r="115" spans="11:15">
      <c r="K115" s="134"/>
      <c r="L115" s="134"/>
      <c r="M115" s="134"/>
      <c r="O115" s="136"/>
    </row>
    <row r="116" spans="11:15">
      <c r="K116" s="134"/>
      <c r="L116" s="134"/>
      <c r="M116" s="134"/>
      <c r="O116" s="136"/>
    </row>
    <row r="117" spans="11:15">
      <c r="K117" s="134"/>
      <c r="L117" s="134"/>
      <c r="M117" s="134"/>
      <c r="O117" s="136"/>
    </row>
    <row r="118" spans="11:15">
      <c r="K118" s="134"/>
      <c r="L118" s="134"/>
      <c r="M118" s="134"/>
      <c r="O118" s="136"/>
    </row>
    <row r="119" spans="11:15">
      <c r="K119" s="134"/>
      <c r="L119" s="134"/>
      <c r="M119" s="134"/>
      <c r="O119" s="136"/>
    </row>
    <row r="120" spans="11:15">
      <c r="K120" s="134"/>
      <c r="L120" s="134"/>
      <c r="M120" s="134"/>
      <c r="O120" s="136"/>
    </row>
    <row r="121" spans="11:15">
      <c r="K121" s="134"/>
      <c r="L121" s="134"/>
      <c r="M121" s="134"/>
      <c r="O121" s="136"/>
    </row>
    <row r="122" spans="11:15">
      <c r="K122" s="134"/>
      <c r="L122" s="134"/>
      <c r="M122" s="134"/>
      <c r="O122" s="136"/>
    </row>
    <row r="123" spans="11:15">
      <c r="K123" s="134"/>
      <c r="L123" s="134"/>
      <c r="M123" s="134"/>
      <c r="O123" s="136"/>
    </row>
    <row r="124" spans="11:15">
      <c r="K124" s="134"/>
      <c r="L124" s="134"/>
      <c r="M124" s="134"/>
      <c r="O124" s="136"/>
    </row>
    <row r="125" spans="11:15">
      <c r="K125" s="134"/>
      <c r="L125" s="134"/>
      <c r="M125" s="134"/>
      <c r="O125" s="136"/>
    </row>
    <row r="126" spans="11:15">
      <c r="K126" s="134"/>
      <c r="L126" s="134"/>
      <c r="M126" s="134"/>
      <c r="O126" s="136"/>
    </row>
    <row r="127" spans="11:15">
      <c r="K127" s="134"/>
      <c r="L127" s="134"/>
      <c r="M127" s="134"/>
      <c r="O127" s="136"/>
    </row>
    <row r="128" spans="11:15">
      <c r="K128" s="134"/>
      <c r="L128" s="134"/>
      <c r="M128" s="134"/>
      <c r="O128" s="136"/>
    </row>
    <row r="129" spans="11:15">
      <c r="K129" s="134"/>
      <c r="L129" s="134"/>
      <c r="M129" s="134"/>
      <c r="O129" s="136"/>
    </row>
    <row r="130" spans="11:15">
      <c r="K130" s="134"/>
      <c r="L130" s="134"/>
      <c r="M130" s="134"/>
      <c r="O130" s="136"/>
    </row>
    <row r="131" spans="11:15">
      <c r="K131" s="134"/>
      <c r="L131" s="134"/>
      <c r="M131" s="134"/>
      <c r="O131" s="136"/>
    </row>
    <row r="132" spans="11:15">
      <c r="K132" s="134"/>
      <c r="L132" s="134"/>
      <c r="M132" s="134"/>
      <c r="O132" s="136"/>
    </row>
    <row r="133" spans="11:15">
      <c r="K133" s="134"/>
      <c r="L133" s="134"/>
      <c r="M133" s="134"/>
      <c r="O133" s="136"/>
    </row>
    <row r="134" spans="11:15">
      <c r="K134" s="134"/>
      <c r="L134" s="134"/>
      <c r="M134" s="134"/>
      <c r="O134" s="136"/>
    </row>
    <row r="135" spans="11:15">
      <c r="K135" s="134"/>
      <c r="L135" s="134"/>
      <c r="M135" s="134"/>
      <c r="O135" s="136"/>
    </row>
    <row r="136" spans="11:15">
      <c r="K136" s="134"/>
      <c r="L136" s="134"/>
      <c r="M136" s="134"/>
      <c r="O136" s="136"/>
    </row>
    <row r="137" spans="11:15">
      <c r="K137" s="134"/>
      <c r="L137" s="134"/>
      <c r="M137" s="134"/>
      <c r="O137" s="136"/>
    </row>
    <row r="138" spans="11:15">
      <c r="K138" s="134"/>
      <c r="L138" s="134"/>
      <c r="M138" s="134"/>
      <c r="O138" s="136"/>
    </row>
    <row r="139" spans="11:15">
      <c r="K139" s="134"/>
      <c r="L139" s="134"/>
      <c r="M139" s="134"/>
      <c r="O139" s="136"/>
    </row>
    <row r="140" spans="11:15">
      <c r="K140" s="134"/>
      <c r="L140" s="134"/>
      <c r="M140" s="134"/>
      <c r="O140" s="136"/>
    </row>
    <row r="141" spans="11:15">
      <c r="K141" s="134"/>
      <c r="L141" s="134"/>
      <c r="M141" s="134"/>
      <c r="O141" s="136"/>
    </row>
    <row r="142" spans="11:15">
      <c r="K142" s="134"/>
      <c r="L142" s="134"/>
      <c r="M142" s="134"/>
      <c r="O142" s="136"/>
    </row>
    <row r="143" spans="11:15">
      <c r="K143" s="134"/>
      <c r="L143" s="134"/>
      <c r="M143" s="134"/>
      <c r="O143" s="136"/>
    </row>
    <row r="144" spans="11:15">
      <c r="K144" s="134"/>
      <c r="L144" s="134"/>
      <c r="M144" s="134"/>
      <c r="O144" s="136"/>
    </row>
    <row r="145" spans="11:15">
      <c r="K145" s="134"/>
      <c r="L145" s="134"/>
      <c r="M145" s="134"/>
      <c r="O145" s="136"/>
    </row>
    <row r="146" spans="11:15">
      <c r="K146" s="134"/>
      <c r="L146" s="134"/>
      <c r="M146" s="134"/>
      <c r="O146" s="136"/>
    </row>
    <row r="147" spans="11:15">
      <c r="K147" s="134"/>
      <c r="L147" s="134"/>
      <c r="M147" s="134"/>
      <c r="O147" s="136"/>
    </row>
    <row r="148" spans="11:15">
      <c r="K148" s="134"/>
      <c r="L148" s="134"/>
      <c r="M148" s="134"/>
      <c r="O148" s="136"/>
    </row>
    <row r="149" spans="11:15">
      <c r="K149" s="134"/>
      <c r="L149" s="134"/>
      <c r="M149" s="134"/>
      <c r="O149" s="136"/>
    </row>
    <row r="150" spans="11:15">
      <c r="K150" s="134"/>
      <c r="L150" s="134"/>
      <c r="M150" s="134"/>
      <c r="O150" s="136"/>
    </row>
    <row r="151" spans="11:15">
      <c r="K151" s="134"/>
      <c r="L151" s="134"/>
      <c r="M151" s="134"/>
      <c r="O151" s="136"/>
    </row>
    <row r="152" spans="11:15">
      <c r="K152" s="134"/>
      <c r="L152" s="134"/>
      <c r="M152" s="134"/>
      <c r="O152" s="136"/>
    </row>
    <row r="153" spans="11:15">
      <c r="K153" s="134"/>
      <c r="L153" s="134"/>
      <c r="M153" s="134"/>
      <c r="O153" s="136"/>
    </row>
    <row r="154" spans="11:15">
      <c r="K154" s="134"/>
      <c r="L154" s="134"/>
      <c r="M154" s="134"/>
      <c r="O154" s="136"/>
    </row>
    <row r="155" spans="11:15">
      <c r="K155" s="134"/>
      <c r="L155" s="134"/>
      <c r="M155" s="134"/>
      <c r="O155" s="136"/>
    </row>
    <row r="156" spans="11:15">
      <c r="K156" s="134"/>
      <c r="L156" s="134"/>
      <c r="M156" s="134"/>
      <c r="O156" s="136"/>
    </row>
    <row r="157" spans="11:15">
      <c r="K157" s="134"/>
      <c r="L157" s="134"/>
      <c r="M157" s="134"/>
      <c r="O157" s="136"/>
    </row>
    <row r="158" spans="11:15">
      <c r="K158" s="134"/>
      <c r="L158" s="134"/>
      <c r="M158" s="134"/>
      <c r="O158" s="136"/>
    </row>
    <row r="159" spans="11:15">
      <c r="K159" s="134"/>
      <c r="L159" s="134"/>
      <c r="M159" s="134"/>
      <c r="O159" s="136"/>
    </row>
    <row r="160" spans="11:15">
      <c r="K160" s="134"/>
      <c r="L160" s="134"/>
      <c r="M160" s="134"/>
      <c r="O160" s="136"/>
    </row>
    <row r="161" spans="11:15">
      <c r="K161" s="134"/>
      <c r="L161" s="134"/>
      <c r="M161" s="134"/>
      <c r="O161" s="136"/>
    </row>
    <row r="162" spans="11:15">
      <c r="K162" s="134"/>
      <c r="L162" s="134"/>
      <c r="M162" s="134"/>
      <c r="O162" s="136"/>
    </row>
    <row r="163" spans="11:15">
      <c r="K163" s="134"/>
      <c r="L163" s="134"/>
      <c r="M163" s="134"/>
      <c r="O163" s="136"/>
    </row>
    <row r="164" spans="11:15">
      <c r="K164" s="134"/>
      <c r="L164" s="134"/>
      <c r="M164" s="134"/>
      <c r="O164" s="136"/>
    </row>
    <row r="165" spans="11:15">
      <c r="K165" s="134"/>
      <c r="L165" s="134"/>
      <c r="M165" s="134"/>
      <c r="O165" s="136"/>
    </row>
    <row r="166" spans="11:15">
      <c r="K166" s="134"/>
      <c r="L166" s="134"/>
      <c r="M166" s="134"/>
      <c r="O166" s="136"/>
    </row>
    <row r="167" spans="11:15">
      <c r="K167" s="134"/>
      <c r="L167" s="134"/>
      <c r="M167" s="134"/>
      <c r="O167" s="136"/>
    </row>
    <row r="168" spans="11:15">
      <c r="K168" s="134"/>
      <c r="L168" s="134"/>
      <c r="M168" s="134"/>
      <c r="O168" s="136"/>
    </row>
    <row r="169" spans="11:15">
      <c r="K169" s="134"/>
      <c r="L169" s="134"/>
      <c r="M169" s="134"/>
      <c r="O169" s="136"/>
    </row>
    <row r="170" spans="11:15">
      <c r="K170" s="134"/>
      <c r="L170" s="134"/>
      <c r="M170" s="134"/>
      <c r="O170" s="136"/>
    </row>
    <row r="171" spans="11:15">
      <c r="K171" s="134"/>
      <c r="L171" s="134"/>
      <c r="M171" s="134"/>
      <c r="O171" s="136"/>
    </row>
    <row r="172" spans="11:15">
      <c r="K172" s="134"/>
      <c r="L172" s="134"/>
      <c r="M172" s="134"/>
      <c r="O172" s="136"/>
    </row>
    <row r="173" spans="11:15">
      <c r="K173" s="134"/>
      <c r="L173" s="134"/>
      <c r="M173" s="134"/>
      <c r="O173" s="136"/>
    </row>
    <row r="174" spans="11:15">
      <c r="K174" s="134"/>
      <c r="L174" s="134"/>
      <c r="M174" s="134"/>
      <c r="O174" s="136"/>
    </row>
    <row r="175" spans="11:15">
      <c r="K175" s="134"/>
      <c r="L175" s="134"/>
      <c r="M175" s="134"/>
      <c r="O175" s="136"/>
    </row>
    <row r="176" spans="11:15">
      <c r="K176" s="134"/>
      <c r="L176" s="134"/>
      <c r="M176" s="134"/>
      <c r="O176" s="136"/>
    </row>
    <row r="177" spans="11:15">
      <c r="K177" s="134"/>
      <c r="L177" s="134"/>
      <c r="M177" s="134"/>
      <c r="O177" s="136"/>
    </row>
    <row r="178" spans="11:15">
      <c r="K178" s="134"/>
      <c r="L178" s="134"/>
      <c r="M178" s="134"/>
      <c r="O178" s="136"/>
    </row>
    <row r="179" spans="11:15">
      <c r="K179" s="134"/>
      <c r="L179" s="134"/>
      <c r="M179" s="134"/>
      <c r="O179" s="136"/>
    </row>
    <row r="180" spans="11:15">
      <c r="K180" s="134"/>
      <c r="L180" s="134"/>
      <c r="M180" s="134"/>
      <c r="O180" s="136"/>
    </row>
    <row r="181" spans="11:15">
      <c r="K181" s="134"/>
      <c r="L181" s="134"/>
      <c r="M181" s="134"/>
      <c r="O181" s="136"/>
    </row>
    <row r="182" spans="11:15">
      <c r="K182" s="134"/>
      <c r="L182" s="134"/>
      <c r="M182" s="134"/>
      <c r="O182" s="136"/>
    </row>
    <row r="183" spans="11:15">
      <c r="K183" s="134"/>
      <c r="L183" s="134"/>
      <c r="M183" s="134"/>
      <c r="O183" s="136"/>
    </row>
    <row r="184" spans="11:15">
      <c r="K184" s="134"/>
      <c r="L184" s="134"/>
      <c r="M184" s="134"/>
      <c r="O184" s="136"/>
    </row>
    <row r="185" spans="11:15">
      <c r="K185" s="134"/>
      <c r="L185" s="134"/>
      <c r="M185" s="134"/>
      <c r="O185" s="136"/>
    </row>
    <row r="186" spans="11:15">
      <c r="K186" s="134"/>
      <c r="L186" s="134"/>
      <c r="M186" s="134"/>
      <c r="O186" s="136"/>
    </row>
    <row r="187" spans="11:15">
      <c r="K187" s="134"/>
      <c r="L187" s="134"/>
      <c r="M187" s="134"/>
      <c r="O187" s="136"/>
    </row>
    <row r="188" spans="11:15">
      <c r="K188" s="134"/>
      <c r="L188" s="134"/>
      <c r="M188" s="134"/>
      <c r="O188" s="136"/>
    </row>
    <row r="189" spans="11:15">
      <c r="K189" s="134"/>
      <c r="L189" s="134"/>
      <c r="M189" s="134"/>
      <c r="O189" s="136"/>
    </row>
    <row r="190" spans="11:15">
      <c r="K190" s="134"/>
      <c r="L190" s="134"/>
      <c r="M190" s="134"/>
      <c r="O190" s="136"/>
    </row>
    <row r="191" spans="11:15">
      <c r="K191" s="134"/>
      <c r="L191" s="134"/>
      <c r="M191" s="134"/>
      <c r="O191" s="137"/>
    </row>
    <row r="192" spans="11:15">
      <c r="K192" s="134"/>
      <c r="L192" s="134"/>
      <c r="M192" s="134"/>
      <c r="O192" s="135"/>
    </row>
    <row r="193" spans="11:15">
      <c r="K193" s="134"/>
      <c r="L193" s="134"/>
      <c r="M193" s="134"/>
      <c r="O193" s="135"/>
    </row>
    <row r="194" spans="11:15">
      <c r="K194" s="134"/>
      <c r="L194" s="134"/>
      <c r="M194" s="134"/>
      <c r="O194" s="135"/>
    </row>
    <row r="195" spans="11:15">
      <c r="K195" s="134"/>
      <c r="L195" s="134"/>
      <c r="M195" s="134"/>
      <c r="O195" s="135"/>
    </row>
    <row r="196" spans="11:15">
      <c r="K196" s="134"/>
      <c r="L196" s="134"/>
      <c r="M196" s="134"/>
      <c r="O196" s="135"/>
    </row>
    <row r="197" spans="11:15">
      <c r="K197" s="134"/>
      <c r="L197" s="134"/>
      <c r="M197" s="134"/>
      <c r="O197" s="135"/>
    </row>
  </sheetData>
  <pageMargins left="0.69930555555555596" right="0.69930555555555596" top="0.75" bottom="0.75"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200"/>
  <sheetViews>
    <sheetView topLeftCell="A36" workbookViewId="0">
      <selection activeCell="F18" sqref="F18"/>
    </sheetView>
  </sheetViews>
  <sheetFormatPr defaultColWidth="9" defaultRowHeight="14.4"/>
  <cols>
    <col min="1" max="1" width="27.109375" customWidth="1"/>
    <col min="2" max="2" width="36" customWidth="1"/>
    <col min="3" max="3" width="3.6640625" customWidth="1"/>
    <col min="4" max="4" width="5.109375" customWidth="1"/>
    <col min="5" max="5" width="28.6640625" customWidth="1"/>
    <col min="6" max="6" width="26.44140625" customWidth="1"/>
    <col min="7" max="7" width="14.6640625" customWidth="1"/>
    <col min="8" max="8" width="14" customWidth="1"/>
    <col min="9" max="9" width="4.109375" customWidth="1"/>
    <col min="10" max="13" width="13.5546875" style="128" customWidth="1"/>
    <col min="15" max="15" width="16.44140625" style="129" customWidth="1"/>
  </cols>
  <sheetData>
    <row r="1" spans="1:15" s="127" customFormat="1">
      <c r="A1" s="130" t="str">
        <f>+mirror!D233</f>
        <v xml:space="preserve">ITEM NUMBER </v>
      </c>
      <c r="B1" s="130" t="str">
        <f>+mirror!E233</f>
        <v xml:space="preserve">POSITION TITLE </v>
      </c>
      <c r="C1" s="130" t="str">
        <f>+mirror!F233</f>
        <v>S G</v>
      </c>
      <c r="D1" s="130" t="str">
        <f>+mirror!I233</f>
        <v>STEP</v>
      </c>
      <c r="E1" s="130" t="s">
        <v>3328</v>
      </c>
      <c r="F1" s="130" t="str">
        <f>+mirror!L233</f>
        <v>Fullname</v>
      </c>
      <c r="G1" s="130" t="str">
        <f>+mirror!M233</f>
        <v>STATION</v>
      </c>
      <c r="H1" s="130" t="str">
        <f>+mirror!K233</f>
        <v>Lname</v>
      </c>
      <c r="I1" s="130" t="s">
        <v>1876</v>
      </c>
      <c r="J1" s="132" t="str">
        <f>+mirror!C233</f>
        <v>DATE OF LAST PROMO-TION</v>
      </c>
      <c r="K1" s="132" t="s">
        <v>2813</v>
      </c>
      <c r="L1" s="132" t="s">
        <v>2812</v>
      </c>
      <c r="M1" s="132" t="s">
        <v>3329</v>
      </c>
      <c r="N1" s="130" t="str">
        <f>+mirror!R233</f>
        <v>REMARK</v>
      </c>
      <c r="O1" s="133"/>
    </row>
    <row r="2" spans="1:15" ht="15.75" customHeight="1">
      <c r="A2" t="str">
        <f>'mirror 2018'!D233</f>
        <v>OSEC-DILGB-DIR4-18-1998</v>
      </c>
      <c r="B2" t="str">
        <f>'mirror 2018'!E233</f>
        <v>Director IV</v>
      </c>
      <c r="C2">
        <f>'mirror 2018'!F233</f>
        <v>28</v>
      </c>
      <c r="D2" s="131">
        <f>'mirror 2018'!I233</f>
        <v>1</v>
      </c>
      <c r="E2" t="str">
        <f>'mirror 2018'!J233</f>
        <v>IRINGAN, Marlo Lingan</v>
      </c>
      <c r="F2" t="str">
        <f>'mirror 2018'!L233</f>
        <v xml:space="preserve">MARLO L. IRINGAN </v>
      </c>
      <c r="G2" t="str">
        <f>'mirror 2018'!M233</f>
        <v>Regional Office</v>
      </c>
      <c r="H2" t="str">
        <f>'mirror 2018'!K233</f>
        <v>IRINGAN</v>
      </c>
      <c r="I2" t="str">
        <f>'mirror 2018'!N233</f>
        <v>M</v>
      </c>
      <c r="J2" s="128">
        <f>'mirror 2018'!C233</f>
        <v>42313</v>
      </c>
      <c r="K2" s="134">
        <f>'mirror 2018'!O233</f>
        <v>114981</v>
      </c>
      <c r="L2" s="134">
        <f>'mirror 2018'!P233</f>
        <v>116704</v>
      </c>
      <c r="M2" s="134">
        <f>'mirror 2018'!Q233</f>
        <v>1723</v>
      </c>
      <c r="N2">
        <f>'mirror 2018'!R233</f>
        <v>0</v>
      </c>
      <c r="O2" s="135">
        <f ca="1">'mirror 2018'!S233</f>
        <v>46331</v>
      </c>
    </row>
    <row r="3" spans="1:15" ht="15.75" customHeight="1">
      <c r="A3" t="str">
        <f>'mirror 2018'!D234</f>
        <v>OSEC-DILGB-ITO1-2-2010</v>
      </c>
      <c r="B3" t="str">
        <f>'mirror 2018'!E234</f>
        <v>Information Technology Officer I</v>
      </c>
      <c r="C3">
        <f>'mirror 2018'!F234</f>
        <v>19</v>
      </c>
      <c r="D3" s="131">
        <f>'mirror 2018'!I234</f>
        <v>2</v>
      </c>
      <c r="E3" t="str">
        <f>'mirror 2018'!J234</f>
        <v>PAPAT-IW, Zaldy Bugtong</v>
      </c>
      <c r="F3" t="str">
        <f>'mirror 2018'!L234</f>
        <v xml:space="preserve">ZALDY B. PAPAT-IW </v>
      </c>
      <c r="G3" t="str">
        <f>'mirror 2018'!M234</f>
        <v>Regional Office</v>
      </c>
      <c r="H3" t="str">
        <f>'mirror 2018'!K234</f>
        <v>PAPAT-IW</v>
      </c>
      <c r="I3" t="str">
        <f>'mirror 2018'!N234</f>
        <v>M</v>
      </c>
      <c r="J3" s="128">
        <f>'mirror 2018'!C234</f>
        <v>40969</v>
      </c>
      <c r="K3" s="134">
        <f>'mirror 2018'!O234</f>
        <v>42730</v>
      </c>
      <c r="L3" s="134">
        <f>'mirror 2018'!P234</f>
        <v>43371</v>
      </c>
      <c r="M3" s="134">
        <f>'mirror 2018'!Q234</f>
        <v>641</v>
      </c>
      <c r="N3">
        <f>'mirror 2018'!R234</f>
        <v>0</v>
      </c>
      <c r="O3" s="135">
        <f ca="1">'mirror 2018'!S234</f>
        <v>46082</v>
      </c>
    </row>
    <row r="4" spans="1:15" ht="15.75" customHeight="1">
      <c r="A4" t="str">
        <f>'mirror 2018'!D235</f>
        <v>OSEC-DILGB-LGOO7-38-1998</v>
      </c>
      <c r="B4" t="str">
        <f>'mirror 2018'!E235</f>
        <v>Local Government Operations Officer VII</v>
      </c>
      <c r="C4">
        <f>'mirror 2018'!F235</f>
        <v>24</v>
      </c>
      <c r="D4" s="131">
        <f>'mirror 2018'!I235</f>
        <v>2</v>
      </c>
      <c r="E4" t="str">
        <f>'mirror 2018'!J235</f>
        <v>VALERA, Rene Velasco</v>
      </c>
      <c r="F4" t="str">
        <f>'mirror 2018'!L235</f>
        <v xml:space="preserve">RENE V. VALERA </v>
      </c>
      <c r="G4" t="str">
        <f>'mirror 2018'!M235</f>
        <v>Regional Office</v>
      </c>
      <c r="H4" t="str">
        <f>'mirror 2018'!K235</f>
        <v>VALERA</v>
      </c>
      <c r="I4" t="str">
        <f>'mirror 2018'!N235</f>
        <v>M</v>
      </c>
      <c r="J4" s="128">
        <f>'mirror 2018'!C235</f>
        <v>40969</v>
      </c>
      <c r="K4" s="134">
        <f>'mirror 2018'!O235</f>
        <v>74397</v>
      </c>
      <c r="L4" s="134">
        <f>'mirror 2018'!P235</f>
        <v>75512</v>
      </c>
      <c r="M4" s="134">
        <f>'mirror 2018'!Q235</f>
        <v>1115</v>
      </c>
      <c r="N4">
        <f>'mirror 2018'!R235</f>
        <v>0</v>
      </c>
      <c r="O4" s="135">
        <f ca="1">'mirror 2018'!S235</f>
        <v>46082</v>
      </c>
    </row>
    <row r="5" spans="1:15" ht="15.75" customHeight="1">
      <c r="A5" t="str">
        <f>'mirror 2018'!D236</f>
        <v>OSEC-DILGB-LGOO5-824-1998</v>
      </c>
      <c r="B5" t="str">
        <f>'mirror 2018'!E236</f>
        <v>Local Government Operations Officer V</v>
      </c>
      <c r="C5">
        <f>'mirror 2018'!F236</f>
        <v>20</v>
      </c>
      <c r="D5" s="131">
        <f>'mirror 2018'!I236</f>
        <v>2</v>
      </c>
      <c r="E5" t="str">
        <f>'mirror 2018'!J236</f>
        <v>GARCIA, Florinda Manuyag</v>
      </c>
      <c r="F5" t="str">
        <f>'mirror 2018'!L236</f>
        <v xml:space="preserve">FLORINDA M. GARCIA </v>
      </c>
      <c r="G5" t="str">
        <f>'mirror 2018'!M236</f>
        <v>Regional Office</v>
      </c>
      <c r="H5" t="str">
        <f>'mirror 2018'!K236</f>
        <v>GARCIA</v>
      </c>
      <c r="I5" t="str">
        <f>'mirror 2018'!N236</f>
        <v>F</v>
      </c>
      <c r="J5" s="128">
        <f>'mirror 2018'!C236</f>
        <v>41149</v>
      </c>
      <c r="K5" s="134">
        <f>'mirror 2018'!O236</f>
        <v>47742</v>
      </c>
      <c r="L5" s="134">
        <f>'mirror 2018'!P236</f>
        <v>48457</v>
      </c>
      <c r="M5" s="134">
        <f>'mirror 2018'!Q236</f>
        <v>715</v>
      </c>
      <c r="N5" t="str">
        <f>'mirror 2018'!R236</f>
        <v>Shifting</v>
      </c>
      <c r="O5" s="135">
        <f ca="1">'mirror 2018'!S236</f>
        <v>46262</v>
      </c>
    </row>
    <row r="6" spans="1:15" ht="15.75" customHeight="1">
      <c r="A6" t="str">
        <f>'mirror 2018'!D237</f>
        <v>OSEC-DILGB-LGOO5-835-1998</v>
      </c>
      <c r="B6" t="str">
        <f>'mirror 2018'!E237</f>
        <v>Local Government Operations Officer V</v>
      </c>
      <c r="C6">
        <f>'mirror 2018'!F237</f>
        <v>20</v>
      </c>
      <c r="D6" s="131">
        <f>'mirror 2018'!I237</f>
        <v>2</v>
      </c>
      <c r="E6" t="str">
        <f>'mirror 2018'!J237</f>
        <v>MANGANGEY, Ma. Teresa Ancheta</v>
      </c>
      <c r="F6" t="str">
        <f>'mirror 2018'!L237</f>
        <v xml:space="preserve">MA. TERESA A. MANGANGEY </v>
      </c>
      <c r="G6" t="str">
        <f>'mirror 2018'!M237</f>
        <v>Regional Office</v>
      </c>
      <c r="H6" t="str">
        <f>'mirror 2018'!K237</f>
        <v>MANGANGEY</v>
      </c>
      <c r="I6" t="str">
        <f>'mirror 2018'!N237</f>
        <v>F</v>
      </c>
      <c r="J6" s="128">
        <f>'mirror 2018'!C237</f>
        <v>41138</v>
      </c>
      <c r="K6" s="134">
        <f>'mirror 2018'!O237</f>
        <v>47742</v>
      </c>
      <c r="L6" s="134">
        <f>'mirror 2018'!P237</f>
        <v>48457</v>
      </c>
      <c r="M6" s="134">
        <f>'mirror 2018'!Q237</f>
        <v>715</v>
      </c>
      <c r="N6" t="str">
        <f>'mirror 2018'!R237</f>
        <v>Shifting</v>
      </c>
      <c r="O6" s="135">
        <f ca="1">'mirror 2018'!S237</f>
        <v>46251</v>
      </c>
    </row>
    <row r="7" spans="1:15" ht="15.75" customHeight="1">
      <c r="A7" t="str">
        <f>'mirror 2018'!D238</f>
        <v>OSEC-DILGB-LGOO4-167-1998</v>
      </c>
      <c r="B7" t="str">
        <f>'mirror 2018'!E238</f>
        <v>Local Government Operations Officer IV</v>
      </c>
      <c r="C7">
        <f>'mirror 2018'!F238</f>
        <v>18</v>
      </c>
      <c r="D7" s="131">
        <f>'mirror 2018'!I238</f>
        <v>2</v>
      </c>
      <c r="E7" t="str">
        <f>'mirror 2018'!J238</f>
        <v>BUENA, Maria Consolacion Salibad</v>
      </c>
      <c r="F7" t="str">
        <f>'mirror 2018'!L238</f>
        <v xml:space="preserve">MARIA CONSOLACION S. BUENA </v>
      </c>
      <c r="G7" t="str">
        <f>'mirror 2018'!M238</f>
        <v>Regional Office</v>
      </c>
      <c r="H7" t="str">
        <f>'mirror 2018'!K238</f>
        <v>BUENA</v>
      </c>
      <c r="I7" t="str">
        <f>'mirror 2018'!N238</f>
        <v>F</v>
      </c>
      <c r="J7" s="128">
        <f>'mirror 2018'!C238</f>
        <v>41254</v>
      </c>
      <c r="K7" s="134">
        <f>'mirror 2018'!O238</f>
        <v>38543</v>
      </c>
      <c r="L7" s="134">
        <f>'mirror 2018'!P238</f>
        <v>39007</v>
      </c>
      <c r="M7" s="134">
        <f>'mirror 2018'!Q238</f>
        <v>464</v>
      </c>
      <c r="N7" t="str">
        <f>'mirror 2018'!R238</f>
        <v>06/08/16 transfer frm PLO</v>
      </c>
      <c r="O7" s="135">
        <f ca="1">'mirror 2018'!S238</f>
        <v>46367</v>
      </c>
    </row>
    <row r="8" spans="1:15" ht="15.75" customHeight="1">
      <c r="A8" t="str">
        <f>'mirror 2018'!D239</f>
        <v>OSEC-DILGB-ADA6-88-2010</v>
      </c>
      <c r="B8" t="str">
        <f>'mirror 2018'!E239</f>
        <v>Administrative Aide VI</v>
      </c>
      <c r="C8">
        <f>'mirror 2018'!F239</f>
        <v>6</v>
      </c>
      <c r="D8" s="131">
        <f>'mirror 2018'!I239</f>
        <v>1</v>
      </c>
      <c r="E8" t="str">
        <f>'mirror 2018'!J239</f>
        <v>MAGCIANO, Juden Beth Uybaan</v>
      </c>
      <c r="F8" t="str">
        <f>'mirror 2018'!L239</f>
        <v xml:space="preserve">JUDEN BETH U. MAGCIANO </v>
      </c>
      <c r="G8" t="str">
        <f>'mirror 2018'!M239</f>
        <v>Ifugao</v>
      </c>
      <c r="H8" t="str">
        <f>'mirror 2018'!K239</f>
        <v>MAGCIANO</v>
      </c>
      <c r="I8" t="str">
        <f>'mirror 2018'!N239</f>
        <v>F</v>
      </c>
      <c r="J8" s="128">
        <f>'mirror 2018'!C239</f>
        <v>42186</v>
      </c>
      <c r="K8" s="134">
        <f>'mirror 2018'!O239</f>
        <v>14340</v>
      </c>
      <c r="L8" s="134">
        <f>'mirror 2018'!P239</f>
        <v>14459</v>
      </c>
      <c r="M8" s="134">
        <f>'mirror 2018'!Q239</f>
        <v>119</v>
      </c>
      <c r="N8">
        <f>'mirror 2018'!R239</f>
        <v>0</v>
      </c>
      <c r="O8" s="135">
        <f ca="1">'mirror 2018'!S239</f>
        <v>46204</v>
      </c>
    </row>
    <row r="9" spans="1:15" ht="15.75" customHeight="1">
      <c r="A9" t="str">
        <f>'mirror 2018'!D240</f>
        <v>OSEC-DILGB-CADOF-19-2005</v>
      </c>
      <c r="B9" t="str">
        <f>'mirror 2018'!E240</f>
        <v>Chief Administrative Officer</v>
      </c>
      <c r="C9">
        <f>'mirror 2018'!F240</f>
        <v>24</v>
      </c>
      <c r="D9" s="131">
        <f>'mirror 2018'!I240</f>
        <v>2</v>
      </c>
      <c r="E9" t="str">
        <f>'mirror 2018'!J240</f>
        <v>MON, Shirley Evangeline Vergara</v>
      </c>
      <c r="F9" t="str">
        <f>'mirror 2018'!L240</f>
        <v xml:space="preserve">SHIRLEY EVANGELINE V. MON </v>
      </c>
      <c r="G9" t="str">
        <f>'mirror 2018'!M240</f>
        <v>Regional Office</v>
      </c>
      <c r="H9" t="str">
        <f>'mirror 2018'!K240</f>
        <v>MON</v>
      </c>
      <c r="I9" t="str">
        <f>'mirror 2018'!N240</f>
        <v>F</v>
      </c>
      <c r="J9" s="128">
        <f>'mirror 2018'!C240</f>
        <v>40924</v>
      </c>
      <c r="K9" s="134">
        <f>'mirror 2018'!O240</f>
        <v>74397</v>
      </c>
      <c r="L9" s="134">
        <f>'mirror 2018'!P240</f>
        <v>75512</v>
      </c>
      <c r="M9" s="134">
        <f>'mirror 2018'!Q240</f>
        <v>1115</v>
      </c>
      <c r="N9">
        <f>'mirror 2018'!R240</f>
        <v>0</v>
      </c>
      <c r="O9" s="135">
        <f ca="1">'mirror 2018'!S240</f>
        <v>46038</v>
      </c>
    </row>
    <row r="10" spans="1:15" ht="15.75" customHeight="1">
      <c r="A10" t="str">
        <f>'mirror 2018'!D241</f>
        <v>OSEC-DILGB-SAD0F-34-2005</v>
      </c>
      <c r="B10" t="str">
        <f>'mirror 2018'!E241</f>
        <v>Supervising Administrative Officer</v>
      </c>
      <c r="C10">
        <f>'mirror 2018'!F241</f>
        <v>22</v>
      </c>
      <c r="D10" s="131">
        <f>'mirror 2018'!I241</f>
        <v>2</v>
      </c>
      <c r="E10" t="str">
        <f>'mirror 2018'!J241</f>
        <v>BALANG, Gerry Cobcobo</v>
      </c>
      <c r="F10" t="str">
        <f>'mirror 2018'!L241</f>
        <v xml:space="preserve">GERRY C. BALANG </v>
      </c>
      <c r="G10" t="str">
        <f>'mirror 2018'!M241</f>
        <v>Regional Office</v>
      </c>
      <c r="H10" t="str">
        <f>'mirror 2018'!K241</f>
        <v>BALANG</v>
      </c>
      <c r="I10" t="str">
        <f>'mirror 2018'!N241</f>
        <v>M</v>
      </c>
      <c r="J10" s="128">
        <f>'mirror 2018'!C241</f>
        <v>41138</v>
      </c>
      <c r="K10" s="134">
        <f>'mirror 2018'!O241</f>
        <v>59597</v>
      </c>
      <c r="L10" s="134">
        <f>'mirror 2018'!P241</f>
        <v>60491</v>
      </c>
      <c r="M10" s="134">
        <f>'mirror 2018'!Q241</f>
        <v>894</v>
      </c>
      <c r="N10">
        <f>'mirror 2018'!R241</f>
        <v>0</v>
      </c>
      <c r="O10" s="135">
        <f ca="1">'mirror 2018'!S241</f>
        <v>46251</v>
      </c>
    </row>
    <row r="11" spans="1:15" ht="15.75" customHeight="1">
      <c r="A11" t="str">
        <f>'mirror 2018'!D242</f>
        <v>OSEC-DILGB-ADOF5-52-2005</v>
      </c>
      <c r="B11" t="str">
        <f>'mirror 2018'!E242</f>
        <v xml:space="preserve">Administrative Officer V </v>
      </c>
      <c r="C11">
        <f>'mirror 2018'!F242</f>
        <v>18</v>
      </c>
      <c r="D11" s="131">
        <f>'mirror 2018'!I242</f>
        <v>2</v>
      </c>
      <c r="E11" t="str">
        <f>'mirror 2018'!J242</f>
        <v>ESDEN, Iris Balabag</v>
      </c>
      <c r="F11" t="str">
        <f>'mirror 2018'!L242</f>
        <v xml:space="preserve">IRIS B. ESDEN </v>
      </c>
      <c r="G11" t="str">
        <f>'mirror 2018'!M242</f>
        <v>Regional Office</v>
      </c>
      <c r="H11" t="str">
        <f>'mirror 2018'!K242</f>
        <v>ESDEN</v>
      </c>
      <c r="I11" t="str">
        <f>'mirror 2018'!N242</f>
        <v>F</v>
      </c>
      <c r="J11" s="128">
        <f>'mirror 2018'!C242</f>
        <v>41260</v>
      </c>
      <c r="K11" s="134">
        <f>'mirror 2018'!O242</f>
        <v>38543</v>
      </c>
      <c r="L11" s="134">
        <f>'mirror 2018'!P242</f>
        <v>39007</v>
      </c>
      <c r="M11" s="134">
        <f>'mirror 2018'!Q242</f>
        <v>464</v>
      </c>
      <c r="N11">
        <f>'mirror 2018'!R242</f>
        <v>0</v>
      </c>
      <c r="O11" s="135">
        <f ca="1">'mirror 2018'!S242</f>
        <v>46373</v>
      </c>
    </row>
    <row r="12" spans="1:15" ht="15.75" customHeight="1">
      <c r="A12" t="str">
        <f>'mirror 2018'!D243</f>
        <v>OSEC-DILGB-ADOF5-53-2005</v>
      </c>
      <c r="B12" t="str">
        <f>'mirror 2018'!E243</f>
        <v xml:space="preserve">Administrative Officer V </v>
      </c>
      <c r="C12">
        <f>'mirror 2018'!F243</f>
        <v>18</v>
      </c>
      <c r="D12" s="131">
        <f>'mirror 2018'!I243</f>
        <v>1</v>
      </c>
      <c r="E12" t="str">
        <f>'mirror 2018'!J243</f>
        <v>MATIB, Louven Longbuan</v>
      </c>
      <c r="F12" t="str">
        <f>'mirror 2018'!L243</f>
        <v xml:space="preserve">LOUVEN L. MATIB </v>
      </c>
      <c r="G12" t="str">
        <f>'mirror 2018'!M243</f>
        <v>Regional Office</v>
      </c>
      <c r="H12" t="str">
        <f>'mirror 2018'!K243</f>
        <v>MATIB</v>
      </c>
      <c r="I12" t="str">
        <f>'mirror 2018'!N243</f>
        <v>M</v>
      </c>
      <c r="J12" s="128">
        <f>'mirror 2018'!C243</f>
        <v>42184</v>
      </c>
      <c r="K12" s="134">
        <f>'mirror 2018'!O243</f>
        <v>38085</v>
      </c>
      <c r="L12" s="134">
        <f>'mirror 2018'!P243</f>
        <v>38543</v>
      </c>
      <c r="M12" s="134">
        <f>'mirror 2018'!Q243</f>
        <v>458</v>
      </c>
      <c r="N12">
        <f>'mirror 2018'!R243</f>
        <v>0</v>
      </c>
      <c r="O12" s="135">
        <f ca="1">'mirror 2018'!S243</f>
        <v>46202</v>
      </c>
    </row>
    <row r="13" spans="1:15" ht="15.75" customHeight="1">
      <c r="A13" t="str">
        <f>'mirror 2018'!D244</f>
        <v>OSEC-DILGB-ADOF5-54-2005</v>
      </c>
      <c r="B13" t="str">
        <f>'mirror 2018'!E244</f>
        <v xml:space="preserve">Administrative Officer V </v>
      </c>
      <c r="C13">
        <f>'mirror 2018'!F244</f>
        <v>18</v>
      </c>
      <c r="D13" s="131">
        <f>'mirror 2018'!I244</f>
        <v>4</v>
      </c>
      <c r="E13" t="str">
        <f>'mirror 2018'!J244</f>
        <v>BARNACHEA, Norman Idica</v>
      </c>
      <c r="F13" t="str">
        <f>'mirror 2018'!L244</f>
        <v xml:space="preserve">NORMAN I. BARNACHEA </v>
      </c>
      <c r="G13" t="str">
        <f>'mirror 2018'!M244</f>
        <v>Regional Office</v>
      </c>
      <c r="H13" t="str">
        <f>'mirror 2018'!K244</f>
        <v>BARNACHEA</v>
      </c>
      <c r="I13" t="str">
        <f>'mirror 2018'!N244</f>
        <v>M</v>
      </c>
      <c r="J13" s="128">
        <f>'mirror 2018'!C244</f>
        <v>38926</v>
      </c>
      <c r="K13" s="134">
        <f>'mirror 2018'!O244</f>
        <v>39477</v>
      </c>
      <c r="L13" s="134">
        <f>'mirror 2018'!P244</f>
        <v>39952</v>
      </c>
      <c r="M13" s="134">
        <f>'mirror 2018'!Q244</f>
        <v>475</v>
      </c>
      <c r="N13">
        <f>'mirror 2018'!R244</f>
        <v>0</v>
      </c>
      <c r="O13" s="135">
        <f ca="1">'mirror 2018'!S244</f>
        <v>46231</v>
      </c>
    </row>
    <row r="14" spans="1:15" ht="15.75" customHeight="1">
      <c r="A14" t="str">
        <f>'mirror 2018'!D245</f>
        <v>OSEC-DILGB-ADOF4-70-2005</v>
      </c>
      <c r="B14" t="str">
        <f>'mirror 2018'!E245</f>
        <v xml:space="preserve">Administrative Officer IV </v>
      </c>
      <c r="C14">
        <f>'mirror 2018'!F245</f>
        <v>15</v>
      </c>
      <c r="D14" s="131">
        <f>'mirror 2018'!I245</f>
        <v>2</v>
      </c>
      <c r="E14" t="str">
        <f>'mirror 2018'!J245</f>
        <v>WONG, Arlene Eustaquio</v>
      </c>
      <c r="F14" t="str">
        <f>'mirror 2018'!L245</f>
        <v xml:space="preserve">ARLENE E. WONG </v>
      </c>
      <c r="G14" t="str">
        <f>'mirror 2018'!M245</f>
        <v>Regional Office</v>
      </c>
      <c r="H14" t="str">
        <f>'mirror 2018'!K245</f>
        <v>WONG</v>
      </c>
      <c r="I14" t="str">
        <f>'mirror 2018'!N245</f>
        <v>F</v>
      </c>
      <c r="J14" s="128">
        <f>'mirror 2018'!C245</f>
        <v>41260</v>
      </c>
      <c r="K14" s="134">
        <f>'mirror 2018'!O245</f>
        <v>29359</v>
      </c>
      <c r="L14" s="134">
        <f>'mirror 2018'!P245</f>
        <v>29713</v>
      </c>
      <c r="M14" s="134">
        <f>'mirror 2018'!Q245</f>
        <v>354</v>
      </c>
      <c r="N14">
        <f>'mirror 2018'!R245</f>
        <v>0</v>
      </c>
      <c r="O14" s="135">
        <f ca="1">'mirror 2018'!S245</f>
        <v>46373</v>
      </c>
    </row>
    <row r="15" spans="1:15" ht="15.75" customHeight="1">
      <c r="A15" t="str">
        <f>'mirror 2018'!D246</f>
        <v>OSEC-DILGB-ADAS3-65-2005</v>
      </c>
      <c r="B15" t="str">
        <f>'mirror 2018'!E246</f>
        <v xml:space="preserve">Administrative Assistant III </v>
      </c>
      <c r="C15">
        <f>'mirror 2018'!F246</f>
        <v>9</v>
      </c>
      <c r="D15" s="131">
        <f>'mirror 2018'!I246</f>
        <v>5</v>
      </c>
      <c r="E15" t="str">
        <f>'mirror 2018'!J246</f>
        <v>CASTRO, Angelito Gaddi</v>
      </c>
      <c r="F15" t="str">
        <f>'mirror 2018'!L246</f>
        <v xml:space="preserve">ANGELITO G. CASTRO </v>
      </c>
      <c r="G15" t="str">
        <f>'mirror 2018'!M246</f>
        <v>Regional Office</v>
      </c>
      <c r="H15" t="str">
        <f>'mirror 2018'!K246</f>
        <v>CASTRO</v>
      </c>
      <c r="I15" t="str">
        <f>'mirror 2018'!N246</f>
        <v>M</v>
      </c>
      <c r="J15" s="128">
        <f>'mirror 2018'!C246</f>
        <v>37658</v>
      </c>
      <c r="K15" s="134">
        <f>'mirror 2018'!O246</f>
        <v>18095</v>
      </c>
      <c r="L15" s="134">
        <f>'mirror 2018'!P246</f>
        <v>18253</v>
      </c>
      <c r="M15" s="134">
        <f>'mirror 2018'!Q246</f>
        <v>158</v>
      </c>
      <c r="N15">
        <f>'mirror 2018'!R246</f>
        <v>0</v>
      </c>
      <c r="O15" s="135">
        <f ca="1">'mirror 2018'!S246</f>
        <v>46059</v>
      </c>
    </row>
    <row r="16" spans="1:15" ht="15.75" customHeight="1">
      <c r="A16" t="str">
        <f>'mirror 2018'!D247</f>
        <v>OSEC-DILGB-ADAS3-109-2010</v>
      </c>
      <c r="B16" t="str">
        <f>'mirror 2018'!E247</f>
        <v>Administrative Assistant III</v>
      </c>
      <c r="C16">
        <f>'mirror 2018'!F247</f>
        <v>9</v>
      </c>
      <c r="D16" s="131">
        <f>'mirror 2018'!I247</f>
        <v>2</v>
      </c>
      <c r="E16" t="str">
        <f>'mirror 2018'!J247</f>
        <v>LOPEZ, Jessica Kim Angeles</v>
      </c>
      <c r="F16" t="str">
        <f>'mirror 2018'!L247</f>
        <v xml:space="preserve">JESSICA KIM A. LOPEZ </v>
      </c>
      <c r="G16" t="str">
        <f>'mirror 2018'!M247</f>
        <v>Regional Office</v>
      </c>
      <c r="H16" t="str">
        <f>'mirror 2018'!K247</f>
        <v>LOPEZ</v>
      </c>
      <c r="I16" t="str">
        <f>'mirror 2018'!N247</f>
        <v>F</v>
      </c>
      <c r="J16" s="128">
        <f>'mirror 2018'!C247</f>
        <v>41127</v>
      </c>
      <c r="K16" s="134">
        <f>'mirror 2018'!O247</f>
        <v>17627</v>
      </c>
      <c r="L16" s="134">
        <f>'mirror 2018'!P247</f>
        <v>17781</v>
      </c>
      <c r="M16" s="134">
        <f>'mirror 2018'!Q247</f>
        <v>154</v>
      </c>
      <c r="N16">
        <f>'mirror 2018'!R247</f>
        <v>0</v>
      </c>
      <c r="O16" s="135">
        <f ca="1">'mirror 2018'!S247</f>
        <v>46240</v>
      </c>
    </row>
    <row r="17" spans="1:15" ht="15.75" customHeight="1">
      <c r="A17" t="str">
        <f>'mirror 2018'!D248</f>
        <v>OSEC-DILGB-ADAS2-61-2005</v>
      </c>
      <c r="B17" t="str">
        <f>'mirror 2018'!E248</f>
        <v>Administrative Assistant II</v>
      </c>
      <c r="C17">
        <f>'mirror 2018'!F248</f>
        <v>8</v>
      </c>
      <c r="D17" s="131">
        <f>'mirror 2018'!I248</f>
        <v>5</v>
      </c>
      <c r="E17" t="str">
        <f>'mirror 2018'!J248</f>
        <v>TOMAS, Prescilla Kitan</v>
      </c>
      <c r="F17" t="str">
        <f>'mirror 2018'!L248</f>
        <v xml:space="preserve">PRESCILLA K. TOMAS </v>
      </c>
      <c r="G17" t="str">
        <f>'mirror 2018'!M248</f>
        <v>Benguet</v>
      </c>
      <c r="H17" t="str">
        <f>'mirror 2018'!K248</f>
        <v>TOMAS</v>
      </c>
      <c r="I17" t="str">
        <f>'mirror 2018'!N248</f>
        <v>F</v>
      </c>
      <c r="J17" s="128">
        <f>'mirror 2018'!C248</f>
        <v>37655</v>
      </c>
      <c r="K17" s="134">
        <f>'mirror 2018'!O248</f>
        <v>16895</v>
      </c>
      <c r="L17" s="134">
        <f>'mirror 2018'!P248</f>
        <v>17051</v>
      </c>
      <c r="M17" s="134">
        <f>'mirror 2018'!Q248</f>
        <v>156</v>
      </c>
      <c r="N17">
        <f>'mirror 2018'!R248</f>
        <v>0</v>
      </c>
      <c r="O17" s="135">
        <f ca="1">'mirror 2018'!S248</f>
        <v>46056</v>
      </c>
    </row>
    <row r="18" spans="1:15" ht="15.75" customHeight="1">
      <c r="A18" t="str">
        <f>'mirror 2018'!D249</f>
        <v>OSEC-DILGB-LGOO8-45-1998</v>
      </c>
      <c r="B18" t="str">
        <f>'mirror 2018'!E249</f>
        <v>Local Government Operations Officer VIII</v>
      </c>
      <c r="C18">
        <f>'mirror 2018'!F249</f>
        <v>26</v>
      </c>
      <c r="D18" s="131">
        <f>'mirror 2018'!I249</f>
        <v>4</v>
      </c>
      <c r="E18" t="str">
        <f>'mirror 2018'!J249</f>
        <v>BALLUG, Anthony Manolo Ilacad</v>
      </c>
      <c r="F18" t="str">
        <f>'mirror 2018'!L249</f>
        <v xml:space="preserve">ANTHONY MANOLO I. BALLUG </v>
      </c>
      <c r="G18" t="str">
        <f>'mirror 2018'!M249</f>
        <v>Mt. Province</v>
      </c>
      <c r="H18" t="str">
        <f>'mirror 2018'!K249</f>
        <v>BALLUG</v>
      </c>
      <c r="I18" t="str">
        <f>'mirror 2018'!N249</f>
        <v>M</v>
      </c>
      <c r="J18" s="128">
        <f>'mirror 2018'!C249</f>
        <v>41165</v>
      </c>
      <c r="K18" s="134">
        <f>'mirror 2018'!O249</f>
        <v>96312</v>
      </c>
      <c r="L18" s="134">
        <f>'mirror 2018'!P249</f>
        <v>97755</v>
      </c>
      <c r="M18" s="134">
        <f>'mirror 2018'!Q249</f>
        <v>1443</v>
      </c>
      <c r="N18">
        <f>'mirror 2018'!R249</f>
        <v>0</v>
      </c>
      <c r="O18" s="135">
        <f ca="1">'mirror 2018'!S249</f>
        <v>46278</v>
      </c>
    </row>
    <row r="19" spans="1:15" ht="15.75" customHeight="1">
      <c r="A19" t="str">
        <f>'mirror 2018'!D250</f>
        <v>OSEC-DILGB-LGOO6-12-2010</v>
      </c>
      <c r="B19" t="str">
        <f>'mirror 2018'!E250</f>
        <v>Local Government Operations Officer VI</v>
      </c>
      <c r="C19">
        <f>'mirror 2018'!F250</f>
        <v>22</v>
      </c>
      <c r="D19" s="131">
        <f>'mirror 2018'!I250</f>
        <v>2</v>
      </c>
      <c r="E19" t="str">
        <f>'mirror 2018'!J250</f>
        <v>GUERZON, Marleen Montano</v>
      </c>
      <c r="F19" t="str">
        <f>'mirror 2018'!L250</f>
        <v xml:space="preserve">MARLEEN M. GUERZON </v>
      </c>
      <c r="G19" t="str">
        <f>'mirror 2018'!M250</f>
        <v>Benguet</v>
      </c>
      <c r="H19" t="str">
        <f>'mirror 2018'!K250</f>
        <v>GUERZON</v>
      </c>
      <c r="I19" t="str">
        <f>'mirror 2018'!N250</f>
        <v>F</v>
      </c>
      <c r="J19" s="128">
        <f>'mirror 2018'!C250</f>
        <v>41068</v>
      </c>
      <c r="K19" s="134">
        <f>'mirror 2018'!O250</f>
        <v>59597</v>
      </c>
      <c r="L19" s="134">
        <f>'mirror 2018'!P250</f>
        <v>60491</v>
      </c>
      <c r="M19" s="134">
        <f>'mirror 2018'!Q250</f>
        <v>894</v>
      </c>
      <c r="N19">
        <f>'mirror 2018'!R250</f>
        <v>0</v>
      </c>
      <c r="O19" s="135">
        <f ca="1">'mirror 2018'!S250</f>
        <v>46181</v>
      </c>
    </row>
    <row r="20" spans="1:15" ht="15.75" customHeight="1">
      <c r="A20" t="str">
        <f>'mirror 2018'!D251</f>
        <v>OSEC-DILGB-LGOO6-236-2010</v>
      </c>
      <c r="B20" t="str">
        <f>'mirror 2018'!E251</f>
        <v>Local Government Operations Officer VI</v>
      </c>
      <c r="C20">
        <f>'mirror 2018'!F251</f>
        <v>22</v>
      </c>
      <c r="D20" s="131">
        <f>'mirror 2018'!I251</f>
        <v>1</v>
      </c>
      <c r="E20" t="str">
        <f>'mirror 2018'!J251</f>
        <v>ACERET, Wilnelia Martinez</v>
      </c>
      <c r="F20" t="str">
        <f>'mirror 2018'!L251</f>
        <v xml:space="preserve">WILNELIA M. ACERET </v>
      </c>
      <c r="G20" t="str">
        <f>'mirror 2018'!M251</f>
        <v>Apayao</v>
      </c>
      <c r="H20" t="str">
        <f>'mirror 2018'!K251</f>
        <v>ACERET</v>
      </c>
      <c r="I20" t="str">
        <f>'mirror 2018'!N251</f>
        <v>F</v>
      </c>
      <c r="J20" s="128">
        <f>'mirror 2018'!C251</f>
        <v>42354</v>
      </c>
      <c r="K20" s="134">
        <f>'mirror 2018'!O251</f>
        <v>58717</v>
      </c>
      <c r="L20" s="134">
        <f>'mirror 2018'!P251</f>
        <v>59597</v>
      </c>
      <c r="M20" s="134">
        <f>'mirror 2018'!Q251</f>
        <v>880</v>
      </c>
      <c r="N20">
        <f>'mirror 2018'!R251</f>
        <v>0</v>
      </c>
      <c r="O20" s="135">
        <f ca="1">'mirror 2018'!S251</f>
        <v>46372</v>
      </c>
    </row>
    <row r="21" spans="1:15" ht="15.75" customHeight="1">
      <c r="A21" t="str">
        <f>'mirror 2018'!D252</f>
        <v>OSEC-DILGB-LGOO5-897-1998</v>
      </c>
      <c r="B21" t="str">
        <f>'mirror 2018'!E252</f>
        <v>Local Government Operations Officer V</v>
      </c>
      <c r="C21">
        <f>'mirror 2018'!F252</f>
        <v>20</v>
      </c>
      <c r="D21" s="131">
        <f>'mirror 2018'!I252</f>
        <v>1</v>
      </c>
      <c r="E21" t="str">
        <f>'mirror 2018'!J252</f>
        <v>VALERA, Sharima Tomas</v>
      </c>
      <c r="F21" t="str">
        <f>'mirror 2018'!L252</f>
        <v xml:space="preserve">SHARIMA T. VALERA </v>
      </c>
      <c r="G21" t="str">
        <f>'mirror 2018'!M252</f>
        <v>Abra</v>
      </c>
      <c r="H21" t="str">
        <f>'mirror 2018'!K252</f>
        <v>VALERA</v>
      </c>
      <c r="I21" t="str">
        <f>'mirror 2018'!N252</f>
        <v>F</v>
      </c>
      <c r="J21" s="128">
        <f>'mirror 2018'!C252</f>
        <v>42289</v>
      </c>
      <c r="K21" s="134">
        <f>'mirror 2018'!O252</f>
        <v>47037</v>
      </c>
      <c r="L21" s="134">
        <f>'mirror 2018'!P252</f>
        <v>47742</v>
      </c>
      <c r="M21" s="134">
        <f>'mirror 2018'!Q252</f>
        <v>705</v>
      </c>
      <c r="N21" t="str">
        <f>'mirror 2018'!R252</f>
        <v>Shifting</v>
      </c>
      <c r="O21" s="135">
        <f ca="1">'mirror 2018'!S252</f>
        <v>46307</v>
      </c>
    </row>
    <row r="22" spans="1:15" ht="15.75" customHeight="1">
      <c r="A22" t="str">
        <f>'mirror 2018'!D253</f>
        <v>OSEC-DILGB-LGOO3-129-1998</v>
      </c>
      <c r="B22" t="str">
        <f>'mirror 2018'!E253</f>
        <v>Local Government Operations Officer III</v>
      </c>
      <c r="C22">
        <f>'mirror 2018'!F253</f>
        <v>15</v>
      </c>
      <c r="D22" s="131">
        <f>'mirror 2018'!I253</f>
        <v>1</v>
      </c>
      <c r="E22" t="str">
        <f>'mirror 2018'!J253</f>
        <v>CANULLAS, Mary Jheama Rachine Esperanzate</v>
      </c>
      <c r="F22" t="str">
        <f>'mirror 2018'!L253</f>
        <v xml:space="preserve"> MARY JHEAMA RACHINE E. CANULLAS </v>
      </c>
      <c r="G22" t="str">
        <f>'mirror 2018'!M253</f>
        <v>Baguio City</v>
      </c>
      <c r="H22" t="str">
        <f>'mirror 2018'!K253</f>
        <v>CANULLAS</v>
      </c>
      <c r="I22" t="str">
        <f>'mirror 2018'!N253</f>
        <v>F</v>
      </c>
      <c r="J22" s="128">
        <f>'mirror 2018'!C253</f>
        <v>42201</v>
      </c>
      <c r="K22" s="134">
        <f>'mirror 2018'!O253</f>
        <v>29010</v>
      </c>
      <c r="L22" s="134">
        <f>'mirror 2018'!P253</f>
        <v>29359</v>
      </c>
      <c r="M22" s="134">
        <f>'mirror 2018'!Q253</f>
        <v>349</v>
      </c>
      <c r="N22">
        <f>'mirror 2018'!R253</f>
        <v>0</v>
      </c>
      <c r="O22" s="135">
        <f ca="1">'mirror 2018'!S253</f>
        <v>46219</v>
      </c>
    </row>
    <row r="23" spans="1:15" ht="15.75" customHeight="1">
      <c r="A23" t="str">
        <f>'mirror 2018'!D254</f>
        <v>OSEC-DILGB-LGOO3-130-1998</v>
      </c>
      <c r="B23" t="str">
        <f>'mirror 2018'!E254</f>
        <v>Local Government Operations Officer III</v>
      </c>
      <c r="C23">
        <f>'mirror 2018'!F254</f>
        <v>15</v>
      </c>
      <c r="D23" s="131">
        <f>'mirror 2018'!I254</f>
        <v>1</v>
      </c>
      <c r="E23" t="str">
        <f>'mirror 2018'!J254</f>
        <v>ANGGADNA, Mario Jr. Domingo</v>
      </c>
      <c r="F23" t="str">
        <f>'mirror 2018'!L254</f>
        <v>MARIO D. ANGGADNA Jr.</v>
      </c>
      <c r="G23" t="str">
        <f>'mirror 2018'!M254</f>
        <v>Ifugao</v>
      </c>
      <c r="H23" t="str">
        <f>'mirror 2018'!K254</f>
        <v>ANGGADNA</v>
      </c>
      <c r="I23" t="str">
        <f>'mirror 2018'!N254</f>
        <v>M</v>
      </c>
      <c r="J23" s="128">
        <f>'mirror 2018'!C254</f>
        <v>42289</v>
      </c>
      <c r="K23" s="134">
        <f>'mirror 2018'!O254</f>
        <v>29010</v>
      </c>
      <c r="L23" s="134">
        <f>'mirror 2018'!P254</f>
        <v>29359</v>
      </c>
      <c r="M23" s="134">
        <f>'mirror 2018'!Q254</f>
        <v>349</v>
      </c>
      <c r="N23">
        <f>'mirror 2018'!R254</f>
        <v>0</v>
      </c>
      <c r="O23" s="135">
        <f ca="1">'mirror 2018'!S254</f>
        <v>46307</v>
      </c>
    </row>
    <row r="24" spans="1:15" ht="15.75" customHeight="1">
      <c r="A24" t="str">
        <f>'mirror 2018'!D255</f>
        <v>OSEC-DILGB-LGOO2-10-1998</v>
      </c>
      <c r="B24" t="str">
        <f>'mirror 2018'!E255</f>
        <v>Local Government Operations Officer II</v>
      </c>
      <c r="C24">
        <f>'mirror 2018'!F255</f>
        <v>13</v>
      </c>
      <c r="D24" s="131">
        <f>'mirror 2018'!I255</f>
        <v>1</v>
      </c>
      <c r="E24" t="str">
        <f>'mirror 2018'!J255</f>
        <v>TENEBRO, JR Adame</v>
      </c>
      <c r="F24" t="str">
        <f>'mirror 2018'!L255</f>
        <v xml:space="preserve">JR A. TENEBRO </v>
      </c>
      <c r="G24" t="str">
        <f>'mirror 2018'!M255</f>
        <v>Abra</v>
      </c>
      <c r="H24" t="str">
        <f>'mirror 2018'!K255</f>
        <v>TENEBRO</v>
      </c>
      <c r="I24" t="str">
        <f>'mirror 2018'!N255</f>
        <v>M</v>
      </c>
      <c r="J24" s="128">
        <f>'mirror 2018'!C255</f>
        <v>42293</v>
      </c>
      <c r="K24" s="134">
        <f>'mirror 2018'!O255</f>
        <v>24224</v>
      </c>
      <c r="L24" s="134">
        <f>'mirror 2018'!P255</f>
        <v>24510</v>
      </c>
      <c r="M24" s="134">
        <f>'mirror 2018'!Q255</f>
        <v>286</v>
      </c>
      <c r="N24">
        <f>'mirror 2018'!R255</f>
        <v>0</v>
      </c>
      <c r="O24" s="135">
        <f ca="1">'mirror 2018'!S255</f>
        <v>46311</v>
      </c>
    </row>
    <row r="25" spans="1:15" ht="15.75" customHeight="1">
      <c r="A25" t="str">
        <f>'mirror 2018'!D256</f>
        <v>OSEC-DILGB-LGOO2-12-1998</v>
      </c>
      <c r="B25" t="str">
        <f>'mirror 2018'!E256</f>
        <v>Local Government Operations Officer II</v>
      </c>
      <c r="C25">
        <f>'mirror 2018'!F256</f>
        <v>13</v>
      </c>
      <c r="D25" s="131">
        <f>'mirror 2018'!I256</f>
        <v>1</v>
      </c>
      <c r="E25" t="str">
        <f>'mirror 2018'!J256</f>
        <v>PARTIDO, Alfrainer Ferras</v>
      </c>
      <c r="F25" t="str">
        <f>'mirror 2018'!L256</f>
        <v xml:space="preserve">ALFRAINER F. PARTIDO </v>
      </c>
      <c r="G25" t="str">
        <f>'mirror 2018'!M256</f>
        <v>Abra</v>
      </c>
      <c r="H25" t="str">
        <f>'mirror 2018'!K256</f>
        <v>PARTIDO</v>
      </c>
      <c r="I25" t="str">
        <f>'mirror 2018'!N256</f>
        <v>M</v>
      </c>
      <c r="J25" s="128">
        <f>'mirror 2018'!C256</f>
        <v>42186</v>
      </c>
      <c r="K25" s="134">
        <f>'mirror 2018'!O256</f>
        <v>24224</v>
      </c>
      <c r="L25" s="134">
        <f>'mirror 2018'!P256</f>
        <v>24510</v>
      </c>
      <c r="M25" s="134">
        <f>'mirror 2018'!Q256</f>
        <v>286</v>
      </c>
      <c r="N25">
        <f>'mirror 2018'!R256</f>
        <v>0</v>
      </c>
      <c r="O25" s="135">
        <f ca="1">'mirror 2018'!S256</f>
        <v>46204</v>
      </c>
    </row>
    <row r="26" spans="1:15" ht="15.75" customHeight="1">
      <c r="A26" t="str">
        <f>'mirror 2018'!D257</f>
        <v>OSEC-DILGB-ADAS2-65-2005</v>
      </c>
      <c r="B26" t="str">
        <f>'mirror 2018'!E257</f>
        <v>Administrative Assistant II</v>
      </c>
      <c r="C26">
        <f>'mirror 2018'!F257</f>
        <v>8</v>
      </c>
      <c r="D26" s="131">
        <f>'mirror 2018'!I257</f>
        <v>1</v>
      </c>
      <c r="E26" t="str">
        <f>'mirror 2018'!J257</f>
        <v>ANAPEN, Humphrey Dumayas</v>
      </c>
      <c r="F26" t="str">
        <f>'mirror 2018'!L257</f>
        <v xml:space="preserve">HUMPHREY D. ANAPEN </v>
      </c>
      <c r="G26" t="str">
        <f>'mirror 2018'!M257</f>
        <v>Apayao</v>
      </c>
      <c r="H26" t="str">
        <f>'mirror 2018'!K257</f>
        <v>ANAPEN</v>
      </c>
      <c r="I26" t="str">
        <f>'mirror 2018'!N257</f>
        <v>M</v>
      </c>
      <c r="J26" s="128">
        <f>'mirror 2018'!C257</f>
        <v>42289</v>
      </c>
      <c r="K26" s="134">
        <f>'mirror 2018'!O257</f>
        <v>16282</v>
      </c>
      <c r="L26" s="134">
        <f>'mirror 2018'!P257</f>
        <v>16433</v>
      </c>
      <c r="M26" s="134">
        <f>'mirror 2018'!Q257</f>
        <v>151</v>
      </c>
      <c r="N26">
        <f>'mirror 2018'!R257</f>
        <v>0</v>
      </c>
      <c r="O26" s="135">
        <f ca="1">'mirror 2018'!S257</f>
        <v>46307</v>
      </c>
    </row>
    <row r="27" spans="1:15" ht="15.75" customHeight="1">
      <c r="A27" t="str">
        <f>'mirror 2018'!D258</f>
        <v>OSEC-DILGB-ADAS2-68-2005</v>
      </c>
      <c r="B27" t="str">
        <f>'mirror 2018'!E258</f>
        <v>Administrative Assistant II</v>
      </c>
      <c r="C27">
        <f>'mirror 2018'!F258</f>
        <v>8</v>
      </c>
      <c r="D27" s="131">
        <f>'mirror 2018'!I258</f>
        <v>1</v>
      </c>
      <c r="E27" t="str">
        <f>'mirror 2018'!J258</f>
        <v>ATUAN, Valentine Lugawe</v>
      </c>
      <c r="F27" t="str">
        <f>'mirror 2018'!L258</f>
        <v xml:space="preserve">VALENTINE L. ATUAN </v>
      </c>
      <c r="G27" t="str">
        <f>'mirror 2018'!M258</f>
        <v>Mt. Province</v>
      </c>
      <c r="H27" t="str">
        <f>'mirror 2018'!K258</f>
        <v>ATUAN</v>
      </c>
      <c r="I27" t="str">
        <f>'mirror 2018'!N258</f>
        <v>M</v>
      </c>
      <c r="J27" s="128">
        <f>'mirror 2018'!C258</f>
        <v>42186</v>
      </c>
      <c r="K27" s="134">
        <f>'mirror 2018'!O258</f>
        <v>16282</v>
      </c>
      <c r="L27" s="134">
        <f>'mirror 2018'!P258</f>
        <v>16433</v>
      </c>
      <c r="M27" s="134">
        <f>'mirror 2018'!Q258</f>
        <v>151</v>
      </c>
      <c r="N27">
        <f>'mirror 2018'!R258</f>
        <v>0</v>
      </c>
      <c r="O27" s="135">
        <f ca="1">'mirror 2018'!S258</f>
        <v>46204</v>
      </c>
    </row>
    <row r="28" spans="1:15" ht="15.75" customHeight="1">
      <c r="A28" t="str">
        <f>'mirror 2018'!D259</f>
        <v>OSEC-DILGB-ADAS2-75-2005</v>
      </c>
      <c r="B28" t="str">
        <f>'mirror 2018'!E259</f>
        <v>Administrative Assistant II</v>
      </c>
      <c r="C28">
        <f>'mirror 2018'!F259</f>
        <v>8</v>
      </c>
      <c r="D28" s="131">
        <f>'mirror 2018'!I259</f>
        <v>1</v>
      </c>
      <c r="E28" t="str">
        <f>'mirror 2018'!J259</f>
        <v>LADYONG, Faith Urbino</v>
      </c>
      <c r="F28" t="str">
        <f>'mirror 2018'!L259</f>
        <v xml:space="preserve">FAITH U. LADYONG </v>
      </c>
      <c r="G28" t="str">
        <f>'mirror 2018'!M259</f>
        <v>Kalinga</v>
      </c>
      <c r="H28" t="str">
        <f>'mirror 2018'!K259</f>
        <v>LADYONG</v>
      </c>
      <c r="I28" t="str">
        <f>'mirror 2018'!N259</f>
        <v>F</v>
      </c>
      <c r="J28" s="128">
        <f>'mirror 2018'!C259</f>
        <v>42289</v>
      </c>
      <c r="K28" s="134">
        <f>'mirror 2018'!O259</f>
        <v>16282</v>
      </c>
      <c r="L28" s="134">
        <f>'mirror 2018'!P259</f>
        <v>16433</v>
      </c>
      <c r="M28" s="134">
        <f>'mirror 2018'!Q259</f>
        <v>151</v>
      </c>
      <c r="N28">
        <f>'mirror 2018'!R259</f>
        <v>0</v>
      </c>
      <c r="O28" s="135">
        <f ca="1">'mirror 2018'!S259</f>
        <v>46307</v>
      </c>
    </row>
    <row r="29" spans="1:15" ht="15.75" customHeight="1">
      <c r="A29" t="str">
        <f>'mirror 2018'!D260</f>
        <v>OSEC-DILGB-ADAS2-76-2005</v>
      </c>
      <c r="B29" t="str">
        <f>'mirror 2018'!E260</f>
        <v>Administrative Assistant II</v>
      </c>
      <c r="C29">
        <f>'mirror 2018'!F260</f>
        <v>8</v>
      </c>
      <c r="D29" s="131">
        <f>'mirror 2018'!I260</f>
        <v>7</v>
      </c>
      <c r="E29" t="str">
        <f>'mirror 2018'!J260</f>
        <v>BINTUDAN, Rosemarie Bumidang</v>
      </c>
      <c r="F29" t="str">
        <f>'mirror 2018'!L260</f>
        <v xml:space="preserve">ROSEMARIE B. BINTUDAN </v>
      </c>
      <c r="G29" t="str">
        <f>'mirror 2018'!M260</f>
        <v>Ifugao</v>
      </c>
      <c r="H29" t="str">
        <f>'mirror 2018'!K260</f>
        <v>BINTUDAN</v>
      </c>
      <c r="I29" t="str">
        <f>'mirror 2018'!N260</f>
        <v>F</v>
      </c>
      <c r="J29" s="128">
        <f>'mirror 2018'!C260</f>
        <v>35643</v>
      </c>
      <c r="K29" s="134">
        <f>'mirror 2018'!O260</f>
        <v>17209</v>
      </c>
      <c r="L29" s="134">
        <f>'mirror 2018'!P260</f>
        <v>17369</v>
      </c>
      <c r="M29" s="134">
        <f>'mirror 2018'!Q260</f>
        <v>160</v>
      </c>
      <c r="N29">
        <f>'mirror 2018'!R260</f>
        <v>0</v>
      </c>
      <c r="O29" s="135">
        <f ca="1">'mirror 2018'!S260</f>
        <v>46235</v>
      </c>
    </row>
    <row r="30" spans="1:15" ht="15.75" customHeight="1">
      <c r="A30" t="str">
        <f>'mirror 2018'!D261</f>
        <v>OSEC-DILGB-ADAS2-77-2005</v>
      </c>
      <c r="B30" t="str">
        <f>'mirror 2018'!E261</f>
        <v>Administrative Assistant II</v>
      </c>
      <c r="C30">
        <f>'mirror 2018'!F261</f>
        <v>8</v>
      </c>
      <c r="D30" s="131">
        <f>'mirror 2018'!I261</f>
        <v>1</v>
      </c>
      <c r="E30" t="str">
        <f>'mirror 2018'!J261</f>
        <v>GALLEMA, Michelle Ignacio</v>
      </c>
      <c r="F30" t="str">
        <f>'mirror 2018'!L261</f>
        <v xml:space="preserve">MICHELLE I. GALLEMA </v>
      </c>
      <c r="G30" t="str">
        <f>'mirror 2018'!M261</f>
        <v>Kalinga</v>
      </c>
      <c r="H30" t="str">
        <f>'mirror 2018'!K261</f>
        <v>GALLEMA</v>
      </c>
      <c r="I30" t="str">
        <f>'mirror 2018'!N261</f>
        <v>F</v>
      </c>
      <c r="J30" s="128">
        <f>'mirror 2018'!C261</f>
        <v>42289</v>
      </c>
      <c r="K30" s="134">
        <f>'mirror 2018'!O261</f>
        <v>16282</v>
      </c>
      <c r="L30" s="134">
        <f>'mirror 2018'!P261</f>
        <v>16433</v>
      </c>
      <c r="M30" s="134">
        <f>'mirror 2018'!Q261</f>
        <v>151</v>
      </c>
      <c r="N30">
        <f>'mirror 2018'!R261</f>
        <v>0</v>
      </c>
      <c r="O30" s="135">
        <f ca="1">'mirror 2018'!S261</f>
        <v>46307</v>
      </c>
    </row>
    <row r="31" spans="1:15" ht="15.75" customHeight="1">
      <c r="A31" t="str">
        <f>'mirror 2018'!D262</f>
        <v>OSEC-DILGB-ADA6-99-2005</v>
      </c>
      <c r="B31" t="str">
        <f>'mirror 2018'!E262</f>
        <v>Administrative Aide VI</v>
      </c>
      <c r="C31">
        <f>'mirror 2018'!F262</f>
        <v>6</v>
      </c>
      <c r="D31" s="131">
        <f>'mirror 2018'!I262</f>
        <v>1</v>
      </c>
      <c r="E31" t="str">
        <f>'mirror 2018'!J262</f>
        <v>TAN, Corrine Marie Pauline Elveña</v>
      </c>
      <c r="F31" t="str">
        <f>'mirror 2018'!L262</f>
        <v xml:space="preserve">CORRINE MARIE PAULINE E. TAN </v>
      </c>
      <c r="G31" t="str">
        <f>'mirror 2018'!M262</f>
        <v>Abra</v>
      </c>
      <c r="H31" t="str">
        <f>'mirror 2018'!K262</f>
        <v>TAN</v>
      </c>
      <c r="I31" t="str">
        <f>'mirror 2018'!N262</f>
        <v>F</v>
      </c>
      <c r="J31" s="128">
        <f>'mirror 2018'!C262</f>
        <v>42318</v>
      </c>
      <c r="K31" s="134">
        <f>'mirror 2018'!O262</f>
        <v>14340</v>
      </c>
      <c r="L31" s="134">
        <f>'mirror 2018'!P262</f>
        <v>14459</v>
      </c>
      <c r="M31" s="134">
        <f>'mirror 2018'!Q262</f>
        <v>119</v>
      </c>
      <c r="N31">
        <f>'mirror 2018'!R262</f>
        <v>0</v>
      </c>
      <c r="O31" s="135">
        <f ca="1">'mirror 2018'!S262</f>
        <v>46336</v>
      </c>
    </row>
    <row r="32" spans="1:15" ht="15.75" customHeight="1">
      <c r="A32" t="str">
        <f>'mirror 2018'!D263</f>
        <v>OSEC-DILGB-ADA4-88-2005</v>
      </c>
      <c r="B32" t="str">
        <f>'mirror 2018'!E263</f>
        <v>Administrative Aide IV</v>
      </c>
      <c r="C32">
        <f>'mirror 2018'!F263</f>
        <v>4</v>
      </c>
      <c r="D32" s="131">
        <f>'mirror 2018'!I263</f>
        <v>1</v>
      </c>
      <c r="E32" t="str">
        <f>'mirror 2018'!J263</f>
        <v>ANUA, Rochelle Foronda</v>
      </c>
      <c r="F32" t="str">
        <f>'mirror 2018'!L263</f>
        <v xml:space="preserve">ROCHELLE F. ANUA </v>
      </c>
      <c r="G32" t="str">
        <f>'mirror 2018'!M263</f>
        <v>Apayao</v>
      </c>
      <c r="H32" t="str">
        <f>'mirror 2018'!K263</f>
        <v>ANUA</v>
      </c>
      <c r="I32" t="str">
        <f>'mirror 2018'!N263</f>
        <v>F</v>
      </c>
      <c r="J32" s="128">
        <f>'mirror 2018'!C263</f>
        <v>42186</v>
      </c>
      <c r="K32" s="134">
        <f>'mirror 2018'!O263</f>
        <v>12674</v>
      </c>
      <c r="L32" s="134">
        <f>'mirror 2018'!P263</f>
        <v>12778</v>
      </c>
      <c r="M32" s="134">
        <f>'mirror 2018'!Q263</f>
        <v>104</v>
      </c>
      <c r="N32">
        <f>'mirror 2018'!R263</f>
        <v>0</v>
      </c>
      <c r="O32" s="135">
        <f ca="1">'mirror 2018'!S263</f>
        <v>46204</v>
      </c>
    </row>
    <row r="33" spans="1:15" ht="15.75" customHeight="1">
      <c r="A33" t="str">
        <f>'mirror 2018'!D264</f>
        <v>OSEC-DILGB-ADA4-92-2005</v>
      </c>
      <c r="B33" t="str">
        <f>'mirror 2018'!E264</f>
        <v>Administrative Aide IV</v>
      </c>
      <c r="C33">
        <f>'mirror 2018'!F264</f>
        <v>4</v>
      </c>
      <c r="D33" s="131">
        <f>'mirror 2018'!I264</f>
        <v>1</v>
      </c>
      <c r="E33" t="str">
        <f>'mirror 2018'!J264</f>
        <v>PATAUEG, Clifford Pungod</v>
      </c>
      <c r="F33" t="str">
        <f>'mirror 2018'!L264</f>
        <v xml:space="preserve">CLIFFORD P. PATAUEG </v>
      </c>
      <c r="G33" t="str">
        <f>'mirror 2018'!M264</f>
        <v>Ifugao</v>
      </c>
      <c r="H33" t="str">
        <f>'mirror 2018'!K264</f>
        <v>PATAUEG</v>
      </c>
      <c r="I33" t="str">
        <f>'mirror 2018'!N264</f>
        <v>M</v>
      </c>
      <c r="J33" s="128">
        <f>'mirror 2018'!C264</f>
        <v>42289</v>
      </c>
      <c r="K33" s="134">
        <f>'mirror 2018'!O264</f>
        <v>12674</v>
      </c>
      <c r="L33" s="134">
        <f>'mirror 2018'!P264</f>
        <v>12778</v>
      </c>
      <c r="M33" s="134">
        <f>'mirror 2018'!Q264</f>
        <v>104</v>
      </c>
      <c r="N33" t="str">
        <f>'mirror 2018'!R264</f>
        <v>Nurse</v>
      </c>
      <c r="O33" s="135">
        <f ca="1">'mirror 2018'!S264</f>
        <v>46307</v>
      </c>
    </row>
    <row r="34" spans="1:15" ht="15.75" customHeight="1">
      <c r="A34" t="str">
        <f>'mirror 2018'!D265</f>
        <v>OSEC-DILGB-ADA4-94-2005</v>
      </c>
      <c r="B34" t="str">
        <f>'mirror 2018'!E265</f>
        <v>Administrative Aide IV</v>
      </c>
      <c r="C34">
        <f>'mirror 2018'!F265</f>
        <v>4</v>
      </c>
      <c r="D34" s="131">
        <f>'mirror 2018'!I265</f>
        <v>2</v>
      </c>
      <c r="E34" t="str">
        <f>'mirror 2018'!J265</f>
        <v>ANGAWA, Lilet Ahuday</v>
      </c>
      <c r="F34" t="str">
        <f>'mirror 2018'!L265</f>
        <v xml:space="preserve">LILET A. ANGAWA </v>
      </c>
      <c r="G34" t="str">
        <f>'mirror 2018'!M265</f>
        <v>Baguio City</v>
      </c>
      <c r="H34" t="str">
        <f>'mirror 2018'!K265</f>
        <v>ANGAWA</v>
      </c>
      <c r="I34" t="str">
        <f>'mirror 2018'!N265</f>
        <v>F</v>
      </c>
      <c r="J34" s="128">
        <f>'mirror 2018'!C265</f>
        <v>40910</v>
      </c>
      <c r="K34" s="134">
        <f>'mirror 2018'!O265</f>
        <v>12778</v>
      </c>
      <c r="L34" s="134">
        <f>'mirror 2018'!P265</f>
        <v>12884</v>
      </c>
      <c r="M34" s="134">
        <f>'mirror 2018'!Q265</f>
        <v>106</v>
      </c>
      <c r="N34">
        <f>'mirror 2018'!R265</f>
        <v>0</v>
      </c>
      <c r="O34" s="135">
        <f ca="1">'mirror 2018'!S265</f>
        <v>46024</v>
      </c>
    </row>
    <row r="35" spans="1:15" ht="15.75" customHeight="1">
      <c r="A35">
        <f>'mirror 2018'!D266</f>
        <v>0</v>
      </c>
      <c r="B35">
        <f>'mirror 2018'!E266</f>
        <v>0</v>
      </c>
      <c r="C35">
        <f>'mirror 2018'!F266</f>
        <v>0</v>
      </c>
      <c r="D35" s="131">
        <f>'mirror 2018'!I266</f>
        <v>0</v>
      </c>
      <c r="E35">
        <f>'mirror 2018'!J266</f>
        <v>0</v>
      </c>
      <c r="F35">
        <f>'mirror 2018'!L266</f>
        <v>0</v>
      </c>
      <c r="G35">
        <f>'mirror 2018'!M266</f>
        <v>0</v>
      </c>
      <c r="H35">
        <f>'mirror 2018'!K266</f>
        <v>0</v>
      </c>
      <c r="I35">
        <f>'mirror 2018'!N266</f>
        <v>0</v>
      </c>
      <c r="J35" s="128">
        <f>'mirror 2018'!C266</f>
        <v>0</v>
      </c>
      <c r="K35" s="134">
        <f>'mirror 2018'!O266</f>
        <v>0</v>
      </c>
      <c r="L35" s="134">
        <f>'mirror 2018'!P266</f>
        <v>0</v>
      </c>
      <c r="M35" s="134">
        <f>'mirror 2018'!Q266</f>
        <v>0</v>
      </c>
      <c r="N35">
        <f>'mirror 2018'!R266</f>
        <v>0</v>
      </c>
      <c r="O35" s="135">
        <f ca="1">'mirror 2018'!S266</f>
        <v>46022</v>
      </c>
    </row>
    <row r="36" spans="1:15" ht="15.75" customHeight="1">
      <c r="A36">
        <f>'mirror 2018'!D267</f>
        <v>0</v>
      </c>
      <c r="B36">
        <f>'mirror 2018'!E267</f>
        <v>0</v>
      </c>
      <c r="C36">
        <f>'mirror 2018'!F267</f>
        <v>0</v>
      </c>
      <c r="D36" s="131">
        <f>'mirror 2018'!I267</f>
        <v>0</v>
      </c>
      <c r="E36">
        <f>'mirror 2018'!J267</f>
        <v>0</v>
      </c>
      <c r="F36">
        <f>'mirror 2018'!L267</f>
        <v>0</v>
      </c>
      <c r="G36">
        <f>'mirror 2018'!M267</f>
        <v>0</v>
      </c>
      <c r="H36">
        <f>'mirror 2018'!K267</f>
        <v>0</v>
      </c>
      <c r="I36">
        <f>'mirror 2018'!N267</f>
        <v>0</v>
      </c>
      <c r="J36" s="128">
        <f>'mirror 2018'!C267</f>
        <v>0</v>
      </c>
      <c r="K36" s="134">
        <f>'mirror 2018'!O267</f>
        <v>0</v>
      </c>
      <c r="L36" s="134">
        <f>'mirror 2018'!P267</f>
        <v>0</v>
      </c>
      <c r="M36" s="134">
        <f>'mirror 2018'!Q267</f>
        <v>0</v>
      </c>
      <c r="N36">
        <f>'mirror 2018'!R267</f>
        <v>0</v>
      </c>
      <c r="O36" s="135">
        <f ca="1">'mirror 2018'!S267</f>
        <v>46022</v>
      </c>
    </row>
    <row r="37" spans="1:15" ht="15.75" customHeight="1">
      <c r="A37">
        <f>'mirror 2018'!D268</f>
        <v>0</v>
      </c>
      <c r="B37">
        <f>'mirror 2018'!E268</f>
        <v>0</v>
      </c>
      <c r="C37">
        <f>'mirror 2018'!F268</f>
        <v>0</v>
      </c>
      <c r="D37" s="131">
        <f>'mirror 2018'!I268</f>
        <v>0</v>
      </c>
      <c r="E37">
        <f>'mirror 2018'!J268</f>
        <v>0</v>
      </c>
      <c r="F37">
        <f>'mirror 2018'!L268</f>
        <v>0</v>
      </c>
      <c r="G37">
        <f>'mirror 2018'!M268</f>
        <v>0</v>
      </c>
      <c r="H37">
        <f>'mirror 2018'!K268</f>
        <v>0</v>
      </c>
      <c r="I37">
        <f>'mirror 2018'!N268</f>
        <v>0</v>
      </c>
      <c r="J37" s="128">
        <f>'mirror 2018'!C268</f>
        <v>0</v>
      </c>
      <c r="K37" s="134">
        <f>'mirror 2018'!O268</f>
        <v>0</v>
      </c>
      <c r="L37" s="134">
        <f>'mirror 2018'!P268</f>
        <v>0</v>
      </c>
      <c r="M37" s="134">
        <f>'mirror 2018'!Q268</f>
        <v>0</v>
      </c>
      <c r="N37">
        <f>'mirror 2018'!R268</f>
        <v>0</v>
      </c>
      <c r="O37" s="135">
        <f ca="1">'mirror 2018'!S268</f>
        <v>46022</v>
      </c>
    </row>
    <row r="38" spans="1:15" ht="15.75" customHeight="1">
      <c r="A38">
        <f>'mirror 2018'!D269</f>
        <v>0</v>
      </c>
      <c r="B38">
        <f>'mirror 2018'!E269</f>
        <v>0</v>
      </c>
      <c r="C38">
        <f>'mirror 2018'!F269</f>
        <v>0</v>
      </c>
      <c r="D38" s="131">
        <f>'mirror 2018'!I269</f>
        <v>0</v>
      </c>
      <c r="E38">
        <f>'mirror 2018'!J269</f>
        <v>0</v>
      </c>
      <c r="F38">
        <f>'mirror 2018'!L269</f>
        <v>0</v>
      </c>
      <c r="G38">
        <f>'mirror 2018'!M269</f>
        <v>0</v>
      </c>
      <c r="H38">
        <f>'mirror 2018'!K269</f>
        <v>0</v>
      </c>
      <c r="I38">
        <f>'mirror 2018'!N269</f>
        <v>0</v>
      </c>
      <c r="J38" s="128">
        <f>'mirror 2018'!C269</f>
        <v>0</v>
      </c>
      <c r="K38" s="134">
        <f>'mirror 2018'!O269</f>
        <v>0</v>
      </c>
      <c r="L38" s="134">
        <f>'mirror 2018'!P269</f>
        <v>0</v>
      </c>
      <c r="M38" s="134">
        <f>'mirror 2018'!Q269</f>
        <v>0</v>
      </c>
      <c r="N38">
        <f>'mirror 2018'!R269</f>
        <v>0</v>
      </c>
      <c r="O38" s="135">
        <f ca="1">'mirror 2018'!S269</f>
        <v>46022</v>
      </c>
    </row>
    <row r="39" spans="1:15" ht="15.75" customHeight="1">
      <c r="A39" t="e">
        <f>'mirror 2018'!#REF!</f>
        <v>#REF!</v>
      </c>
      <c r="B39" t="e">
        <f>'mirror 2018'!#REF!</f>
        <v>#REF!</v>
      </c>
      <c r="C39" t="e">
        <f>'mirror 2018'!#REF!</f>
        <v>#REF!</v>
      </c>
      <c r="D39" s="131" t="e">
        <f>'mirror 2018'!#REF!</f>
        <v>#REF!</v>
      </c>
      <c r="E39" t="e">
        <f>'mirror 2018'!#REF!</f>
        <v>#REF!</v>
      </c>
      <c r="F39" t="e">
        <f>'mirror 2018'!#REF!</f>
        <v>#REF!</v>
      </c>
      <c r="G39" t="e">
        <f>'mirror 2018'!#REF!</f>
        <v>#REF!</v>
      </c>
      <c r="H39" t="e">
        <f>'mirror 2018'!#REF!</f>
        <v>#REF!</v>
      </c>
      <c r="I39" t="e">
        <f>'mirror 2018'!#REF!</f>
        <v>#REF!</v>
      </c>
      <c r="J39" s="128" t="e">
        <f>'mirror 2018'!#REF!</f>
        <v>#REF!</v>
      </c>
      <c r="K39" s="134" t="e">
        <f>'mirror 2018'!#REF!</f>
        <v>#REF!</v>
      </c>
      <c r="L39" s="134" t="e">
        <f>'mirror 2018'!#REF!</f>
        <v>#REF!</v>
      </c>
      <c r="M39" s="134" t="e">
        <f>'mirror 2018'!#REF!</f>
        <v>#REF!</v>
      </c>
      <c r="N39" t="e">
        <f>'mirror 2018'!#REF!</f>
        <v>#REF!</v>
      </c>
      <c r="O39" s="135">
        <f ca="1">'mirror 2018'!S270</f>
        <v>46387</v>
      </c>
    </row>
    <row r="40" spans="1:15" ht="15.75" customHeight="1">
      <c r="A40" t="e">
        <f>'mirror 2018'!#REF!</f>
        <v>#REF!</v>
      </c>
      <c r="B40" t="e">
        <f>'mirror 2018'!#REF!</f>
        <v>#REF!</v>
      </c>
      <c r="C40" t="e">
        <f>'mirror 2018'!#REF!</f>
        <v>#REF!</v>
      </c>
      <c r="D40" s="131" t="e">
        <f>'mirror 2018'!#REF!</f>
        <v>#REF!</v>
      </c>
      <c r="E40" t="e">
        <f>'mirror 2018'!#REF!</f>
        <v>#REF!</v>
      </c>
      <c r="F40" t="e">
        <f>'mirror 2018'!#REF!</f>
        <v>#REF!</v>
      </c>
      <c r="G40" t="e">
        <f>'mirror 2018'!#REF!</f>
        <v>#REF!</v>
      </c>
      <c r="H40" t="e">
        <f>'mirror 2018'!#REF!</f>
        <v>#REF!</v>
      </c>
      <c r="I40" t="e">
        <f>'mirror 2018'!#REF!</f>
        <v>#REF!</v>
      </c>
      <c r="J40" s="128" t="e">
        <f>'mirror 2018'!#REF!</f>
        <v>#REF!</v>
      </c>
      <c r="K40" s="134" t="e">
        <f>'mirror 2018'!#REF!</f>
        <v>#REF!</v>
      </c>
      <c r="L40" s="134" t="e">
        <f>'mirror 2018'!#REF!</f>
        <v>#REF!</v>
      </c>
      <c r="M40" s="134" t="e">
        <f>'mirror 2018'!#REF!</f>
        <v>#REF!</v>
      </c>
      <c r="N40" t="e">
        <f>'mirror 2018'!#REF!</f>
        <v>#REF!</v>
      </c>
      <c r="O40" s="135">
        <f ca="1">'mirror 2018'!S271</f>
        <v>46387</v>
      </c>
    </row>
    <row r="41" spans="1:15" ht="15.75" customHeight="1">
      <c r="A41" t="e">
        <f>'mirror 2018'!#REF!</f>
        <v>#REF!</v>
      </c>
      <c r="B41" t="e">
        <f>'mirror 2018'!#REF!</f>
        <v>#REF!</v>
      </c>
      <c r="C41" t="e">
        <f>'mirror 2018'!#REF!</f>
        <v>#REF!</v>
      </c>
      <c r="D41" s="131" t="e">
        <f>'mirror 2018'!#REF!</f>
        <v>#REF!</v>
      </c>
      <c r="E41" t="e">
        <f>'mirror 2018'!#REF!</f>
        <v>#REF!</v>
      </c>
      <c r="F41" t="e">
        <f>'mirror 2018'!#REF!</f>
        <v>#REF!</v>
      </c>
      <c r="G41" t="e">
        <f>'mirror 2018'!#REF!</f>
        <v>#REF!</v>
      </c>
      <c r="H41" t="e">
        <f>'mirror 2018'!#REF!</f>
        <v>#REF!</v>
      </c>
      <c r="I41" t="e">
        <f>'mirror 2018'!#REF!</f>
        <v>#REF!</v>
      </c>
      <c r="J41" s="128" t="e">
        <f>'mirror 2018'!#REF!</f>
        <v>#REF!</v>
      </c>
      <c r="K41" s="134" t="e">
        <f>'mirror 2018'!#REF!</f>
        <v>#REF!</v>
      </c>
      <c r="L41" s="134" t="e">
        <f>'mirror 2018'!#REF!</f>
        <v>#REF!</v>
      </c>
      <c r="M41" s="134" t="e">
        <f>'mirror 2018'!#REF!</f>
        <v>#REF!</v>
      </c>
      <c r="N41" t="e">
        <f>'mirror 2018'!#REF!</f>
        <v>#REF!</v>
      </c>
      <c r="O41" s="135">
        <f ca="1">'mirror 2018'!S272</f>
        <v>46387</v>
      </c>
    </row>
    <row r="42" spans="1:15" ht="15.75" customHeight="1">
      <c r="A42" t="e">
        <f>'mirror 2018'!#REF!</f>
        <v>#REF!</v>
      </c>
      <c r="B42" t="e">
        <f>'mirror 2018'!#REF!</f>
        <v>#REF!</v>
      </c>
      <c r="C42" t="e">
        <f>'mirror 2018'!#REF!</f>
        <v>#REF!</v>
      </c>
      <c r="D42" s="131" t="e">
        <f>'mirror 2018'!#REF!</f>
        <v>#REF!</v>
      </c>
      <c r="E42" t="e">
        <f>'mirror 2018'!#REF!</f>
        <v>#REF!</v>
      </c>
      <c r="F42" t="e">
        <f>'mirror 2018'!#REF!</f>
        <v>#REF!</v>
      </c>
      <c r="G42" t="e">
        <f>'mirror 2018'!#REF!</f>
        <v>#REF!</v>
      </c>
      <c r="H42" t="e">
        <f>'mirror 2018'!#REF!</f>
        <v>#REF!</v>
      </c>
      <c r="I42" t="e">
        <f>'mirror 2018'!#REF!</f>
        <v>#REF!</v>
      </c>
      <c r="J42" s="128" t="e">
        <f>'mirror 2018'!#REF!</f>
        <v>#REF!</v>
      </c>
      <c r="K42" s="134" t="e">
        <f>'mirror 2018'!#REF!</f>
        <v>#REF!</v>
      </c>
      <c r="L42" s="134" t="e">
        <f>'mirror 2018'!#REF!</f>
        <v>#REF!</v>
      </c>
      <c r="M42" s="134" t="e">
        <f>'mirror 2018'!#REF!</f>
        <v>#REF!</v>
      </c>
      <c r="N42" t="e">
        <f>'mirror 2018'!#REF!</f>
        <v>#REF!</v>
      </c>
      <c r="O42" s="135">
        <f ca="1">'mirror 2018'!S273</f>
        <v>46387</v>
      </c>
    </row>
    <row r="43" spans="1:15" ht="15.75" customHeight="1">
      <c r="A43" t="e">
        <f>'mirror 2018'!#REF!</f>
        <v>#REF!</v>
      </c>
      <c r="B43" t="e">
        <f>'mirror 2018'!#REF!</f>
        <v>#REF!</v>
      </c>
      <c r="C43" t="e">
        <f>'mirror 2018'!#REF!</f>
        <v>#REF!</v>
      </c>
      <c r="D43" s="131" t="e">
        <f>'mirror 2018'!#REF!</f>
        <v>#REF!</v>
      </c>
      <c r="E43" t="e">
        <f>'mirror 2018'!#REF!</f>
        <v>#REF!</v>
      </c>
      <c r="F43" t="e">
        <f>'mirror 2018'!#REF!</f>
        <v>#REF!</v>
      </c>
      <c r="G43" t="e">
        <f>'mirror 2018'!#REF!</f>
        <v>#REF!</v>
      </c>
      <c r="H43" t="e">
        <f>'mirror 2018'!#REF!</f>
        <v>#REF!</v>
      </c>
      <c r="I43" t="e">
        <f>'mirror 2018'!#REF!</f>
        <v>#REF!</v>
      </c>
      <c r="J43" s="128" t="e">
        <f>'mirror 2018'!#REF!</f>
        <v>#REF!</v>
      </c>
      <c r="K43" s="134" t="e">
        <f>'mirror 2018'!#REF!</f>
        <v>#REF!</v>
      </c>
      <c r="L43" s="134" t="e">
        <f>'mirror 2018'!#REF!</f>
        <v>#REF!</v>
      </c>
      <c r="M43" s="134" t="e">
        <f>'mirror 2018'!#REF!</f>
        <v>#REF!</v>
      </c>
      <c r="N43" t="e">
        <f>'mirror 2018'!#REF!</f>
        <v>#REF!</v>
      </c>
      <c r="O43" s="135">
        <f ca="1">'mirror 2018'!S274</f>
        <v>46387</v>
      </c>
    </row>
    <row r="44" spans="1:15" ht="15.75" customHeight="1">
      <c r="A44" t="e">
        <f>'mirror 2018'!#REF!</f>
        <v>#REF!</v>
      </c>
      <c r="B44" t="e">
        <f>'mirror 2018'!#REF!</f>
        <v>#REF!</v>
      </c>
      <c r="C44" t="e">
        <f>'mirror 2018'!#REF!</f>
        <v>#REF!</v>
      </c>
      <c r="D44" s="131" t="e">
        <f>'mirror 2018'!#REF!</f>
        <v>#REF!</v>
      </c>
      <c r="E44" t="e">
        <f>'mirror 2018'!#REF!</f>
        <v>#REF!</v>
      </c>
      <c r="F44" t="e">
        <f>'mirror 2018'!#REF!</f>
        <v>#REF!</v>
      </c>
      <c r="G44" t="e">
        <f>'mirror 2018'!#REF!</f>
        <v>#REF!</v>
      </c>
      <c r="H44" t="e">
        <f>'mirror 2018'!#REF!</f>
        <v>#REF!</v>
      </c>
      <c r="I44" t="e">
        <f>'mirror 2018'!#REF!</f>
        <v>#REF!</v>
      </c>
      <c r="J44" s="128" t="e">
        <f>'mirror 2018'!#REF!</f>
        <v>#REF!</v>
      </c>
      <c r="K44" s="134" t="e">
        <f>'mirror 2018'!#REF!</f>
        <v>#REF!</v>
      </c>
      <c r="L44" s="134" t="e">
        <f>'mirror 2018'!#REF!</f>
        <v>#REF!</v>
      </c>
      <c r="M44" s="134" t="e">
        <f>'mirror 2018'!#REF!</f>
        <v>#REF!</v>
      </c>
      <c r="N44" t="e">
        <f>'mirror 2018'!#REF!</f>
        <v>#REF!</v>
      </c>
      <c r="O44" s="135">
        <f ca="1">'mirror 2018'!S275</f>
        <v>46387</v>
      </c>
    </row>
    <row r="45" spans="1:15" ht="15.75" customHeight="1">
      <c r="A45" t="e">
        <f>'mirror 2018'!#REF!</f>
        <v>#REF!</v>
      </c>
      <c r="B45" t="e">
        <f>'mirror 2018'!#REF!</f>
        <v>#REF!</v>
      </c>
      <c r="C45" t="e">
        <f>'mirror 2018'!#REF!</f>
        <v>#REF!</v>
      </c>
      <c r="D45" s="131" t="e">
        <f>'mirror 2018'!#REF!</f>
        <v>#REF!</v>
      </c>
      <c r="E45" t="e">
        <f>'mirror 2018'!#REF!</f>
        <v>#REF!</v>
      </c>
      <c r="F45" t="e">
        <f>'mirror 2018'!#REF!</f>
        <v>#REF!</v>
      </c>
      <c r="G45" t="e">
        <f>'mirror 2018'!#REF!</f>
        <v>#REF!</v>
      </c>
      <c r="H45" t="e">
        <f>'mirror 2018'!#REF!</f>
        <v>#REF!</v>
      </c>
      <c r="I45" t="e">
        <f>'mirror 2018'!#REF!</f>
        <v>#REF!</v>
      </c>
      <c r="J45" s="128" t="e">
        <f>'mirror 2018'!#REF!</f>
        <v>#REF!</v>
      </c>
      <c r="K45" s="134" t="e">
        <f>'mirror 2018'!#REF!</f>
        <v>#REF!</v>
      </c>
      <c r="L45" s="134" t="e">
        <f>'mirror 2018'!#REF!</f>
        <v>#REF!</v>
      </c>
      <c r="M45" s="134" t="e">
        <f>'mirror 2018'!#REF!</f>
        <v>#REF!</v>
      </c>
      <c r="N45" t="e">
        <f>'mirror 2018'!#REF!</f>
        <v>#REF!</v>
      </c>
      <c r="O45" s="135">
        <f ca="1">'mirror 2018'!S276</f>
        <v>46387</v>
      </c>
    </row>
    <row r="46" spans="1:15" ht="15.75" customHeight="1">
      <c r="A46" t="e">
        <f>'mirror 2018'!#REF!</f>
        <v>#REF!</v>
      </c>
      <c r="B46" t="e">
        <f>'mirror 2018'!#REF!</f>
        <v>#REF!</v>
      </c>
      <c r="C46" t="e">
        <f>'mirror 2018'!#REF!</f>
        <v>#REF!</v>
      </c>
      <c r="D46" s="131" t="e">
        <f>'mirror 2018'!#REF!</f>
        <v>#REF!</v>
      </c>
      <c r="E46" t="e">
        <f>'mirror 2018'!#REF!</f>
        <v>#REF!</v>
      </c>
      <c r="F46" t="e">
        <f>'mirror 2018'!#REF!</f>
        <v>#REF!</v>
      </c>
      <c r="G46" t="e">
        <f>'mirror 2018'!#REF!</f>
        <v>#REF!</v>
      </c>
      <c r="H46" t="e">
        <f>'mirror 2018'!#REF!</f>
        <v>#REF!</v>
      </c>
      <c r="I46" t="e">
        <f>'mirror 2018'!#REF!</f>
        <v>#REF!</v>
      </c>
      <c r="J46" s="128" t="e">
        <f>'mirror 2018'!#REF!</f>
        <v>#REF!</v>
      </c>
      <c r="K46" s="134" t="e">
        <f>'mirror 2018'!#REF!</f>
        <v>#REF!</v>
      </c>
      <c r="L46" s="134" t="e">
        <f>'mirror 2018'!#REF!</f>
        <v>#REF!</v>
      </c>
      <c r="M46" s="134" t="e">
        <f>'mirror 2018'!#REF!</f>
        <v>#REF!</v>
      </c>
      <c r="N46" t="e">
        <f>'mirror 2018'!#REF!</f>
        <v>#REF!</v>
      </c>
      <c r="O46" s="135">
        <f ca="1">'mirror 2018'!S277</f>
        <v>46387</v>
      </c>
    </row>
    <row r="47" spans="1:15" ht="15.75" customHeight="1">
      <c r="A47" t="e">
        <f>'mirror 2018'!#REF!</f>
        <v>#REF!</v>
      </c>
      <c r="B47" t="e">
        <f>'mirror 2018'!#REF!</f>
        <v>#REF!</v>
      </c>
      <c r="C47" t="e">
        <f>'mirror 2018'!#REF!</f>
        <v>#REF!</v>
      </c>
      <c r="D47" s="131" t="e">
        <f>'mirror 2018'!#REF!</f>
        <v>#REF!</v>
      </c>
      <c r="E47" t="e">
        <f>'mirror 2018'!#REF!</f>
        <v>#REF!</v>
      </c>
      <c r="F47" t="e">
        <f>'mirror 2018'!#REF!</f>
        <v>#REF!</v>
      </c>
      <c r="G47" t="e">
        <f>'mirror 2018'!#REF!</f>
        <v>#REF!</v>
      </c>
      <c r="H47" t="e">
        <f>'mirror 2018'!#REF!</f>
        <v>#REF!</v>
      </c>
      <c r="I47" t="e">
        <f>'mirror 2018'!#REF!</f>
        <v>#REF!</v>
      </c>
      <c r="J47" s="128" t="e">
        <f>'mirror 2018'!#REF!</f>
        <v>#REF!</v>
      </c>
      <c r="K47" s="134" t="e">
        <f>'mirror 2018'!#REF!</f>
        <v>#REF!</v>
      </c>
      <c r="L47" s="134" t="e">
        <f>'mirror 2018'!#REF!</f>
        <v>#REF!</v>
      </c>
      <c r="M47" s="134" t="e">
        <f>'mirror 2018'!#REF!</f>
        <v>#REF!</v>
      </c>
      <c r="N47" t="e">
        <f>'mirror 2018'!#REF!</f>
        <v>#REF!</v>
      </c>
      <c r="O47" s="135">
        <f ca="1">'mirror 2018'!S278</f>
        <v>46387</v>
      </c>
    </row>
    <row r="48" spans="1:15" ht="15.75" customHeight="1">
      <c r="A48" t="e">
        <f>'mirror 2018'!#REF!</f>
        <v>#REF!</v>
      </c>
      <c r="B48" t="e">
        <f>'mirror 2018'!#REF!</f>
        <v>#REF!</v>
      </c>
      <c r="C48" t="e">
        <f>'mirror 2018'!#REF!</f>
        <v>#REF!</v>
      </c>
      <c r="D48" s="131" t="e">
        <f>'mirror 2018'!#REF!</f>
        <v>#REF!</v>
      </c>
      <c r="E48" t="e">
        <f>'mirror 2018'!#REF!</f>
        <v>#REF!</v>
      </c>
      <c r="F48" t="e">
        <f>'mirror 2018'!#REF!</f>
        <v>#REF!</v>
      </c>
      <c r="G48" t="e">
        <f>'mirror 2018'!#REF!</f>
        <v>#REF!</v>
      </c>
      <c r="H48" t="e">
        <f>'mirror 2018'!#REF!</f>
        <v>#REF!</v>
      </c>
      <c r="I48" t="e">
        <f>'mirror 2018'!#REF!</f>
        <v>#REF!</v>
      </c>
      <c r="J48" s="128" t="e">
        <f>'mirror 2018'!#REF!</f>
        <v>#REF!</v>
      </c>
      <c r="K48" s="134" t="e">
        <f>'mirror 2018'!#REF!</f>
        <v>#REF!</v>
      </c>
      <c r="L48" s="134" t="e">
        <f>'mirror 2018'!#REF!</f>
        <v>#REF!</v>
      </c>
      <c r="M48" s="134" t="e">
        <f>'mirror 2018'!#REF!</f>
        <v>#REF!</v>
      </c>
      <c r="N48" t="e">
        <f>'mirror 2018'!#REF!</f>
        <v>#REF!</v>
      </c>
      <c r="O48" s="135">
        <f ca="1">'mirror 2018'!S279</f>
        <v>46387</v>
      </c>
    </row>
    <row r="49" spans="1:15" ht="15.75" customHeight="1">
      <c r="A49" t="e">
        <f>'mirror 2018'!#REF!</f>
        <v>#REF!</v>
      </c>
      <c r="B49" t="e">
        <f>'mirror 2018'!#REF!</f>
        <v>#REF!</v>
      </c>
      <c r="C49" t="e">
        <f>'mirror 2018'!#REF!</f>
        <v>#REF!</v>
      </c>
      <c r="D49" s="131" t="e">
        <f>'mirror 2018'!#REF!</f>
        <v>#REF!</v>
      </c>
      <c r="E49" t="e">
        <f>'mirror 2018'!#REF!</f>
        <v>#REF!</v>
      </c>
      <c r="F49" t="e">
        <f>'mirror 2018'!#REF!</f>
        <v>#REF!</v>
      </c>
      <c r="G49" t="e">
        <f>'mirror 2018'!#REF!</f>
        <v>#REF!</v>
      </c>
      <c r="H49" t="e">
        <f>'mirror 2018'!#REF!</f>
        <v>#REF!</v>
      </c>
      <c r="I49" t="e">
        <f>'mirror 2018'!#REF!</f>
        <v>#REF!</v>
      </c>
      <c r="J49" s="128" t="e">
        <f>'mirror 2018'!#REF!</f>
        <v>#REF!</v>
      </c>
      <c r="K49" s="134" t="e">
        <f>'mirror 2018'!#REF!</f>
        <v>#REF!</v>
      </c>
      <c r="L49" s="134" t="e">
        <f>'mirror 2018'!#REF!</f>
        <v>#REF!</v>
      </c>
      <c r="M49" s="134" t="e">
        <f>'mirror 2018'!#REF!</f>
        <v>#REF!</v>
      </c>
      <c r="N49" t="e">
        <f>'mirror 2018'!#REF!</f>
        <v>#REF!</v>
      </c>
      <c r="O49" s="135">
        <f ca="1">'mirror 2018'!S280</f>
        <v>46387</v>
      </c>
    </row>
    <row r="50" spans="1:15" ht="15.75" customHeight="1">
      <c r="A50" t="e">
        <f>'mirror 2018'!#REF!</f>
        <v>#REF!</v>
      </c>
      <c r="B50" t="e">
        <f>'mirror 2018'!#REF!</f>
        <v>#REF!</v>
      </c>
      <c r="C50" t="e">
        <f>'mirror 2018'!#REF!</f>
        <v>#REF!</v>
      </c>
      <c r="D50" s="131" t="e">
        <f>'mirror 2018'!#REF!</f>
        <v>#REF!</v>
      </c>
      <c r="E50" t="e">
        <f>'mirror 2018'!#REF!</f>
        <v>#REF!</v>
      </c>
      <c r="F50" t="e">
        <f>'mirror 2018'!#REF!</f>
        <v>#REF!</v>
      </c>
      <c r="G50" t="e">
        <f>'mirror 2018'!#REF!</f>
        <v>#REF!</v>
      </c>
      <c r="H50" t="e">
        <f>'mirror 2018'!#REF!</f>
        <v>#REF!</v>
      </c>
      <c r="I50" t="e">
        <f>'mirror 2018'!#REF!</f>
        <v>#REF!</v>
      </c>
      <c r="J50" s="128" t="e">
        <f>'mirror 2018'!#REF!</f>
        <v>#REF!</v>
      </c>
      <c r="K50" s="134" t="e">
        <f>'mirror 2018'!#REF!</f>
        <v>#REF!</v>
      </c>
      <c r="L50" s="134" t="e">
        <f>'mirror 2018'!#REF!</f>
        <v>#REF!</v>
      </c>
      <c r="M50" s="134" t="e">
        <f>'mirror 2018'!#REF!</f>
        <v>#REF!</v>
      </c>
      <c r="N50" t="e">
        <f>'mirror 2018'!#REF!</f>
        <v>#REF!</v>
      </c>
      <c r="O50" s="135">
        <f ca="1">'mirror 2018'!S281</f>
        <v>46387</v>
      </c>
    </row>
    <row r="51" spans="1:15" ht="15.75" customHeight="1">
      <c r="A51" t="e">
        <f>'mirror 2018'!#REF!</f>
        <v>#REF!</v>
      </c>
      <c r="B51" t="e">
        <f>'mirror 2018'!#REF!</f>
        <v>#REF!</v>
      </c>
      <c r="C51" t="e">
        <f>'mirror 2018'!#REF!</f>
        <v>#REF!</v>
      </c>
      <c r="D51" s="131" t="e">
        <f>'mirror 2018'!#REF!</f>
        <v>#REF!</v>
      </c>
      <c r="E51" t="e">
        <f>'mirror 2018'!#REF!</f>
        <v>#REF!</v>
      </c>
      <c r="F51" t="e">
        <f>'mirror 2018'!#REF!</f>
        <v>#REF!</v>
      </c>
      <c r="G51" t="e">
        <f>'mirror 2018'!#REF!</f>
        <v>#REF!</v>
      </c>
      <c r="H51" t="e">
        <f>'mirror 2018'!#REF!</f>
        <v>#REF!</v>
      </c>
      <c r="I51" t="e">
        <f>'mirror 2018'!#REF!</f>
        <v>#REF!</v>
      </c>
      <c r="J51" s="128" t="e">
        <f>'mirror 2018'!#REF!</f>
        <v>#REF!</v>
      </c>
      <c r="K51" s="134" t="e">
        <f>'mirror 2018'!#REF!</f>
        <v>#REF!</v>
      </c>
      <c r="L51" s="134" t="e">
        <f>'mirror 2018'!#REF!</f>
        <v>#REF!</v>
      </c>
      <c r="M51" s="134" t="e">
        <f>'mirror 2018'!#REF!</f>
        <v>#REF!</v>
      </c>
      <c r="N51" t="e">
        <f>'mirror 2018'!#REF!</f>
        <v>#REF!</v>
      </c>
      <c r="O51" s="135">
        <f ca="1">'mirror 2018'!S282</f>
        <v>46387</v>
      </c>
    </row>
    <row r="52" spans="1:15" ht="15.75" customHeight="1">
      <c r="A52" t="e">
        <f>'mirror 2018'!#REF!</f>
        <v>#REF!</v>
      </c>
      <c r="B52" t="e">
        <f>'mirror 2018'!#REF!</f>
        <v>#REF!</v>
      </c>
      <c r="C52" t="e">
        <f>'mirror 2018'!#REF!</f>
        <v>#REF!</v>
      </c>
      <c r="D52" s="131" t="e">
        <f>'mirror 2018'!#REF!</f>
        <v>#REF!</v>
      </c>
      <c r="E52" t="e">
        <f>'mirror 2018'!#REF!</f>
        <v>#REF!</v>
      </c>
      <c r="F52" t="e">
        <f>'mirror 2018'!#REF!</f>
        <v>#REF!</v>
      </c>
      <c r="G52" t="e">
        <f>'mirror 2018'!#REF!</f>
        <v>#REF!</v>
      </c>
      <c r="H52" t="e">
        <f>'mirror 2018'!#REF!</f>
        <v>#REF!</v>
      </c>
      <c r="I52" t="e">
        <f>'mirror 2018'!#REF!</f>
        <v>#REF!</v>
      </c>
      <c r="J52" s="128" t="e">
        <f>'mirror 2018'!#REF!</f>
        <v>#REF!</v>
      </c>
      <c r="K52" s="134" t="e">
        <f>'mirror 2018'!#REF!</f>
        <v>#REF!</v>
      </c>
      <c r="L52" s="134" t="e">
        <f>'mirror 2018'!#REF!</f>
        <v>#REF!</v>
      </c>
      <c r="M52" s="134" t="e">
        <f>'mirror 2018'!#REF!</f>
        <v>#REF!</v>
      </c>
      <c r="N52" t="e">
        <f>'mirror 2018'!#REF!</f>
        <v>#REF!</v>
      </c>
      <c r="O52" s="135">
        <f ca="1">'mirror 2018'!S283</f>
        <v>46387</v>
      </c>
    </row>
    <row r="53" spans="1:15" ht="15.75" customHeight="1">
      <c r="A53" t="e">
        <f>'mirror 2018'!#REF!</f>
        <v>#REF!</v>
      </c>
      <c r="B53" t="e">
        <f>'mirror 2018'!#REF!</f>
        <v>#REF!</v>
      </c>
      <c r="C53" t="e">
        <f>'mirror 2018'!#REF!</f>
        <v>#REF!</v>
      </c>
      <c r="D53" s="131" t="e">
        <f>'mirror 2018'!#REF!</f>
        <v>#REF!</v>
      </c>
      <c r="E53" t="e">
        <f>'mirror 2018'!#REF!</f>
        <v>#REF!</v>
      </c>
      <c r="F53" t="e">
        <f>'mirror 2018'!#REF!</f>
        <v>#REF!</v>
      </c>
      <c r="G53" t="e">
        <f>'mirror 2018'!#REF!</f>
        <v>#REF!</v>
      </c>
      <c r="H53" t="e">
        <f>'mirror 2018'!#REF!</f>
        <v>#REF!</v>
      </c>
      <c r="I53" t="e">
        <f>'mirror 2018'!#REF!</f>
        <v>#REF!</v>
      </c>
      <c r="J53" s="128" t="e">
        <f>'mirror 2018'!#REF!</f>
        <v>#REF!</v>
      </c>
      <c r="K53" s="134" t="e">
        <f>'mirror 2018'!#REF!</f>
        <v>#REF!</v>
      </c>
      <c r="L53" s="134" t="e">
        <f>'mirror 2018'!#REF!</f>
        <v>#REF!</v>
      </c>
      <c r="M53" s="134" t="e">
        <f>'mirror 2018'!#REF!</f>
        <v>#REF!</v>
      </c>
      <c r="N53" t="e">
        <f>'mirror 2018'!#REF!</f>
        <v>#REF!</v>
      </c>
      <c r="O53" s="135">
        <f ca="1">'mirror 2018'!S284</f>
        <v>46387</v>
      </c>
    </row>
    <row r="54" spans="1:15">
      <c r="K54" s="134"/>
      <c r="L54" s="134"/>
      <c r="M54" s="134"/>
      <c r="O54" s="136"/>
    </row>
    <row r="55" spans="1:15">
      <c r="K55" s="134"/>
      <c r="L55" s="134"/>
      <c r="M55" s="134"/>
      <c r="O55" s="136"/>
    </row>
    <row r="56" spans="1:15">
      <c r="K56" s="134"/>
      <c r="L56" s="134"/>
      <c r="M56" s="134"/>
      <c r="O56" s="136"/>
    </row>
    <row r="57" spans="1:15">
      <c r="K57" s="134"/>
      <c r="L57" s="134"/>
      <c r="M57" s="134"/>
      <c r="O57" s="136"/>
    </row>
    <row r="58" spans="1:15">
      <c r="K58" s="134"/>
      <c r="L58" s="134"/>
      <c r="M58" s="134"/>
      <c r="O58" s="136"/>
    </row>
    <row r="59" spans="1:15">
      <c r="K59" s="134"/>
      <c r="L59" s="134"/>
      <c r="M59" s="134"/>
      <c r="O59" s="136"/>
    </row>
    <row r="60" spans="1:15">
      <c r="K60" s="134"/>
      <c r="L60" s="134"/>
      <c r="M60" s="134"/>
      <c r="O60" s="136"/>
    </row>
    <row r="61" spans="1:15">
      <c r="K61" s="134"/>
      <c r="L61" s="134"/>
      <c r="M61" s="134"/>
      <c r="O61" s="136"/>
    </row>
    <row r="62" spans="1:15">
      <c r="K62" s="134"/>
      <c r="L62" s="134"/>
      <c r="M62" s="134"/>
      <c r="O62" s="136"/>
    </row>
    <row r="63" spans="1:15">
      <c r="K63" s="134"/>
      <c r="L63" s="134"/>
      <c r="M63" s="134"/>
      <c r="O63" s="136"/>
    </row>
    <row r="64" spans="1:15">
      <c r="K64" s="134"/>
      <c r="L64" s="134"/>
      <c r="M64" s="134"/>
      <c r="O64" s="136"/>
    </row>
    <row r="65" spans="11:15">
      <c r="K65" s="134"/>
      <c r="L65" s="134"/>
      <c r="M65" s="134"/>
      <c r="O65" s="136"/>
    </row>
    <row r="66" spans="11:15">
      <c r="K66" s="134"/>
      <c r="L66" s="134"/>
      <c r="M66" s="134"/>
      <c r="O66" s="136"/>
    </row>
    <row r="67" spans="11:15">
      <c r="K67" s="134"/>
      <c r="L67" s="134"/>
      <c r="M67" s="134"/>
      <c r="O67" s="136"/>
    </row>
    <row r="68" spans="11:15">
      <c r="K68" s="134"/>
      <c r="L68" s="134"/>
      <c r="M68" s="134"/>
      <c r="O68" s="136"/>
    </row>
    <row r="69" spans="11:15">
      <c r="K69" s="134"/>
      <c r="L69" s="134"/>
      <c r="M69" s="134"/>
      <c r="O69" s="136"/>
    </row>
    <row r="70" spans="11:15">
      <c r="K70" s="134"/>
      <c r="L70" s="134"/>
      <c r="M70" s="134"/>
      <c r="O70" s="136"/>
    </row>
    <row r="71" spans="11:15">
      <c r="K71" s="134"/>
      <c r="L71" s="134"/>
      <c r="M71" s="134"/>
      <c r="O71" s="136"/>
    </row>
    <row r="72" spans="11:15">
      <c r="K72" s="134"/>
      <c r="L72" s="134"/>
      <c r="M72" s="134"/>
      <c r="O72" s="136"/>
    </row>
    <row r="73" spans="11:15">
      <c r="K73" s="134"/>
      <c r="L73" s="134"/>
      <c r="M73" s="134"/>
      <c r="O73" s="136"/>
    </row>
    <row r="74" spans="11:15">
      <c r="K74" s="134"/>
      <c r="L74" s="134"/>
      <c r="M74" s="134"/>
      <c r="O74" s="136"/>
    </row>
    <row r="75" spans="11:15">
      <c r="K75" s="134"/>
      <c r="L75" s="134"/>
      <c r="M75" s="134"/>
      <c r="O75" s="136"/>
    </row>
    <row r="76" spans="11:15">
      <c r="K76" s="134"/>
      <c r="L76" s="134"/>
      <c r="M76" s="134"/>
      <c r="O76" s="136"/>
    </row>
    <row r="77" spans="11:15">
      <c r="K77" s="134"/>
      <c r="L77" s="134"/>
      <c r="M77" s="134"/>
      <c r="O77" s="136"/>
    </row>
    <row r="78" spans="11:15">
      <c r="K78" s="134"/>
      <c r="L78" s="134"/>
      <c r="M78" s="134"/>
      <c r="O78" s="136"/>
    </row>
    <row r="79" spans="11:15">
      <c r="K79" s="134"/>
      <c r="L79" s="134"/>
      <c r="M79" s="134"/>
      <c r="O79" s="136"/>
    </row>
    <row r="80" spans="11:15">
      <c r="K80" s="134"/>
      <c r="L80" s="134"/>
      <c r="M80" s="134"/>
      <c r="O80" s="136"/>
    </row>
    <row r="81" spans="11:15">
      <c r="K81" s="134"/>
      <c r="L81" s="134"/>
      <c r="M81" s="134"/>
      <c r="O81" s="136"/>
    </row>
    <row r="82" spans="11:15">
      <c r="K82" s="134"/>
      <c r="L82" s="134"/>
      <c r="M82" s="134"/>
      <c r="O82" s="136"/>
    </row>
    <row r="83" spans="11:15">
      <c r="K83" s="134"/>
      <c r="L83" s="134"/>
      <c r="M83" s="134"/>
      <c r="O83" s="136"/>
    </row>
    <row r="84" spans="11:15">
      <c r="K84" s="134"/>
      <c r="L84" s="134"/>
      <c r="M84" s="134"/>
      <c r="O84" s="136"/>
    </row>
    <row r="85" spans="11:15">
      <c r="K85" s="134"/>
      <c r="L85" s="134"/>
      <c r="M85" s="134"/>
      <c r="O85" s="136"/>
    </row>
    <row r="86" spans="11:15">
      <c r="K86" s="134"/>
      <c r="L86" s="134"/>
      <c r="M86" s="134"/>
      <c r="O86" s="136"/>
    </row>
    <row r="87" spans="11:15">
      <c r="K87" s="134"/>
      <c r="L87" s="134"/>
      <c r="M87" s="134"/>
      <c r="O87" s="136"/>
    </row>
    <row r="88" spans="11:15">
      <c r="K88" s="134"/>
      <c r="L88" s="134"/>
      <c r="M88" s="134"/>
      <c r="O88" s="136"/>
    </row>
    <row r="89" spans="11:15">
      <c r="K89" s="134"/>
      <c r="L89" s="134"/>
      <c r="M89" s="134"/>
      <c r="O89" s="136"/>
    </row>
    <row r="90" spans="11:15">
      <c r="K90" s="134"/>
      <c r="L90" s="134"/>
      <c r="M90" s="134"/>
      <c r="O90" s="136"/>
    </row>
    <row r="91" spans="11:15">
      <c r="K91" s="134"/>
      <c r="L91" s="134"/>
      <c r="M91" s="134"/>
      <c r="O91" s="136"/>
    </row>
    <row r="92" spans="11:15">
      <c r="K92" s="134"/>
      <c r="L92" s="134"/>
      <c r="M92" s="134"/>
      <c r="O92" s="136"/>
    </row>
    <row r="93" spans="11:15">
      <c r="K93" s="134"/>
      <c r="L93" s="134"/>
      <c r="M93" s="134"/>
      <c r="O93" s="136"/>
    </row>
    <row r="94" spans="11:15">
      <c r="K94" s="134"/>
      <c r="L94" s="134"/>
      <c r="M94" s="134"/>
      <c r="O94" s="136"/>
    </row>
    <row r="95" spans="11:15">
      <c r="K95" s="134"/>
      <c r="L95" s="134"/>
      <c r="M95" s="134"/>
      <c r="O95" s="136"/>
    </row>
    <row r="96" spans="11:15">
      <c r="K96" s="134"/>
      <c r="L96" s="134"/>
      <c r="M96" s="134"/>
      <c r="O96" s="136"/>
    </row>
    <row r="97" spans="11:15">
      <c r="K97" s="134"/>
      <c r="L97" s="134"/>
      <c r="M97" s="134"/>
      <c r="O97" s="136"/>
    </row>
    <row r="98" spans="11:15">
      <c r="K98" s="134"/>
      <c r="L98" s="134"/>
      <c r="M98" s="134"/>
      <c r="O98" s="136"/>
    </row>
    <row r="99" spans="11:15">
      <c r="K99" s="134"/>
      <c r="L99" s="134"/>
      <c r="M99" s="134"/>
      <c r="O99" s="136"/>
    </row>
    <row r="100" spans="11:15">
      <c r="K100" s="134"/>
      <c r="L100" s="134"/>
      <c r="M100" s="134"/>
      <c r="O100" s="136"/>
    </row>
    <row r="101" spans="11:15">
      <c r="K101" s="134"/>
      <c r="L101" s="134"/>
      <c r="M101" s="134"/>
      <c r="O101" s="136"/>
    </row>
    <row r="102" spans="11:15">
      <c r="K102" s="134"/>
      <c r="L102" s="134"/>
      <c r="M102" s="134"/>
      <c r="O102" s="136"/>
    </row>
    <row r="103" spans="11:15">
      <c r="K103" s="134"/>
      <c r="L103" s="134"/>
      <c r="M103" s="134"/>
      <c r="O103" s="136"/>
    </row>
    <row r="104" spans="11:15">
      <c r="K104" s="134"/>
      <c r="L104" s="134"/>
      <c r="M104" s="134"/>
      <c r="O104" s="136"/>
    </row>
    <row r="105" spans="11:15">
      <c r="K105" s="134"/>
      <c r="L105" s="134"/>
      <c r="M105" s="134"/>
      <c r="O105" s="136"/>
    </row>
    <row r="106" spans="11:15">
      <c r="K106" s="134"/>
      <c r="L106" s="134"/>
      <c r="M106" s="134"/>
      <c r="O106" s="136"/>
    </row>
    <row r="107" spans="11:15">
      <c r="K107" s="134"/>
      <c r="L107" s="134"/>
      <c r="M107" s="134"/>
      <c r="O107" s="136"/>
    </row>
    <row r="108" spans="11:15">
      <c r="K108" s="134"/>
      <c r="L108" s="134"/>
      <c r="M108" s="134"/>
      <c r="O108" s="136"/>
    </row>
    <row r="109" spans="11:15">
      <c r="K109" s="134"/>
      <c r="L109" s="134"/>
      <c r="M109" s="134"/>
      <c r="O109" s="136"/>
    </row>
    <row r="110" spans="11:15">
      <c r="K110" s="134"/>
      <c r="L110" s="134"/>
      <c r="M110" s="134"/>
      <c r="O110" s="136"/>
    </row>
    <row r="111" spans="11:15">
      <c r="K111" s="134"/>
      <c r="L111" s="134"/>
      <c r="M111" s="134"/>
      <c r="O111" s="136"/>
    </row>
    <row r="112" spans="11:15">
      <c r="K112" s="134"/>
      <c r="L112" s="134"/>
      <c r="M112" s="134"/>
      <c r="O112" s="136"/>
    </row>
    <row r="113" spans="11:15">
      <c r="K113" s="134"/>
      <c r="L113" s="134"/>
      <c r="M113" s="134"/>
      <c r="O113" s="136"/>
    </row>
    <row r="114" spans="11:15">
      <c r="K114" s="134"/>
      <c r="L114" s="134"/>
      <c r="M114" s="134"/>
      <c r="O114" s="136"/>
    </row>
    <row r="115" spans="11:15">
      <c r="K115" s="134"/>
      <c r="L115" s="134"/>
      <c r="M115" s="134"/>
      <c r="O115" s="136"/>
    </row>
    <row r="116" spans="11:15">
      <c r="K116" s="134"/>
      <c r="L116" s="134"/>
      <c r="M116" s="134"/>
      <c r="O116" s="136"/>
    </row>
    <row r="117" spans="11:15">
      <c r="K117" s="134"/>
      <c r="L117" s="134"/>
      <c r="M117" s="134"/>
      <c r="O117" s="136"/>
    </row>
    <row r="118" spans="11:15">
      <c r="K118" s="134"/>
      <c r="L118" s="134"/>
      <c r="M118" s="134"/>
      <c r="O118" s="136"/>
    </row>
    <row r="119" spans="11:15">
      <c r="K119" s="134"/>
      <c r="L119" s="134"/>
      <c r="M119" s="134"/>
      <c r="O119" s="136"/>
    </row>
    <row r="120" spans="11:15">
      <c r="K120" s="134"/>
      <c r="L120" s="134"/>
      <c r="M120" s="134"/>
      <c r="O120" s="136"/>
    </row>
    <row r="121" spans="11:15">
      <c r="K121" s="134"/>
      <c r="L121" s="134"/>
      <c r="M121" s="134"/>
      <c r="O121" s="136"/>
    </row>
    <row r="122" spans="11:15">
      <c r="K122" s="134"/>
      <c r="L122" s="134"/>
      <c r="M122" s="134"/>
      <c r="O122" s="136"/>
    </row>
    <row r="123" spans="11:15">
      <c r="K123" s="134"/>
      <c r="L123" s="134"/>
      <c r="M123" s="134"/>
      <c r="O123" s="136"/>
    </row>
    <row r="124" spans="11:15">
      <c r="K124" s="134"/>
      <c r="L124" s="134"/>
      <c r="M124" s="134"/>
      <c r="O124" s="136"/>
    </row>
    <row r="125" spans="11:15">
      <c r="K125" s="134"/>
      <c r="L125" s="134"/>
      <c r="M125" s="134"/>
      <c r="O125" s="136"/>
    </row>
    <row r="126" spans="11:15">
      <c r="K126" s="134"/>
      <c r="L126" s="134"/>
      <c r="M126" s="134"/>
      <c r="O126" s="136"/>
    </row>
    <row r="127" spans="11:15">
      <c r="K127" s="134"/>
      <c r="L127" s="134"/>
      <c r="M127" s="134"/>
      <c r="O127" s="136"/>
    </row>
    <row r="128" spans="11:15">
      <c r="K128" s="134"/>
      <c r="L128" s="134"/>
      <c r="M128" s="134"/>
      <c r="O128" s="136"/>
    </row>
    <row r="129" spans="11:15">
      <c r="K129" s="134"/>
      <c r="L129" s="134"/>
      <c r="M129" s="134"/>
      <c r="O129" s="136"/>
    </row>
    <row r="130" spans="11:15">
      <c r="K130" s="134"/>
      <c r="L130" s="134"/>
      <c r="M130" s="134"/>
      <c r="O130" s="136"/>
    </row>
    <row r="131" spans="11:15">
      <c r="K131" s="134"/>
      <c r="L131" s="134"/>
      <c r="M131" s="134"/>
      <c r="O131" s="136"/>
    </row>
    <row r="132" spans="11:15">
      <c r="K132" s="134"/>
      <c r="L132" s="134"/>
      <c r="M132" s="134"/>
      <c r="O132" s="136"/>
    </row>
    <row r="133" spans="11:15">
      <c r="K133" s="134"/>
      <c r="L133" s="134"/>
      <c r="M133" s="134"/>
      <c r="O133" s="136"/>
    </row>
    <row r="134" spans="11:15">
      <c r="K134" s="134"/>
      <c r="L134" s="134"/>
      <c r="M134" s="134"/>
      <c r="O134" s="136"/>
    </row>
    <row r="135" spans="11:15">
      <c r="K135" s="134"/>
      <c r="L135" s="134"/>
      <c r="M135" s="134"/>
      <c r="O135" s="136"/>
    </row>
    <row r="136" spans="11:15">
      <c r="K136" s="134"/>
      <c r="L136" s="134"/>
      <c r="M136" s="134"/>
      <c r="O136" s="136"/>
    </row>
    <row r="137" spans="11:15">
      <c r="K137" s="134"/>
      <c r="L137" s="134"/>
      <c r="M137" s="134"/>
      <c r="O137" s="136"/>
    </row>
    <row r="138" spans="11:15">
      <c r="K138" s="134"/>
      <c r="L138" s="134"/>
      <c r="M138" s="134"/>
      <c r="O138" s="136"/>
    </row>
    <row r="139" spans="11:15">
      <c r="K139" s="134"/>
      <c r="L139" s="134"/>
      <c r="M139" s="134"/>
      <c r="O139" s="136"/>
    </row>
    <row r="140" spans="11:15">
      <c r="K140" s="134"/>
      <c r="L140" s="134"/>
      <c r="M140" s="134"/>
      <c r="O140" s="136"/>
    </row>
    <row r="141" spans="11:15">
      <c r="K141" s="134"/>
      <c r="L141" s="134"/>
      <c r="M141" s="134"/>
      <c r="O141" s="136"/>
    </row>
    <row r="142" spans="11:15">
      <c r="K142" s="134"/>
      <c r="L142" s="134"/>
      <c r="M142" s="134"/>
      <c r="O142" s="136"/>
    </row>
    <row r="143" spans="11:15">
      <c r="K143" s="134"/>
      <c r="L143" s="134"/>
      <c r="M143" s="134"/>
      <c r="O143" s="136"/>
    </row>
    <row r="144" spans="11:15">
      <c r="K144" s="134"/>
      <c r="L144" s="134"/>
      <c r="M144" s="134"/>
      <c r="O144" s="136"/>
    </row>
    <row r="145" spans="11:15">
      <c r="K145" s="134"/>
      <c r="L145" s="134"/>
      <c r="M145" s="134"/>
      <c r="O145" s="136"/>
    </row>
    <row r="146" spans="11:15">
      <c r="K146" s="134"/>
      <c r="L146" s="134"/>
      <c r="M146" s="134"/>
      <c r="O146" s="136"/>
    </row>
    <row r="147" spans="11:15">
      <c r="K147" s="134"/>
      <c r="L147" s="134"/>
      <c r="M147" s="134"/>
      <c r="O147" s="136"/>
    </row>
    <row r="148" spans="11:15">
      <c r="K148" s="134"/>
      <c r="L148" s="134"/>
      <c r="M148" s="134"/>
      <c r="O148" s="136"/>
    </row>
    <row r="149" spans="11:15">
      <c r="K149" s="134"/>
      <c r="L149" s="134"/>
      <c r="M149" s="134"/>
      <c r="O149" s="136"/>
    </row>
    <row r="150" spans="11:15">
      <c r="K150" s="134"/>
      <c r="L150" s="134"/>
      <c r="M150" s="134"/>
      <c r="O150" s="136"/>
    </row>
    <row r="151" spans="11:15">
      <c r="K151" s="134"/>
      <c r="L151" s="134"/>
      <c r="M151" s="134"/>
      <c r="O151" s="136"/>
    </row>
    <row r="152" spans="11:15">
      <c r="K152" s="134"/>
      <c r="L152" s="134"/>
      <c r="M152" s="134"/>
      <c r="O152" s="136"/>
    </row>
    <row r="153" spans="11:15">
      <c r="K153" s="134"/>
      <c r="L153" s="134"/>
      <c r="M153" s="134"/>
      <c r="O153" s="136"/>
    </row>
    <row r="154" spans="11:15">
      <c r="K154" s="134"/>
      <c r="L154" s="134"/>
      <c r="M154" s="134"/>
      <c r="O154" s="136"/>
    </row>
    <row r="155" spans="11:15">
      <c r="K155" s="134"/>
      <c r="L155" s="134"/>
      <c r="M155" s="134"/>
      <c r="O155" s="136"/>
    </row>
    <row r="156" spans="11:15">
      <c r="K156" s="134"/>
      <c r="L156" s="134"/>
      <c r="M156" s="134"/>
      <c r="O156" s="136"/>
    </row>
    <row r="157" spans="11:15">
      <c r="K157" s="134"/>
      <c r="L157" s="134"/>
      <c r="M157" s="134"/>
      <c r="O157" s="136"/>
    </row>
    <row r="158" spans="11:15">
      <c r="K158" s="134"/>
      <c r="L158" s="134"/>
      <c r="M158" s="134"/>
      <c r="O158" s="136"/>
    </row>
    <row r="159" spans="11:15">
      <c r="K159" s="134"/>
      <c r="L159" s="134"/>
      <c r="M159" s="134"/>
      <c r="O159" s="136"/>
    </row>
    <row r="160" spans="11:15">
      <c r="K160" s="134"/>
      <c r="L160" s="134"/>
      <c r="M160" s="134"/>
      <c r="O160" s="136"/>
    </row>
    <row r="161" spans="11:15">
      <c r="K161" s="134"/>
      <c r="L161" s="134"/>
      <c r="M161" s="134"/>
      <c r="O161" s="136"/>
    </row>
    <row r="162" spans="11:15">
      <c r="K162" s="134"/>
      <c r="L162" s="134"/>
      <c r="M162" s="134"/>
      <c r="O162" s="136"/>
    </row>
    <row r="163" spans="11:15">
      <c r="K163" s="134"/>
      <c r="L163" s="134"/>
      <c r="M163" s="134"/>
      <c r="O163" s="136"/>
    </row>
    <row r="164" spans="11:15">
      <c r="K164" s="134"/>
      <c r="L164" s="134"/>
      <c r="M164" s="134"/>
      <c r="O164" s="136"/>
    </row>
    <row r="165" spans="11:15">
      <c r="K165" s="134"/>
      <c r="L165" s="134"/>
      <c r="M165" s="134"/>
      <c r="O165" s="136"/>
    </row>
    <row r="166" spans="11:15">
      <c r="K166" s="134"/>
      <c r="L166" s="134"/>
      <c r="M166" s="134"/>
      <c r="O166" s="136"/>
    </row>
    <row r="167" spans="11:15">
      <c r="K167" s="134"/>
      <c r="L167" s="134"/>
      <c r="M167" s="134"/>
      <c r="O167" s="136"/>
    </row>
    <row r="168" spans="11:15">
      <c r="K168" s="134"/>
      <c r="L168" s="134"/>
      <c r="M168" s="134"/>
      <c r="O168" s="136"/>
    </row>
    <row r="169" spans="11:15">
      <c r="K169" s="134"/>
      <c r="L169" s="134"/>
      <c r="M169" s="134"/>
      <c r="O169" s="136"/>
    </row>
    <row r="170" spans="11:15">
      <c r="K170" s="134"/>
      <c r="L170" s="134"/>
      <c r="M170" s="134"/>
      <c r="O170" s="136"/>
    </row>
    <row r="171" spans="11:15">
      <c r="K171" s="134"/>
      <c r="L171" s="134"/>
      <c r="M171" s="134"/>
      <c r="O171" s="136"/>
    </row>
    <row r="172" spans="11:15">
      <c r="K172" s="134"/>
      <c r="L172" s="134"/>
      <c r="M172" s="134"/>
      <c r="O172" s="136"/>
    </row>
    <row r="173" spans="11:15">
      <c r="K173" s="134"/>
      <c r="L173" s="134"/>
      <c r="M173" s="134"/>
      <c r="O173" s="136"/>
    </row>
    <row r="174" spans="11:15">
      <c r="K174" s="134"/>
      <c r="L174" s="134"/>
      <c r="M174" s="134"/>
      <c r="O174" s="136"/>
    </row>
    <row r="175" spans="11:15">
      <c r="K175" s="134"/>
      <c r="L175" s="134"/>
      <c r="M175" s="134"/>
      <c r="O175" s="136"/>
    </row>
    <row r="176" spans="11:15">
      <c r="K176" s="134"/>
      <c r="L176" s="134"/>
      <c r="M176" s="134"/>
      <c r="O176" s="136"/>
    </row>
    <row r="177" spans="11:15">
      <c r="K177" s="134"/>
      <c r="L177" s="134"/>
      <c r="M177" s="134"/>
      <c r="O177" s="136"/>
    </row>
    <row r="178" spans="11:15">
      <c r="K178" s="134"/>
      <c r="L178" s="134"/>
      <c r="M178" s="134"/>
      <c r="O178" s="136"/>
    </row>
    <row r="179" spans="11:15">
      <c r="K179" s="134"/>
      <c r="L179" s="134"/>
      <c r="M179" s="134"/>
      <c r="O179" s="136"/>
    </row>
    <row r="180" spans="11:15">
      <c r="K180" s="134"/>
      <c r="L180" s="134"/>
      <c r="M180" s="134"/>
      <c r="O180" s="136"/>
    </row>
    <row r="181" spans="11:15">
      <c r="K181" s="134"/>
      <c r="L181" s="134"/>
      <c r="M181" s="134"/>
      <c r="O181" s="136"/>
    </row>
    <row r="182" spans="11:15">
      <c r="K182" s="134"/>
      <c r="L182" s="134"/>
      <c r="M182" s="134"/>
      <c r="O182" s="136"/>
    </row>
    <row r="183" spans="11:15">
      <c r="K183" s="134"/>
      <c r="L183" s="134"/>
      <c r="M183" s="134"/>
      <c r="O183" s="136"/>
    </row>
    <row r="184" spans="11:15">
      <c r="K184" s="134"/>
      <c r="L184" s="134"/>
      <c r="M184" s="134"/>
      <c r="O184" s="136"/>
    </row>
    <row r="185" spans="11:15">
      <c r="K185" s="134"/>
      <c r="L185" s="134"/>
      <c r="M185" s="134"/>
      <c r="O185" s="136"/>
    </row>
    <row r="186" spans="11:15">
      <c r="K186" s="134"/>
      <c r="L186" s="134"/>
      <c r="M186" s="134"/>
      <c r="O186" s="136"/>
    </row>
    <row r="187" spans="11:15">
      <c r="K187" s="134"/>
      <c r="L187" s="134"/>
      <c r="M187" s="134"/>
      <c r="O187" s="136"/>
    </row>
    <row r="188" spans="11:15">
      <c r="K188" s="134"/>
      <c r="L188" s="134"/>
      <c r="M188" s="134"/>
      <c r="O188" s="136"/>
    </row>
    <row r="189" spans="11:15">
      <c r="K189" s="134"/>
      <c r="L189" s="134"/>
      <c r="M189" s="134"/>
      <c r="O189" s="136"/>
    </row>
    <row r="190" spans="11:15">
      <c r="K190" s="134"/>
      <c r="L190" s="134"/>
      <c r="M190" s="134"/>
      <c r="O190" s="136"/>
    </row>
    <row r="191" spans="11:15">
      <c r="K191" s="134"/>
      <c r="L191" s="134"/>
      <c r="M191" s="134"/>
      <c r="O191" s="136"/>
    </row>
    <row r="192" spans="11:15">
      <c r="K192" s="134"/>
      <c r="L192" s="134"/>
      <c r="M192" s="134"/>
      <c r="O192" s="136"/>
    </row>
    <row r="193" spans="11:15">
      <c r="K193" s="134"/>
      <c r="L193" s="134"/>
      <c r="M193" s="134"/>
      <c r="O193" s="136"/>
    </row>
    <row r="194" spans="11:15">
      <c r="K194" s="134"/>
      <c r="L194" s="134"/>
      <c r="M194" s="134"/>
      <c r="O194" s="137"/>
    </row>
    <row r="195" spans="11:15">
      <c r="K195" s="134"/>
      <c r="L195" s="134"/>
      <c r="M195" s="134"/>
      <c r="O195" s="135"/>
    </row>
    <row r="196" spans="11:15">
      <c r="K196" s="134"/>
      <c r="L196" s="134"/>
      <c r="M196" s="134"/>
      <c r="O196" s="135"/>
    </row>
    <row r="197" spans="11:15">
      <c r="K197" s="134"/>
      <c r="L197" s="134"/>
      <c r="M197" s="134"/>
      <c r="O197" s="135"/>
    </row>
    <row r="198" spans="11:15">
      <c r="K198" s="134"/>
      <c r="L198" s="134"/>
      <c r="M198" s="134"/>
      <c r="O198" s="135"/>
    </row>
    <row r="199" spans="11:15">
      <c r="K199" s="134"/>
      <c r="L199" s="134"/>
      <c r="M199" s="134"/>
      <c r="O199" s="135"/>
    </row>
    <row r="200" spans="11:15">
      <c r="K200" s="134"/>
      <c r="L200" s="134"/>
      <c r="M200" s="134"/>
      <c r="O200" s="135"/>
    </row>
  </sheetData>
  <pageMargins left="0.69930555555555596" right="0.69930555555555596" top="0.75" bottom="0.75"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T67"/>
  <sheetViews>
    <sheetView topLeftCell="A36" workbookViewId="0">
      <selection activeCell="D52" sqref="D52"/>
    </sheetView>
  </sheetViews>
  <sheetFormatPr defaultColWidth="9.109375" defaultRowHeight="13.8"/>
  <cols>
    <col min="1" max="1" width="29.6640625" style="36" customWidth="1"/>
    <col min="2" max="2" width="16.6640625" style="36" customWidth="1"/>
    <col min="3" max="3" width="11.109375" style="38" customWidth="1"/>
    <col min="4" max="4" width="11.109375" style="39" customWidth="1"/>
    <col min="5" max="5" width="11.109375" style="38" customWidth="1"/>
    <col min="6" max="6" width="12.44140625" style="40" customWidth="1"/>
    <col min="7" max="7" width="8.109375" style="36" customWidth="1"/>
    <col min="8" max="8" width="13.109375" style="36" hidden="1" customWidth="1"/>
    <col min="9" max="9" width="8.109375" style="36" customWidth="1"/>
    <col min="10" max="10" width="12.6640625" style="36" customWidth="1"/>
    <col min="11" max="12" width="9.6640625" style="41" customWidth="1"/>
    <col min="13" max="13" width="14.5546875" style="36" customWidth="1"/>
    <col min="14" max="16" width="3" style="36" customWidth="1"/>
    <col min="17" max="18" width="5" style="36" customWidth="1"/>
    <col min="19" max="19" width="13.5546875" style="36" customWidth="1"/>
    <col min="20" max="20" width="15.44140625" style="36" customWidth="1"/>
    <col min="21" max="16384" width="9.109375" style="36"/>
  </cols>
  <sheetData>
    <row r="1" spans="1:20" ht="23.4">
      <c r="A1" s="1121" t="s">
        <v>3330</v>
      </c>
      <c r="B1" s="1121"/>
      <c r="C1" s="1121"/>
      <c r="D1" s="1121"/>
      <c r="E1" s="1121"/>
      <c r="F1" s="1121"/>
      <c r="G1" s="1121"/>
      <c r="H1" s="1121"/>
      <c r="I1" s="1121"/>
      <c r="J1" s="1121"/>
      <c r="K1" s="1121"/>
      <c r="L1" s="1121"/>
      <c r="M1" s="1121"/>
    </row>
    <row r="2" spans="1:20">
      <c r="A2" s="1122" t="s">
        <v>3331</v>
      </c>
      <c r="B2" s="1122"/>
      <c r="C2" s="1122"/>
      <c r="D2" s="1122"/>
      <c r="E2" s="1122"/>
      <c r="F2" s="1122"/>
      <c r="G2" s="1122"/>
      <c r="H2" s="1122"/>
      <c r="I2" s="1122"/>
      <c r="J2" s="1122"/>
      <c r="K2" s="1122"/>
      <c r="L2" s="1122"/>
      <c r="M2" s="1122"/>
    </row>
    <row r="3" spans="1:20">
      <c r="F3" s="42"/>
      <c r="M3" s="83"/>
    </row>
    <row r="4" spans="1:20">
      <c r="A4" s="43" t="s">
        <v>3332</v>
      </c>
      <c r="B4" s="44"/>
      <c r="C4" s="45"/>
      <c r="D4" s="46"/>
      <c r="E4" s="47"/>
      <c r="F4" s="48" t="s">
        <v>3333</v>
      </c>
      <c r="G4" s="44"/>
      <c r="H4" s="44"/>
      <c r="I4" s="44"/>
      <c r="J4" s="44"/>
      <c r="K4" s="84"/>
      <c r="L4" s="84"/>
      <c r="M4" s="85"/>
    </row>
    <row r="5" spans="1:20">
      <c r="A5" s="49"/>
      <c r="D5" s="41"/>
      <c r="F5" s="50"/>
      <c r="L5" s="86" t="s">
        <v>3334</v>
      </c>
      <c r="M5" s="87"/>
    </row>
    <row r="6" spans="1:20" ht="15.6">
      <c r="A6" s="49"/>
      <c r="F6" s="50"/>
      <c r="L6" s="88" t="s">
        <v>3335</v>
      </c>
      <c r="M6" s="87"/>
      <c r="O6" s="36">
        <v>25</v>
      </c>
    </row>
    <row r="7" spans="1:20" s="37" customFormat="1" ht="14.25" customHeight="1">
      <c r="A7" s="1134" t="s">
        <v>3336</v>
      </c>
      <c r="B7" s="1137" t="s">
        <v>3337</v>
      </c>
      <c r="C7" s="1123" t="s">
        <v>3338</v>
      </c>
      <c r="D7" s="1124"/>
      <c r="E7" s="1125"/>
      <c r="F7" s="1143" t="s">
        <v>3339</v>
      </c>
      <c r="G7" s="1126" t="s">
        <v>3340</v>
      </c>
      <c r="H7" s="1127"/>
      <c r="I7" s="1127"/>
      <c r="J7" s="89"/>
      <c r="K7" s="90" t="s">
        <v>3341</v>
      </c>
      <c r="L7" s="51"/>
      <c r="M7" s="91"/>
    </row>
    <row r="8" spans="1:20" s="37" customFormat="1" ht="12.75" customHeight="1">
      <c r="A8" s="1135"/>
      <c r="B8" s="1138"/>
      <c r="C8" s="1140" t="s">
        <v>3342</v>
      </c>
      <c r="D8" s="1140" t="s">
        <v>3343</v>
      </c>
      <c r="E8" s="1140" t="s">
        <v>3344</v>
      </c>
      <c r="F8" s="1144"/>
      <c r="G8" s="1106" t="s">
        <v>3345</v>
      </c>
      <c r="H8" s="1107"/>
      <c r="I8" s="1108"/>
      <c r="J8" s="1112" t="s">
        <v>3346</v>
      </c>
      <c r="K8" s="1115" t="s">
        <v>3347</v>
      </c>
      <c r="L8" s="1115" t="s">
        <v>3348</v>
      </c>
      <c r="M8" s="1103" t="s">
        <v>3346</v>
      </c>
    </row>
    <row r="9" spans="1:20" s="37" customFormat="1">
      <c r="A9" s="1135"/>
      <c r="B9" s="1138"/>
      <c r="C9" s="1141"/>
      <c r="D9" s="1141"/>
      <c r="E9" s="1141"/>
      <c r="F9" s="1144"/>
      <c r="G9" s="1109"/>
      <c r="H9" s="1110"/>
      <c r="I9" s="1111"/>
      <c r="J9" s="1113"/>
      <c r="K9" s="1116"/>
      <c r="L9" s="1116"/>
      <c r="M9" s="1104"/>
      <c r="N9" s="37">
        <v>1</v>
      </c>
      <c r="O9" s="37">
        <v>10</v>
      </c>
      <c r="P9" s="37">
        <v>15</v>
      </c>
      <c r="Q9" s="37">
        <f>+YEAR(1)</f>
        <v>1900</v>
      </c>
    </row>
    <row r="10" spans="1:20" s="37" customFormat="1">
      <c r="A10" s="1136"/>
      <c r="B10" s="1139"/>
      <c r="C10" s="1142"/>
      <c r="D10" s="1142"/>
      <c r="E10" s="1142"/>
      <c r="F10" s="1145"/>
      <c r="G10" s="52" t="s">
        <v>3349</v>
      </c>
      <c r="H10" s="52" t="s">
        <v>1380</v>
      </c>
      <c r="I10" s="52" t="s">
        <v>3350</v>
      </c>
      <c r="J10" s="1114"/>
      <c r="K10" s="1117"/>
      <c r="L10" s="1117"/>
      <c r="M10" s="1105"/>
    </row>
    <row r="11" spans="1:20">
      <c r="A11" s="53" t="s">
        <v>898</v>
      </c>
      <c r="B11" s="54" t="s">
        <v>1390</v>
      </c>
      <c r="C11" s="55">
        <v>20116</v>
      </c>
      <c r="D11" s="55">
        <v>27120</v>
      </c>
      <c r="E11" s="56">
        <v>43830</v>
      </c>
      <c r="F11" s="57">
        <v>70827</v>
      </c>
      <c r="G11" s="120">
        <v>135.22999999999999</v>
      </c>
      <c r="H11" s="120">
        <v>241.98699999999999</v>
      </c>
      <c r="I11" s="120">
        <v>266.25</v>
      </c>
      <c r="J11" s="50">
        <f t="shared" ref="J11:J22" si="0">F11*(G11+I11)*0.0481927</f>
        <v>1370389.4948170921</v>
      </c>
      <c r="K11" s="76">
        <f>DATEDIF(D11,E11,"Y")</f>
        <v>45</v>
      </c>
      <c r="L11" s="76">
        <f>R11</f>
        <v>65</v>
      </c>
      <c r="M11" s="92">
        <f>+F11*L11</f>
        <v>4603755</v>
      </c>
      <c r="N11" s="36">
        <f>IF(K11&gt;20,20,K11)</f>
        <v>20</v>
      </c>
      <c r="O11" s="36">
        <f>IF((K11-N11)&gt;10,10,(K11-N11))</f>
        <v>10</v>
      </c>
      <c r="P11" s="36">
        <f>+K11-N11-O11</f>
        <v>15</v>
      </c>
      <c r="Q11" s="36">
        <f t="shared" ref="Q11:Q23" si="1">SUM(N11:P11)</f>
        <v>45</v>
      </c>
      <c r="R11" s="36">
        <f t="shared" ref="R11:R33" si="2">+N11+O11*1.5+P11*2</f>
        <v>65</v>
      </c>
      <c r="S11" s="100">
        <f ca="1">DATE(YEAR(NOW())+2,MONTH(C11),DAY(C11))</f>
        <v>46779</v>
      </c>
      <c r="T11" s="101">
        <f t="shared" ref="T11:T23" ca="1" si="3">DATEDIF(C11,TODAY(),"Y")</f>
        <v>71</v>
      </c>
    </row>
    <row r="12" spans="1:20">
      <c r="A12" s="53" t="s">
        <v>452</v>
      </c>
      <c r="B12" s="54" t="s">
        <v>1700</v>
      </c>
      <c r="C12" s="55">
        <v>20513</v>
      </c>
      <c r="D12" s="55">
        <v>35254</v>
      </c>
      <c r="E12" s="56">
        <v>43830</v>
      </c>
      <c r="F12" s="57">
        <v>13625</v>
      </c>
      <c r="G12" s="120">
        <v>48.920999999999999</v>
      </c>
      <c r="H12" s="120">
        <v>345.48</v>
      </c>
      <c r="I12" s="120">
        <v>71.542000000000002</v>
      </c>
      <c r="J12" s="50">
        <f t="shared" si="0"/>
        <v>79099.082123862492</v>
      </c>
      <c r="K12" s="76">
        <f t="shared" ref="K12:K22" si="4">DATEDIF(D12,E12,"Y")</f>
        <v>23</v>
      </c>
      <c r="L12" s="76">
        <f t="shared" ref="L12:L22" si="5">R12</f>
        <v>24.5</v>
      </c>
      <c r="M12" s="92">
        <f t="shared" ref="M12:M22" si="6">+F12*L12</f>
        <v>333812.5</v>
      </c>
      <c r="N12" s="36">
        <f t="shared" ref="N12:N24" si="7">IF(K12&gt;20,20,K12)</f>
        <v>20</v>
      </c>
      <c r="O12" s="36">
        <f t="shared" ref="O12:O24" si="8">IF((K12-N12)&gt;10,10,(K12-N12))</f>
        <v>3</v>
      </c>
      <c r="P12" s="36">
        <f t="shared" ref="P12:P24" si="9">+K12-N12-O12</f>
        <v>0</v>
      </c>
      <c r="Q12" s="36">
        <f t="shared" si="1"/>
        <v>23</v>
      </c>
      <c r="R12" s="36">
        <f t="shared" si="2"/>
        <v>24.5</v>
      </c>
      <c r="T12" s="101">
        <f t="shared" ca="1" si="3"/>
        <v>70</v>
      </c>
    </row>
    <row r="13" spans="1:20">
      <c r="A13" s="53" t="s">
        <v>387</v>
      </c>
      <c r="B13" s="54" t="s">
        <v>2764</v>
      </c>
      <c r="C13" s="55">
        <v>20640</v>
      </c>
      <c r="D13" s="55">
        <v>27442</v>
      </c>
      <c r="E13" s="56">
        <v>43830</v>
      </c>
      <c r="F13" s="57">
        <v>15664</v>
      </c>
      <c r="G13" s="120">
        <v>66.375</v>
      </c>
      <c r="H13" s="120">
        <v>425.428</v>
      </c>
      <c r="I13" s="120">
        <v>113.458</v>
      </c>
      <c r="J13" s="50">
        <f t="shared" si="0"/>
        <v>135754.2147983824</v>
      </c>
      <c r="K13" s="76">
        <f t="shared" si="4"/>
        <v>44</v>
      </c>
      <c r="L13" s="76">
        <f t="shared" si="5"/>
        <v>63</v>
      </c>
      <c r="M13" s="92">
        <f t="shared" si="6"/>
        <v>986832</v>
      </c>
      <c r="N13" s="36">
        <f t="shared" si="7"/>
        <v>20</v>
      </c>
      <c r="O13" s="36">
        <f t="shared" si="8"/>
        <v>10</v>
      </c>
      <c r="P13" s="36">
        <f t="shared" si="9"/>
        <v>14</v>
      </c>
      <c r="Q13" s="36">
        <f t="shared" si="1"/>
        <v>44</v>
      </c>
      <c r="R13" s="36">
        <f t="shared" si="2"/>
        <v>63</v>
      </c>
      <c r="T13" s="101">
        <f t="shared" ca="1" si="3"/>
        <v>69</v>
      </c>
    </row>
    <row r="14" spans="1:20">
      <c r="A14" s="53" t="s">
        <v>648</v>
      </c>
      <c r="B14" s="54" t="s">
        <v>1388</v>
      </c>
      <c r="C14" s="55">
        <v>21073</v>
      </c>
      <c r="D14" s="55">
        <v>33462</v>
      </c>
      <c r="E14" s="56">
        <v>43830</v>
      </c>
      <c r="F14" s="57">
        <v>57293</v>
      </c>
      <c r="G14" s="120">
        <v>50.445999999999998</v>
      </c>
      <c r="H14" s="120"/>
      <c r="I14" s="120">
        <v>368.04</v>
      </c>
      <c r="J14" s="50">
        <f t="shared" si="0"/>
        <v>1155483.5196592945</v>
      </c>
      <c r="K14" s="76">
        <f t="shared" si="4"/>
        <v>28</v>
      </c>
      <c r="L14" s="76">
        <f t="shared" si="5"/>
        <v>32</v>
      </c>
      <c r="M14" s="92">
        <f t="shared" si="6"/>
        <v>1833376</v>
      </c>
      <c r="N14" s="36">
        <f t="shared" si="7"/>
        <v>20</v>
      </c>
      <c r="O14" s="36">
        <f t="shared" si="8"/>
        <v>8</v>
      </c>
      <c r="P14" s="36">
        <f t="shared" si="9"/>
        <v>0</v>
      </c>
      <c r="Q14" s="36">
        <f t="shared" si="1"/>
        <v>28</v>
      </c>
      <c r="R14" s="36">
        <f t="shared" si="2"/>
        <v>32</v>
      </c>
      <c r="T14" s="101">
        <f t="shared" ca="1" si="3"/>
        <v>68</v>
      </c>
    </row>
    <row r="15" spans="1:20">
      <c r="A15" s="53" t="s">
        <v>342</v>
      </c>
      <c r="B15" s="54" t="s">
        <v>3351</v>
      </c>
      <c r="C15" s="55">
        <v>21451</v>
      </c>
      <c r="D15" s="55">
        <v>30082</v>
      </c>
      <c r="E15" s="56">
        <v>43830</v>
      </c>
      <c r="F15" s="57">
        <v>30253</v>
      </c>
      <c r="G15" s="120">
        <v>48.247999999999998</v>
      </c>
      <c r="H15" s="120"/>
      <c r="I15" s="120">
        <v>83.707999999999998</v>
      </c>
      <c r="J15" s="50">
        <f t="shared" si="0"/>
        <v>192388.38456406357</v>
      </c>
      <c r="K15" s="76">
        <f t="shared" si="4"/>
        <v>37</v>
      </c>
      <c r="L15" s="76">
        <f t="shared" si="5"/>
        <v>49</v>
      </c>
      <c r="M15" s="92">
        <f t="shared" si="6"/>
        <v>1482397</v>
      </c>
      <c r="N15" s="36">
        <f t="shared" si="7"/>
        <v>20</v>
      </c>
      <c r="O15" s="36">
        <f t="shared" si="8"/>
        <v>10</v>
      </c>
      <c r="P15" s="36">
        <f t="shared" si="9"/>
        <v>7</v>
      </c>
      <c r="Q15" s="36">
        <f t="shared" si="1"/>
        <v>37</v>
      </c>
      <c r="R15" s="36">
        <f t="shared" si="2"/>
        <v>49</v>
      </c>
      <c r="T15" s="101">
        <f t="shared" ca="1" si="3"/>
        <v>67</v>
      </c>
    </row>
    <row r="16" spans="1:20">
      <c r="A16" s="53" t="s">
        <v>692</v>
      </c>
      <c r="B16" s="54" t="s">
        <v>1388</v>
      </c>
      <c r="C16" s="55">
        <v>21495</v>
      </c>
      <c r="D16" s="55">
        <v>32687</v>
      </c>
      <c r="E16" s="56">
        <v>43830</v>
      </c>
      <c r="F16" s="57">
        <v>57293</v>
      </c>
      <c r="G16" s="120">
        <v>49.420999999999999</v>
      </c>
      <c r="H16" s="120"/>
      <c r="I16" s="120">
        <v>398.58300000000003</v>
      </c>
      <c r="J16" s="50">
        <f t="shared" si="0"/>
        <v>1236985.7981902445</v>
      </c>
      <c r="K16" s="76">
        <f t="shared" si="4"/>
        <v>30</v>
      </c>
      <c r="L16" s="76">
        <f t="shared" si="5"/>
        <v>35</v>
      </c>
      <c r="M16" s="92">
        <f t="shared" si="6"/>
        <v>2005255</v>
      </c>
      <c r="N16" s="36">
        <f t="shared" si="7"/>
        <v>20</v>
      </c>
      <c r="O16" s="36">
        <f t="shared" si="8"/>
        <v>10</v>
      </c>
      <c r="P16" s="36">
        <f t="shared" si="9"/>
        <v>0</v>
      </c>
      <c r="Q16" s="36">
        <f t="shared" si="1"/>
        <v>30</v>
      </c>
      <c r="R16" s="36">
        <f t="shared" si="2"/>
        <v>35</v>
      </c>
      <c r="T16" s="101">
        <f t="shared" ca="1" si="3"/>
        <v>67</v>
      </c>
    </row>
    <row r="17" spans="1:20">
      <c r="A17" s="53" t="s">
        <v>522</v>
      </c>
      <c r="B17" s="54" t="s">
        <v>3052</v>
      </c>
      <c r="C17" s="55">
        <v>21687</v>
      </c>
      <c r="D17" s="55">
        <v>31131</v>
      </c>
      <c r="E17" s="56">
        <v>43830</v>
      </c>
      <c r="F17" s="57">
        <v>110980</v>
      </c>
      <c r="G17" s="120">
        <v>45.975999999999999</v>
      </c>
      <c r="H17" s="120"/>
      <c r="I17" s="120">
        <v>406</v>
      </c>
      <c r="J17" s="50">
        <f t="shared" si="0"/>
        <v>2417360.1201716959</v>
      </c>
      <c r="K17" s="76">
        <f t="shared" si="4"/>
        <v>34</v>
      </c>
      <c r="L17" s="76">
        <f t="shared" si="5"/>
        <v>43</v>
      </c>
      <c r="M17" s="92">
        <f t="shared" si="6"/>
        <v>4772140</v>
      </c>
      <c r="N17" s="36">
        <f t="shared" si="7"/>
        <v>20</v>
      </c>
      <c r="O17" s="36">
        <f t="shared" si="8"/>
        <v>10</v>
      </c>
      <c r="P17" s="36">
        <f t="shared" si="9"/>
        <v>4</v>
      </c>
      <c r="Q17" s="36">
        <f t="shared" si="1"/>
        <v>34</v>
      </c>
      <c r="R17" s="36">
        <f t="shared" si="2"/>
        <v>43</v>
      </c>
      <c r="T17" s="101">
        <f t="shared" ca="1" si="3"/>
        <v>66</v>
      </c>
    </row>
    <row r="18" spans="1:20">
      <c r="A18" s="53" t="s">
        <v>677</v>
      </c>
      <c r="B18" s="54" t="s">
        <v>1388</v>
      </c>
      <c r="C18" s="55">
        <v>21614</v>
      </c>
      <c r="D18" s="55">
        <v>32687</v>
      </c>
      <c r="E18" s="56">
        <v>43830</v>
      </c>
      <c r="F18" s="57">
        <v>57293</v>
      </c>
      <c r="G18" s="120">
        <v>61.325000000000003</v>
      </c>
      <c r="H18" s="120"/>
      <c r="I18" s="120">
        <v>450.625</v>
      </c>
      <c r="J18" s="50">
        <f t="shared" si="0"/>
        <v>1413547.3776651449</v>
      </c>
      <c r="K18" s="76">
        <f t="shared" si="4"/>
        <v>30</v>
      </c>
      <c r="L18" s="76">
        <f t="shared" si="5"/>
        <v>35</v>
      </c>
      <c r="M18" s="92">
        <f t="shared" si="6"/>
        <v>2005255</v>
      </c>
      <c r="N18" s="36">
        <f t="shared" si="7"/>
        <v>20</v>
      </c>
      <c r="O18" s="36">
        <f t="shared" si="8"/>
        <v>10</v>
      </c>
      <c r="P18" s="36">
        <f t="shared" si="9"/>
        <v>0</v>
      </c>
      <c r="Q18" s="36">
        <f t="shared" si="1"/>
        <v>30</v>
      </c>
      <c r="R18" s="36">
        <f t="shared" si="2"/>
        <v>35</v>
      </c>
      <c r="T18" s="101">
        <f t="shared" ca="1" si="3"/>
        <v>67</v>
      </c>
    </row>
    <row r="19" spans="1:20">
      <c r="A19" s="53" t="s">
        <v>842</v>
      </c>
      <c r="B19" s="54" t="s">
        <v>1388</v>
      </c>
      <c r="C19" s="55">
        <v>21810</v>
      </c>
      <c r="D19" s="55">
        <v>31138</v>
      </c>
      <c r="E19" s="56">
        <v>43830</v>
      </c>
      <c r="F19" s="57">
        <v>57293</v>
      </c>
      <c r="G19" s="120">
        <v>41.75</v>
      </c>
      <c r="H19" s="120"/>
      <c r="I19" s="120">
        <v>304.25</v>
      </c>
      <c r="J19" s="50">
        <f t="shared" si="0"/>
        <v>955342.10894059995</v>
      </c>
      <c r="K19" s="76">
        <f t="shared" si="4"/>
        <v>34</v>
      </c>
      <c r="L19" s="76">
        <f t="shared" si="5"/>
        <v>43</v>
      </c>
      <c r="M19" s="92">
        <f t="shared" si="6"/>
        <v>2463599</v>
      </c>
      <c r="N19" s="36">
        <f t="shared" si="7"/>
        <v>20</v>
      </c>
      <c r="O19" s="36">
        <f t="shared" si="8"/>
        <v>10</v>
      </c>
      <c r="P19" s="36">
        <f t="shared" si="9"/>
        <v>4</v>
      </c>
      <c r="Q19" s="36">
        <f t="shared" si="1"/>
        <v>34</v>
      </c>
      <c r="R19" s="36">
        <f t="shared" si="2"/>
        <v>43</v>
      </c>
      <c r="T19" s="101">
        <f t="shared" ca="1" si="3"/>
        <v>66</v>
      </c>
    </row>
    <row r="20" spans="1:20">
      <c r="A20" s="53" t="s">
        <v>1366</v>
      </c>
      <c r="B20" s="54" t="s">
        <v>3352</v>
      </c>
      <c r="C20" s="55">
        <v>21829</v>
      </c>
      <c r="D20" s="55">
        <v>36356</v>
      </c>
      <c r="E20" s="56">
        <v>43830</v>
      </c>
      <c r="F20" s="57">
        <v>11732</v>
      </c>
      <c r="G20" s="120">
        <v>70.427999999999997</v>
      </c>
      <c r="H20" s="120"/>
      <c r="I20" s="120">
        <v>235.5</v>
      </c>
      <c r="J20" s="50">
        <f t="shared" si="0"/>
        <v>172970.69889193919</v>
      </c>
      <c r="K20" s="76">
        <f t="shared" si="4"/>
        <v>20</v>
      </c>
      <c r="L20" s="76">
        <f t="shared" si="5"/>
        <v>20</v>
      </c>
      <c r="M20" s="92">
        <f t="shared" si="6"/>
        <v>234640</v>
      </c>
      <c r="N20" s="36">
        <f t="shared" si="7"/>
        <v>20</v>
      </c>
      <c r="O20" s="36">
        <f t="shared" si="8"/>
        <v>0</v>
      </c>
      <c r="P20" s="36">
        <f t="shared" si="9"/>
        <v>0</v>
      </c>
      <c r="Q20" s="36">
        <f t="shared" si="1"/>
        <v>20</v>
      </c>
      <c r="R20" s="36">
        <f t="shared" si="2"/>
        <v>20</v>
      </c>
      <c r="T20" s="101">
        <f t="shared" ca="1" si="3"/>
        <v>66</v>
      </c>
    </row>
    <row r="21" spans="1:20">
      <c r="A21" s="53"/>
      <c r="B21" s="54"/>
      <c r="C21" s="55"/>
      <c r="D21" s="55"/>
      <c r="E21" s="56"/>
      <c r="F21" s="57"/>
      <c r="G21" s="120"/>
      <c r="H21" s="120"/>
      <c r="I21" s="120"/>
      <c r="J21" s="50">
        <f t="shared" si="0"/>
        <v>0</v>
      </c>
      <c r="K21" s="76">
        <f t="shared" si="4"/>
        <v>0</v>
      </c>
      <c r="L21" s="76">
        <f t="shared" si="5"/>
        <v>0</v>
      </c>
      <c r="M21" s="92">
        <f t="shared" si="6"/>
        <v>0</v>
      </c>
      <c r="N21" s="36">
        <f t="shared" si="7"/>
        <v>0</v>
      </c>
      <c r="O21" s="36">
        <f t="shared" si="8"/>
        <v>0</v>
      </c>
      <c r="P21" s="36">
        <f t="shared" si="9"/>
        <v>0</v>
      </c>
      <c r="Q21" s="36">
        <f t="shared" si="1"/>
        <v>0</v>
      </c>
      <c r="R21" s="36">
        <f t="shared" si="2"/>
        <v>0</v>
      </c>
      <c r="T21" s="101">
        <f t="shared" ca="1" si="3"/>
        <v>126</v>
      </c>
    </row>
    <row r="22" spans="1:20">
      <c r="A22" s="53"/>
      <c r="B22" s="54"/>
      <c r="C22" s="55"/>
      <c r="D22" s="55"/>
      <c r="E22" s="56"/>
      <c r="F22" s="57"/>
      <c r="G22" s="120"/>
      <c r="H22" s="120"/>
      <c r="I22" s="120"/>
      <c r="J22" s="50">
        <f t="shared" si="0"/>
        <v>0</v>
      </c>
      <c r="K22" s="76">
        <f t="shared" si="4"/>
        <v>0</v>
      </c>
      <c r="L22" s="76">
        <f t="shared" si="5"/>
        <v>0</v>
      </c>
      <c r="M22" s="92">
        <f t="shared" si="6"/>
        <v>0</v>
      </c>
      <c r="N22" s="36">
        <f t="shared" si="7"/>
        <v>0</v>
      </c>
      <c r="O22" s="36">
        <f t="shared" si="8"/>
        <v>0</v>
      </c>
      <c r="P22" s="36">
        <f t="shared" si="9"/>
        <v>0</v>
      </c>
      <c r="Q22" s="36">
        <f t="shared" si="1"/>
        <v>0</v>
      </c>
      <c r="R22" s="36">
        <f t="shared" si="2"/>
        <v>0</v>
      </c>
      <c r="T22" s="101">
        <f t="shared" ca="1" si="3"/>
        <v>126</v>
      </c>
    </row>
    <row r="23" spans="1:20">
      <c r="A23" s="53"/>
      <c r="B23" s="54"/>
      <c r="C23" s="55"/>
      <c r="D23" s="55"/>
      <c r="E23" s="56"/>
      <c r="F23" s="57"/>
      <c r="G23" s="120"/>
      <c r="H23" s="120"/>
      <c r="I23" s="120"/>
      <c r="J23" s="50"/>
      <c r="K23" s="76"/>
      <c r="L23" s="76"/>
      <c r="M23" s="92"/>
      <c r="N23" s="36">
        <f t="shared" si="7"/>
        <v>0</v>
      </c>
      <c r="O23" s="36">
        <f t="shared" si="8"/>
        <v>0</v>
      </c>
      <c r="P23" s="36">
        <f t="shared" si="9"/>
        <v>0</v>
      </c>
      <c r="Q23" s="36">
        <f t="shared" si="1"/>
        <v>0</v>
      </c>
      <c r="R23" s="36">
        <f t="shared" si="2"/>
        <v>0</v>
      </c>
      <c r="T23" s="101">
        <f t="shared" ca="1" si="3"/>
        <v>126</v>
      </c>
    </row>
    <row r="24" spans="1:20" ht="12.75" hidden="1" customHeight="1">
      <c r="A24" s="53"/>
      <c r="B24" s="54"/>
      <c r="C24" s="55"/>
      <c r="D24" s="55"/>
      <c r="E24" s="56"/>
      <c r="F24" s="57"/>
      <c r="G24" s="109"/>
      <c r="H24" s="109"/>
      <c r="I24" s="109"/>
      <c r="J24" s="50">
        <f t="shared" ref="J24:J31" si="10">F24*(G24+I24)*0.0481927</f>
        <v>0</v>
      </c>
      <c r="K24" s="76"/>
      <c r="L24" s="76"/>
      <c r="M24" s="92"/>
      <c r="N24" s="36">
        <f t="shared" si="7"/>
        <v>0</v>
      </c>
      <c r="O24" s="36">
        <f t="shared" si="8"/>
        <v>0</v>
      </c>
      <c r="P24" s="36">
        <f t="shared" si="9"/>
        <v>0</v>
      </c>
      <c r="Q24" s="36">
        <f t="shared" ref="Q24:Q33" si="11">SUM(N24:P24)</f>
        <v>0</v>
      </c>
      <c r="R24" s="36">
        <f t="shared" si="2"/>
        <v>0</v>
      </c>
    </row>
    <row r="25" spans="1:20" ht="12.75" hidden="1" customHeight="1">
      <c r="A25" s="53"/>
      <c r="B25" s="54"/>
      <c r="C25" s="55"/>
      <c r="D25" s="55"/>
      <c r="E25" s="56"/>
      <c r="F25" s="57"/>
      <c r="G25" s="109"/>
      <c r="H25" s="109"/>
      <c r="I25" s="109"/>
      <c r="J25" s="50">
        <f t="shared" si="10"/>
        <v>0</v>
      </c>
      <c r="K25" s="76"/>
      <c r="L25" s="76"/>
      <c r="M25" s="92"/>
      <c r="N25" s="36">
        <f t="shared" ref="N25:N33" si="12">IF(K25&gt;20,20,K25)</f>
        <v>0</v>
      </c>
      <c r="O25" s="36">
        <f t="shared" ref="O25:O33" si="13">IF((K25-N25)&gt;10,10,(K25-N25))</f>
        <v>0</v>
      </c>
      <c r="P25" s="36">
        <f t="shared" ref="P25:P33" si="14">+K25-N25-O25</f>
        <v>0</v>
      </c>
      <c r="Q25" s="36">
        <f t="shared" si="11"/>
        <v>0</v>
      </c>
      <c r="R25" s="36">
        <f t="shared" si="2"/>
        <v>0</v>
      </c>
    </row>
    <row r="26" spans="1:20" ht="12.75" hidden="1" customHeight="1">
      <c r="A26" s="53"/>
      <c r="B26" s="54"/>
      <c r="C26" s="55"/>
      <c r="D26" s="55"/>
      <c r="E26" s="56"/>
      <c r="F26" s="57"/>
      <c r="G26" s="109"/>
      <c r="H26" s="109"/>
      <c r="I26" s="109"/>
      <c r="J26" s="50">
        <f t="shared" si="10"/>
        <v>0</v>
      </c>
      <c r="K26" s="76"/>
      <c r="L26" s="76"/>
      <c r="M26" s="125"/>
      <c r="N26" s="36">
        <f t="shared" si="12"/>
        <v>0</v>
      </c>
      <c r="O26" s="36">
        <f t="shared" si="13"/>
        <v>0</v>
      </c>
      <c r="P26" s="36">
        <f t="shared" si="14"/>
        <v>0</v>
      </c>
      <c r="Q26" s="36">
        <f t="shared" si="11"/>
        <v>0</v>
      </c>
      <c r="R26" s="36">
        <f t="shared" si="2"/>
        <v>0</v>
      </c>
    </row>
    <row r="27" spans="1:20" ht="12.75" hidden="1" customHeight="1">
      <c r="A27" s="53"/>
      <c r="B27" s="54"/>
      <c r="C27" s="55"/>
      <c r="D27" s="55"/>
      <c r="E27" s="56"/>
      <c r="F27" s="57"/>
      <c r="G27" s="109"/>
      <c r="H27" s="109"/>
      <c r="I27" s="109"/>
      <c r="J27" s="50">
        <f t="shared" si="10"/>
        <v>0</v>
      </c>
      <c r="K27" s="76"/>
      <c r="L27" s="76"/>
      <c r="M27" s="92"/>
      <c r="N27" s="36">
        <f t="shared" si="12"/>
        <v>0</v>
      </c>
      <c r="O27" s="36">
        <f t="shared" si="13"/>
        <v>0</v>
      </c>
      <c r="P27" s="36">
        <f t="shared" si="14"/>
        <v>0</v>
      </c>
      <c r="Q27" s="36">
        <f t="shared" si="11"/>
        <v>0</v>
      </c>
      <c r="R27" s="36">
        <f t="shared" si="2"/>
        <v>0</v>
      </c>
    </row>
    <row r="28" spans="1:20" ht="12.75" hidden="1" customHeight="1">
      <c r="A28" s="53"/>
      <c r="B28" s="54"/>
      <c r="C28" s="55"/>
      <c r="D28" s="55"/>
      <c r="E28" s="56"/>
      <c r="F28" s="57"/>
      <c r="G28" s="109"/>
      <c r="H28" s="109"/>
      <c r="I28" s="109"/>
      <c r="J28" s="50">
        <f t="shared" si="10"/>
        <v>0</v>
      </c>
      <c r="K28" s="76"/>
      <c r="L28" s="76"/>
      <c r="M28" s="92"/>
      <c r="N28" s="36">
        <f t="shared" si="12"/>
        <v>0</v>
      </c>
      <c r="O28" s="36">
        <f t="shared" si="13"/>
        <v>0</v>
      </c>
      <c r="P28" s="36">
        <f t="shared" si="14"/>
        <v>0</v>
      </c>
      <c r="Q28" s="36">
        <f t="shared" si="11"/>
        <v>0</v>
      </c>
      <c r="R28" s="36">
        <f t="shared" si="2"/>
        <v>0</v>
      </c>
    </row>
    <row r="29" spans="1:20" ht="12.75" hidden="1" customHeight="1">
      <c r="A29" s="53"/>
      <c r="B29" s="54"/>
      <c r="C29" s="55"/>
      <c r="D29" s="55"/>
      <c r="E29" s="56"/>
      <c r="F29" s="57"/>
      <c r="G29" s="109"/>
      <c r="H29" s="109"/>
      <c r="I29" s="109"/>
      <c r="J29" s="50">
        <f t="shared" si="10"/>
        <v>0</v>
      </c>
      <c r="K29" s="76"/>
      <c r="L29" s="76"/>
      <c r="M29" s="92"/>
      <c r="N29" s="36">
        <f t="shared" si="12"/>
        <v>0</v>
      </c>
      <c r="O29" s="36">
        <f t="shared" si="13"/>
        <v>0</v>
      </c>
      <c r="P29" s="36">
        <f t="shared" si="14"/>
        <v>0</v>
      </c>
      <c r="Q29" s="36">
        <f t="shared" si="11"/>
        <v>0</v>
      </c>
      <c r="R29" s="36">
        <f t="shared" si="2"/>
        <v>0</v>
      </c>
    </row>
    <row r="30" spans="1:20" ht="12.75" hidden="1" customHeight="1">
      <c r="A30" s="53"/>
      <c r="B30" s="54"/>
      <c r="C30" s="55"/>
      <c r="D30" s="55"/>
      <c r="E30" s="56"/>
      <c r="F30" s="57"/>
      <c r="G30" s="109"/>
      <c r="H30" s="109"/>
      <c r="I30" s="109"/>
      <c r="J30" s="50">
        <f t="shared" si="10"/>
        <v>0</v>
      </c>
      <c r="K30" s="76"/>
      <c r="L30" s="76"/>
      <c r="M30" s="92"/>
      <c r="N30" s="36">
        <f t="shared" si="12"/>
        <v>0</v>
      </c>
      <c r="O30" s="36">
        <f t="shared" si="13"/>
        <v>0</v>
      </c>
      <c r="P30" s="36">
        <f t="shared" si="14"/>
        <v>0</v>
      </c>
      <c r="Q30" s="36">
        <f t="shared" si="11"/>
        <v>0</v>
      </c>
      <c r="R30" s="36">
        <f t="shared" si="2"/>
        <v>0</v>
      </c>
    </row>
    <row r="31" spans="1:20" ht="12.75" hidden="1" customHeight="1">
      <c r="A31" s="53"/>
      <c r="B31" s="54"/>
      <c r="C31" s="55"/>
      <c r="D31" s="55"/>
      <c r="E31" s="56"/>
      <c r="F31" s="57"/>
      <c r="G31" s="109"/>
      <c r="H31" s="109"/>
      <c r="I31" s="109"/>
      <c r="J31" s="50">
        <f t="shared" si="10"/>
        <v>0</v>
      </c>
      <c r="K31" s="76"/>
      <c r="L31" s="76"/>
      <c r="M31" s="92"/>
      <c r="N31" s="36">
        <f t="shared" si="12"/>
        <v>0</v>
      </c>
      <c r="O31" s="36">
        <f t="shared" si="13"/>
        <v>0</v>
      </c>
      <c r="P31" s="36">
        <f t="shared" si="14"/>
        <v>0</v>
      </c>
      <c r="Q31" s="36">
        <f t="shared" si="11"/>
        <v>0</v>
      </c>
      <c r="R31" s="36">
        <f t="shared" si="2"/>
        <v>0</v>
      </c>
    </row>
    <row r="32" spans="1:20" ht="12.75" customHeight="1">
      <c r="A32" s="53"/>
      <c r="B32" s="54"/>
      <c r="C32" s="55"/>
      <c r="D32" s="55"/>
      <c r="E32" s="56"/>
      <c r="F32" s="121"/>
      <c r="G32" s="109"/>
      <c r="H32" s="109"/>
      <c r="I32" s="109"/>
      <c r="J32" s="50"/>
      <c r="K32" s="76"/>
      <c r="L32" s="76"/>
      <c r="M32" s="92"/>
    </row>
    <row r="33" spans="1:20">
      <c r="A33" s="49"/>
      <c r="B33" s="67"/>
      <c r="C33" s="122"/>
      <c r="D33" s="56"/>
      <c r="E33" s="123"/>
      <c r="F33" s="124"/>
      <c r="G33" s="37"/>
      <c r="H33" s="114"/>
      <c r="I33" s="37"/>
      <c r="J33" s="50"/>
      <c r="K33" s="126"/>
      <c r="L33" s="76"/>
      <c r="M33" s="125"/>
      <c r="N33" s="36">
        <f t="shared" si="12"/>
        <v>0</v>
      </c>
      <c r="O33" s="36">
        <f t="shared" si="13"/>
        <v>0</v>
      </c>
      <c r="P33" s="36">
        <f t="shared" si="14"/>
        <v>0</v>
      </c>
      <c r="Q33" s="36">
        <f t="shared" si="11"/>
        <v>0</v>
      </c>
      <c r="R33" s="36">
        <f t="shared" si="2"/>
        <v>0</v>
      </c>
    </row>
    <row r="34" spans="1:20">
      <c r="A34" s="61"/>
      <c r="B34" s="62" t="s">
        <v>2188</v>
      </c>
      <c r="C34" s="47"/>
      <c r="D34" s="63"/>
      <c r="E34" s="47"/>
      <c r="F34" s="64"/>
      <c r="G34" s="65"/>
      <c r="H34" s="65"/>
      <c r="I34" s="65"/>
      <c r="J34" s="93">
        <f>SUM(J11:J33)</f>
        <v>9129320.7998223193</v>
      </c>
      <c r="K34" s="94"/>
      <c r="L34" s="84"/>
      <c r="M34" s="95">
        <f>SUM(M11:M33)</f>
        <v>20721061.5</v>
      </c>
    </row>
    <row r="35" spans="1:20">
      <c r="A35" s="66" t="s">
        <v>1381</v>
      </c>
      <c r="B35" s="67"/>
      <c r="D35" s="68" t="s">
        <v>3353</v>
      </c>
      <c r="F35" s="69"/>
      <c r="K35" s="96" t="s">
        <v>3354</v>
      </c>
      <c r="M35" s="87"/>
    </row>
    <row r="36" spans="1:20">
      <c r="A36" s="66"/>
      <c r="B36" s="70"/>
      <c r="C36" s="71"/>
      <c r="D36" s="68"/>
      <c r="E36" s="71"/>
      <c r="F36" s="69"/>
      <c r="G36" s="72"/>
      <c r="H36" s="72"/>
      <c r="I36" s="72"/>
      <c r="J36" s="72"/>
      <c r="K36" s="96"/>
      <c r="M36" s="87"/>
    </row>
    <row r="37" spans="1:20">
      <c r="A37" s="49"/>
      <c r="B37" s="67"/>
      <c r="F37" s="73"/>
      <c r="K37" s="76"/>
      <c r="M37" s="87"/>
      <c r="T37" s="103"/>
    </row>
    <row r="38" spans="1:20" ht="14.4">
      <c r="A38" s="74" t="s">
        <v>1383</v>
      </c>
      <c r="B38" s="1128" t="s">
        <v>3355</v>
      </c>
      <c r="C38" s="1129"/>
      <c r="D38" s="1129"/>
      <c r="E38" s="1129"/>
      <c r="F38" s="1129"/>
      <c r="G38" s="1129"/>
      <c r="H38" s="1129"/>
      <c r="I38" s="1129"/>
      <c r="J38" s="1130"/>
      <c r="K38" s="1131">
        <f ca="1">NOW()</f>
        <v>46105.538043402776</v>
      </c>
      <c r="L38" s="1132"/>
      <c r="M38" s="1133"/>
    </row>
    <row r="39" spans="1:20">
      <c r="A39" s="75" t="s">
        <v>3356</v>
      </c>
      <c r="B39" s="1118" t="s">
        <v>3357</v>
      </c>
      <c r="C39" s="1119"/>
      <c r="D39" s="1119"/>
      <c r="E39" s="1119"/>
      <c r="F39" s="1119"/>
      <c r="G39" s="1119"/>
      <c r="H39" s="1119"/>
      <c r="I39" s="1119"/>
      <c r="J39" s="1120"/>
      <c r="K39" s="76"/>
      <c r="M39" s="87"/>
    </row>
    <row r="40" spans="1:20" ht="8.25" customHeight="1">
      <c r="A40" s="77"/>
      <c r="B40" s="78"/>
      <c r="C40" s="79"/>
      <c r="D40" s="80"/>
      <c r="E40" s="79"/>
      <c r="F40" s="81"/>
      <c r="G40" s="82"/>
      <c r="H40" s="82"/>
      <c r="I40" s="82"/>
      <c r="J40" s="82"/>
      <c r="K40" s="97"/>
      <c r="L40" s="98"/>
      <c r="M40" s="99"/>
    </row>
    <row r="41" spans="1:20" ht="23.4">
      <c r="A41" s="1121" t="str">
        <f>+A1</f>
        <v>BP 205</v>
      </c>
      <c r="B41" s="1121"/>
      <c r="C41" s="1121"/>
      <c r="D41" s="1121"/>
      <c r="E41" s="1121"/>
      <c r="F41" s="1121"/>
      <c r="G41" s="1121"/>
      <c r="H41" s="1121"/>
      <c r="I41" s="1121"/>
      <c r="J41" s="1121"/>
      <c r="K41" s="1121"/>
      <c r="L41" s="1121"/>
      <c r="M41" s="1121"/>
    </row>
    <row r="42" spans="1:20">
      <c r="A42" s="1122" t="str">
        <f>+A2</f>
        <v>FOR FY 2019</v>
      </c>
      <c r="B42" s="1122"/>
      <c r="C42" s="1122"/>
      <c r="D42" s="1122"/>
      <c r="E42" s="1122"/>
      <c r="F42" s="1122"/>
      <c r="G42" s="1122"/>
      <c r="H42" s="1122"/>
      <c r="I42" s="1122"/>
      <c r="J42" s="1122"/>
      <c r="K42" s="1122"/>
      <c r="L42" s="1122"/>
      <c r="M42" s="1122"/>
    </row>
    <row r="43" spans="1:20">
      <c r="F43" s="42"/>
      <c r="M43" s="83"/>
    </row>
    <row r="44" spans="1:20">
      <c r="A44" s="43" t="s">
        <v>3332</v>
      </c>
      <c r="B44" s="44"/>
      <c r="C44" s="45"/>
      <c r="D44" s="46"/>
      <c r="E44" s="47"/>
      <c r="F44" s="48" t="s">
        <v>3333</v>
      </c>
      <c r="G44" s="44"/>
      <c r="H44" s="44"/>
      <c r="I44" s="44"/>
      <c r="J44" s="44"/>
      <c r="K44" s="84"/>
      <c r="L44" s="84"/>
      <c r="M44" s="85"/>
    </row>
    <row r="45" spans="1:20" ht="15.6">
      <c r="A45" s="49"/>
      <c r="F45" s="50"/>
      <c r="L45" s="88" t="s">
        <v>3358</v>
      </c>
      <c r="M45" s="87"/>
    </row>
    <row r="46" spans="1:20">
      <c r="A46" s="49"/>
      <c r="F46" s="50"/>
      <c r="L46" s="86" t="s">
        <v>3359</v>
      </c>
      <c r="M46" s="87"/>
    </row>
    <row r="47" spans="1:20" s="37" customFormat="1" ht="14.25" customHeight="1">
      <c r="A47" s="1134" t="s">
        <v>3336</v>
      </c>
      <c r="B47" s="1137" t="s">
        <v>3337</v>
      </c>
      <c r="C47" s="1123" t="s">
        <v>3338</v>
      </c>
      <c r="D47" s="1124"/>
      <c r="E47" s="1125"/>
      <c r="F47" s="1143" t="s">
        <v>3339</v>
      </c>
      <c r="G47" s="1126" t="s">
        <v>3340</v>
      </c>
      <c r="H47" s="1127"/>
      <c r="I47" s="1127"/>
      <c r="J47" s="89"/>
      <c r="K47" s="90" t="s">
        <v>3341</v>
      </c>
      <c r="L47" s="51"/>
      <c r="M47" s="91"/>
    </row>
    <row r="48" spans="1:20" s="37" customFormat="1">
      <c r="A48" s="1135"/>
      <c r="B48" s="1138"/>
      <c r="C48" s="1140" t="s">
        <v>3342</v>
      </c>
      <c r="D48" s="1140" t="s">
        <v>3343</v>
      </c>
      <c r="E48" s="1140" t="s">
        <v>3344</v>
      </c>
      <c r="F48" s="1144"/>
      <c r="G48" s="1106" t="s">
        <v>3345</v>
      </c>
      <c r="H48" s="1107"/>
      <c r="I48" s="1108"/>
      <c r="J48" s="1112" t="s">
        <v>3346</v>
      </c>
      <c r="K48" s="1115" t="s">
        <v>3347</v>
      </c>
      <c r="L48" s="1115" t="s">
        <v>3348</v>
      </c>
      <c r="M48" s="1103" t="s">
        <v>3346</v>
      </c>
    </row>
    <row r="49" spans="1:18" s="37" customFormat="1">
      <c r="A49" s="1135"/>
      <c r="B49" s="1138"/>
      <c r="C49" s="1141"/>
      <c r="D49" s="1141"/>
      <c r="E49" s="1141"/>
      <c r="F49" s="1144"/>
      <c r="G49" s="1109"/>
      <c r="H49" s="1110"/>
      <c r="I49" s="1111"/>
      <c r="J49" s="1113"/>
      <c r="K49" s="1116"/>
      <c r="L49" s="1116"/>
      <c r="M49" s="1104"/>
    </row>
    <row r="50" spans="1:18" s="37" customFormat="1">
      <c r="A50" s="1136"/>
      <c r="B50" s="1139"/>
      <c r="C50" s="1142"/>
      <c r="D50" s="1142"/>
      <c r="E50" s="1142"/>
      <c r="F50" s="1145"/>
      <c r="G50" s="52" t="s">
        <v>3349</v>
      </c>
      <c r="H50" s="52" t="s">
        <v>1380</v>
      </c>
      <c r="I50" s="52" t="s">
        <v>3350</v>
      </c>
      <c r="J50" s="1114"/>
      <c r="K50" s="1117"/>
      <c r="L50" s="1117"/>
      <c r="M50" s="1105"/>
    </row>
    <row r="51" spans="1:18">
      <c r="A51" s="53" t="s">
        <v>919</v>
      </c>
      <c r="B51" s="54" t="s">
        <v>1388</v>
      </c>
      <c r="C51" s="55">
        <v>19978</v>
      </c>
      <c r="D51" s="55">
        <v>31260</v>
      </c>
      <c r="E51" s="55">
        <v>43719</v>
      </c>
      <c r="F51" s="57">
        <v>57293</v>
      </c>
      <c r="G51" s="120">
        <v>120.25</v>
      </c>
      <c r="H51" s="120">
        <v>430.166</v>
      </c>
      <c r="I51" s="120">
        <v>352.25</v>
      </c>
      <c r="J51" s="50">
        <f t="shared" ref="J51:J58" si="15">F51*(G51+I51)*0.0481927</f>
        <v>1304621.8106197501</v>
      </c>
      <c r="K51" s="76">
        <f t="shared" ref="K51:K58" si="16">DATEDIF(D51,E51,"Y")</f>
        <v>34</v>
      </c>
      <c r="L51" s="76">
        <f t="shared" ref="L51:L58" si="17">R51</f>
        <v>43</v>
      </c>
      <c r="M51" s="92">
        <f t="shared" ref="M51:M58" si="18">+F51*L51</f>
        <v>2463599</v>
      </c>
      <c r="N51" s="36">
        <f t="shared" ref="N51:N58" si="19">IF(K51&gt;20,20,K51)</f>
        <v>20</v>
      </c>
      <c r="O51" s="36">
        <f t="shared" ref="O51:O58" si="20">IF((K51-N51)&gt;10,10,(K51-N51))</f>
        <v>10</v>
      </c>
      <c r="P51" s="36">
        <f t="shared" ref="P51:P58" si="21">+K51-N51-O51</f>
        <v>4</v>
      </c>
      <c r="Q51" s="36">
        <f t="shared" ref="Q51:Q58" si="22">SUM(N51:P51)</f>
        <v>34</v>
      </c>
      <c r="R51" s="36">
        <f t="shared" ref="R51:R58" si="23">+N51+O51*1.5+P51*2</f>
        <v>43</v>
      </c>
    </row>
    <row r="52" spans="1:18">
      <c r="A52" s="53" t="s">
        <v>219</v>
      </c>
      <c r="B52" s="54" t="s">
        <v>2764</v>
      </c>
      <c r="C52" s="55">
        <v>20036</v>
      </c>
      <c r="D52" s="55">
        <v>30769</v>
      </c>
      <c r="E52" s="56">
        <v>43777</v>
      </c>
      <c r="F52" s="57">
        <v>15664</v>
      </c>
      <c r="G52" s="120">
        <v>74.792000000000002</v>
      </c>
      <c r="H52" s="120">
        <v>364.23399999999998</v>
      </c>
      <c r="I52" s="120">
        <v>339.20800000000003</v>
      </c>
      <c r="J52" s="50">
        <f t="shared" si="15"/>
        <v>312524.6474592</v>
      </c>
      <c r="K52" s="76">
        <f t="shared" si="16"/>
        <v>35</v>
      </c>
      <c r="L52" s="76">
        <f t="shared" si="17"/>
        <v>45</v>
      </c>
      <c r="M52" s="92">
        <f t="shared" si="18"/>
        <v>704880</v>
      </c>
      <c r="N52" s="36">
        <f t="shared" si="19"/>
        <v>20</v>
      </c>
      <c r="O52" s="36">
        <f t="shared" si="20"/>
        <v>10</v>
      </c>
      <c r="P52" s="36">
        <f t="shared" si="21"/>
        <v>5</v>
      </c>
      <c r="Q52" s="36">
        <f t="shared" si="22"/>
        <v>35</v>
      </c>
      <c r="R52" s="36">
        <f t="shared" si="23"/>
        <v>45</v>
      </c>
    </row>
    <row r="53" spans="1:18">
      <c r="A53" s="53" t="s">
        <v>1361</v>
      </c>
      <c r="B53" s="54" t="s">
        <v>3031</v>
      </c>
      <c r="C53" s="55">
        <v>20040</v>
      </c>
      <c r="D53" s="55">
        <v>35254</v>
      </c>
      <c r="E53" s="56">
        <v>43781</v>
      </c>
      <c r="F53" s="57">
        <v>11732</v>
      </c>
      <c r="G53" s="120">
        <v>38.945</v>
      </c>
      <c r="H53" s="120">
        <v>375.5</v>
      </c>
      <c r="I53" s="120">
        <v>223.042</v>
      </c>
      <c r="J53" s="50">
        <f t="shared" si="15"/>
        <v>148126.6000189668</v>
      </c>
      <c r="K53" s="76">
        <f t="shared" si="16"/>
        <v>23</v>
      </c>
      <c r="L53" s="76">
        <f t="shared" si="17"/>
        <v>24.5</v>
      </c>
      <c r="M53" s="92">
        <f t="shared" si="18"/>
        <v>287434</v>
      </c>
      <c r="N53" s="36">
        <f t="shared" si="19"/>
        <v>20</v>
      </c>
      <c r="O53" s="36">
        <f t="shared" si="20"/>
        <v>3</v>
      </c>
      <c r="P53" s="36">
        <f t="shared" si="21"/>
        <v>0</v>
      </c>
      <c r="Q53" s="36">
        <f t="shared" si="22"/>
        <v>23</v>
      </c>
      <c r="R53" s="36">
        <f t="shared" si="23"/>
        <v>24.5</v>
      </c>
    </row>
    <row r="54" spans="1:18">
      <c r="A54" s="53" t="s">
        <v>619</v>
      </c>
      <c r="B54" s="54" t="s">
        <v>1388</v>
      </c>
      <c r="C54" s="55">
        <v>20085</v>
      </c>
      <c r="D54" s="55">
        <v>32687</v>
      </c>
      <c r="E54" s="56">
        <v>43826</v>
      </c>
      <c r="F54" s="57">
        <v>57293</v>
      </c>
      <c r="G54" s="120">
        <v>52.613</v>
      </c>
      <c r="H54" s="120">
        <v>323</v>
      </c>
      <c r="I54" s="120">
        <v>398.82499999999999</v>
      </c>
      <c r="J54" s="50">
        <f t="shared" si="15"/>
        <v>1246467.4305662618</v>
      </c>
      <c r="K54" s="76">
        <f t="shared" si="16"/>
        <v>30</v>
      </c>
      <c r="L54" s="76">
        <f t="shared" si="17"/>
        <v>35</v>
      </c>
      <c r="M54" s="92">
        <f t="shared" si="18"/>
        <v>2005255</v>
      </c>
      <c r="N54" s="36">
        <f t="shared" si="19"/>
        <v>20</v>
      </c>
      <c r="O54" s="36">
        <f t="shared" si="20"/>
        <v>10</v>
      </c>
      <c r="P54" s="36">
        <f t="shared" si="21"/>
        <v>0</v>
      </c>
      <c r="Q54" s="36">
        <f t="shared" si="22"/>
        <v>30</v>
      </c>
      <c r="R54" s="36">
        <f t="shared" si="23"/>
        <v>35</v>
      </c>
    </row>
    <row r="55" spans="1:18">
      <c r="A55" s="104"/>
      <c r="B55" s="105"/>
      <c r="C55" s="106"/>
      <c r="D55" s="106"/>
      <c r="E55" s="107"/>
      <c r="F55" s="108"/>
      <c r="G55" s="120"/>
      <c r="H55" s="120"/>
      <c r="I55" s="120"/>
      <c r="J55" s="116">
        <f t="shared" si="15"/>
        <v>0</v>
      </c>
      <c r="K55" s="117">
        <f t="shared" si="16"/>
        <v>0</v>
      </c>
      <c r="L55" s="117">
        <f t="shared" si="17"/>
        <v>0</v>
      </c>
      <c r="M55" s="118">
        <f t="shared" si="18"/>
        <v>0</v>
      </c>
      <c r="N55" s="36">
        <f t="shared" si="19"/>
        <v>0</v>
      </c>
      <c r="O55" s="36">
        <f t="shared" si="20"/>
        <v>0</v>
      </c>
      <c r="P55" s="36">
        <f t="shared" si="21"/>
        <v>0</v>
      </c>
      <c r="Q55" s="36">
        <f t="shared" si="22"/>
        <v>0</v>
      </c>
      <c r="R55" s="36">
        <f t="shared" si="23"/>
        <v>0</v>
      </c>
    </row>
    <row r="56" spans="1:18">
      <c r="A56" s="104"/>
      <c r="B56" s="105"/>
      <c r="C56" s="106"/>
      <c r="D56" s="106"/>
      <c r="E56" s="107"/>
      <c r="F56" s="108"/>
      <c r="G56" s="120"/>
      <c r="H56" s="120"/>
      <c r="I56" s="120"/>
      <c r="J56" s="116">
        <f t="shared" si="15"/>
        <v>0</v>
      </c>
      <c r="K56" s="117">
        <f t="shared" si="16"/>
        <v>0</v>
      </c>
      <c r="L56" s="117">
        <f t="shared" si="17"/>
        <v>0</v>
      </c>
      <c r="M56" s="118">
        <f t="shared" si="18"/>
        <v>0</v>
      </c>
      <c r="N56" s="36">
        <f t="shared" si="19"/>
        <v>0</v>
      </c>
      <c r="O56" s="36">
        <f t="shared" si="20"/>
        <v>0</v>
      </c>
      <c r="P56" s="36">
        <f t="shared" si="21"/>
        <v>0</v>
      </c>
      <c r="Q56" s="36">
        <f t="shared" si="22"/>
        <v>0</v>
      </c>
      <c r="R56" s="36">
        <f t="shared" si="23"/>
        <v>0</v>
      </c>
    </row>
    <row r="57" spans="1:18">
      <c r="A57" s="104"/>
      <c r="B57" s="105"/>
      <c r="C57" s="106"/>
      <c r="D57" s="106"/>
      <c r="E57" s="107"/>
      <c r="F57" s="108"/>
      <c r="G57" s="109"/>
      <c r="H57" s="109"/>
      <c r="I57" s="109"/>
      <c r="J57" s="116">
        <f t="shared" si="15"/>
        <v>0</v>
      </c>
      <c r="K57" s="117">
        <f t="shared" si="16"/>
        <v>0</v>
      </c>
      <c r="L57" s="117">
        <f t="shared" si="17"/>
        <v>0</v>
      </c>
      <c r="M57" s="118">
        <f t="shared" si="18"/>
        <v>0</v>
      </c>
      <c r="N57" s="36">
        <f t="shared" si="19"/>
        <v>0</v>
      </c>
      <c r="O57" s="36">
        <f t="shared" si="20"/>
        <v>0</v>
      </c>
      <c r="P57" s="36">
        <f t="shared" si="21"/>
        <v>0</v>
      </c>
      <c r="Q57" s="36">
        <f t="shared" si="22"/>
        <v>0</v>
      </c>
      <c r="R57" s="36">
        <f t="shared" si="23"/>
        <v>0</v>
      </c>
    </row>
    <row r="58" spans="1:18">
      <c r="A58" s="104"/>
      <c r="B58" s="105"/>
      <c r="C58" s="106"/>
      <c r="D58" s="106"/>
      <c r="E58" s="107"/>
      <c r="F58" s="108"/>
      <c r="G58" s="109"/>
      <c r="H58" s="109"/>
      <c r="I58" s="109"/>
      <c r="J58" s="116">
        <f t="shared" si="15"/>
        <v>0</v>
      </c>
      <c r="K58" s="117">
        <f t="shared" si="16"/>
        <v>0</v>
      </c>
      <c r="L58" s="117">
        <f t="shared" si="17"/>
        <v>0</v>
      </c>
      <c r="M58" s="118">
        <f t="shared" si="18"/>
        <v>0</v>
      </c>
      <c r="N58" s="36">
        <f t="shared" si="19"/>
        <v>0</v>
      </c>
      <c r="O58" s="36">
        <f t="shared" si="20"/>
        <v>0</v>
      </c>
      <c r="P58" s="36">
        <f t="shared" si="21"/>
        <v>0</v>
      </c>
      <c r="Q58" s="36">
        <f t="shared" si="22"/>
        <v>0</v>
      </c>
      <c r="R58" s="36">
        <f t="shared" si="23"/>
        <v>0</v>
      </c>
    </row>
    <row r="59" spans="1:18">
      <c r="A59" s="77"/>
      <c r="B59" s="78"/>
      <c r="C59" s="110"/>
      <c r="D59" s="111"/>
      <c r="E59" s="112"/>
      <c r="F59" s="113"/>
      <c r="G59" s="114"/>
      <c r="H59" s="114"/>
      <c r="I59" s="114"/>
      <c r="J59" s="113"/>
      <c r="K59" s="97"/>
      <c r="L59" s="97"/>
      <c r="M59" s="119"/>
    </row>
    <row r="60" spans="1:18">
      <c r="A60" s="61"/>
      <c r="B60" s="62" t="s">
        <v>2188</v>
      </c>
      <c r="C60" s="47"/>
      <c r="D60" s="63"/>
      <c r="E60" s="47"/>
      <c r="F60" s="64"/>
      <c r="G60" s="65"/>
      <c r="H60" s="65"/>
      <c r="I60" s="65"/>
      <c r="J60" s="93">
        <f>SUM(J51:J59)</f>
        <v>3011740.4886641786</v>
      </c>
      <c r="K60" s="94"/>
      <c r="L60" s="84"/>
      <c r="M60" s="95">
        <f>SUM(M51:M59)</f>
        <v>5461168</v>
      </c>
    </row>
    <row r="61" spans="1:18">
      <c r="A61" s="66" t="s">
        <v>1381</v>
      </c>
      <c r="B61" s="67"/>
      <c r="D61" s="115" t="s">
        <v>3353</v>
      </c>
      <c r="F61" s="69"/>
      <c r="K61" s="96" t="s">
        <v>3354</v>
      </c>
      <c r="M61" s="87"/>
    </row>
    <row r="62" spans="1:18">
      <c r="A62" s="66"/>
      <c r="B62" s="70"/>
      <c r="C62" s="71"/>
      <c r="D62" s="68"/>
      <c r="E62" s="71"/>
      <c r="F62" s="69"/>
      <c r="G62" s="72"/>
      <c r="H62" s="72"/>
      <c r="I62" s="72"/>
      <c r="J62" s="72"/>
      <c r="K62" s="96"/>
      <c r="M62" s="87"/>
    </row>
    <row r="63" spans="1:18">
      <c r="A63" s="49"/>
      <c r="B63" s="67"/>
      <c r="F63" s="73"/>
      <c r="K63" s="76"/>
      <c r="M63" s="87"/>
    </row>
    <row r="64" spans="1:18" ht="14.4">
      <c r="A64" s="74" t="s">
        <v>1383</v>
      </c>
      <c r="B64" s="1128" t="s">
        <v>3355</v>
      </c>
      <c r="C64" s="1129"/>
      <c r="D64" s="1129"/>
      <c r="E64" s="1129"/>
      <c r="F64" s="1129"/>
      <c r="G64" s="1129"/>
      <c r="H64" s="1129"/>
      <c r="I64" s="1129"/>
      <c r="J64" s="1130"/>
      <c r="K64" s="1131">
        <f ca="1">NOW()</f>
        <v>46105.538043287037</v>
      </c>
      <c r="L64" s="1132"/>
      <c r="M64" s="1133"/>
    </row>
    <row r="65" spans="1:13">
      <c r="A65" s="75" t="s">
        <v>3356</v>
      </c>
      <c r="B65" s="1118" t="s">
        <v>3357</v>
      </c>
      <c r="C65" s="1119"/>
      <c r="D65" s="1119"/>
      <c r="E65" s="1119"/>
      <c r="F65" s="1119"/>
      <c r="G65" s="1119"/>
      <c r="H65" s="1119"/>
      <c r="I65" s="1119"/>
      <c r="J65" s="1120"/>
      <c r="K65" s="76"/>
      <c r="M65" s="87"/>
    </row>
    <row r="66" spans="1:13" ht="8.25" customHeight="1">
      <c r="A66" s="77"/>
      <c r="B66" s="78"/>
      <c r="C66" s="79"/>
      <c r="D66" s="80"/>
      <c r="E66" s="79"/>
      <c r="F66" s="81"/>
      <c r="G66" s="82"/>
      <c r="H66" s="82"/>
      <c r="I66" s="82"/>
      <c r="J66" s="82"/>
      <c r="K66" s="97"/>
      <c r="L66" s="98"/>
      <c r="M66" s="99"/>
    </row>
    <row r="67" spans="1:13" ht="8.25" customHeight="1">
      <c r="F67" s="73"/>
    </row>
  </sheetData>
  <mergeCells count="36">
    <mergeCell ref="A1:M1"/>
    <mergeCell ref="A2:M2"/>
    <mergeCell ref="C7:E7"/>
    <mergeCell ref="G7:I7"/>
    <mergeCell ref="B38:J38"/>
    <mergeCell ref="K38:M38"/>
    <mergeCell ref="M8:M10"/>
    <mergeCell ref="B64:J64"/>
    <mergeCell ref="K64:M64"/>
    <mergeCell ref="B65:J65"/>
    <mergeCell ref="A7:A10"/>
    <mergeCell ref="A47:A50"/>
    <mergeCell ref="B7:B10"/>
    <mergeCell ref="B47:B50"/>
    <mergeCell ref="C8:C10"/>
    <mergeCell ref="C48:C50"/>
    <mergeCell ref="D8:D10"/>
    <mergeCell ref="D48:D50"/>
    <mergeCell ref="E8:E10"/>
    <mergeCell ref="E48:E50"/>
    <mergeCell ref="F7:F10"/>
    <mergeCell ref="F47:F50"/>
    <mergeCell ref="J8:J10"/>
    <mergeCell ref="M48:M50"/>
    <mergeCell ref="G48:I49"/>
    <mergeCell ref="G8:I9"/>
    <mergeCell ref="J48:J50"/>
    <mergeCell ref="K8:K10"/>
    <mergeCell ref="K48:K50"/>
    <mergeCell ref="L8:L10"/>
    <mergeCell ref="L48:L50"/>
    <mergeCell ref="B39:J39"/>
    <mergeCell ref="A41:M41"/>
    <mergeCell ref="A42:M42"/>
    <mergeCell ref="C47:E47"/>
    <mergeCell ref="G47:I47"/>
  </mergeCells>
  <conditionalFormatting sqref="T11:T23">
    <cfRule type="cellIs" dxfId="29" priority="1" operator="between">
      <formula>64</formula>
      <formula>65</formula>
    </cfRule>
    <cfRule type="cellIs" dxfId="28" priority="2" operator="between">
      <formula>51</formula>
      <formula>59</formula>
    </cfRule>
    <cfRule type="cellIs" dxfId="27" priority="3" operator="between">
      <formula>60</formula>
      <formula>63</formula>
    </cfRule>
    <cfRule type="cellIs" dxfId="26" priority="4" operator="between">
      <formula>41</formula>
      <formula>50</formula>
    </cfRule>
    <cfRule type="cellIs" dxfId="25" priority="5" operator="between">
      <formula>31</formula>
      <formula>40</formula>
    </cfRule>
    <cfRule type="cellIs" dxfId="24" priority="6" operator="between">
      <formula>20</formula>
      <formula>30</formula>
    </cfRule>
  </conditionalFormatting>
  <dataValidations count="2">
    <dataValidation type="decimal" operator="equal" allowBlank="1" showInputMessage="1" showErrorMessage="1" sqref="G11:G33 G51:G55 I11:I33 I51:I55 N1:R1048576 K1:M37 K39:M63 K65:M1048576" xr:uid="{00000000-0002-0000-1400-000000000000}">
      <formula1>0.321564875548787</formula1>
    </dataValidation>
    <dataValidation allowBlank="1" showInputMessage="1" showErrorMessage="1" sqref="K38:M38 K64:M64 G56:G59 H11:H17 H19:H20 H51:H59 I56:I59" xr:uid="{00000000-0002-0000-1400-000001000000}"/>
  </dataValidations>
  <printOptions horizontalCentered="1" verticalCentered="1"/>
  <pageMargins left="0.2" right="0.15" top="0.11874999999999999" bottom="0.109027777777778" header="0.5" footer="0.13888888888888901"/>
  <pageSetup paperSize="9" scale="90" orientation="landscape"/>
  <headerFooter alignWithMargins="0"/>
  <rowBreaks count="1" manualBreakCount="1">
    <brk id="40" max="12"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
  <sheetViews>
    <sheetView workbookViewId="0"/>
  </sheetViews>
  <sheetFormatPr defaultRowHeight="14.4"/>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X66"/>
  <sheetViews>
    <sheetView topLeftCell="A22" zoomScale="115" zoomScaleNormal="115" workbookViewId="0">
      <selection activeCell="F13" sqref="F13"/>
    </sheetView>
  </sheetViews>
  <sheetFormatPr defaultColWidth="9.109375" defaultRowHeight="13.8"/>
  <cols>
    <col min="1" max="1" width="29.6640625" style="36" customWidth="1"/>
    <col min="2" max="2" width="17" style="36" customWidth="1"/>
    <col min="3" max="3" width="9.88671875" style="38" customWidth="1"/>
    <col min="4" max="4" width="9.88671875" style="39" customWidth="1"/>
    <col min="5" max="5" width="12.44140625" style="38" customWidth="1"/>
    <col min="6" max="6" width="12.44140625" style="40" customWidth="1"/>
    <col min="7" max="8" width="8.109375" style="36" customWidth="1"/>
    <col min="9" max="9" width="13" style="36" customWidth="1"/>
    <col min="10" max="11" width="9.33203125" style="41" customWidth="1"/>
    <col min="12" max="12" width="14.5546875" style="36" customWidth="1"/>
    <col min="13" max="15" width="3" style="36" customWidth="1"/>
    <col min="16" max="17" width="5" style="36" customWidth="1"/>
    <col min="18" max="18" width="13.5546875" style="36" customWidth="1"/>
    <col min="19" max="19" width="15.44140625" style="36" customWidth="1"/>
    <col min="20" max="16384" width="9.109375" style="36"/>
  </cols>
  <sheetData>
    <row r="1" spans="1:24" ht="23.4">
      <c r="A1" s="1121" t="s">
        <v>3330</v>
      </c>
      <c r="B1" s="1121"/>
      <c r="C1" s="1121"/>
      <c r="D1" s="1121"/>
      <c r="E1" s="1121"/>
      <c r="F1" s="1121"/>
      <c r="G1" s="1121"/>
      <c r="H1" s="1121"/>
      <c r="I1" s="1121"/>
      <c r="J1" s="1121"/>
      <c r="K1" s="1121"/>
      <c r="L1" s="1121"/>
    </row>
    <row r="2" spans="1:24">
      <c r="A2" s="1122" t="s">
        <v>3362</v>
      </c>
      <c r="B2" s="1122"/>
      <c r="C2" s="1122"/>
      <c r="D2" s="1122"/>
      <c r="E2" s="1122"/>
      <c r="F2" s="1122"/>
      <c r="G2" s="1122"/>
      <c r="H2" s="1122"/>
      <c r="I2" s="1122"/>
      <c r="J2" s="1122"/>
      <c r="K2" s="1122"/>
      <c r="L2" s="1122"/>
    </row>
    <row r="3" spans="1:24">
      <c r="F3" s="42"/>
      <c r="L3" s="83"/>
    </row>
    <row r="4" spans="1:24">
      <c r="A4" s="43" t="s">
        <v>3332</v>
      </c>
      <c r="B4" s="44"/>
      <c r="C4" s="45"/>
      <c r="D4" s="46"/>
      <c r="E4" s="47"/>
      <c r="F4" s="48" t="s">
        <v>3333</v>
      </c>
      <c r="G4" s="44"/>
      <c r="H4" s="44"/>
      <c r="I4" s="44"/>
      <c r="J4" s="84"/>
      <c r="K4" s="84"/>
      <c r="L4" s="85"/>
    </row>
    <row r="5" spans="1:24">
      <c r="A5" s="49"/>
      <c r="D5" s="41"/>
      <c r="F5" s="50"/>
      <c r="K5" s="86" t="s">
        <v>3334</v>
      </c>
      <c r="L5" s="87"/>
    </row>
    <row r="6" spans="1:24" ht="15.6">
      <c r="A6" s="49"/>
      <c r="F6" s="50"/>
      <c r="K6" s="88" t="s">
        <v>3335</v>
      </c>
      <c r="L6" s="87"/>
      <c r="N6" s="36">
        <v>25</v>
      </c>
    </row>
    <row r="7" spans="1:24" s="37" customFormat="1" ht="14.25" customHeight="1">
      <c r="A7" s="1134" t="s">
        <v>3336</v>
      </c>
      <c r="B7" s="1137" t="s">
        <v>3337</v>
      </c>
      <c r="C7" s="1123" t="s">
        <v>3338</v>
      </c>
      <c r="D7" s="1124"/>
      <c r="E7" s="1125"/>
      <c r="F7" s="1143" t="s">
        <v>3339</v>
      </c>
      <c r="G7" s="1126" t="s">
        <v>3340</v>
      </c>
      <c r="H7" s="1127"/>
      <c r="I7" s="89"/>
      <c r="J7" s="90" t="s">
        <v>3341</v>
      </c>
      <c r="K7" s="51"/>
      <c r="L7" s="91"/>
    </row>
    <row r="8" spans="1:24" s="37" customFormat="1" ht="12.75" customHeight="1">
      <c r="A8" s="1135"/>
      <c r="B8" s="1138"/>
      <c r="C8" s="1140" t="s">
        <v>3342</v>
      </c>
      <c r="D8" s="1140" t="s">
        <v>3343</v>
      </c>
      <c r="E8" s="1140" t="s">
        <v>3344</v>
      </c>
      <c r="F8" s="1144"/>
      <c r="G8" s="1106" t="s">
        <v>3345</v>
      </c>
      <c r="H8" s="1108"/>
      <c r="I8" s="1112" t="s">
        <v>3346</v>
      </c>
      <c r="J8" s="1115" t="s">
        <v>3347</v>
      </c>
      <c r="K8" s="1115" t="s">
        <v>3348</v>
      </c>
      <c r="L8" s="1103" t="s">
        <v>3346</v>
      </c>
    </row>
    <row r="9" spans="1:24" s="37" customFormat="1">
      <c r="A9" s="1135"/>
      <c r="B9" s="1138"/>
      <c r="C9" s="1141"/>
      <c r="D9" s="1141"/>
      <c r="E9" s="1141"/>
      <c r="F9" s="1144"/>
      <c r="G9" s="1109"/>
      <c r="H9" s="1111"/>
      <c r="I9" s="1113"/>
      <c r="J9" s="1116"/>
      <c r="K9" s="1116"/>
      <c r="L9" s="1104"/>
      <c r="M9" s="37">
        <v>1</v>
      </c>
      <c r="N9" s="50">
        <v>10</v>
      </c>
      <c r="O9" s="50">
        <v>15</v>
      </c>
      <c r="P9" s="37">
        <f>+YEAR(1)</f>
        <v>1900</v>
      </c>
    </row>
    <row r="10" spans="1:24" s="37" customFormat="1">
      <c r="A10" s="1136"/>
      <c r="B10" s="1139"/>
      <c r="C10" s="1142"/>
      <c r="D10" s="1142"/>
      <c r="E10" s="1142"/>
      <c r="F10" s="1145"/>
      <c r="G10" s="52" t="s">
        <v>3349</v>
      </c>
      <c r="H10" s="52" t="s">
        <v>3350</v>
      </c>
      <c r="I10" s="1114"/>
      <c r="J10" s="1117"/>
      <c r="K10" s="1117"/>
      <c r="L10" s="1105"/>
    </row>
    <row r="11" spans="1:24" s="37" customFormat="1">
      <c r="A11" s="53" t="s">
        <v>648</v>
      </c>
      <c r="B11" s="54" t="s">
        <v>1390</v>
      </c>
      <c r="C11" s="55">
        <v>21073</v>
      </c>
      <c r="D11" s="55">
        <v>33462</v>
      </c>
      <c r="E11" s="56">
        <v>44561</v>
      </c>
      <c r="F11" s="57">
        <v>67469</v>
      </c>
      <c r="G11" s="50">
        <v>70.445999999999998</v>
      </c>
      <c r="H11" s="50">
        <v>398.04</v>
      </c>
      <c r="I11" s="50">
        <f t="shared" ref="I11:I32" si="0">F11*(G11+H11)*0.0481927</f>
        <v>1523288.4487606818</v>
      </c>
      <c r="J11" s="76">
        <f>DATEDIF(D11,E11,"Y")</f>
        <v>30</v>
      </c>
      <c r="K11" s="76">
        <f>Q11</f>
        <v>35</v>
      </c>
      <c r="L11" s="92">
        <f>+F11*K11</f>
        <v>2361415</v>
      </c>
      <c r="M11" s="36">
        <f>IF(J11&gt;20,20,J11)</f>
        <v>20</v>
      </c>
      <c r="N11" s="36">
        <f>IF((J11-M11)&gt;10,10,(J11-M11))</f>
        <v>10</v>
      </c>
      <c r="O11" s="36">
        <f>+J11-M11-N11</f>
        <v>0</v>
      </c>
      <c r="P11" s="36">
        <f>SUM(M11:O11)</f>
        <v>30</v>
      </c>
      <c r="Q11" s="36">
        <f>+M11+N11*1.5+O11*2</f>
        <v>35</v>
      </c>
      <c r="S11" s="101">
        <f ca="1">DATEDIF(C11,TODAY(),"Y")</f>
        <v>68</v>
      </c>
    </row>
    <row r="12" spans="1:24">
      <c r="A12" s="53" t="s">
        <v>522</v>
      </c>
      <c r="B12" s="54" t="s">
        <v>3052</v>
      </c>
      <c r="C12" s="55">
        <v>21687</v>
      </c>
      <c r="D12" s="55">
        <v>31131</v>
      </c>
      <c r="E12" s="56">
        <v>44561</v>
      </c>
      <c r="F12" s="57">
        <v>110980</v>
      </c>
      <c r="G12" s="50">
        <v>65.975999999999999</v>
      </c>
      <c r="H12" s="50">
        <v>436</v>
      </c>
      <c r="I12" s="50">
        <f t="shared" si="0"/>
        <v>2684781.4124716958</v>
      </c>
      <c r="J12" s="76">
        <f t="shared" ref="J12:J26" si="1">DATEDIF(D12,E12,"Y")</f>
        <v>36</v>
      </c>
      <c r="K12" s="76">
        <f t="shared" ref="K12:K26" si="2">Q12</f>
        <v>47</v>
      </c>
      <c r="L12" s="92">
        <f t="shared" ref="L12:L26" si="3">+F12*K12</f>
        <v>5216060</v>
      </c>
      <c r="M12" s="36">
        <f>IF(J12&gt;20,20,J12)</f>
        <v>20</v>
      </c>
      <c r="N12" s="36">
        <f>IF((J12-M12)&gt;10,10,(J12-M12))</f>
        <v>10</v>
      </c>
      <c r="O12" s="36">
        <f>+J12-M12-N12</f>
        <v>6</v>
      </c>
      <c r="P12" s="36">
        <f t="shared" ref="P12:P26" si="4">SUM(M12:O12)</f>
        <v>36</v>
      </c>
      <c r="Q12" s="36">
        <f t="shared" ref="Q12:Q32" si="5">+M12+N12*1.5+O12*2</f>
        <v>47</v>
      </c>
      <c r="R12" s="100">
        <f ca="1">DATE(YEAR(NOW())+2,MONTH(C12),DAY(C12))</f>
        <v>46890</v>
      </c>
      <c r="S12" s="101">
        <f t="shared" ref="S12:S32" ca="1" si="6">DATEDIF(C12,TODAY(),"Y")</f>
        <v>66</v>
      </c>
      <c r="U12" s="36" t="s">
        <v>568</v>
      </c>
      <c r="V12" s="36" t="s">
        <v>1390</v>
      </c>
      <c r="W12" s="36">
        <v>22366</v>
      </c>
      <c r="X12" s="36">
        <v>32687</v>
      </c>
    </row>
    <row r="13" spans="1:24">
      <c r="A13" s="53" t="s">
        <v>677</v>
      </c>
      <c r="B13" s="54" t="s">
        <v>1390</v>
      </c>
      <c r="C13" s="55">
        <v>21614</v>
      </c>
      <c r="D13" s="55">
        <v>32687</v>
      </c>
      <c r="E13" s="56">
        <v>44561</v>
      </c>
      <c r="F13" s="57">
        <v>67469</v>
      </c>
      <c r="G13" s="50">
        <v>81.325000000000003</v>
      </c>
      <c r="H13" s="50">
        <v>480.625</v>
      </c>
      <c r="I13" s="50">
        <f t="shared" si="0"/>
        <v>1827187.8856167851</v>
      </c>
      <c r="J13" s="76">
        <f t="shared" si="1"/>
        <v>32</v>
      </c>
      <c r="K13" s="76">
        <f t="shared" si="2"/>
        <v>39</v>
      </c>
      <c r="L13" s="92">
        <f t="shared" si="3"/>
        <v>2631291</v>
      </c>
      <c r="M13" s="36">
        <f t="shared" ref="M13:M26" si="7">IF(J13&gt;20,20,J13)</f>
        <v>20</v>
      </c>
      <c r="N13" s="36">
        <f t="shared" ref="N13:N26" si="8">IF((J13-M13)&gt;10,10,(J13-M13))</f>
        <v>10</v>
      </c>
      <c r="O13" s="36">
        <f t="shared" ref="O13:O26" si="9">+J13-M13-N13</f>
        <v>2</v>
      </c>
      <c r="P13" s="36">
        <f t="shared" si="4"/>
        <v>32</v>
      </c>
      <c r="Q13" s="36">
        <f t="shared" si="5"/>
        <v>39</v>
      </c>
      <c r="S13" s="101">
        <f t="shared" ca="1" si="6"/>
        <v>67</v>
      </c>
      <c r="U13" s="36" t="s">
        <v>608</v>
      </c>
      <c r="V13" s="36" t="s">
        <v>1388</v>
      </c>
      <c r="W13" s="36">
        <v>22631</v>
      </c>
      <c r="X13" s="36">
        <v>31845</v>
      </c>
    </row>
    <row r="14" spans="1:24">
      <c r="A14" s="53" t="s">
        <v>842</v>
      </c>
      <c r="B14" s="54" t="s">
        <v>1390</v>
      </c>
      <c r="C14" s="55">
        <v>21810</v>
      </c>
      <c r="D14" s="55">
        <v>31138</v>
      </c>
      <c r="E14" s="56">
        <v>44561</v>
      </c>
      <c r="F14" s="57">
        <v>67469</v>
      </c>
      <c r="G14" s="50">
        <v>61.75</v>
      </c>
      <c r="H14" s="50">
        <v>334.25</v>
      </c>
      <c r="I14" s="50">
        <f t="shared" si="0"/>
        <v>1287599.2574147999</v>
      </c>
      <c r="J14" s="76">
        <f t="shared" si="1"/>
        <v>36</v>
      </c>
      <c r="K14" s="76">
        <f t="shared" si="2"/>
        <v>47</v>
      </c>
      <c r="L14" s="92">
        <f t="shared" si="3"/>
        <v>3171043</v>
      </c>
      <c r="M14" s="36">
        <f t="shared" si="7"/>
        <v>20</v>
      </c>
      <c r="N14" s="36">
        <f t="shared" si="8"/>
        <v>10</v>
      </c>
      <c r="O14" s="36">
        <f t="shared" si="9"/>
        <v>6</v>
      </c>
      <c r="P14" s="36">
        <f t="shared" si="4"/>
        <v>36</v>
      </c>
      <c r="Q14" s="36">
        <f t="shared" si="5"/>
        <v>47</v>
      </c>
      <c r="S14" s="101">
        <f t="shared" ca="1" si="6"/>
        <v>66</v>
      </c>
      <c r="U14" s="36" t="s">
        <v>1407</v>
      </c>
      <c r="V14" s="36" t="s">
        <v>1388</v>
      </c>
      <c r="W14" s="36">
        <v>22412</v>
      </c>
      <c r="X14" s="36">
        <v>32767</v>
      </c>
    </row>
    <row r="15" spans="1:24">
      <c r="A15" s="53" t="s">
        <v>1366</v>
      </c>
      <c r="B15" s="54" t="s">
        <v>3352</v>
      </c>
      <c r="C15" s="55">
        <v>21829</v>
      </c>
      <c r="D15" s="55">
        <v>36356</v>
      </c>
      <c r="E15" s="56">
        <v>44561</v>
      </c>
      <c r="F15" s="57">
        <v>11732</v>
      </c>
      <c r="G15" s="50">
        <v>90.427999999999997</v>
      </c>
      <c r="H15" s="50">
        <v>265.5</v>
      </c>
      <c r="I15" s="50">
        <f t="shared" si="0"/>
        <v>201240.5367119392</v>
      </c>
      <c r="J15" s="76">
        <f t="shared" si="1"/>
        <v>22</v>
      </c>
      <c r="K15" s="76">
        <f t="shared" si="2"/>
        <v>23</v>
      </c>
      <c r="L15" s="92">
        <f t="shared" si="3"/>
        <v>269836</v>
      </c>
      <c r="M15" s="36">
        <f t="shared" si="7"/>
        <v>20</v>
      </c>
      <c r="N15" s="36">
        <f t="shared" si="8"/>
        <v>2</v>
      </c>
      <c r="O15" s="36">
        <f t="shared" si="9"/>
        <v>0</v>
      </c>
      <c r="P15" s="36">
        <f t="shared" si="4"/>
        <v>22</v>
      </c>
      <c r="Q15" s="36">
        <f t="shared" si="5"/>
        <v>23</v>
      </c>
      <c r="S15" s="101">
        <f t="shared" ca="1" si="6"/>
        <v>66</v>
      </c>
      <c r="U15" s="36" t="s">
        <v>687</v>
      </c>
      <c r="V15" s="36" t="s">
        <v>1388</v>
      </c>
      <c r="W15" s="36">
        <v>22595</v>
      </c>
      <c r="X15" s="36">
        <v>32687</v>
      </c>
    </row>
    <row r="16" spans="1:24">
      <c r="A16" s="53" t="s">
        <v>162</v>
      </c>
      <c r="B16" s="54" t="s">
        <v>1390</v>
      </c>
      <c r="C16" s="55">
        <v>21997</v>
      </c>
      <c r="D16" s="55">
        <v>32687</v>
      </c>
      <c r="E16" s="56">
        <v>44561</v>
      </c>
      <c r="F16" s="57">
        <v>67469</v>
      </c>
      <c r="G16" s="50">
        <v>64.738</v>
      </c>
      <c r="H16" s="50">
        <v>282.5</v>
      </c>
      <c r="I16" s="50">
        <f t="shared" si="0"/>
        <v>1129048.9670358594</v>
      </c>
      <c r="J16" s="76">
        <f t="shared" si="1"/>
        <v>32</v>
      </c>
      <c r="K16" s="76">
        <f t="shared" si="2"/>
        <v>39</v>
      </c>
      <c r="L16" s="92">
        <f t="shared" si="3"/>
        <v>2631291</v>
      </c>
      <c r="M16" s="36">
        <f t="shared" si="7"/>
        <v>20</v>
      </c>
      <c r="N16" s="36">
        <f t="shared" si="8"/>
        <v>10</v>
      </c>
      <c r="O16" s="36">
        <f t="shared" si="9"/>
        <v>2</v>
      </c>
      <c r="P16" s="36">
        <f t="shared" si="4"/>
        <v>32</v>
      </c>
      <c r="Q16" s="36">
        <f t="shared" si="5"/>
        <v>39</v>
      </c>
      <c r="S16" s="101">
        <f t="shared" ca="1" si="6"/>
        <v>66</v>
      </c>
      <c r="U16" s="36" t="s">
        <v>724</v>
      </c>
      <c r="V16" s="36" t="s">
        <v>1388</v>
      </c>
      <c r="W16" s="36">
        <v>22384</v>
      </c>
      <c r="X16" s="36">
        <v>30391</v>
      </c>
    </row>
    <row r="17" spans="1:24">
      <c r="A17" s="53" t="s">
        <v>425</v>
      </c>
      <c r="B17" s="54" t="s">
        <v>3360</v>
      </c>
      <c r="C17" s="55">
        <v>22132</v>
      </c>
      <c r="D17" s="55">
        <v>32371</v>
      </c>
      <c r="E17" s="56">
        <v>44561</v>
      </c>
      <c r="F17" s="57">
        <v>13152</v>
      </c>
      <c r="G17" s="50">
        <v>162.00200000000001</v>
      </c>
      <c r="H17" s="50">
        <v>466.625</v>
      </c>
      <c r="I17" s="50">
        <f t="shared" si="0"/>
        <v>398442.89682598074</v>
      </c>
      <c r="J17" s="76">
        <f t="shared" si="1"/>
        <v>33</v>
      </c>
      <c r="K17" s="76">
        <f t="shared" si="2"/>
        <v>41</v>
      </c>
      <c r="L17" s="92">
        <f t="shared" si="3"/>
        <v>539232</v>
      </c>
      <c r="M17" s="36">
        <f t="shared" si="7"/>
        <v>20</v>
      </c>
      <c r="N17" s="36">
        <f t="shared" si="8"/>
        <v>10</v>
      </c>
      <c r="O17" s="36">
        <f t="shared" si="9"/>
        <v>3</v>
      </c>
      <c r="P17" s="36">
        <f t="shared" si="4"/>
        <v>33</v>
      </c>
      <c r="Q17" s="36">
        <f t="shared" si="5"/>
        <v>41</v>
      </c>
      <c r="S17" s="101">
        <f t="shared" ca="1" si="6"/>
        <v>65</v>
      </c>
      <c r="U17" s="36" t="s">
        <v>207</v>
      </c>
      <c r="V17" s="36" t="s">
        <v>1388</v>
      </c>
      <c r="W17" s="36">
        <v>22504</v>
      </c>
      <c r="X17" s="36">
        <v>36100</v>
      </c>
    </row>
    <row r="18" spans="1:24">
      <c r="A18" s="53" t="s">
        <v>484</v>
      </c>
      <c r="B18" s="54" t="s">
        <v>3052</v>
      </c>
      <c r="C18" s="55">
        <v>22001</v>
      </c>
      <c r="D18" s="55">
        <v>32615</v>
      </c>
      <c r="E18" s="56">
        <v>44561</v>
      </c>
      <c r="F18" s="57">
        <v>112791</v>
      </c>
      <c r="G18" s="50">
        <v>53.88</v>
      </c>
      <c r="H18" s="50">
        <v>86.582999999999998</v>
      </c>
      <c r="I18" s="50">
        <f t="shared" si="0"/>
        <v>763515.12600629905</v>
      </c>
      <c r="J18" s="76">
        <f t="shared" si="1"/>
        <v>32</v>
      </c>
      <c r="K18" s="76">
        <f t="shared" si="2"/>
        <v>39</v>
      </c>
      <c r="L18" s="92">
        <f t="shared" si="3"/>
        <v>4398849</v>
      </c>
      <c r="M18" s="36">
        <f t="shared" si="7"/>
        <v>20</v>
      </c>
      <c r="N18" s="36">
        <f t="shared" si="8"/>
        <v>10</v>
      </c>
      <c r="O18" s="36">
        <f t="shared" si="9"/>
        <v>2</v>
      </c>
      <c r="P18" s="36">
        <f t="shared" si="4"/>
        <v>32</v>
      </c>
      <c r="Q18" s="36">
        <f t="shared" si="5"/>
        <v>39</v>
      </c>
      <c r="S18" s="101">
        <f t="shared" ca="1" si="6"/>
        <v>65</v>
      </c>
      <c r="U18" s="36" t="s">
        <v>886</v>
      </c>
      <c r="V18" s="36" t="s">
        <v>1388</v>
      </c>
      <c r="W18" s="36">
        <v>22312</v>
      </c>
      <c r="X18" s="36">
        <v>32251</v>
      </c>
    </row>
    <row r="19" spans="1:24">
      <c r="A19" s="53" t="s">
        <v>543</v>
      </c>
      <c r="B19" s="54" t="s">
        <v>1390</v>
      </c>
      <c r="C19" s="55">
        <v>22046</v>
      </c>
      <c r="D19" s="55">
        <v>32687</v>
      </c>
      <c r="E19" s="56">
        <v>44561</v>
      </c>
      <c r="F19" s="57">
        <v>67469</v>
      </c>
      <c r="G19" s="50">
        <v>56.582999999999998</v>
      </c>
      <c r="H19" s="50">
        <v>395.375</v>
      </c>
      <c r="I19" s="50">
        <f t="shared" si="0"/>
        <v>1469547.4373299952</v>
      </c>
      <c r="J19" s="76">
        <f t="shared" si="1"/>
        <v>32</v>
      </c>
      <c r="K19" s="76">
        <f t="shared" si="2"/>
        <v>39</v>
      </c>
      <c r="L19" s="92">
        <f t="shared" si="3"/>
        <v>2631291</v>
      </c>
      <c r="M19" s="36">
        <f t="shared" si="7"/>
        <v>20</v>
      </c>
      <c r="N19" s="36">
        <f t="shared" si="8"/>
        <v>10</v>
      </c>
      <c r="O19" s="36">
        <f t="shared" si="9"/>
        <v>2</v>
      </c>
      <c r="P19" s="36">
        <f t="shared" si="4"/>
        <v>32</v>
      </c>
      <c r="Q19" s="36">
        <f t="shared" si="5"/>
        <v>39</v>
      </c>
      <c r="S19" s="101">
        <f t="shared" ca="1" si="6"/>
        <v>65</v>
      </c>
      <c r="U19" s="36" t="s">
        <v>257</v>
      </c>
      <c r="V19" s="36" t="s">
        <v>1388</v>
      </c>
      <c r="W19" s="36">
        <v>22338</v>
      </c>
      <c r="X19" s="36">
        <v>31719</v>
      </c>
    </row>
    <row r="20" spans="1:24">
      <c r="A20" s="53" t="s">
        <v>585</v>
      </c>
      <c r="B20" s="54" t="s">
        <v>1390</v>
      </c>
      <c r="C20" s="55">
        <v>21960</v>
      </c>
      <c r="D20" s="55">
        <v>32687</v>
      </c>
      <c r="E20" s="56">
        <v>44561</v>
      </c>
      <c r="F20" s="57">
        <v>67469</v>
      </c>
      <c r="G20" s="50">
        <v>90.063000000000002</v>
      </c>
      <c r="H20" s="50">
        <v>417.5</v>
      </c>
      <c r="I20" s="50">
        <f t="shared" si="0"/>
        <v>1650347.8330586567</v>
      </c>
      <c r="J20" s="76">
        <f t="shared" si="1"/>
        <v>32</v>
      </c>
      <c r="K20" s="76">
        <f t="shared" si="2"/>
        <v>39</v>
      </c>
      <c r="L20" s="92">
        <f t="shared" si="3"/>
        <v>2631291</v>
      </c>
      <c r="M20" s="36">
        <f t="shared" si="7"/>
        <v>20</v>
      </c>
      <c r="N20" s="36">
        <f t="shared" si="8"/>
        <v>10</v>
      </c>
      <c r="O20" s="36">
        <f t="shared" si="9"/>
        <v>2</v>
      </c>
      <c r="P20" s="36">
        <f t="shared" si="4"/>
        <v>32</v>
      </c>
      <c r="Q20" s="36">
        <f t="shared" si="5"/>
        <v>39</v>
      </c>
      <c r="S20" s="101">
        <f t="shared" ca="1" si="6"/>
        <v>66</v>
      </c>
      <c r="U20" s="36" t="s">
        <v>1375</v>
      </c>
      <c r="V20" s="36" t="s">
        <v>3031</v>
      </c>
      <c r="W20" s="36">
        <v>22444</v>
      </c>
      <c r="X20" s="36">
        <v>34408</v>
      </c>
    </row>
    <row r="21" spans="1:24">
      <c r="A21" s="53" t="s">
        <v>1455</v>
      </c>
      <c r="B21" s="54" t="s">
        <v>1390</v>
      </c>
      <c r="C21" s="55">
        <v>22163</v>
      </c>
      <c r="D21" s="55">
        <v>30133</v>
      </c>
      <c r="E21" s="56">
        <v>44561</v>
      </c>
      <c r="F21" s="57">
        <v>67469</v>
      </c>
      <c r="G21" s="50">
        <v>90.528999999999996</v>
      </c>
      <c r="H21" s="50">
        <v>346.5</v>
      </c>
      <c r="I21" s="50">
        <f t="shared" si="0"/>
        <v>1421005.5956281126</v>
      </c>
      <c r="J21" s="76">
        <f t="shared" si="1"/>
        <v>39</v>
      </c>
      <c r="K21" s="76">
        <f t="shared" si="2"/>
        <v>53</v>
      </c>
      <c r="L21" s="92">
        <f t="shared" si="3"/>
        <v>3575857</v>
      </c>
      <c r="M21" s="36">
        <f t="shared" si="7"/>
        <v>20</v>
      </c>
      <c r="N21" s="36">
        <f t="shared" si="8"/>
        <v>10</v>
      </c>
      <c r="O21" s="36">
        <f t="shared" si="9"/>
        <v>9</v>
      </c>
      <c r="P21" s="36">
        <f t="shared" si="4"/>
        <v>39</v>
      </c>
      <c r="Q21" s="36">
        <f t="shared" si="5"/>
        <v>53</v>
      </c>
      <c r="S21" s="101">
        <f t="shared" ca="1" si="6"/>
        <v>65</v>
      </c>
    </row>
    <row r="22" spans="1:24">
      <c r="A22" s="53" t="s">
        <v>1221</v>
      </c>
      <c r="B22" s="54" t="s">
        <v>1880</v>
      </c>
      <c r="C22" s="55">
        <v>22138</v>
      </c>
      <c r="D22" s="55">
        <v>30926</v>
      </c>
      <c r="E22" s="56">
        <v>44561</v>
      </c>
      <c r="F22" s="57">
        <v>57293</v>
      </c>
      <c r="G22" s="50">
        <v>58.238999999999997</v>
      </c>
      <c r="H22" s="50">
        <v>285.16800000000001</v>
      </c>
      <c r="I22" s="50">
        <f t="shared" si="0"/>
        <v>948182.56533226755</v>
      </c>
      <c r="J22" s="76">
        <f t="shared" si="1"/>
        <v>37</v>
      </c>
      <c r="K22" s="76">
        <f t="shared" si="2"/>
        <v>49</v>
      </c>
      <c r="L22" s="92">
        <f t="shared" si="3"/>
        <v>2807357</v>
      </c>
      <c r="M22" s="36">
        <f t="shared" si="7"/>
        <v>20</v>
      </c>
      <c r="N22" s="36">
        <f t="shared" si="8"/>
        <v>10</v>
      </c>
      <c r="O22" s="36">
        <f t="shared" si="9"/>
        <v>7</v>
      </c>
      <c r="P22" s="36">
        <f t="shared" si="4"/>
        <v>37</v>
      </c>
      <c r="Q22" s="36">
        <f t="shared" si="5"/>
        <v>49</v>
      </c>
      <c r="S22" s="101">
        <f t="shared" ca="1" si="6"/>
        <v>65</v>
      </c>
    </row>
    <row r="23" spans="1:24">
      <c r="A23" s="53" t="s">
        <v>568</v>
      </c>
      <c r="B23" s="54" t="s">
        <v>1390</v>
      </c>
      <c r="C23" s="55">
        <v>22366</v>
      </c>
      <c r="D23" s="55">
        <v>32687</v>
      </c>
      <c r="E23" s="56">
        <v>44561</v>
      </c>
      <c r="F23" s="57">
        <v>67469</v>
      </c>
      <c r="G23" s="50">
        <f>((7.109+30)+10)+10</f>
        <v>57.109000000000002</v>
      </c>
      <c r="H23" s="50">
        <f>((360.625+45)+15)+15</f>
        <v>435.625</v>
      </c>
      <c r="I23" s="50">
        <f t="shared" si="0"/>
        <v>1602131.142684404</v>
      </c>
      <c r="J23" s="76">
        <f t="shared" si="1"/>
        <v>32</v>
      </c>
      <c r="K23" s="76">
        <f t="shared" si="2"/>
        <v>39</v>
      </c>
      <c r="L23" s="92">
        <f t="shared" si="3"/>
        <v>2631291</v>
      </c>
      <c r="M23" s="36">
        <f t="shared" si="7"/>
        <v>20</v>
      </c>
      <c r="N23" s="36">
        <f t="shared" si="8"/>
        <v>10</v>
      </c>
      <c r="O23" s="36">
        <f t="shared" si="9"/>
        <v>2</v>
      </c>
      <c r="P23" s="36">
        <f t="shared" si="4"/>
        <v>32</v>
      </c>
      <c r="Q23" s="36">
        <f t="shared" si="5"/>
        <v>39</v>
      </c>
      <c r="S23" s="101">
        <f t="shared" ca="1" si="6"/>
        <v>64</v>
      </c>
    </row>
    <row r="24" spans="1:24">
      <c r="A24" s="53" t="s">
        <v>1407</v>
      </c>
      <c r="B24" s="54" t="s">
        <v>1390</v>
      </c>
      <c r="C24" s="55">
        <v>22412</v>
      </c>
      <c r="D24" s="55">
        <v>32767</v>
      </c>
      <c r="E24" s="56">
        <v>44561</v>
      </c>
      <c r="F24" s="57">
        <v>67469</v>
      </c>
      <c r="G24" s="50">
        <f>((30+5.51)+10)+10</f>
        <v>55.51</v>
      </c>
      <c r="H24" s="50">
        <f>((45+300.333)+15)+15</f>
        <v>375.33300000000003</v>
      </c>
      <c r="I24" s="50">
        <f t="shared" si="0"/>
        <v>1400891.7345009209</v>
      </c>
      <c r="J24" s="76">
        <f t="shared" si="1"/>
        <v>32</v>
      </c>
      <c r="K24" s="76">
        <f t="shared" si="2"/>
        <v>39</v>
      </c>
      <c r="L24" s="92">
        <f t="shared" si="3"/>
        <v>2631291</v>
      </c>
      <c r="M24" s="36">
        <f t="shared" si="7"/>
        <v>20</v>
      </c>
      <c r="N24" s="36">
        <f t="shared" si="8"/>
        <v>10</v>
      </c>
      <c r="O24" s="36">
        <f t="shared" si="9"/>
        <v>2</v>
      </c>
      <c r="P24" s="36">
        <f t="shared" si="4"/>
        <v>32</v>
      </c>
      <c r="Q24" s="36">
        <f t="shared" si="5"/>
        <v>39</v>
      </c>
      <c r="S24" s="101">
        <f t="shared" ca="1" si="6"/>
        <v>64</v>
      </c>
    </row>
    <row r="25" spans="1:24">
      <c r="A25" s="53" t="s">
        <v>687</v>
      </c>
      <c r="B25" s="54" t="s">
        <v>1390</v>
      </c>
      <c r="C25" s="55">
        <v>22595</v>
      </c>
      <c r="D25" s="55">
        <v>32687</v>
      </c>
      <c r="E25" s="56">
        <v>44561</v>
      </c>
      <c r="F25" s="57">
        <v>67469</v>
      </c>
      <c r="G25" s="50">
        <f>((30+4.541)+10)+10</f>
        <v>54.540999999999997</v>
      </c>
      <c r="H25" s="50">
        <f>((45+189.209)+15)+15</f>
        <v>264.209</v>
      </c>
      <c r="I25" s="50">
        <f t="shared" si="0"/>
        <v>1036419.8568206249</v>
      </c>
      <c r="J25" s="76">
        <f t="shared" si="1"/>
        <v>32</v>
      </c>
      <c r="K25" s="76">
        <f t="shared" si="2"/>
        <v>39</v>
      </c>
      <c r="L25" s="92">
        <f t="shared" si="3"/>
        <v>2631291</v>
      </c>
      <c r="M25" s="36">
        <f t="shared" si="7"/>
        <v>20</v>
      </c>
      <c r="N25" s="36">
        <f t="shared" si="8"/>
        <v>10</v>
      </c>
      <c r="O25" s="36">
        <f t="shared" si="9"/>
        <v>2</v>
      </c>
      <c r="P25" s="36">
        <f t="shared" si="4"/>
        <v>32</v>
      </c>
      <c r="Q25" s="36">
        <f t="shared" si="5"/>
        <v>39</v>
      </c>
      <c r="S25" s="101">
        <f t="shared" ca="1" si="6"/>
        <v>64</v>
      </c>
    </row>
    <row r="26" spans="1:24">
      <c r="A26" s="53" t="s">
        <v>724</v>
      </c>
      <c r="B26" s="54" t="s">
        <v>1390</v>
      </c>
      <c r="C26" s="55">
        <v>22384</v>
      </c>
      <c r="D26" s="55">
        <v>30391</v>
      </c>
      <c r="E26" s="56">
        <v>44561</v>
      </c>
      <c r="F26" s="57">
        <v>67469</v>
      </c>
      <c r="G26" s="50">
        <f>((30+11.278)+10)+10</f>
        <v>61.277999999999999</v>
      </c>
      <c r="H26" s="50">
        <f>((45+25.833)+15)+15</f>
        <v>100.833</v>
      </c>
      <c r="I26" s="50">
        <f t="shared" si="0"/>
        <v>527106.06873426924</v>
      </c>
      <c r="J26" s="76">
        <f t="shared" si="1"/>
        <v>38</v>
      </c>
      <c r="K26" s="76">
        <f t="shared" si="2"/>
        <v>51</v>
      </c>
      <c r="L26" s="92">
        <f t="shared" si="3"/>
        <v>3440919</v>
      </c>
      <c r="M26" s="36">
        <f t="shared" si="7"/>
        <v>20</v>
      </c>
      <c r="N26" s="36">
        <f t="shared" si="8"/>
        <v>10</v>
      </c>
      <c r="O26" s="36">
        <f t="shared" si="9"/>
        <v>8</v>
      </c>
      <c r="P26" s="36">
        <f t="shared" si="4"/>
        <v>38</v>
      </c>
      <c r="Q26" s="36">
        <f t="shared" si="5"/>
        <v>51</v>
      </c>
      <c r="S26" s="101">
        <f t="shared" ca="1" si="6"/>
        <v>64</v>
      </c>
    </row>
    <row r="27" spans="1:24" ht="12.75" customHeight="1">
      <c r="A27" s="53" t="s">
        <v>207</v>
      </c>
      <c r="B27" s="54" t="s">
        <v>1390</v>
      </c>
      <c r="C27" s="55">
        <v>22504</v>
      </c>
      <c r="D27" s="55">
        <v>36100</v>
      </c>
      <c r="E27" s="56">
        <v>44561</v>
      </c>
      <c r="F27" s="57">
        <v>67469</v>
      </c>
      <c r="G27" s="50">
        <f>((30+30.122)+10)+10</f>
        <v>80.122</v>
      </c>
      <c r="H27" s="50">
        <f>((45+103.542)+15)+15</f>
        <v>178.542</v>
      </c>
      <c r="I27" s="50">
        <f t="shared" si="0"/>
        <v>841049.43010086298</v>
      </c>
      <c r="J27" s="76">
        <f t="shared" ref="J27:J32" si="10">DATEDIF(D27,E27,"Y")</f>
        <v>23</v>
      </c>
      <c r="K27" s="76">
        <f t="shared" ref="K27:K32" si="11">Q27</f>
        <v>24.5</v>
      </c>
      <c r="L27" s="92">
        <f t="shared" ref="L27:L32" si="12">+F27*K27</f>
        <v>1652990.5</v>
      </c>
      <c r="M27" s="36">
        <f t="shared" ref="M27:M32" si="13">IF(J27&gt;20,20,J27)</f>
        <v>20</v>
      </c>
      <c r="N27" s="36">
        <f t="shared" ref="N27:N32" si="14">IF((J27-M27)&gt;10,10,(J27-M27))</f>
        <v>3</v>
      </c>
      <c r="O27" s="36">
        <f t="shared" ref="O27:O32" si="15">+J27-M27-N27</f>
        <v>0</v>
      </c>
      <c r="P27" s="36">
        <f t="shared" ref="P27:P32" si="16">SUM(M27:O27)</f>
        <v>23</v>
      </c>
      <c r="Q27" s="36">
        <f t="shared" si="5"/>
        <v>24.5</v>
      </c>
      <c r="S27" s="101">
        <f t="shared" ca="1" si="6"/>
        <v>64</v>
      </c>
    </row>
    <row r="28" spans="1:24" ht="12.75" customHeight="1">
      <c r="A28" s="53" t="s">
        <v>886</v>
      </c>
      <c r="B28" s="54" t="s">
        <v>1390</v>
      </c>
      <c r="C28" s="55">
        <v>22312</v>
      </c>
      <c r="D28" s="55">
        <v>32251</v>
      </c>
      <c r="E28" s="56">
        <v>44561</v>
      </c>
      <c r="F28" s="57">
        <v>67469</v>
      </c>
      <c r="G28" s="50">
        <f>((30+7.651)+10)+10</f>
        <v>57.650999999999996</v>
      </c>
      <c r="H28" s="50">
        <f>((45+204.5)+15)+15</f>
        <v>279.5</v>
      </c>
      <c r="I28" s="50">
        <f t="shared" si="0"/>
        <v>1096250.9526178213</v>
      </c>
      <c r="J28" s="76">
        <f t="shared" si="10"/>
        <v>33</v>
      </c>
      <c r="K28" s="76">
        <f t="shared" si="11"/>
        <v>41</v>
      </c>
      <c r="L28" s="92">
        <f t="shared" si="12"/>
        <v>2766229</v>
      </c>
      <c r="M28" s="36">
        <f t="shared" si="13"/>
        <v>20</v>
      </c>
      <c r="N28" s="36">
        <f t="shared" si="14"/>
        <v>10</v>
      </c>
      <c r="O28" s="36">
        <f t="shared" si="15"/>
        <v>3</v>
      </c>
      <c r="P28" s="36">
        <f t="shared" si="16"/>
        <v>33</v>
      </c>
      <c r="Q28" s="36">
        <f t="shared" si="5"/>
        <v>41</v>
      </c>
      <c r="S28" s="101">
        <f t="shared" ca="1" si="6"/>
        <v>65</v>
      </c>
    </row>
    <row r="29" spans="1:24" ht="12.75" customHeight="1">
      <c r="A29" s="53" t="s">
        <v>257</v>
      </c>
      <c r="B29" s="54" t="s">
        <v>1390</v>
      </c>
      <c r="C29" s="55">
        <v>22338</v>
      </c>
      <c r="D29" s="55">
        <v>31719</v>
      </c>
      <c r="E29" s="56">
        <v>44561</v>
      </c>
      <c r="F29" s="57">
        <v>67469</v>
      </c>
      <c r="G29" s="50">
        <f>((30+4.117)+10)+10</f>
        <v>54.116999999999997</v>
      </c>
      <c r="H29" s="50">
        <f>((45+136)+15)+15</f>
        <v>211</v>
      </c>
      <c r="I29" s="50">
        <f t="shared" si="0"/>
        <v>862031.44527282706</v>
      </c>
      <c r="J29" s="76">
        <f t="shared" si="10"/>
        <v>35</v>
      </c>
      <c r="K29" s="76">
        <f t="shared" si="11"/>
        <v>45</v>
      </c>
      <c r="L29" s="92">
        <f t="shared" si="12"/>
        <v>3036105</v>
      </c>
      <c r="M29" s="36">
        <f t="shared" si="13"/>
        <v>20</v>
      </c>
      <c r="N29" s="36">
        <f t="shared" si="14"/>
        <v>10</v>
      </c>
      <c r="O29" s="36">
        <f t="shared" si="15"/>
        <v>5</v>
      </c>
      <c r="P29" s="36">
        <f t="shared" si="16"/>
        <v>35</v>
      </c>
      <c r="Q29" s="36">
        <f t="shared" si="5"/>
        <v>45</v>
      </c>
      <c r="S29" s="101">
        <f t="shared" ca="1" si="6"/>
        <v>65</v>
      </c>
    </row>
    <row r="30" spans="1:24" ht="12.75" customHeight="1">
      <c r="A30" s="53" t="s">
        <v>1375</v>
      </c>
      <c r="B30" s="54" t="s">
        <v>3031</v>
      </c>
      <c r="C30" s="55">
        <v>22444</v>
      </c>
      <c r="D30" s="55">
        <v>34408</v>
      </c>
      <c r="E30" s="56">
        <v>44561</v>
      </c>
      <c r="F30" s="57">
        <v>11732</v>
      </c>
      <c r="G30" s="50">
        <f>((30+34.87)+10)+10</f>
        <v>84.87</v>
      </c>
      <c r="H30" s="50">
        <f>((45+220.208)+15)+15</f>
        <v>295.20799999999997</v>
      </c>
      <c r="I30" s="50">
        <f t="shared" si="0"/>
        <v>214894.86837899918</v>
      </c>
      <c r="J30" s="76">
        <f t="shared" si="10"/>
        <v>27</v>
      </c>
      <c r="K30" s="76">
        <f t="shared" si="11"/>
        <v>30.5</v>
      </c>
      <c r="L30" s="92">
        <f t="shared" si="12"/>
        <v>357826</v>
      </c>
      <c r="M30" s="36">
        <f t="shared" si="13"/>
        <v>20</v>
      </c>
      <c r="N30" s="36">
        <f t="shared" si="14"/>
        <v>7</v>
      </c>
      <c r="O30" s="36">
        <f t="shared" si="15"/>
        <v>0</v>
      </c>
      <c r="P30" s="36">
        <f t="shared" si="16"/>
        <v>27</v>
      </c>
      <c r="Q30" s="36">
        <f t="shared" si="5"/>
        <v>30.5</v>
      </c>
      <c r="S30" s="101">
        <f t="shared" ca="1" si="6"/>
        <v>64</v>
      </c>
    </row>
    <row r="31" spans="1:24" ht="12.75" hidden="1" customHeight="1">
      <c r="A31" s="53"/>
      <c r="B31" s="54"/>
      <c r="C31" s="55"/>
      <c r="D31" s="55"/>
      <c r="E31" s="56"/>
      <c r="F31" s="57"/>
      <c r="G31" s="50"/>
      <c r="H31" s="50"/>
      <c r="I31" s="50">
        <f t="shared" si="0"/>
        <v>0</v>
      </c>
      <c r="J31" s="76">
        <f t="shared" si="10"/>
        <v>0</v>
      </c>
      <c r="K31" s="76">
        <f t="shared" si="11"/>
        <v>0</v>
      </c>
      <c r="L31" s="92">
        <f t="shared" si="12"/>
        <v>0</v>
      </c>
      <c r="M31" s="36">
        <f t="shared" si="13"/>
        <v>0</v>
      </c>
      <c r="N31" s="36">
        <f t="shared" si="14"/>
        <v>0</v>
      </c>
      <c r="O31" s="36">
        <f t="shared" si="15"/>
        <v>0</v>
      </c>
      <c r="P31" s="36">
        <f t="shared" si="16"/>
        <v>0</v>
      </c>
      <c r="Q31" s="36">
        <f t="shared" si="5"/>
        <v>0</v>
      </c>
      <c r="S31" s="101">
        <f t="shared" ca="1" si="6"/>
        <v>126</v>
      </c>
    </row>
    <row r="32" spans="1:24" ht="12.75" hidden="1" customHeight="1">
      <c r="A32" s="53"/>
      <c r="B32" s="54"/>
      <c r="C32" s="55"/>
      <c r="D32" s="55"/>
      <c r="E32" s="56"/>
      <c r="F32" s="57"/>
      <c r="G32" s="50"/>
      <c r="H32" s="50"/>
      <c r="I32" s="50">
        <f t="shared" si="0"/>
        <v>0</v>
      </c>
      <c r="J32" s="76">
        <f t="shared" si="10"/>
        <v>0</v>
      </c>
      <c r="K32" s="76">
        <f t="shared" si="11"/>
        <v>0</v>
      </c>
      <c r="L32" s="92">
        <f t="shared" si="12"/>
        <v>0</v>
      </c>
      <c r="M32" s="36">
        <f t="shared" si="13"/>
        <v>0</v>
      </c>
      <c r="N32" s="36">
        <f t="shared" si="14"/>
        <v>0</v>
      </c>
      <c r="O32" s="36">
        <f t="shared" si="15"/>
        <v>0</v>
      </c>
      <c r="P32" s="36">
        <f t="shared" si="16"/>
        <v>0</v>
      </c>
      <c r="Q32" s="36">
        <f t="shared" si="5"/>
        <v>0</v>
      </c>
      <c r="S32" s="101">
        <f t="shared" ca="1" si="6"/>
        <v>126</v>
      </c>
    </row>
    <row r="33" spans="1:19">
      <c r="A33" s="61"/>
      <c r="B33" s="62" t="s">
        <v>2188</v>
      </c>
      <c r="C33" s="47"/>
      <c r="D33" s="63"/>
      <c r="E33" s="47"/>
      <c r="F33" s="64"/>
      <c r="G33" s="65"/>
      <c r="H33" s="65"/>
      <c r="I33" s="93">
        <f>SUM(I12:I32)</f>
        <v>21361675.012543119</v>
      </c>
      <c r="J33" s="94"/>
      <c r="K33" s="84"/>
      <c r="L33" s="95">
        <f>SUM(L12:L32)</f>
        <v>49651340.5</v>
      </c>
    </row>
    <row r="34" spans="1:19">
      <c r="A34" s="66" t="s">
        <v>1381</v>
      </c>
      <c r="B34" s="67"/>
      <c r="D34" s="68" t="s">
        <v>3353</v>
      </c>
      <c r="F34" s="69"/>
      <c r="J34" s="96" t="s">
        <v>3354</v>
      </c>
      <c r="L34" s="87"/>
    </row>
    <row r="35" spans="1:19">
      <c r="A35" s="66"/>
      <c r="B35" s="70"/>
      <c r="C35" s="71"/>
      <c r="D35" s="68"/>
      <c r="E35" s="71"/>
      <c r="F35" s="69"/>
      <c r="G35" s="72"/>
      <c r="H35" s="72"/>
      <c r="I35" s="72"/>
      <c r="J35" s="96"/>
      <c r="L35" s="87"/>
    </row>
    <row r="36" spans="1:19" ht="14.4">
      <c r="A36" s="74"/>
      <c r="B36" s="67"/>
      <c r="F36" s="73"/>
      <c r="J36" s="76"/>
      <c r="L36" s="87"/>
      <c r="S36" s="103"/>
    </row>
    <row r="37" spans="1:19" ht="14.4">
      <c r="A37" s="74" t="s">
        <v>1383</v>
      </c>
      <c r="B37" s="1128" t="s">
        <v>3361</v>
      </c>
      <c r="C37" s="1129"/>
      <c r="D37" s="1129"/>
      <c r="E37" s="1129"/>
      <c r="F37" s="1129"/>
      <c r="G37" s="1129"/>
      <c r="H37" s="1129"/>
      <c r="I37" s="1130"/>
      <c r="J37" s="1131">
        <f ca="1">NOW()</f>
        <v>46105.538043287037</v>
      </c>
      <c r="K37" s="1132"/>
      <c r="L37" s="1133"/>
    </row>
    <row r="38" spans="1:19">
      <c r="A38" s="75" t="s">
        <v>3356</v>
      </c>
      <c r="B38" s="1118" t="s">
        <v>3357</v>
      </c>
      <c r="C38" s="1119"/>
      <c r="D38" s="1119"/>
      <c r="E38" s="1119"/>
      <c r="F38" s="1119"/>
      <c r="G38" s="1119"/>
      <c r="H38" s="1119"/>
      <c r="I38" s="1120"/>
      <c r="J38" s="76"/>
      <c r="L38" s="87"/>
    </row>
    <row r="39" spans="1:19" ht="8.25" customHeight="1">
      <c r="A39" s="77"/>
      <c r="B39" s="78"/>
      <c r="C39" s="79"/>
      <c r="D39" s="80"/>
      <c r="E39" s="79"/>
      <c r="F39" s="81"/>
      <c r="G39" s="82"/>
      <c r="H39" s="82"/>
      <c r="I39" s="82"/>
      <c r="J39" s="97"/>
      <c r="K39" s="98"/>
      <c r="L39" s="99"/>
    </row>
    <row r="40" spans="1:19" ht="23.4">
      <c r="A40" s="1121" t="str">
        <f>+A1</f>
        <v>BP 205</v>
      </c>
      <c r="B40" s="1121"/>
      <c r="C40" s="1121"/>
      <c r="D40" s="1121"/>
      <c r="E40" s="1121"/>
      <c r="F40" s="1121"/>
      <c r="G40" s="1121"/>
      <c r="H40" s="1121"/>
      <c r="I40" s="1121"/>
      <c r="J40" s="1121"/>
      <c r="K40" s="1121"/>
      <c r="L40" s="1121"/>
    </row>
    <row r="41" spans="1:19">
      <c r="A41" s="1122" t="str">
        <f>+A2</f>
        <v>FOR FY 2021</v>
      </c>
      <c r="B41" s="1122"/>
      <c r="C41" s="1122"/>
      <c r="D41" s="1122"/>
      <c r="E41" s="1122"/>
      <c r="F41" s="1122"/>
      <c r="G41" s="1122"/>
      <c r="H41" s="1122"/>
      <c r="I41" s="1122"/>
      <c r="J41" s="1122"/>
      <c r="K41" s="1122"/>
      <c r="L41" s="1122"/>
    </row>
    <row r="42" spans="1:19">
      <c r="F42" s="42"/>
      <c r="L42" s="83"/>
    </row>
    <row r="43" spans="1:19">
      <c r="A43" s="43" t="s">
        <v>3332</v>
      </c>
      <c r="B43" s="44"/>
      <c r="C43" s="45"/>
      <c r="D43" s="46"/>
      <c r="E43" s="47"/>
      <c r="F43" s="48" t="s">
        <v>3333</v>
      </c>
      <c r="G43" s="44"/>
      <c r="H43" s="44"/>
      <c r="I43" s="44"/>
      <c r="J43" s="84"/>
      <c r="K43" s="84"/>
      <c r="L43" s="85"/>
    </row>
    <row r="44" spans="1:19" ht="15.6">
      <c r="A44" s="49"/>
      <c r="F44" s="50"/>
      <c r="K44" s="88" t="s">
        <v>3358</v>
      </c>
      <c r="L44" s="87"/>
    </row>
    <row r="45" spans="1:19">
      <c r="A45" s="49"/>
      <c r="F45" s="50"/>
      <c r="K45" s="86" t="s">
        <v>3359</v>
      </c>
      <c r="L45" s="87"/>
    </row>
    <row r="46" spans="1:19" s="37" customFormat="1" ht="14.25" customHeight="1">
      <c r="A46" s="1134" t="s">
        <v>3336</v>
      </c>
      <c r="B46" s="1137" t="s">
        <v>3337</v>
      </c>
      <c r="C46" s="1123" t="s">
        <v>3338</v>
      </c>
      <c r="D46" s="1124"/>
      <c r="E46" s="1125"/>
      <c r="F46" s="1143" t="s">
        <v>3339</v>
      </c>
      <c r="G46" s="1126" t="s">
        <v>3340</v>
      </c>
      <c r="H46" s="1127"/>
      <c r="I46" s="89"/>
      <c r="J46" s="90" t="s">
        <v>3341</v>
      </c>
      <c r="K46" s="51"/>
      <c r="L46" s="91"/>
    </row>
    <row r="47" spans="1:19" s="37" customFormat="1">
      <c r="A47" s="1135"/>
      <c r="B47" s="1138"/>
      <c r="C47" s="1140" t="s">
        <v>3342</v>
      </c>
      <c r="D47" s="1140" t="s">
        <v>3343</v>
      </c>
      <c r="E47" s="1140" t="s">
        <v>3344</v>
      </c>
      <c r="F47" s="1144"/>
      <c r="G47" s="1106" t="s">
        <v>3345</v>
      </c>
      <c r="H47" s="1108"/>
      <c r="I47" s="1112" t="s">
        <v>3346</v>
      </c>
      <c r="J47" s="1115" t="s">
        <v>3347</v>
      </c>
      <c r="K47" s="1115" t="s">
        <v>3348</v>
      </c>
      <c r="L47" s="1103" t="s">
        <v>3346</v>
      </c>
    </row>
    <row r="48" spans="1:19" s="37" customFormat="1">
      <c r="A48" s="1135"/>
      <c r="B48" s="1138"/>
      <c r="C48" s="1141"/>
      <c r="D48" s="1141"/>
      <c r="E48" s="1141"/>
      <c r="F48" s="1144"/>
      <c r="G48" s="1109"/>
      <c r="H48" s="1111"/>
      <c r="I48" s="1113"/>
      <c r="J48" s="1116"/>
      <c r="K48" s="1116"/>
      <c r="L48" s="1104"/>
    </row>
    <row r="49" spans="1:19" s="37" customFormat="1">
      <c r="A49" s="1136"/>
      <c r="B49" s="1139"/>
      <c r="C49" s="1142"/>
      <c r="D49" s="1142"/>
      <c r="E49" s="1142"/>
      <c r="F49" s="1145"/>
      <c r="G49" s="52" t="s">
        <v>3349</v>
      </c>
      <c r="H49" s="52" t="s">
        <v>3350</v>
      </c>
      <c r="I49" s="1114"/>
      <c r="J49" s="1117"/>
      <c r="K49" s="1117"/>
      <c r="L49" s="1105"/>
    </row>
    <row r="50" spans="1:19">
      <c r="A50" s="53" t="s">
        <v>452</v>
      </c>
      <c r="B50" s="54" t="s">
        <v>1700</v>
      </c>
      <c r="C50" s="55">
        <v>20514</v>
      </c>
      <c r="D50" s="55">
        <v>35254</v>
      </c>
      <c r="E50" s="56">
        <v>43890</v>
      </c>
      <c r="F50" s="57">
        <v>13625</v>
      </c>
      <c r="G50" s="50">
        <v>68.921000000000006</v>
      </c>
      <c r="H50" s="50">
        <v>101.542</v>
      </c>
      <c r="I50" s="50">
        <f>F50*(G50+H50)*0.0481927</f>
        <v>111930.35899886252</v>
      </c>
      <c r="J50" s="76">
        <f t="shared" ref="J50:J57" si="17">DATEDIF(D50,E50,"Y")</f>
        <v>23</v>
      </c>
      <c r="K50" s="76">
        <f t="shared" ref="K50:K57" si="18">Q50</f>
        <v>24.5</v>
      </c>
      <c r="L50" s="92">
        <f t="shared" ref="L50:L57" si="19">+F50*K50</f>
        <v>333812.5</v>
      </c>
      <c r="M50" s="36">
        <f t="shared" ref="M50:M57" si="20">IF(J50&gt;20,20,J50)</f>
        <v>20</v>
      </c>
      <c r="N50" s="36">
        <f t="shared" ref="N50:N57" si="21">IF((J50-M50)&gt;10,10,(J50-M50))</f>
        <v>3</v>
      </c>
      <c r="O50" s="36">
        <f t="shared" ref="O50:O57" si="22">+J50-M50-N50</f>
        <v>0</v>
      </c>
      <c r="P50" s="36">
        <f t="shared" ref="P50:P57" si="23">SUM(M50:O50)</f>
        <v>23</v>
      </c>
      <c r="Q50" s="36">
        <f t="shared" ref="Q50:Q57" si="24">+M50+N50*1.5+O50*2</f>
        <v>24.5</v>
      </c>
      <c r="S50" s="101">
        <f ca="1">DATEDIF(C50,TODAY(),"Y")</f>
        <v>70</v>
      </c>
    </row>
    <row r="51" spans="1:19">
      <c r="A51" s="53" t="s">
        <v>387</v>
      </c>
      <c r="B51" s="54" t="s">
        <v>2764</v>
      </c>
      <c r="C51" s="55">
        <v>20640</v>
      </c>
      <c r="D51" s="55">
        <v>27442</v>
      </c>
      <c r="E51" s="56">
        <v>44016</v>
      </c>
      <c r="F51" s="57">
        <v>15664</v>
      </c>
      <c r="G51" s="50">
        <v>86.375</v>
      </c>
      <c r="H51" s="50">
        <v>143.458</v>
      </c>
      <c r="I51" s="50">
        <f>F51*(G51+H51)*0.0481927</f>
        <v>173498.73743838241</v>
      </c>
      <c r="J51" s="76">
        <f t="shared" si="17"/>
        <v>45</v>
      </c>
      <c r="K51" s="76">
        <f t="shared" si="18"/>
        <v>65</v>
      </c>
      <c r="L51" s="92">
        <f t="shared" si="19"/>
        <v>1018160</v>
      </c>
      <c r="M51" s="36">
        <f t="shared" si="20"/>
        <v>20</v>
      </c>
      <c r="N51" s="36">
        <f t="shared" si="21"/>
        <v>10</v>
      </c>
      <c r="O51" s="36">
        <f t="shared" si="22"/>
        <v>15</v>
      </c>
      <c r="P51" s="36">
        <f t="shared" si="23"/>
        <v>45</v>
      </c>
      <c r="Q51" s="36">
        <f t="shared" si="24"/>
        <v>65</v>
      </c>
      <c r="S51" s="101">
        <f ca="1">DATEDIF(C51,TODAY(),"Y")</f>
        <v>69</v>
      </c>
    </row>
    <row r="52" spans="1:19">
      <c r="A52" s="53"/>
      <c r="B52" s="54"/>
      <c r="C52" s="55"/>
      <c r="D52" s="55"/>
      <c r="E52" s="56"/>
      <c r="F52" s="57"/>
      <c r="G52" s="50"/>
      <c r="H52" s="50"/>
      <c r="I52" s="50"/>
      <c r="J52" s="76">
        <f t="shared" si="17"/>
        <v>0</v>
      </c>
      <c r="K52" s="76">
        <f t="shared" si="18"/>
        <v>0</v>
      </c>
      <c r="L52" s="92">
        <f t="shared" si="19"/>
        <v>0</v>
      </c>
      <c r="M52" s="36">
        <f t="shared" si="20"/>
        <v>0</v>
      </c>
      <c r="N52" s="36">
        <f t="shared" si="21"/>
        <v>0</v>
      </c>
      <c r="O52" s="36">
        <f t="shared" si="22"/>
        <v>0</v>
      </c>
      <c r="P52" s="36">
        <f t="shared" si="23"/>
        <v>0</v>
      </c>
      <c r="Q52" s="36">
        <f t="shared" si="24"/>
        <v>0</v>
      </c>
    </row>
    <row r="53" spans="1:19">
      <c r="A53" s="53"/>
      <c r="B53" s="54"/>
      <c r="C53" s="55"/>
      <c r="D53" s="55"/>
      <c r="E53" s="56"/>
      <c r="F53" s="57"/>
      <c r="G53" s="50"/>
      <c r="H53" s="50"/>
      <c r="I53" s="50"/>
      <c r="J53" s="76">
        <f t="shared" si="17"/>
        <v>0</v>
      </c>
      <c r="K53" s="76">
        <f t="shared" si="18"/>
        <v>0</v>
      </c>
      <c r="L53" s="92">
        <f t="shared" si="19"/>
        <v>0</v>
      </c>
      <c r="M53" s="36">
        <f t="shared" si="20"/>
        <v>0</v>
      </c>
      <c r="N53" s="36">
        <f t="shared" si="21"/>
        <v>0</v>
      </c>
      <c r="O53" s="36">
        <f t="shared" si="22"/>
        <v>0</v>
      </c>
      <c r="P53" s="36">
        <f t="shared" si="23"/>
        <v>0</v>
      </c>
      <c r="Q53" s="36">
        <f t="shared" si="24"/>
        <v>0</v>
      </c>
    </row>
    <row r="54" spans="1:19">
      <c r="A54" s="104"/>
      <c r="B54" s="105"/>
      <c r="C54" s="106"/>
      <c r="D54" s="106"/>
      <c r="E54" s="107"/>
      <c r="F54" s="108"/>
      <c r="G54" s="50"/>
      <c r="H54" s="50"/>
      <c r="I54" s="116"/>
      <c r="J54" s="117">
        <f t="shared" si="17"/>
        <v>0</v>
      </c>
      <c r="K54" s="117">
        <f t="shared" si="18"/>
        <v>0</v>
      </c>
      <c r="L54" s="118">
        <f t="shared" si="19"/>
        <v>0</v>
      </c>
      <c r="M54" s="36">
        <f t="shared" si="20"/>
        <v>0</v>
      </c>
      <c r="N54" s="36">
        <f t="shared" si="21"/>
        <v>0</v>
      </c>
      <c r="O54" s="36">
        <f t="shared" si="22"/>
        <v>0</v>
      </c>
      <c r="P54" s="36">
        <f t="shared" si="23"/>
        <v>0</v>
      </c>
      <c r="Q54" s="36">
        <f t="shared" si="24"/>
        <v>0</v>
      </c>
    </row>
    <row r="55" spans="1:19">
      <c r="A55" s="104"/>
      <c r="B55" s="105"/>
      <c r="C55" s="106"/>
      <c r="D55" s="106"/>
      <c r="E55" s="107"/>
      <c r="F55" s="108"/>
      <c r="G55" s="109"/>
      <c r="H55" s="109"/>
      <c r="I55" s="116">
        <f>F55*(G55+H55)*0.0481927</f>
        <v>0</v>
      </c>
      <c r="J55" s="117">
        <f t="shared" si="17"/>
        <v>0</v>
      </c>
      <c r="K55" s="117">
        <f t="shared" si="18"/>
        <v>0</v>
      </c>
      <c r="L55" s="118">
        <f t="shared" si="19"/>
        <v>0</v>
      </c>
      <c r="M55" s="36">
        <f t="shared" si="20"/>
        <v>0</v>
      </c>
      <c r="N55" s="36">
        <f t="shared" si="21"/>
        <v>0</v>
      </c>
      <c r="O55" s="36">
        <f t="shared" si="22"/>
        <v>0</v>
      </c>
      <c r="P55" s="36">
        <f t="shared" si="23"/>
        <v>0</v>
      </c>
      <c r="Q55" s="36">
        <f t="shared" si="24"/>
        <v>0</v>
      </c>
    </row>
    <row r="56" spans="1:19">
      <c r="A56" s="104"/>
      <c r="B56" s="105"/>
      <c r="C56" s="106"/>
      <c r="D56" s="106"/>
      <c r="E56" s="107"/>
      <c r="F56" s="108"/>
      <c r="G56" s="109"/>
      <c r="H56" s="109"/>
      <c r="I56" s="116">
        <f>F56*(G56+H56)*0.0481927</f>
        <v>0</v>
      </c>
      <c r="J56" s="117">
        <f t="shared" si="17"/>
        <v>0</v>
      </c>
      <c r="K56" s="117">
        <f t="shared" si="18"/>
        <v>0</v>
      </c>
      <c r="L56" s="118">
        <f t="shared" si="19"/>
        <v>0</v>
      </c>
      <c r="M56" s="36">
        <f t="shared" si="20"/>
        <v>0</v>
      </c>
      <c r="N56" s="36">
        <f t="shared" si="21"/>
        <v>0</v>
      </c>
      <c r="O56" s="36">
        <f t="shared" si="22"/>
        <v>0</v>
      </c>
      <c r="P56" s="36">
        <f t="shared" si="23"/>
        <v>0</v>
      </c>
      <c r="Q56" s="36">
        <f t="shared" si="24"/>
        <v>0</v>
      </c>
    </row>
    <row r="57" spans="1:19">
      <c r="A57" s="104"/>
      <c r="B57" s="105"/>
      <c r="C57" s="106"/>
      <c r="D57" s="106"/>
      <c r="E57" s="107"/>
      <c r="F57" s="108"/>
      <c r="G57" s="109"/>
      <c r="H57" s="109"/>
      <c r="I57" s="116">
        <f>F57*(G57+H57)*0.0481927</f>
        <v>0</v>
      </c>
      <c r="J57" s="117">
        <f t="shared" si="17"/>
        <v>0</v>
      </c>
      <c r="K57" s="117">
        <f t="shared" si="18"/>
        <v>0</v>
      </c>
      <c r="L57" s="118">
        <f t="shared" si="19"/>
        <v>0</v>
      </c>
      <c r="M57" s="36">
        <f t="shared" si="20"/>
        <v>0</v>
      </c>
      <c r="N57" s="36">
        <f t="shared" si="21"/>
        <v>0</v>
      </c>
      <c r="O57" s="36">
        <f t="shared" si="22"/>
        <v>0</v>
      </c>
      <c r="P57" s="36">
        <f t="shared" si="23"/>
        <v>0</v>
      </c>
      <c r="Q57" s="36">
        <f t="shared" si="24"/>
        <v>0</v>
      </c>
    </row>
    <row r="58" spans="1:19">
      <c r="A58" s="77"/>
      <c r="B58" s="78"/>
      <c r="C58" s="110"/>
      <c r="D58" s="111"/>
      <c r="E58" s="112"/>
      <c r="F58" s="113"/>
      <c r="G58" s="114"/>
      <c r="H58" s="114"/>
      <c r="I58" s="113"/>
      <c r="J58" s="97"/>
      <c r="K58" s="97"/>
      <c r="L58" s="119"/>
    </row>
    <row r="59" spans="1:19">
      <c r="A59" s="61"/>
      <c r="B59" s="62" t="s">
        <v>2188</v>
      </c>
      <c r="C59" s="47"/>
      <c r="D59" s="63"/>
      <c r="E59" s="47"/>
      <c r="F59" s="64"/>
      <c r="G59" s="65"/>
      <c r="H59" s="65"/>
      <c r="I59" s="93">
        <f>SUM(I50:I58)</f>
        <v>285429.09643724491</v>
      </c>
      <c r="J59" s="94"/>
      <c r="K59" s="84"/>
      <c r="L59" s="95">
        <f>SUM(L50:L58)</f>
        <v>1351972.5</v>
      </c>
    </row>
    <row r="60" spans="1:19">
      <c r="A60" s="66" t="s">
        <v>1381</v>
      </c>
      <c r="B60" s="67"/>
      <c r="D60" s="115" t="s">
        <v>3353</v>
      </c>
      <c r="F60" s="69"/>
      <c r="J60" s="96" t="s">
        <v>3354</v>
      </c>
      <c r="L60" s="87"/>
    </row>
    <row r="61" spans="1:19">
      <c r="A61" s="66"/>
      <c r="B61" s="70"/>
      <c r="C61" s="71"/>
      <c r="D61" s="68"/>
      <c r="E61" s="71"/>
      <c r="F61" s="69"/>
      <c r="G61" s="72"/>
      <c r="H61" s="72"/>
      <c r="I61" s="72"/>
      <c r="J61" s="96"/>
      <c r="L61" s="87"/>
    </row>
    <row r="62" spans="1:19">
      <c r="A62" s="49"/>
      <c r="B62" s="67"/>
      <c r="F62" s="73"/>
      <c r="J62" s="76"/>
      <c r="L62" s="87"/>
    </row>
    <row r="63" spans="1:19" ht="14.4">
      <c r="A63" s="74" t="s">
        <v>1383</v>
      </c>
      <c r="B63" s="1128" t="str">
        <f>+B37</f>
        <v>MARLO L. IRINGAN</v>
      </c>
      <c r="C63" s="1129"/>
      <c r="D63" s="1129"/>
      <c r="E63" s="1129"/>
      <c r="F63" s="1129"/>
      <c r="G63" s="1129"/>
      <c r="H63" s="1129"/>
      <c r="I63" s="1130"/>
      <c r="J63" s="1131">
        <f ca="1">NOW()</f>
        <v>46105.538043287037</v>
      </c>
      <c r="K63" s="1132"/>
      <c r="L63" s="1133"/>
    </row>
    <row r="64" spans="1:19">
      <c r="A64" s="75" t="s">
        <v>3356</v>
      </c>
      <c r="B64" s="1118" t="s">
        <v>3357</v>
      </c>
      <c r="C64" s="1119"/>
      <c r="D64" s="1119"/>
      <c r="E64" s="1119"/>
      <c r="F64" s="1119"/>
      <c r="G64" s="1119"/>
      <c r="H64" s="1119"/>
      <c r="I64" s="1120"/>
      <c r="J64" s="76"/>
      <c r="L64" s="87"/>
    </row>
    <row r="65" spans="1:12" ht="8.25" customHeight="1">
      <c r="A65" s="77"/>
      <c r="B65" s="78"/>
      <c r="C65" s="79"/>
      <c r="D65" s="80"/>
      <c r="E65" s="79"/>
      <c r="F65" s="81"/>
      <c r="G65" s="82"/>
      <c r="H65" s="82"/>
      <c r="I65" s="82"/>
      <c r="J65" s="97"/>
      <c r="K65" s="98"/>
      <c r="L65" s="99"/>
    </row>
    <row r="66" spans="1:12" ht="8.25" customHeight="1">
      <c r="F66" s="73"/>
    </row>
  </sheetData>
  <mergeCells count="36">
    <mergeCell ref="A1:L1"/>
    <mergeCell ref="A2:L2"/>
    <mergeCell ref="C7:E7"/>
    <mergeCell ref="G7:H7"/>
    <mergeCell ref="B37:I37"/>
    <mergeCell ref="J37:L37"/>
    <mergeCell ref="L8:L10"/>
    <mergeCell ref="B63:I63"/>
    <mergeCell ref="J63:L63"/>
    <mergeCell ref="B64:I64"/>
    <mergeCell ref="A7:A10"/>
    <mergeCell ref="A46:A49"/>
    <mergeCell ref="B7:B10"/>
    <mergeCell ref="B46:B49"/>
    <mergeCell ref="C8:C10"/>
    <mergeCell ref="C47:C49"/>
    <mergeCell ref="D8:D10"/>
    <mergeCell ref="D47:D49"/>
    <mergeCell ref="E8:E10"/>
    <mergeCell ref="E47:E49"/>
    <mergeCell ref="F7:F10"/>
    <mergeCell ref="F46:F49"/>
    <mergeCell ref="I8:I10"/>
    <mergeCell ref="L47:L49"/>
    <mergeCell ref="G8:H9"/>
    <mergeCell ref="G47:H48"/>
    <mergeCell ref="I47:I49"/>
    <mergeCell ref="J8:J10"/>
    <mergeCell ref="J47:J49"/>
    <mergeCell ref="K8:K10"/>
    <mergeCell ref="K47:K49"/>
    <mergeCell ref="B38:I38"/>
    <mergeCell ref="A40:L40"/>
    <mergeCell ref="A41:L41"/>
    <mergeCell ref="C46:E46"/>
    <mergeCell ref="G46:H46"/>
  </mergeCells>
  <conditionalFormatting sqref="S11:S32">
    <cfRule type="cellIs" dxfId="23" priority="7" operator="between">
      <formula>64</formula>
      <formula>65</formula>
    </cfRule>
    <cfRule type="cellIs" dxfId="22" priority="8" operator="between">
      <formula>51</formula>
      <formula>59</formula>
    </cfRule>
    <cfRule type="cellIs" dxfId="21" priority="9" operator="between">
      <formula>60</formula>
      <formula>63</formula>
    </cfRule>
    <cfRule type="cellIs" dxfId="20" priority="10" operator="between">
      <formula>41</formula>
      <formula>50</formula>
    </cfRule>
    <cfRule type="cellIs" dxfId="19" priority="11" operator="between">
      <formula>31</formula>
      <formula>40</formula>
    </cfRule>
    <cfRule type="cellIs" dxfId="18" priority="12" operator="between">
      <formula>20</formula>
      <formula>30</formula>
    </cfRule>
  </conditionalFormatting>
  <conditionalFormatting sqref="S50:S51">
    <cfRule type="cellIs" dxfId="17" priority="1" operator="between">
      <formula>64</formula>
      <formula>65</formula>
    </cfRule>
    <cfRule type="cellIs" dxfId="16" priority="2" operator="between">
      <formula>51</formula>
      <formula>59</formula>
    </cfRule>
    <cfRule type="cellIs" dxfId="15" priority="3" operator="between">
      <formula>60</formula>
      <formula>63</formula>
    </cfRule>
    <cfRule type="cellIs" dxfId="14" priority="4" operator="between">
      <formula>41</formula>
      <formula>50</formula>
    </cfRule>
    <cfRule type="cellIs" dxfId="13" priority="5" operator="between">
      <formula>31</formula>
      <formula>40</formula>
    </cfRule>
    <cfRule type="cellIs" dxfId="12" priority="6" operator="between">
      <formula>20</formula>
      <formula>30</formula>
    </cfRule>
  </conditionalFormatting>
  <dataValidations count="2">
    <dataValidation allowBlank="1" showInputMessage="1" showErrorMessage="1" sqref="J37:L37 J63:L63 G55:G58 H55:H58" xr:uid="{00000000-0002-0000-1600-000000000000}"/>
    <dataValidation type="decimal" operator="equal" allowBlank="1" showInputMessage="1" showErrorMessage="1" sqref="G11 H11 G12:G23 G24:G30 G31:G32 G50:G54 H12:H23 H24:H30 H31:H32 H50:H54 J1:L23 M1:Q23 J24:L36 M24:Q1048576 J38:L62 J64:L1048576" xr:uid="{00000000-0002-0000-1600-000001000000}">
      <formula1>0.321564875548787</formula1>
    </dataValidation>
  </dataValidations>
  <printOptions horizontalCentered="1" verticalCentered="1"/>
  <pageMargins left="0.2" right="0.18888888888888899" top="0.11874999999999999" bottom="0.109027777777778" header="0.5" footer="0.13888888888888901"/>
  <pageSetup paperSize="9" scale="90" orientation="landscape"/>
  <headerFooter alignWithMargins="0"/>
  <rowBreaks count="1" manualBreakCount="1">
    <brk id="39" max="11"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X72"/>
  <sheetViews>
    <sheetView topLeftCell="A22" zoomScale="115" zoomScaleNormal="115" workbookViewId="0">
      <selection activeCell="H60" sqref="H60"/>
    </sheetView>
  </sheetViews>
  <sheetFormatPr defaultColWidth="9.109375" defaultRowHeight="13.8"/>
  <cols>
    <col min="1" max="1" width="29.6640625" style="36" customWidth="1"/>
    <col min="2" max="2" width="17" style="36" customWidth="1"/>
    <col min="3" max="3" width="9.88671875" style="38" customWidth="1"/>
    <col min="4" max="4" width="9.88671875" style="39" customWidth="1"/>
    <col min="5" max="5" width="12.44140625" style="38" customWidth="1"/>
    <col min="6" max="6" width="12.44140625" style="40" customWidth="1"/>
    <col min="7" max="8" width="8.109375" style="36" customWidth="1"/>
    <col min="9" max="9" width="13" style="36" customWidth="1"/>
    <col min="10" max="11" width="9.33203125" style="41" customWidth="1"/>
    <col min="12" max="12" width="14.5546875" style="36" customWidth="1"/>
    <col min="13" max="15" width="3" style="36" customWidth="1"/>
    <col min="16" max="17" width="5" style="36" customWidth="1"/>
    <col min="18" max="18" width="13.5546875" style="36" customWidth="1"/>
    <col min="19" max="19" width="15.44140625" style="36" customWidth="1"/>
    <col min="20" max="16384" width="9.109375" style="36"/>
  </cols>
  <sheetData>
    <row r="1" spans="1:24" ht="23.4">
      <c r="A1" s="1121" t="s">
        <v>3330</v>
      </c>
      <c r="B1" s="1121"/>
      <c r="C1" s="1121"/>
      <c r="D1" s="1121"/>
      <c r="E1" s="1121"/>
      <c r="F1" s="1121"/>
      <c r="G1" s="1121"/>
      <c r="H1" s="1121"/>
      <c r="I1" s="1121"/>
      <c r="J1" s="1121"/>
      <c r="K1" s="1121"/>
      <c r="L1" s="1121"/>
    </row>
    <row r="2" spans="1:24">
      <c r="A2" s="1122" t="s">
        <v>3363</v>
      </c>
      <c r="B2" s="1122"/>
      <c r="C2" s="1122"/>
      <c r="D2" s="1122"/>
      <c r="E2" s="1122"/>
      <c r="F2" s="1122"/>
      <c r="G2" s="1122"/>
      <c r="H2" s="1122"/>
      <c r="I2" s="1122"/>
      <c r="J2" s="1122"/>
      <c r="K2" s="1122"/>
      <c r="L2" s="1122"/>
    </row>
    <row r="3" spans="1:24">
      <c r="F3" s="42"/>
      <c r="L3" s="83"/>
    </row>
    <row r="4" spans="1:24">
      <c r="A4" s="43" t="s">
        <v>3332</v>
      </c>
      <c r="B4" s="44"/>
      <c r="C4" s="45"/>
      <c r="D4" s="46"/>
      <c r="E4" s="47"/>
      <c r="F4" s="48" t="s">
        <v>3333</v>
      </c>
      <c r="G4" s="44"/>
      <c r="H4" s="44"/>
      <c r="I4" s="44"/>
      <c r="J4" s="84"/>
      <c r="K4" s="84"/>
      <c r="L4" s="85"/>
    </row>
    <row r="5" spans="1:24">
      <c r="A5" s="49"/>
      <c r="D5" s="41"/>
      <c r="F5" s="50"/>
      <c r="K5" s="86" t="s">
        <v>3334</v>
      </c>
      <c r="L5" s="87"/>
    </row>
    <row r="6" spans="1:24" ht="15.6">
      <c r="A6" s="49"/>
      <c r="F6" s="50"/>
      <c r="K6" s="88" t="s">
        <v>3335</v>
      </c>
      <c r="L6" s="87"/>
      <c r="N6" s="36">
        <v>25</v>
      </c>
    </row>
    <row r="7" spans="1:24" s="37" customFormat="1" ht="14.25" customHeight="1">
      <c r="A7" s="1134" t="s">
        <v>3336</v>
      </c>
      <c r="B7" s="1137" t="s">
        <v>3337</v>
      </c>
      <c r="C7" s="1123" t="s">
        <v>3338</v>
      </c>
      <c r="D7" s="1124"/>
      <c r="E7" s="1125"/>
      <c r="F7" s="1143" t="s">
        <v>3339</v>
      </c>
      <c r="G7" s="1126" t="s">
        <v>3340</v>
      </c>
      <c r="H7" s="1127"/>
      <c r="I7" s="89"/>
      <c r="J7" s="90" t="s">
        <v>3341</v>
      </c>
      <c r="K7" s="51"/>
      <c r="L7" s="91"/>
    </row>
    <row r="8" spans="1:24" s="37" customFormat="1" ht="12.75" customHeight="1">
      <c r="A8" s="1135"/>
      <c r="B8" s="1138"/>
      <c r="C8" s="1140" t="s">
        <v>3342</v>
      </c>
      <c r="D8" s="1140" t="s">
        <v>3343</v>
      </c>
      <c r="E8" s="1140" t="s">
        <v>3344</v>
      </c>
      <c r="F8" s="1144"/>
      <c r="G8" s="1106" t="s">
        <v>3345</v>
      </c>
      <c r="H8" s="1108"/>
      <c r="I8" s="1112" t="s">
        <v>3346</v>
      </c>
      <c r="J8" s="1115" t="s">
        <v>3347</v>
      </c>
      <c r="K8" s="1115" t="s">
        <v>3348</v>
      </c>
      <c r="L8" s="1103" t="s">
        <v>3346</v>
      </c>
    </row>
    <row r="9" spans="1:24" s="37" customFormat="1">
      <c r="A9" s="1135"/>
      <c r="B9" s="1138"/>
      <c r="C9" s="1141"/>
      <c r="D9" s="1141"/>
      <c r="E9" s="1141"/>
      <c r="F9" s="1144"/>
      <c r="G9" s="1109"/>
      <c r="H9" s="1111"/>
      <c r="I9" s="1113"/>
      <c r="J9" s="1116"/>
      <c r="K9" s="1116"/>
      <c r="L9" s="1104"/>
      <c r="M9" s="37">
        <v>1</v>
      </c>
      <c r="N9" s="50">
        <v>10</v>
      </c>
      <c r="O9" s="50">
        <v>15</v>
      </c>
      <c r="P9" s="37">
        <f>+YEAR(1)</f>
        <v>1900</v>
      </c>
    </row>
    <row r="10" spans="1:24" s="37" customFormat="1">
      <c r="A10" s="1136"/>
      <c r="B10" s="1139"/>
      <c r="C10" s="1142"/>
      <c r="D10" s="1142"/>
      <c r="E10" s="1142"/>
      <c r="F10" s="1145"/>
      <c r="G10" s="52" t="s">
        <v>3349</v>
      </c>
      <c r="H10" s="52" t="s">
        <v>3350</v>
      </c>
      <c r="I10" s="1114"/>
      <c r="J10" s="1117"/>
      <c r="K10" s="1117"/>
      <c r="L10" s="1105"/>
    </row>
    <row r="11" spans="1:24" s="37" customFormat="1">
      <c r="A11" s="53" t="s">
        <v>522</v>
      </c>
      <c r="B11" s="54" t="s">
        <v>3052</v>
      </c>
      <c r="C11" s="55">
        <v>21687</v>
      </c>
      <c r="D11" s="55">
        <v>31131</v>
      </c>
      <c r="E11" s="56">
        <v>44926</v>
      </c>
      <c r="F11" s="57">
        <v>110980</v>
      </c>
      <c r="G11" s="60">
        <v>75.975999999999999</v>
      </c>
      <c r="H11" s="60">
        <v>451</v>
      </c>
      <c r="I11" s="50">
        <f t="shared" ref="I11:I19" si="0">F11*(G11+H11)*0.0481927</f>
        <v>2818492.0586216957</v>
      </c>
      <c r="J11" s="76">
        <f t="shared" ref="J11:J19" si="1">DATEDIF(D11,E11,"Y")</f>
        <v>37</v>
      </c>
      <c r="K11" s="76">
        <f t="shared" ref="K11:K19" si="2">Q11</f>
        <v>49</v>
      </c>
      <c r="L11" s="92">
        <f t="shared" ref="L11:L19" si="3">+F11*K11</f>
        <v>5438020</v>
      </c>
      <c r="M11" s="36">
        <f t="shared" ref="M11:M19" si="4">IF(J11&gt;20,20,J11)</f>
        <v>20</v>
      </c>
      <c r="N11" s="36">
        <f t="shared" ref="N11:N19" si="5">IF((J11-M11)&gt;10,10,(J11-M11))</f>
        <v>10</v>
      </c>
      <c r="O11" s="36">
        <f t="shared" ref="O11:O19" si="6">+J11-M11-N11</f>
        <v>7</v>
      </c>
      <c r="P11" s="36">
        <f>SUM(M11:O11)</f>
        <v>37</v>
      </c>
      <c r="Q11" s="36">
        <f t="shared" ref="Q11:Q19" si="7">+M11+N11*1.5+O11*2</f>
        <v>49</v>
      </c>
    </row>
    <row r="12" spans="1:24">
      <c r="A12" s="53" t="s">
        <v>677</v>
      </c>
      <c r="B12" s="54" t="s">
        <v>1390</v>
      </c>
      <c r="C12" s="55">
        <v>21614</v>
      </c>
      <c r="D12" s="55">
        <v>32687</v>
      </c>
      <c r="E12" s="56">
        <v>44926</v>
      </c>
      <c r="F12" s="57">
        <v>70827</v>
      </c>
      <c r="G12" s="60">
        <v>91.325000000000003</v>
      </c>
      <c r="H12" s="60">
        <v>495.625</v>
      </c>
      <c r="I12" s="50">
        <f t="shared" si="0"/>
        <v>2003462.4738041551</v>
      </c>
      <c r="J12" s="76">
        <f t="shared" si="1"/>
        <v>33</v>
      </c>
      <c r="K12" s="76">
        <f t="shared" si="2"/>
        <v>41</v>
      </c>
      <c r="L12" s="92">
        <f t="shared" si="3"/>
        <v>2903907</v>
      </c>
      <c r="M12" s="36">
        <f t="shared" si="4"/>
        <v>20</v>
      </c>
      <c r="N12" s="36">
        <f t="shared" si="5"/>
        <v>10</v>
      </c>
      <c r="O12" s="36">
        <f t="shared" si="6"/>
        <v>3</v>
      </c>
      <c r="P12" s="36">
        <f>SUM(M12:O12)</f>
        <v>33</v>
      </c>
      <c r="Q12" s="36">
        <f t="shared" si="7"/>
        <v>41</v>
      </c>
      <c r="R12" s="100">
        <f ca="1">DATE(YEAR(NOW())+2,MONTH(C12),DAY(C12))</f>
        <v>46817</v>
      </c>
      <c r="S12" s="101">
        <f t="shared" ref="S12:S19" ca="1" si="8">DATEDIF(C12,TODAY(),"Y")</f>
        <v>67</v>
      </c>
      <c r="U12" s="36" t="s">
        <v>568</v>
      </c>
      <c r="V12" s="36" t="s">
        <v>1390</v>
      </c>
      <c r="W12" s="36">
        <v>22366</v>
      </c>
      <c r="X12" s="36">
        <v>32687</v>
      </c>
    </row>
    <row r="13" spans="1:24">
      <c r="A13" s="53" t="s">
        <v>842</v>
      </c>
      <c r="B13" s="54" t="s">
        <v>1390</v>
      </c>
      <c r="C13" s="55">
        <v>21810</v>
      </c>
      <c r="D13" s="55">
        <v>31138</v>
      </c>
      <c r="E13" s="56">
        <v>44926</v>
      </c>
      <c r="F13" s="57">
        <v>70827</v>
      </c>
      <c r="G13" s="60">
        <v>71.75</v>
      </c>
      <c r="H13" s="60">
        <v>349.25</v>
      </c>
      <c r="I13" s="50">
        <f t="shared" si="0"/>
        <v>1437017.9767809</v>
      </c>
      <c r="J13" s="76">
        <f t="shared" si="1"/>
        <v>37</v>
      </c>
      <c r="K13" s="76">
        <f t="shared" si="2"/>
        <v>49</v>
      </c>
      <c r="L13" s="92">
        <f t="shared" si="3"/>
        <v>3470523</v>
      </c>
      <c r="M13" s="36">
        <f t="shared" si="4"/>
        <v>20</v>
      </c>
      <c r="N13" s="36">
        <f t="shared" si="5"/>
        <v>10</v>
      </c>
      <c r="O13" s="36">
        <f t="shared" si="6"/>
        <v>7</v>
      </c>
      <c r="P13" s="36">
        <f>SUM(M13:O13)</f>
        <v>37</v>
      </c>
      <c r="Q13" s="36">
        <f t="shared" si="7"/>
        <v>49</v>
      </c>
      <c r="S13" s="101">
        <f t="shared" ca="1" si="8"/>
        <v>66</v>
      </c>
      <c r="U13" s="36" t="s">
        <v>608</v>
      </c>
      <c r="V13" s="36" t="s">
        <v>1388</v>
      </c>
      <c r="W13" s="36">
        <v>22631</v>
      </c>
      <c r="X13" s="36">
        <v>31845</v>
      </c>
    </row>
    <row r="14" spans="1:24">
      <c r="A14" s="53" t="s">
        <v>1366</v>
      </c>
      <c r="B14" s="54" t="s">
        <v>3352</v>
      </c>
      <c r="C14" s="55">
        <v>21829</v>
      </c>
      <c r="D14" s="55">
        <v>36356</v>
      </c>
      <c r="E14" s="56">
        <v>44926</v>
      </c>
      <c r="F14" s="57">
        <v>11732</v>
      </c>
      <c r="G14" s="60">
        <v>100.428</v>
      </c>
      <c r="H14" s="60">
        <v>280.5</v>
      </c>
      <c r="I14" s="50">
        <f t="shared" si="0"/>
        <v>215375.45562193918</v>
      </c>
      <c r="J14" s="76">
        <f t="shared" si="1"/>
        <v>23</v>
      </c>
      <c r="K14" s="76">
        <f t="shared" si="2"/>
        <v>24.5</v>
      </c>
      <c r="L14" s="92">
        <f t="shared" si="3"/>
        <v>287434</v>
      </c>
      <c r="M14" s="36">
        <f t="shared" si="4"/>
        <v>20</v>
      </c>
      <c r="N14" s="36">
        <f t="shared" si="5"/>
        <v>3</v>
      </c>
      <c r="O14" s="36">
        <f t="shared" si="6"/>
        <v>0</v>
      </c>
      <c r="P14" s="36">
        <f>SUM(M14:O14)</f>
        <v>23</v>
      </c>
      <c r="Q14" s="36">
        <f t="shared" si="7"/>
        <v>24.5</v>
      </c>
      <c r="S14" s="101">
        <f t="shared" ca="1" si="8"/>
        <v>66</v>
      </c>
      <c r="U14" s="36" t="s">
        <v>1407</v>
      </c>
      <c r="V14" s="36" t="s">
        <v>1388</v>
      </c>
      <c r="W14" s="36">
        <v>22412</v>
      </c>
      <c r="X14" s="36">
        <v>32767</v>
      </c>
    </row>
    <row r="15" spans="1:24">
      <c r="A15" s="53" t="s">
        <v>162</v>
      </c>
      <c r="B15" s="54" t="s">
        <v>1390</v>
      </c>
      <c r="C15" s="55">
        <v>21997</v>
      </c>
      <c r="D15" s="55">
        <v>32687</v>
      </c>
      <c r="E15" s="56">
        <v>44926</v>
      </c>
      <c r="F15" s="57">
        <v>70827</v>
      </c>
      <c r="G15" s="60">
        <v>74.738</v>
      </c>
      <c r="H15" s="60">
        <v>297.5</v>
      </c>
      <c r="I15" s="50">
        <f t="shared" si="0"/>
        <v>1270576.4789571702</v>
      </c>
      <c r="J15" s="76">
        <f t="shared" si="1"/>
        <v>33</v>
      </c>
      <c r="K15" s="76">
        <f t="shared" si="2"/>
        <v>41</v>
      </c>
      <c r="L15" s="92">
        <f t="shared" si="3"/>
        <v>2903907</v>
      </c>
      <c r="M15" s="36">
        <f t="shared" si="4"/>
        <v>20</v>
      </c>
      <c r="N15" s="36">
        <f t="shared" si="5"/>
        <v>10</v>
      </c>
      <c r="O15" s="36">
        <f t="shared" si="6"/>
        <v>3</v>
      </c>
      <c r="P15" s="36">
        <f>SUM(M15:O15)</f>
        <v>33</v>
      </c>
      <c r="Q15" s="36">
        <f t="shared" si="7"/>
        <v>41</v>
      </c>
      <c r="S15" s="101">
        <f t="shared" ca="1" si="8"/>
        <v>66</v>
      </c>
      <c r="U15" s="36" t="s">
        <v>687</v>
      </c>
      <c r="V15" s="36" t="s">
        <v>1388</v>
      </c>
      <c r="W15" s="36">
        <v>22595</v>
      </c>
      <c r="X15" s="36">
        <v>32687</v>
      </c>
    </row>
    <row r="16" spans="1:24">
      <c r="A16" s="53" t="s">
        <v>484</v>
      </c>
      <c r="B16" s="54" t="s">
        <v>3052</v>
      </c>
      <c r="C16" s="55">
        <v>22001</v>
      </c>
      <c r="D16" s="55">
        <v>32615</v>
      </c>
      <c r="E16" s="56">
        <v>44926</v>
      </c>
      <c r="F16" s="57">
        <v>112791</v>
      </c>
      <c r="G16" s="60">
        <v>63.88</v>
      </c>
      <c r="H16" s="60">
        <v>101.583</v>
      </c>
      <c r="I16" s="50">
        <f t="shared" si="0"/>
        <v>899407.696648799</v>
      </c>
      <c r="J16" s="76">
        <f t="shared" si="1"/>
        <v>33</v>
      </c>
      <c r="K16" s="76">
        <f t="shared" si="2"/>
        <v>41</v>
      </c>
      <c r="L16" s="92">
        <f t="shared" si="3"/>
        <v>4624431</v>
      </c>
      <c r="M16" s="36">
        <f t="shared" si="4"/>
        <v>20</v>
      </c>
      <c r="N16" s="36">
        <f t="shared" si="5"/>
        <v>10</v>
      </c>
      <c r="O16" s="36">
        <f t="shared" si="6"/>
        <v>3</v>
      </c>
      <c r="P16" s="36">
        <f t="shared" ref="P16:P19" si="9">SUM(M16:O16)</f>
        <v>33</v>
      </c>
      <c r="Q16" s="36">
        <f t="shared" si="7"/>
        <v>41</v>
      </c>
      <c r="S16" s="101">
        <f t="shared" ca="1" si="8"/>
        <v>65</v>
      </c>
      <c r="U16" s="36" t="s">
        <v>207</v>
      </c>
      <c r="V16" s="36" t="s">
        <v>1388</v>
      </c>
      <c r="W16" s="36">
        <v>22504</v>
      </c>
      <c r="X16" s="36">
        <v>36100</v>
      </c>
    </row>
    <row r="17" spans="1:24">
      <c r="A17" s="53" t="s">
        <v>543</v>
      </c>
      <c r="B17" s="54" t="s">
        <v>1390</v>
      </c>
      <c r="C17" s="55">
        <v>22046</v>
      </c>
      <c r="D17" s="55">
        <v>32687</v>
      </c>
      <c r="E17" s="56">
        <v>44926</v>
      </c>
      <c r="F17" s="57">
        <v>70827</v>
      </c>
      <c r="G17" s="60">
        <v>66.582999999999998</v>
      </c>
      <c r="H17" s="60">
        <v>410.375</v>
      </c>
      <c r="I17" s="50">
        <f t="shared" si="0"/>
        <v>1628021.9006400579</v>
      </c>
      <c r="J17" s="76">
        <f t="shared" si="1"/>
        <v>33</v>
      </c>
      <c r="K17" s="76">
        <f t="shared" si="2"/>
        <v>41</v>
      </c>
      <c r="L17" s="92">
        <f t="shared" si="3"/>
        <v>2903907</v>
      </c>
      <c r="M17" s="36">
        <f t="shared" si="4"/>
        <v>20</v>
      </c>
      <c r="N17" s="36">
        <f t="shared" si="5"/>
        <v>10</v>
      </c>
      <c r="O17" s="36">
        <f t="shared" si="6"/>
        <v>3</v>
      </c>
      <c r="P17" s="36">
        <f t="shared" si="9"/>
        <v>33</v>
      </c>
      <c r="Q17" s="36">
        <f t="shared" si="7"/>
        <v>41</v>
      </c>
      <c r="S17" s="101">
        <f t="shared" ca="1" si="8"/>
        <v>65</v>
      </c>
      <c r="U17" s="36" t="s">
        <v>886</v>
      </c>
      <c r="V17" s="36" t="s">
        <v>1388</v>
      </c>
      <c r="W17" s="36">
        <v>22312</v>
      </c>
      <c r="X17" s="36">
        <v>32251</v>
      </c>
    </row>
    <row r="18" spans="1:24">
      <c r="A18" s="53" t="s">
        <v>585</v>
      </c>
      <c r="B18" s="54" t="s">
        <v>1390</v>
      </c>
      <c r="C18" s="55">
        <v>21960</v>
      </c>
      <c r="D18" s="55">
        <v>32687</v>
      </c>
      <c r="E18" s="56">
        <v>44926</v>
      </c>
      <c r="F18" s="57">
        <v>70827</v>
      </c>
      <c r="G18" s="60">
        <v>100.063</v>
      </c>
      <c r="H18" s="60">
        <v>432.5</v>
      </c>
      <c r="I18" s="50">
        <f t="shared" si="0"/>
        <v>1817820.9139391123</v>
      </c>
      <c r="J18" s="76">
        <f t="shared" si="1"/>
        <v>33</v>
      </c>
      <c r="K18" s="76">
        <f t="shared" si="2"/>
        <v>41</v>
      </c>
      <c r="L18" s="92">
        <f t="shared" si="3"/>
        <v>2903907</v>
      </c>
      <c r="M18" s="36">
        <f t="shared" si="4"/>
        <v>20</v>
      </c>
      <c r="N18" s="36">
        <f t="shared" si="5"/>
        <v>10</v>
      </c>
      <c r="O18" s="36">
        <f t="shared" si="6"/>
        <v>3</v>
      </c>
      <c r="P18" s="36">
        <f t="shared" si="9"/>
        <v>33</v>
      </c>
      <c r="Q18" s="36">
        <f t="shared" si="7"/>
        <v>41</v>
      </c>
      <c r="S18" s="101">
        <f t="shared" ca="1" si="8"/>
        <v>66</v>
      </c>
      <c r="U18" s="36" t="s">
        <v>257</v>
      </c>
      <c r="V18" s="36" t="s">
        <v>1388</v>
      </c>
      <c r="W18" s="36">
        <v>22338</v>
      </c>
      <c r="X18" s="36">
        <v>31719</v>
      </c>
    </row>
    <row r="19" spans="1:24" ht="12.75" customHeight="1">
      <c r="A19" s="53" t="s">
        <v>425</v>
      </c>
      <c r="B19" s="54" t="s">
        <v>3360</v>
      </c>
      <c r="C19" s="55">
        <v>22132</v>
      </c>
      <c r="D19" s="55">
        <v>32371</v>
      </c>
      <c r="E19" s="56">
        <v>44926</v>
      </c>
      <c r="F19" s="57">
        <v>13152</v>
      </c>
      <c r="G19" s="60">
        <v>187.00200000000001</v>
      </c>
      <c r="H19" s="60">
        <v>491.625</v>
      </c>
      <c r="I19" s="50">
        <f t="shared" si="0"/>
        <v>430134.41634598078</v>
      </c>
      <c r="J19" s="76">
        <f t="shared" si="1"/>
        <v>34</v>
      </c>
      <c r="K19" s="76">
        <f t="shared" si="2"/>
        <v>43</v>
      </c>
      <c r="L19" s="92">
        <f t="shared" si="3"/>
        <v>565536</v>
      </c>
      <c r="M19" s="36">
        <f t="shared" si="4"/>
        <v>20</v>
      </c>
      <c r="N19" s="36">
        <f t="shared" si="5"/>
        <v>10</v>
      </c>
      <c r="O19" s="36">
        <f t="shared" si="6"/>
        <v>4</v>
      </c>
      <c r="P19" s="36">
        <f t="shared" si="9"/>
        <v>34</v>
      </c>
      <c r="Q19" s="36">
        <f t="shared" si="7"/>
        <v>43</v>
      </c>
      <c r="S19" s="101">
        <f t="shared" ca="1" si="8"/>
        <v>65</v>
      </c>
      <c r="V19" s="102"/>
      <c r="W19" s="36">
        <f>312.625+(15*5)</f>
        <v>387.625</v>
      </c>
    </row>
    <row r="20" spans="1:24">
      <c r="A20" s="53" t="s">
        <v>1455</v>
      </c>
      <c r="B20" s="54" t="s">
        <v>1390</v>
      </c>
      <c r="C20" s="55">
        <v>22163</v>
      </c>
      <c r="D20" s="55">
        <v>30133</v>
      </c>
      <c r="E20" s="56">
        <v>44926</v>
      </c>
      <c r="F20" s="57">
        <v>70827</v>
      </c>
      <c r="G20" s="60">
        <v>100.529</v>
      </c>
      <c r="H20" s="60">
        <v>361.5</v>
      </c>
      <c r="I20" s="50">
        <f t="shared" ref="I20:I38" si="10">F20*(G20+H20)*0.0481927</f>
        <v>1577064.0826463241</v>
      </c>
      <c r="J20" s="76">
        <f t="shared" ref="J20:J38" si="11">DATEDIF(D20,E20,"Y")</f>
        <v>40</v>
      </c>
      <c r="K20" s="76">
        <f t="shared" ref="K20:K38" si="12">Q20</f>
        <v>55</v>
      </c>
      <c r="L20" s="92">
        <f t="shared" ref="L20:L38" si="13">+F20*K20</f>
        <v>3895485</v>
      </c>
      <c r="M20" s="36">
        <f t="shared" ref="M20:M38" si="14">IF(J20&gt;20,20,J20)</f>
        <v>20</v>
      </c>
      <c r="N20" s="36">
        <f t="shared" ref="N20:N38" si="15">IF((J20-M20)&gt;10,10,(J20-M20))</f>
        <v>10</v>
      </c>
      <c r="O20" s="36">
        <f t="shared" ref="O20:O38" si="16">+J20-M20-N20</f>
        <v>10</v>
      </c>
      <c r="P20" s="36">
        <f t="shared" ref="P20:P27" si="17">SUM(M20:O20)</f>
        <v>40</v>
      </c>
      <c r="Q20" s="36">
        <f t="shared" ref="Q20:Q38" si="18">+M20+N20*1.5+O20*2</f>
        <v>55</v>
      </c>
      <c r="S20" s="101">
        <f t="shared" ref="S20:S32" ca="1" si="19">DATEDIF(C20,TODAY(),"Y")</f>
        <v>65</v>
      </c>
      <c r="U20" s="36" t="s">
        <v>1375</v>
      </c>
      <c r="V20" s="36" t="s">
        <v>3031</v>
      </c>
      <c r="W20" s="36">
        <v>22444</v>
      </c>
      <c r="X20" s="36">
        <v>34408</v>
      </c>
    </row>
    <row r="21" spans="1:24">
      <c r="A21" s="53" t="s">
        <v>1221</v>
      </c>
      <c r="B21" s="54" t="s">
        <v>1880</v>
      </c>
      <c r="C21" s="55">
        <v>22138</v>
      </c>
      <c r="D21" s="55">
        <v>30926</v>
      </c>
      <c r="E21" s="56">
        <v>44926</v>
      </c>
      <c r="F21" s="57">
        <v>57293</v>
      </c>
      <c r="G21" s="60">
        <v>68.239000000000004</v>
      </c>
      <c r="H21" s="60">
        <v>300.16800000000001</v>
      </c>
      <c r="I21" s="50">
        <f t="shared" si="10"/>
        <v>1017210.1743597678</v>
      </c>
      <c r="J21" s="76">
        <f t="shared" si="11"/>
        <v>38</v>
      </c>
      <c r="K21" s="76">
        <f t="shared" si="12"/>
        <v>51</v>
      </c>
      <c r="L21" s="92">
        <f t="shared" si="13"/>
        <v>2921943</v>
      </c>
      <c r="M21" s="36">
        <f t="shared" si="14"/>
        <v>20</v>
      </c>
      <c r="N21" s="36">
        <f t="shared" si="15"/>
        <v>10</v>
      </c>
      <c r="O21" s="36">
        <f t="shared" si="16"/>
        <v>8</v>
      </c>
      <c r="P21" s="36">
        <f t="shared" si="17"/>
        <v>38</v>
      </c>
      <c r="Q21" s="36">
        <f t="shared" si="18"/>
        <v>51</v>
      </c>
      <c r="S21" s="101">
        <f t="shared" ca="1" si="19"/>
        <v>65</v>
      </c>
    </row>
    <row r="22" spans="1:24">
      <c r="A22" s="53" t="s">
        <v>568</v>
      </c>
      <c r="B22" s="54" t="s">
        <v>1390</v>
      </c>
      <c r="C22" s="55">
        <v>22366</v>
      </c>
      <c r="D22" s="55">
        <v>32687</v>
      </c>
      <c r="E22" s="56">
        <v>44926</v>
      </c>
      <c r="F22" s="57">
        <v>70827</v>
      </c>
      <c r="G22" s="60">
        <v>67.108999999999995</v>
      </c>
      <c r="H22" s="60">
        <v>450.625</v>
      </c>
      <c r="I22" s="50">
        <f t="shared" si="10"/>
        <v>1767204.4303816685</v>
      </c>
      <c r="J22" s="76">
        <f t="shared" si="11"/>
        <v>33</v>
      </c>
      <c r="K22" s="76">
        <f t="shared" si="12"/>
        <v>41</v>
      </c>
      <c r="L22" s="92">
        <f t="shared" si="13"/>
        <v>2903907</v>
      </c>
      <c r="M22" s="36">
        <f t="shared" si="14"/>
        <v>20</v>
      </c>
      <c r="N22" s="36">
        <f t="shared" si="15"/>
        <v>10</v>
      </c>
      <c r="O22" s="36">
        <f t="shared" si="16"/>
        <v>3</v>
      </c>
      <c r="P22" s="36">
        <f t="shared" si="17"/>
        <v>33</v>
      </c>
      <c r="Q22" s="36">
        <f t="shared" si="18"/>
        <v>41</v>
      </c>
      <c r="S22" s="101">
        <f t="shared" ca="1" si="19"/>
        <v>64</v>
      </c>
    </row>
    <row r="23" spans="1:24">
      <c r="A23" s="53" t="s">
        <v>1407</v>
      </c>
      <c r="B23" s="54" t="s">
        <v>1390</v>
      </c>
      <c r="C23" s="55">
        <v>22412</v>
      </c>
      <c r="D23" s="55">
        <v>32767</v>
      </c>
      <c r="E23" s="56">
        <v>44926</v>
      </c>
      <c r="F23" s="57">
        <v>70827</v>
      </c>
      <c r="G23" s="60">
        <v>65.510000000000005</v>
      </c>
      <c r="H23" s="60">
        <v>390.33300000000003</v>
      </c>
      <c r="I23" s="50">
        <f t="shared" si="10"/>
        <v>1555949.1344174247</v>
      </c>
      <c r="J23" s="76">
        <f t="shared" si="11"/>
        <v>33</v>
      </c>
      <c r="K23" s="76">
        <f t="shared" si="12"/>
        <v>41</v>
      </c>
      <c r="L23" s="92">
        <f t="shared" si="13"/>
        <v>2903907</v>
      </c>
      <c r="M23" s="36">
        <f t="shared" si="14"/>
        <v>20</v>
      </c>
      <c r="N23" s="36">
        <f t="shared" si="15"/>
        <v>10</v>
      </c>
      <c r="O23" s="36">
        <f t="shared" si="16"/>
        <v>3</v>
      </c>
      <c r="P23" s="36">
        <f t="shared" si="17"/>
        <v>33</v>
      </c>
      <c r="Q23" s="36">
        <f t="shared" si="18"/>
        <v>41</v>
      </c>
      <c r="S23" s="101">
        <f t="shared" ca="1" si="19"/>
        <v>64</v>
      </c>
    </row>
    <row r="24" spans="1:24">
      <c r="A24" s="53" t="s">
        <v>687</v>
      </c>
      <c r="B24" s="54" t="s">
        <v>1390</v>
      </c>
      <c r="C24" s="55">
        <v>22595</v>
      </c>
      <c r="D24" s="55">
        <v>32687</v>
      </c>
      <c r="E24" s="56">
        <v>44926</v>
      </c>
      <c r="F24" s="57">
        <v>70827</v>
      </c>
      <c r="G24" s="60">
        <v>64.540999999999997</v>
      </c>
      <c r="H24" s="60">
        <v>279.209</v>
      </c>
      <c r="I24" s="50">
        <f t="shared" si="10"/>
        <v>1173337.1247468749</v>
      </c>
      <c r="J24" s="76">
        <f t="shared" si="11"/>
        <v>33</v>
      </c>
      <c r="K24" s="76">
        <f t="shared" si="12"/>
        <v>41</v>
      </c>
      <c r="L24" s="92">
        <f t="shared" si="13"/>
        <v>2903907</v>
      </c>
      <c r="M24" s="36">
        <f t="shared" si="14"/>
        <v>20</v>
      </c>
      <c r="N24" s="36">
        <f t="shared" si="15"/>
        <v>10</v>
      </c>
      <c r="O24" s="36">
        <f t="shared" si="16"/>
        <v>3</v>
      </c>
      <c r="P24" s="36">
        <f t="shared" si="17"/>
        <v>33</v>
      </c>
      <c r="Q24" s="36">
        <f t="shared" si="18"/>
        <v>41</v>
      </c>
      <c r="S24" s="101">
        <f t="shared" ca="1" si="19"/>
        <v>64</v>
      </c>
    </row>
    <row r="25" spans="1:24">
      <c r="A25" s="53" t="s">
        <v>724</v>
      </c>
      <c r="B25" s="54" t="s">
        <v>1390</v>
      </c>
      <c r="C25" s="55">
        <v>22384</v>
      </c>
      <c r="D25" s="55">
        <v>30391</v>
      </c>
      <c r="E25" s="56">
        <v>44926</v>
      </c>
      <c r="F25" s="57">
        <v>70827</v>
      </c>
      <c r="G25" s="60">
        <v>71.278000000000006</v>
      </c>
      <c r="H25" s="60">
        <v>115.833</v>
      </c>
      <c r="I25" s="50">
        <f t="shared" si="10"/>
        <v>638674.2770865818</v>
      </c>
      <c r="J25" s="76">
        <f t="shared" si="11"/>
        <v>39</v>
      </c>
      <c r="K25" s="76">
        <f t="shared" si="12"/>
        <v>53</v>
      </c>
      <c r="L25" s="92">
        <f t="shared" si="13"/>
        <v>3753831</v>
      </c>
      <c r="M25" s="36">
        <f t="shared" si="14"/>
        <v>20</v>
      </c>
      <c r="N25" s="36">
        <f t="shared" si="15"/>
        <v>10</v>
      </c>
      <c r="O25" s="36">
        <f t="shared" si="16"/>
        <v>9</v>
      </c>
      <c r="P25" s="36">
        <f t="shared" si="17"/>
        <v>39</v>
      </c>
      <c r="Q25" s="36">
        <f t="shared" si="18"/>
        <v>53</v>
      </c>
      <c r="S25" s="101">
        <f t="shared" ca="1" si="19"/>
        <v>64</v>
      </c>
    </row>
    <row r="26" spans="1:24">
      <c r="A26" s="53" t="s">
        <v>207</v>
      </c>
      <c r="B26" s="54" t="s">
        <v>1388</v>
      </c>
      <c r="C26" s="55">
        <v>22504</v>
      </c>
      <c r="D26" s="55">
        <v>36100</v>
      </c>
      <c r="E26" s="56">
        <v>44926</v>
      </c>
      <c r="F26" s="57">
        <v>57293</v>
      </c>
      <c r="G26" s="60">
        <v>90.122</v>
      </c>
      <c r="H26" s="60">
        <v>193.542</v>
      </c>
      <c r="I26" s="50">
        <f t="shared" si="10"/>
        <v>783225.9074870703</v>
      </c>
      <c r="J26" s="76">
        <f t="shared" si="11"/>
        <v>24</v>
      </c>
      <c r="K26" s="76">
        <f t="shared" si="12"/>
        <v>26</v>
      </c>
      <c r="L26" s="92">
        <f t="shared" si="13"/>
        <v>1489618</v>
      </c>
      <c r="M26" s="36">
        <f t="shared" si="14"/>
        <v>20</v>
      </c>
      <c r="N26" s="36">
        <f t="shared" si="15"/>
        <v>4</v>
      </c>
      <c r="O26" s="36">
        <f t="shared" si="16"/>
        <v>0</v>
      </c>
      <c r="P26" s="36">
        <f t="shared" si="17"/>
        <v>24</v>
      </c>
      <c r="Q26" s="36">
        <f t="shared" si="18"/>
        <v>26</v>
      </c>
      <c r="S26" s="101">
        <f t="shared" ca="1" si="19"/>
        <v>64</v>
      </c>
    </row>
    <row r="27" spans="1:24">
      <c r="A27" s="53" t="s">
        <v>886</v>
      </c>
      <c r="B27" s="54" t="s">
        <v>1390</v>
      </c>
      <c r="C27" s="55">
        <v>22312</v>
      </c>
      <c r="D27" s="55">
        <v>32251</v>
      </c>
      <c r="E27" s="56">
        <v>44926</v>
      </c>
      <c r="F27" s="57">
        <v>70827</v>
      </c>
      <c r="G27" s="60">
        <v>67.650999999999996</v>
      </c>
      <c r="H27" s="60">
        <v>294.5</v>
      </c>
      <c r="I27" s="50">
        <f t="shared" si="10"/>
        <v>1236146.0743685979</v>
      </c>
      <c r="J27" s="76">
        <f t="shared" si="11"/>
        <v>34</v>
      </c>
      <c r="K27" s="76">
        <f t="shared" si="12"/>
        <v>43</v>
      </c>
      <c r="L27" s="92">
        <f t="shared" si="13"/>
        <v>3045561</v>
      </c>
      <c r="M27" s="36">
        <f t="shared" si="14"/>
        <v>20</v>
      </c>
      <c r="N27" s="36">
        <f t="shared" si="15"/>
        <v>10</v>
      </c>
      <c r="O27" s="36">
        <f t="shared" si="16"/>
        <v>4</v>
      </c>
      <c r="P27" s="36">
        <f t="shared" si="17"/>
        <v>34</v>
      </c>
      <c r="Q27" s="36">
        <f t="shared" si="18"/>
        <v>43</v>
      </c>
      <c r="S27" s="101">
        <f t="shared" ca="1" si="19"/>
        <v>65</v>
      </c>
    </row>
    <row r="28" spans="1:24" ht="12.75" customHeight="1">
      <c r="A28" s="53" t="s">
        <v>257</v>
      </c>
      <c r="B28" s="54" t="s">
        <v>1390</v>
      </c>
      <c r="C28" s="55">
        <v>22338</v>
      </c>
      <c r="D28" s="55">
        <v>31719</v>
      </c>
      <c r="E28" s="56">
        <v>44926</v>
      </c>
      <c r="F28" s="57">
        <v>70827</v>
      </c>
      <c r="G28" s="60">
        <v>64.117000000000004</v>
      </c>
      <c r="H28" s="60">
        <v>226</v>
      </c>
      <c r="I28" s="50">
        <f t="shared" si="10"/>
        <v>990269.22653145925</v>
      </c>
      <c r="J28" s="76">
        <f t="shared" si="11"/>
        <v>36</v>
      </c>
      <c r="K28" s="76">
        <f t="shared" si="12"/>
        <v>47</v>
      </c>
      <c r="L28" s="92">
        <f t="shared" si="13"/>
        <v>3328869</v>
      </c>
      <c r="M28" s="36">
        <f t="shared" si="14"/>
        <v>20</v>
      </c>
      <c r="N28" s="36">
        <f t="shared" si="15"/>
        <v>10</v>
      </c>
      <c r="O28" s="36">
        <f t="shared" si="16"/>
        <v>6</v>
      </c>
      <c r="P28" s="36">
        <f t="shared" ref="P28:P38" si="20">SUM(M28:O28)</f>
        <v>36</v>
      </c>
      <c r="Q28" s="36">
        <f t="shared" si="18"/>
        <v>47</v>
      </c>
      <c r="S28" s="101">
        <f t="shared" ca="1" si="19"/>
        <v>65</v>
      </c>
    </row>
    <row r="29" spans="1:24" ht="12.75" customHeight="1">
      <c r="A29" s="53" t="s">
        <v>1375</v>
      </c>
      <c r="B29" s="54" t="s">
        <v>3031</v>
      </c>
      <c r="C29" s="55">
        <v>22444</v>
      </c>
      <c r="D29" s="55">
        <v>34408</v>
      </c>
      <c r="E29" s="56">
        <v>44926</v>
      </c>
      <c r="F29" s="57">
        <v>11732</v>
      </c>
      <c r="G29" s="60">
        <v>94.87</v>
      </c>
      <c r="H29" s="60">
        <v>310.20800000000003</v>
      </c>
      <c r="I29" s="50">
        <f t="shared" si="10"/>
        <v>229029.78728899918</v>
      </c>
      <c r="J29" s="76">
        <f t="shared" si="11"/>
        <v>28</v>
      </c>
      <c r="K29" s="76">
        <f t="shared" si="12"/>
        <v>32</v>
      </c>
      <c r="L29" s="92">
        <f t="shared" si="13"/>
        <v>375424</v>
      </c>
      <c r="M29" s="36">
        <f t="shared" si="14"/>
        <v>20</v>
      </c>
      <c r="N29" s="36">
        <f t="shared" si="15"/>
        <v>8</v>
      </c>
      <c r="O29" s="36">
        <f t="shared" si="16"/>
        <v>0</v>
      </c>
      <c r="P29" s="36">
        <f t="shared" si="20"/>
        <v>28</v>
      </c>
      <c r="Q29" s="36">
        <f t="shared" si="18"/>
        <v>32</v>
      </c>
      <c r="S29" s="101">
        <f t="shared" ca="1" si="19"/>
        <v>64</v>
      </c>
    </row>
    <row r="30" spans="1:24" ht="12.75" customHeight="1">
      <c r="A30" s="53" t="s">
        <v>820</v>
      </c>
      <c r="B30" s="54" t="s">
        <v>1390</v>
      </c>
      <c r="C30" s="55">
        <v>22947</v>
      </c>
      <c r="D30" s="55">
        <v>32687</v>
      </c>
      <c r="E30" s="56">
        <v>44926</v>
      </c>
      <c r="F30" s="57">
        <v>66385</v>
      </c>
      <c r="G30" s="60">
        <f>14.617+(10*5)</f>
        <v>64.617000000000004</v>
      </c>
      <c r="H30" s="60">
        <f>90.625+(15*5)</f>
        <v>165.625</v>
      </c>
      <c r="I30" s="50">
        <f t="shared" si="10"/>
        <v>736606.87350325903</v>
      </c>
      <c r="J30" s="76">
        <f t="shared" si="11"/>
        <v>33</v>
      </c>
      <c r="K30" s="76">
        <f t="shared" si="12"/>
        <v>41</v>
      </c>
      <c r="L30" s="92">
        <f t="shared" si="13"/>
        <v>2721785</v>
      </c>
      <c r="M30" s="36">
        <f t="shared" si="14"/>
        <v>20</v>
      </c>
      <c r="N30" s="36">
        <f t="shared" si="15"/>
        <v>10</v>
      </c>
      <c r="O30" s="36">
        <f t="shared" si="16"/>
        <v>3</v>
      </c>
      <c r="P30" s="36">
        <f t="shared" si="20"/>
        <v>33</v>
      </c>
      <c r="Q30" s="36">
        <f t="shared" si="18"/>
        <v>41</v>
      </c>
      <c r="S30" s="101">
        <f t="shared" ca="1" si="19"/>
        <v>63</v>
      </c>
    </row>
    <row r="31" spans="1:24" ht="12.75" customHeight="1">
      <c r="A31" s="53" t="s">
        <v>881</v>
      </c>
      <c r="B31" s="54" t="s">
        <v>1390</v>
      </c>
      <c r="C31" s="55">
        <v>22868</v>
      </c>
      <c r="D31" s="55">
        <v>31336</v>
      </c>
      <c r="E31" s="56">
        <v>44926</v>
      </c>
      <c r="F31" s="57">
        <v>66385</v>
      </c>
      <c r="G31" s="60">
        <f>4.159+(10*5)</f>
        <v>54.158999999999999</v>
      </c>
      <c r="H31" s="60">
        <f>173.625+(15*5)</f>
        <v>248.625</v>
      </c>
      <c r="I31" s="50">
        <f t="shared" si="10"/>
        <v>968688.4911823679</v>
      </c>
      <c r="J31" s="76">
        <f t="shared" si="11"/>
        <v>37</v>
      </c>
      <c r="K31" s="76">
        <f t="shared" si="12"/>
        <v>49</v>
      </c>
      <c r="L31" s="92">
        <f t="shared" si="13"/>
        <v>3252865</v>
      </c>
      <c r="M31" s="36">
        <f t="shared" si="14"/>
        <v>20</v>
      </c>
      <c r="N31" s="36">
        <f t="shared" si="15"/>
        <v>10</v>
      </c>
      <c r="O31" s="36">
        <f t="shared" si="16"/>
        <v>7</v>
      </c>
      <c r="P31" s="36">
        <f t="shared" si="20"/>
        <v>37</v>
      </c>
      <c r="Q31" s="36">
        <f t="shared" si="18"/>
        <v>49</v>
      </c>
      <c r="S31" s="101">
        <f t="shared" ca="1" si="19"/>
        <v>63</v>
      </c>
    </row>
    <row r="32" spans="1:24" ht="12.75" customHeight="1">
      <c r="A32" s="53" t="s">
        <v>1453</v>
      </c>
      <c r="B32" s="54" t="s">
        <v>1390</v>
      </c>
      <c r="C32" s="55">
        <v>22866</v>
      </c>
      <c r="D32" s="55">
        <v>31371</v>
      </c>
      <c r="E32" s="56">
        <v>44926</v>
      </c>
      <c r="F32" s="57">
        <v>66385</v>
      </c>
      <c r="G32" s="60">
        <f>52.864+(10*5)</f>
        <v>102.864</v>
      </c>
      <c r="H32" s="60">
        <f>312.625+(15*5)</f>
        <v>387.625</v>
      </c>
      <c r="I32" s="50">
        <f t="shared" si="10"/>
        <v>1569207.9150534654</v>
      </c>
      <c r="J32" s="76">
        <f t="shared" si="11"/>
        <v>37</v>
      </c>
      <c r="K32" s="76">
        <f t="shared" si="12"/>
        <v>49</v>
      </c>
      <c r="L32" s="92">
        <f t="shared" si="13"/>
        <v>3252865</v>
      </c>
      <c r="M32" s="36">
        <f t="shared" si="14"/>
        <v>20</v>
      </c>
      <c r="N32" s="36">
        <f t="shared" si="15"/>
        <v>10</v>
      </c>
      <c r="O32" s="36">
        <f t="shared" si="16"/>
        <v>7</v>
      </c>
      <c r="P32" s="36">
        <f t="shared" si="20"/>
        <v>37</v>
      </c>
      <c r="Q32" s="36">
        <f t="shared" si="18"/>
        <v>49</v>
      </c>
      <c r="S32" s="101">
        <f t="shared" ca="1" si="19"/>
        <v>63</v>
      </c>
    </row>
    <row r="33" spans="1:23" ht="12.75" customHeight="1">
      <c r="A33" s="53" t="s">
        <v>943</v>
      </c>
      <c r="B33" s="54" t="s">
        <v>1390</v>
      </c>
      <c r="C33" s="55">
        <v>22989</v>
      </c>
      <c r="D33" s="55">
        <v>31414</v>
      </c>
      <c r="E33" s="56">
        <v>44926</v>
      </c>
      <c r="F33" s="57">
        <v>66385</v>
      </c>
      <c r="G33" s="60">
        <f>8.719+(10*5)</f>
        <v>58.719000000000001</v>
      </c>
      <c r="H33" s="60">
        <f>265.959+(15*5)</f>
        <v>340.959</v>
      </c>
      <c r="I33" s="50">
        <f t="shared" si="10"/>
        <v>1278678.7900905809</v>
      </c>
      <c r="J33" s="76">
        <f t="shared" si="11"/>
        <v>36</v>
      </c>
      <c r="K33" s="76">
        <f t="shared" si="12"/>
        <v>47</v>
      </c>
      <c r="L33" s="92">
        <f t="shared" si="13"/>
        <v>3120095</v>
      </c>
      <c r="M33" s="36">
        <f t="shared" si="14"/>
        <v>20</v>
      </c>
      <c r="N33" s="36">
        <f t="shared" si="15"/>
        <v>10</v>
      </c>
      <c r="O33" s="36">
        <f t="shared" si="16"/>
        <v>6</v>
      </c>
      <c r="P33" s="36">
        <f t="shared" si="20"/>
        <v>36</v>
      </c>
      <c r="Q33" s="36">
        <f t="shared" si="18"/>
        <v>47</v>
      </c>
      <c r="S33" s="101"/>
      <c r="V33" s="102"/>
      <c r="W33" s="36">
        <f>75.752+(15*5)</f>
        <v>150.75200000000001</v>
      </c>
    </row>
    <row r="34" spans="1:23" ht="12.75" customHeight="1">
      <c r="A34" s="53" t="s">
        <v>1188</v>
      </c>
      <c r="B34" s="54" t="s">
        <v>1880</v>
      </c>
      <c r="C34" s="55">
        <v>22725</v>
      </c>
      <c r="D34" s="55">
        <v>31049</v>
      </c>
      <c r="E34" s="56">
        <v>44926</v>
      </c>
      <c r="F34" s="57">
        <v>17848</v>
      </c>
      <c r="G34" s="60">
        <f>8.366+(10*5)</f>
        <v>58.366</v>
      </c>
      <c r="H34" s="60">
        <f>227.5+(15*5)</f>
        <v>302.5</v>
      </c>
      <c r="I34" s="50">
        <f t="shared" si="10"/>
        <v>310396.47556211357</v>
      </c>
      <c r="J34" s="76">
        <f t="shared" si="11"/>
        <v>37</v>
      </c>
      <c r="K34" s="76">
        <f t="shared" si="12"/>
        <v>49</v>
      </c>
      <c r="L34" s="92">
        <f t="shared" si="13"/>
        <v>874552</v>
      </c>
      <c r="M34" s="36">
        <f t="shared" si="14"/>
        <v>20</v>
      </c>
      <c r="N34" s="36">
        <f t="shared" si="15"/>
        <v>10</v>
      </c>
      <c r="O34" s="36">
        <f t="shared" si="16"/>
        <v>7</v>
      </c>
      <c r="P34" s="36">
        <f t="shared" si="20"/>
        <v>37</v>
      </c>
      <c r="Q34" s="36">
        <f t="shared" si="18"/>
        <v>49</v>
      </c>
      <c r="S34" s="101"/>
      <c r="V34" s="102"/>
      <c r="W34" s="36">
        <f>90.625+(15*5)</f>
        <v>165.625</v>
      </c>
    </row>
    <row r="35" spans="1:23" ht="12.75" customHeight="1">
      <c r="A35" s="53" t="s">
        <v>1298</v>
      </c>
      <c r="B35" s="54" t="s">
        <v>3034</v>
      </c>
      <c r="C35" s="55">
        <v>22999</v>
      </c>
      <c r="D35" s="55">
        <v>32580</v>
      </c>
      <c r="E35" s="56">
        <v>44926</v>
      </c>
      <c r="F35" s="57">
        <v>12407</v>
      </c>
      <c r="G35" s="60">
        <f>9.094+(10*5)</f>
        <v>59.094000000000001</v>
      </c>
      <c r="H35" s="60">
        <f>102.042+(15*5)</f>
        <v>177.042</v>
      </c>
      <c r="I35" s="50">
        <f t="shared" si="10"/>
        <v>141192.04966913039</v>
      </c>
      <c r="J35" s="76">
        <f t="shared" si="11"/>
        <v>33</v>
      </c>
      <c r="K35" s="76">
        <f t="shared" si="12"/>
        <v>41</v>
      </c>
      <c r="L35" s="92">
        <f t="shared" si="13"/>
        <v>508687</v>
      </c>
      <c r="M35" s="36">
        <f t="shared" si="14"/>
        <v>20</v>
      </c>
      <c r="N35" s="36">
        <f t="shared" si="15"/>
        <v>10</v>
      </c>
      <c r="O35" s="36">
        <f t="shared" si="16"/>
        <v>3</v>
      </c>
      <c r="P35" s="36">
        <f t="shared" si="20"/>
        <v>33</v>
      </c>
      <c r="Q35" s="36">
        <f t="shared" si="18"/>
        <v>41</v>
      </c>
      <c r="S35" s="101"/>
      <c r="V35" s="102"/>
      <c r="W35" s="36">
        <f>173.625+(15*5)</f>
        <v>248.625</v>
      </c>
    </row>
    <row r="36" spans="1:23" ht="12.75" hidden="1" customHeight="1">
      <c r="A36" s="53"/>
      <c r="B36" s="54"/>
      <c r="C36" s="55"/>
      <c r="D36" s="55"/>
      <c r="E36" s="56"/>
      <c r="F36" s="57"/>
      <c r="G36" s="60"/>
      <c r="H36" s="60"/>
      <c r="I36" s="50">
        <f t="shared" si="10"/>
        <v>0</v>
      </c>
      <c r="J36" s="76">
        <f t="shared" si="11"/>
        <v>0</v>
      </c>
      <c r="K36" s="76">
        <f t="shared" si="12"/>
        <v>0</v>
      </c>
      <c r="L36" s="92">
        <f t="shared" si="13"/>
        <v>0</v>
      </c>
      <c r="M36" s="36">
        <f t="shared" si="14"/>
        <v>0</v>
      </c>
      <c r="N36" s="36">
        <f t="shared" si="15"/>
        <v>0</v>
      </c>
      <c r="O36" s="36">
        <f t="shared" si="16"/>
        <v>0</v>
      </c>
      <c r="P36" s="36">
        <f t="shared" si="20"/>
        <v>0</v>
      </c>
      <c r="Q36" s="36">
        <f t="shared" si="18"/>
        <v>0</v>
      </c>
      <c r="S36" s="101"/>
      <c r="V36" s="102"/>
      <c r="W36" s="36">
        <f>265.959+(15*5)</f>
        <v>340.959</v>
      </c>
    </row>
    <row r="37" spans="1:23" ht="12.75" hidden="1" customHeight="1">
      <c r="A37" s="53"/>
      <c r="B37" s="54"/>
      <c r="C37" s="55"/>
      <c r="D37" s="55"/>
      <c r="E37" s="56"/>
      <c r="F37" s="57"/>
      <c r="G37" s="60"/>
      <c r="H37" s="60"/>
      <c r="I37" s="50">
        <f t="shared" si="10"/>
        <v>0</v>
      </c>
      <c r="J37" s="76">
        <f t="shared" si="11"/>
        <v>0</v>
      </c>
      <c r="K37" s="76">
        <f t="shared" si="12"/>
        <v>0</v>
      </c>
      <c r="L37" s="92">
        <f t="shared" si="13"/>
        <v>0</v>
      </c>
      <c r="M37" s="36">
        <f t="shared" si="14"/>
        <v>0</v>
      </c>
      <c r="N37" s="36">
        <f t="shared" si="15"/>
        <v>0</v>
      </c>
      <c r="O37" s="36">
        <f t="shared" si="16"/>
        <v>0</v>
      </c>
      <c r="P37" s="36">
        <f t="shared" si="20"/>
        <v>0</v>
      </c>
      <c r="Q37" s="36">
        <f t="shared" si="18"/>
        <v>0</v>
      </c>
      <c r="S37" s="101"/>
      <c r="V37" s="102"/>
      <c r="W37" s="36">
        <f>227.5+(15*5)</f>
        <v>302.5</v>
      </c>
    </row>
    <row r="38" spans="1:23" ht="12.75" hidden="1" customHeight="1">
      <c r="A38" s="53"/>
      <c r="B38" s="54"/>
      <c r="C38" s="55"/>
      <c r="D38" s="55"/>
      <c r="E38" s="56"/>
      <c r="F38" s="57"/>
      <c r="G38" s="60"/>
      <c r="H38" s="60"/>
      <c r="I38" s="50">
        <f t="shared" si="10"/>
        <v>0</v>
      </c>
      <c r="J38" s="76">
        <f t="shared" si="11"/>
        <v>0</v>
      </c>
      <c r="K38" s="76">
        <f t="shared" si="12"/>
        <v>0</v>
      </c>
      <c r="L38" s="92">
        <f t="shared" si="13"/>
        <v>0</v>
      </c>
      <c r="M38" s="36">
        <f t="shared" si="14"/>
        <v>0</v>
      </c>
      <c r="N38" s="36">
        <f t="shared" si="15"/>
        <v>0</v>
      </c>
      <c r="O38" s="36">
        <f t="shared" si="16"/>
        <v>0</v>
      </c>
      <c r="P38" s="36">
        <f t="shared" si="20"/>
        <v>0</v>
      </c>
      <c r="Q38" s="36">
        <f t="shared" si="18"/>
        <v>0</v>
      </c>
      <c r="S38" s="101"/>
      <c r="V38" s="102"/>
      <c r="W38" s="36">
        <f>102.042+(15*5)</f>
        <v>177.042</v>
      </c>
    </row>
    <row r="39" spans="1:23">
      <c r="A39" s="61"/>
      <c r="B39" s="62" t="s">
        <v>2188</v>
      </c>
      <c r="C39" s="47"/>
      <c r="D39" s="63"/>
      <c r="E39" s="47"/>
      <c r="F39" s="64"/>
      <c r="G39" s="65"/>
      <c r="H39" s="65"/>
      <c r="I39" s="93">
        <f>SUM(I12:I38)</f>
        <v>25674698.127113808</v>
      </c>
      <c r="J39" s="94"/>
      <c r="K39" s="84"/>
      <c r="L39" s="95">
        <f>SUM(L12:L38)</f>
        <v>61816853</v>
      </c>
    </row>
    <row r="40" spans="1:23">
      <c r="A40" s="66" t="s">
        <v>1381</v>
      </c>
      <c r="B40" s="67"/>
      <c r="D40" s="68" t="s">
        <v>3353</v>
      </c>
      <c r="F40" s="69"/>
      <c r="J40" s="96" t="s">
        <v>3354</v>
      </c>
      <c r="L40" s="87"/>
    </row>
    <row r="41" spans="1:23">
      <c r="A41" s="66"/>
      <c r="B41" s="70"/>
      <c r="C41" s="71"/>
      <c r="D41" s="68"/>
      <c r="E41" s="71"/>
      <c r="F41" s="69"/>
      <c r="G41" s="72"/>
      <c r="H41" s="72"/>
      <c r="I41" s="72"/>
      <c r="J41" s="96"/>
      <c r="L41" s="87"/>
    </row>
    <row r="42" spans="1:23">
      <c r="A42" s="49"/>
      <c r="B42" s="67"/>
      <c r="F42" s="73"/>
      <c r="J42" s="76"/>
      <c r="L42" s="87"/>
      <c r="S42" s="103"/>
    </row>
    <row r="43" spans="1:23" ht="14.4">
      <c r="A43" s="74" t="s">
        <v>1383</v>
      </c>
      <c r="B43" s="1128" t="s">
        <v>3361</v>
      </c>
      <c r="C43" s="1129"/>
      <c r="D43" s="1129"/>
      <c r="E43" s="1129"/>
      <c r="F43" s="1129"/>
      <c r="G43" s="1129"/>
      <c r="H43" s="1129"/>
      <c r="I43" s="1130"/>
      <c r="J43" s="1131">
        <f ca="1">NOW()</f>
        <v>46105.538043287037</v>
      </c>
      <c r="K43" s="1132"/>
      <c r="L43" s="1133"/>
    </row>
    <row r="44" spans="1:23">
      <c r="A44" s="75" t="s">
        <v>3356</v>
      </c>
      <c r="B44" s="1118" t="s">
        <v>3357</v>
      </c>
      <c r="C44" s="1119"/>
      <c r="D44" s="1119"/>
      <c r="E44" s="1119"/>
      <c r="F44" s="1119"/>
      <c r="G44" s="1119"/>
      <c r="H44" s="1119"/>
      <c r="I44" s="1120"/>
      <c r="J44" s="76"/>
      <c r="L44" s="87"/>
    </row>
    <row r="45" spans="1:23" ht="8.25" customHeight="1">
      <c r="A45" s="77"/>
      <c r="B45" s="78"/>
      <c r="C45" s="79"/>
      <c r="D45" s="80"/>
      <c r="E45" s="79"/>
      <c r="F45" s="81"/>
      <c r="G45" s="82"/>
      <c r="H45" s="82"/>
      <c r="I45" s="82"/>
      <c r="J45" s="97"/>
      <c r="K45" s="98"/>
      <c r="L45" s="99"/>
    </row>
    <row r="46" spans="1:23" ht="23.4">
      <c r="A46" s="1121" t="str">
        <f>+A1</f>
        <v>BP 205</v>
      </c>
      <c r="B46" s="1121"/>
      <c r="C46" s="1121"/>
      <c r="D46" s="1121"/>
      <c r="E46" s="1121"/>
      <c r="F46" s="1121"/>
      <c r="G46" s="1121"/>
      <c r="H46" s="1121"/>
      <c r="I46" s="1121"/>
      <c r="J46" s="1121"/>
      <c r="K46" s="1121"/>
      <c r="L46" s="1121"/>
    </row>
    <row r="47" spans="1:23">
      <c r="A47" s="1122" t="str">
        <f>+A2</f>
        <v>FOR FY 2022</v>
      </c>
      <c r="B47" s="1122"/>
      <c r="C47" s="1122"/>
      <c r="D47" s="1122"/>
      <c r="E47" s="1122"/>
      <c r="F47" s="1122"/>
      <c r="G47" s="1122"/>
      <c r="H47" s="1122"/>
      <c r="I47" s="1122"/>
      <c r="J47" s="1122"/>
      <c r="K47" s="1122"/>
      <c r="L47" s="1122"/>
    </row>
    <row r="48" spans="1:23">
      <c r="F48" s="42"/>
      <c r="L48" s="83"/>
    </row>
    <row r="49" spans="1:17">
      <c r="A49" s="43" t="s">
        <v>3332</v>
      </c>
      <c r="B49" s="44"/>
      <c r="C49" s="45"/>
      <c r="D49" s="46"/>
      <c r="E49" s="47"/>
      <c r="F49" s="48" t="s">
        <v>3333</v>
      </c>
      <c r="G49" s="44"/>
      <c r="H49" s="44"/>
      <c r="I49" s="44"/>
      <c r="J49" s="84"/>
      <c r="K49" s="84"/>
      <c r="L49" s="85"/>
    </row>
    <row r="50" spans="1:17" ht="15.6">
      <c r="A50" s="49"/>
      <c r="F50" s="50"/>
      <c r="K50" s="88" t="s">
        <v>3358</v>
      </c>
      <c r="L50" s="87"/>
    </row>
    <row r="51" spans="1:17">
      <c r="A51" s="49"/>
      <c r="F51" s="50"/>
      <c r="K51" s="86" t="s">
        <v>3359</v>
      </c>
      <c r="L51" s="87"/>
    </row>
    <row r="52" spans="1:17" s="37" customFormat="1" ht="14.25" customHeight="1">
      <c r="A52" s="1134" t="s">
        <v>3336</v>
      </c>
      <c r="B52" s="1137" t="s">
        <v>3337</v>
      </c>
      <c r="C52" s="1123" t="s">
        <v>3338</v>
      </c>
      <c r="D52" s="1124"/>
      <c r="E52" s="1125"/>
      <c r="F52" s="1143" t="s">
        <v>3339</v>
      </c>
      <c r="G52" s="1126" t="s">
        <v>3340</v>
      </c>
      <c r="H52" s="1127"/>
      <c r="I52" s="89"/>
      <c r="J52" s="90" t="s">
        <v>3341</v>
      </c>
      <c r="K52" s="51"/>
      <c r="L52" s="91"/>
    </row>
    <row r="53" spans="1:17" s="37" customFormat="1">
      <c r="A53" s="1135"/>
      <c r="B53" s="1138"/>
      <c r="C53" s="1140" t="s">
        <v>3342</v>
      </c>
      <c r="D53" s="1140" t="s">
        <v>3343</v>
      </c>
      <c r="E53" s="1140" t="s">
        <v>3344</v>
      </c>
      <c r="F53" s="1144"/>
      <c r="G53" s="1106" t="s">
        <v>3345</v>
      </c>
      <c r="H53" s="1108"/>
      <c r="I53" s="1112" t="s">
        <v>3346</v>
      </c>
      <c r="J53" s="1115" t="s">
        <v>3347</v>
      </c>
      <c r="K53" s="1115" t="s">
        <v>3348</v>
      </c>
      <c r="L53" s="1103" t="s">
        <v>3346</v>
      </c>
    </row>
    <row r="54" spans="1:17" s="37" customFormat="1">
      <c r="A54" s="1135"/>
      <c r="B54" s="1138"/>
      <c r="C54" s="1141"/>
      <c r="D54" s="1141"/>
      <c r="E54" s="1141"/>
      <c r="F54" s="1144"/>
      <c r="G54" s="1109"/>
      <c r="H54" s="1111"/>
      <c r="I54" s="1113"/>
      <c r="J54" s="1116"/>
      <c r="K54" s="1116"/>
      <c r="L54" s="1104"/>
    </row>
    <row r="55" spans="1:17" s="37" customFormat="1">
      <c r="A55" s="1136"/>
      <c r="B55" s="1139"/>
      <c r="C55" s="1142"/>
      <c r="D55" s="1142"/>
      <c r="E55" s="1142"/>
      <c r="F55" s="1145"/>
      <c r="G55" s="52" t="s">
        <v>3349</v>
      </c>
      <c r="H55" s="52" t="s">
        <v>3350</v>
      </c>
      <c r="I55" s="1114"/>
      <c r="J55" s="1117"/>
      <c r="K55" s="1117"/>
      <c r="L55" s="1105"/>
    </row>
    <row r="56" spans="1:17">
      <c r="A56" s="53" t="s">
        <v>648</v>
      </c>
      <c r="B56" s="54" t="s">
        <v>1390</v>
      </c>
      <c r="C56" s="55">
        <v>21073</v>
      </c>
      <c r="D56" s="55">
        <v>33462</v>
      </c>
      <c r="E56" s="56">
        <v>44196</v>
      </c>
      <c r="F56" s="57">
        <v>66385</v>
      </c>
      <c r="G56" s="50">
        <v>80.445999999999998</v>
      </c>
      <c r="H56" s="50">
        <v>413.04</v>
      </c>
      <c r="I56" s="50">
        <f>F56*(G56+H56)*0.0481927</f>
        <v>1578796.1344047969</v>
      </c>
      <c r="J56" s="76">
        <f>DATEDIF(D56,E56,"Y")</f>
        <v>29</v>
      </c>
      <c r="K56" s="76">
        <f>Q56</f>
        <v>33.5</v>
      </c>
      <c r="L56" s="92">
        <f>+F56*K56</f>
        <v>2223897.5</v>
      </c>
      <c r="M56" s="36">
        <f t="shared" ref="M56:M63" si="21">IF(J56&gt;20,20,J56)</f>
        <v>20</v>
      </c>
      <c r="N56" s="36">
        <f t="shared" ref="N56:N63" si="22">IF((J56-M56)&gt;10,10,(J56-M56))</f>
        <v>9</v>
      </c>
      <c r="O56" s="36">
        <f t="shared" ref="O56:O63" si="23">+J56-M56-N56</f>
        <v>0</v>
      </c>
      <c r="P56" s="36">
        <f t="shared" ref="P56:P63" si="24">SUM(M56:O56)</f>
        <v>29</v>
      </c>
      <c r="Q56" s="36">
        <f t="shared" ref="Q56:Q63" si="25">+M56+N56*1.5+O56*2</f>
        <v>33.5</v>
      </c>
    </row>
    <row r="57" spans="1:17">
      <c r="A57" s="53"/>
      <c r="B57" s="54"/>
      <c r="C57" s="55"/>
      <c r="D57" s="55"/>
      <c r="E57" s="56"/>
      <c r="F57" s="57"/>
      <c r="G57" s="50"/>
      <c r="H57" s="50"/>
      <c r="I57" s="50">
        <f>F57*(G57+H57)*0.0481927</f>
        <v>0</v>
      </c>
      <c r="J57" s="76">
        <f t="shared" ref="J57:J63" si="26">DATEDIF(D57,E57,"Y")</f>
        <v>0</v>
      </c>
      <c r="K57" s="76">
        <f t="shared" ref="K57:K63" si="27">Q57</f>
        <v>0</v>
      </c>
      <c r="L57" s="92">
        <f t="shared" ref="L57:L63" si="28">+F57*K57</f>
        <v>0</v>
      </c>
      <c r="M57" s="36">
        <f t="shared" si="21"/>
        <v>0</v>
      </c>
      <c r="N57" s="36">
        <f t="shared" si="22"/>
        <v>0</v>
      </c>
      <c r="O57" s="36">
        <f t="shared" si="23"/>
        <v>0</v>
      </c>
      <c r="P57" s="36">
        <f t="shared" si="24"/>
        <v>0</v>
      </c>
      <c r="Q57" s="36">
        <f t="shared" si="25"/>
        <v>0</v>
      </c>
    </row>
    <row r="58" spans="1:17">
      <c r="A58" s="53"/>
      <c r="B58" s="54"/>
      <c r="C58" s="55"/>
      <c r="D58" s="55"/>
      <c r="E58" s="56"/>
      <c r="F58" s="57"/>
      <c r="G58" s="50"/>
      <c r="H58" s="50"/>
      <c r="I58" s="50"/>
      <c r="J58" s="76">
        <f t="shared" si="26"/>
        <v>0</v>
      </c>
      <c r="K58" s="76">
        <f t="shared" si="27"/>
        <v>0</v>
      </c>
      <c r="L58" s="92">
        <f t="shared" si="28"/>
        <v>0</v>
      </c>
      <c r="M58" s="36">
        <f t="shared" si="21"/>
        <v>0</v>
      </c>
      <c r="N58" s="36">
        <f t="shared" si="22"/>
        <v>0</v>
      </c>
      <c r="O58" s="36">
        <f t="shared" si="23"/>
        <v>0</v>
      </c>
      <c r="P58" s="36">
        <f t="shared" si="24"/>
        <v>0</v>
      </c>
      <c r="Q58" s="36">
        <f t="shared" si="25"/>
        <v>0</v>
      </c>
    </row>
    <row r="59" spans="1:17">
      <c r="A59" s="53"/>
      <c r="B59" s="54"/>
      <c r="C59" s="55"/>
      <c r="D59" s="55"/>
      <c r="E59" s="56"/>
      <c r="F59" s="57"/>
      <c r="G59" s="50"/>
      <c r="H59" s="50"/>
      <c r="I59" s="50"/>
      <c r="J59" s="76">
        <f t="shared" si="26"/>
        <v>0</v>
      </c>
      <c r="K59" s="76">
        <f t="shared" si="27"/>
        <v>0</v>
      </c>
      <c r="L59" s="92">
        <f t="shared" si="28"/>
        <v>0</v>
      </c>
      <c r="M59" s="36">
        <f t="shared" si="21"/>
        <v>0</v>
      </c>
      <c r="N59" s="36">
        <f t="shared" si="22"/>
        <v>0</v>
      </c>
      <c r="O59" s="36">
        <f t="shared" si="23"/>
        <v>0</v>
      </c>
      <c r="P59" s="36">
        <f t="shared" si="24"/>
        <v>0</v>
      </c>
      <c r="Q59" s="36">
        <f t="shared" si="25"/>
        <v>0</v>
      </c>
    </row>
    <row r="60" spans="1:17">
      <c r="A60" s="104"/>
      <c r="B60" s="105"/>
      <c r="C60" s="106"/>
      <c r="D60" s="106"/>
      <c r="E60" s="107"/>
      <c r="F60" s="108"/>
      <c r="G60" s="50"/>
      <c r="H60" s="50"/>
      <c r="I60" s="116"/>
      <c r="J60" s="117">
        <f t="shared" si="26"/>
        <v>0</v>
      </c>
      <c r="K60" s="117">
        <f t="shared" si="27"/>
        <v>0</v>
      </c>
      <c r="L60" s="118">
        <f t="shared" si="28"/>
        <v>0</v>
      </c>
      <c r="M60" s="36">
        <f t="shared" si="21"/>
        <v>0</v>
      </c>
      <c r="N60" s="36">
        <f t="shared" si="22"/>
        <v>0</v>
      </c>
      <c r="O60" s="36">
        <f t="shared" si="23"/>
        <v>0</v>
      </c>
      <c r="P60" s="36">
        <f t="shared" si="24"/>
        <v>0</v>
      </c>
      <c r="Q60" s="36">
        <f t="shared" si="25"/>
        <v>0</v>
      </c>
    </row>
    <row r="61" spans="1:17">
      <c r="A61" s="104"/>
      <c r="B61" s="105"/>
      <c r="C61" s="106"/>
      <c r="D61" s="106"/>
      <c r="E61" s="107"/>
      <c r="F61" s="108"/>
      <c r="G61" s="109"/>
      <c r="H61" s="109"/>
      <c r="I61" s="116">
        <f>F61*(G61+H61)*0.0481927</f>
        <v>0</v>
      </c>
      <c r="J61" s="117">
        <f t="shared" si="26"/>
        <v>0</v>
      </c>
      <c r="K61" s="117">
        <f t="shared" si="27"/>
        <v>0</v>
      </c>
      <c r="L61" s="118">
        <f t="shared" si="28"/>
        <v>0</v>
      </c>
      <c r="M61" s="36">
        <f t="shared" si="21"/>
        <v>0</v>
      </c>
      <c r="N61" s="36">
        <f t="shared" si="22"/>
        <v>0</v>
      </c>
      <c r="O61" s="36">
        <f t="shared" si="23"/>
        <v>0</v>
      </c>
      <c r="P61" s="36">
        <f t="shared" si="24"/>
        <v>0</v>
      </c>
      <c r="Q61" s="36">
        <f t="shared" si="25"/>
        <v>0</v>
      </c>
    </row>
    <row r="62" spans="1:17">
      <c r="A62" s="104"/>
      <c r="B62" s="105"/>
      <c r="C62" s="106"/>
      <c r="D62" s="106"/>
      <c r="E62" s="107"/>
      <c r="F62" s="108"/>
      <c r="G62" s="109"/>
      <c r="H62" s="109"/>
      <c r="I62" s="116">
        <f>F62*(G62+H62)*0.0481927</f>
        <v>0</v>
      </c>
      <c r="J62" s="117">
        <f t="shared" si="26"/>
        <v>0</v>
      </c>
      <c r="K62" s="117">
        <f t="shared" si="27"/>
        <v>0</v>
      </c>
      <c r="L62" s="118">
        <f t="shared" si="28"/>
        <v>0</v>
      </c>
      <c r="M62" s="36">
        <f t="shared" si="21"/>
        <v>0</v>
      </c>
      <c r="N62" s="36">
        <f t="shared" si="22"/>
        <v>0</v>
      </c>
      <c r="O62" s="36">
        <f t="shared" si="23"/>
        <v>0</v>
      </c>
      <c r="P62" s="36">
        <f t="shared" si="24"/>
        <v>0</v>
      </c>
      <c r="Q62" s="36">
        <f t="shared" si="25"/>
        <v>0</v>
      </c>
    </row>
    <row r="63" spans="1:17">
      <c r="A63" s="104"/>
      <c r="B63" s="105"/>
      <c r="C63" s="106"/>
      <c r="D63" s="106"/>
      <c r="E63" s="107"/>
      <c r="F63" s="108"/>
      <c r="G63" s="109"/>
      <c r="H63" s="109"/>
      <c r="I63" s="116">
        <f>F63*(G63+H63)*0.0481927</f>
        <v>0</v>
      </c>
      <c r="J63" s="117">
        <f t="shared" si="26"/>
        <v>0</v>
      </c>
      <c r="K63" s="117">
        <f t="shared" si="27"/>
        <v>0</v>
      </c>
      <c r="L63" s="118">
        <f t="shared" si="28"/>
        <v>0</v>
      </c>
      <c r="M63" s="36">
        <f t="shared" si="21"/>
        <v>0</v>
      </c>
      <c r="N63" s="36">
        <f t="shared" si="22"/>
        <v>0</v>
      </c>
      <c r="O63" s="36">
        <f t="shared" si="23"/>
        <v>0</v>
      </c>
      <c r="P63" s="36">
        <f t="shared" si="24"/>
        <v>0</v>
      </c>
      <c r="Q63" s="36">
        <f t="shared" si="25"/>
        <v>0</v>
      </c>
    </row>
    <row r="64" spans="1:17">
      <c r="A64" s="77"/>
      <c r="B64" s="78"/>
      <c r="C64" s="110"/>
      <c r="D64" s="111"/>
      <c r="E64" s="112"/>
      <c r="F64" s="113"/>
      <c r="G64" s="114"/>
      <c r="H64" s="114"/>
      <c r="I64" s="113"/>
      <c r="J64" s="97"/>
      <c r="K64" s="97"/>
      <c r="L64" s="119"/>
    </row>
    <row r="65" spans="1:12">
      <c r="A65" s="61"/>
      <c r="B65" s="62" t="s">
        <v>2188</v>
      </c>
      <c r="C65" s="47"/>
      <c r="D65" s="63"/>
      <c r="E65" s="47"/>
      <c r="F65" s="64"/>
      <c r="G65" s="65"/>
      <c r="H65" s="65"/>
      <c r="I65" s="93">
        <f>SUM(I56:I64)</f>
        <v>1578796.1344047969</v>
      </c>
      <c r="J65" s="94"/>
      <c r="K65" s="84"/>
      <c r="L65" s="95">
        <f>SUM(L56:L64)</f>
        <v>2223897.5</v>
      </c>
    </row>
    <row r="66" spans="1:12">
      <c r="A66" s="66" t="s">
        <v>1381</v>
      </c>
      <c r="B66" s="67"/>
      <c r="D66" s="115" t="s">
        <v>3353</v>
      </c>
      <c r="F66" s="69"/>
      <c r="J66" s="96" t="s">
        <v>3354</v>
      </c>
      <c r="L66" s="87"/>
    </row>
    <row r="67" spans="1:12">
      <c r="A67" s="66"/>
      <c r="B67" s="70"/>
      <c r="C67" s="71"/>
      <c r="D67" s="68"/>
      <c r="E67" s="71"/>
      <c r="F67" s="69"/>
      <c r="G67" s="72"/>
      <c r="H67" s="72"/>
      <c r="I67" s="72"/>
      <c r="J67" s="96"/>
      <c r="L67" s="87"/>
    </row>
    <row r="68" spans="1:12">
      <c r="A68" s="49"/>
      <c r="B68" s="67"/>
      <c r="F68" s="73"/>
      <c r="J68" s="76"/>
      <c r="L68" s="87"/>
    </row>
    <row r="69" spans="1:12" ht="14.4">
      <c r="A69" s="74" t="s">
        <v>1383</v>
      </c>
      <c r="B69" s="1128" t="str">
        <f>+B43</f>
        <v>MARLO L. IRINGAN</v>
      </c>
      <c r="C69" s="1129"/>
      <c r="D69" s="1129"/>
      <c r="E69" s="1129"/>
      <c r="F69" s="1129"/>
      <c r="G69" s="1129"/>
      <c r="H69" s="1129"/>
      <c r="I69" s="1130"/>
      <c r="J69" s="1131">
        <f ca="1">NOW()</f>
        <v>46105.538043287037</v>
      </c>
      <c r="K69" s="1132"/>
      <c r="L69" s="1133"/>
    </row>
    <row r="70" spans="1:12">
      <c r="A70" s="75" t="s">
        <v>3356</v>
      </c>
      <c r="B70" s="1118" t="s">
        <v>3357</v>
      </c>
      <c r="C70" s="1119"/>
      <c r="D70" s="1119"/>
      <c r="E70" s="1119"/>
      <c r="F70" s="1119"/>
      <c r="G70" s="1119"/>
      <c r="H70" s="1119"/>
      <c r="I70" s="1120"/>
      <c r="J70" s="76"/>
      <c r="L70" s="87"/>
    </row>
    <row r="71" spans="1:12" ht="8.25" customHeight="1">
      <c r="A71" s="77"/>
      <c r="B71" s="78"/>
      <c r="C71" s="79"/>
      <c r="D71" s="80"/>
      <c r="E71" s="79"/>
      <c r="F71" s="81"/>
      <c r="G71" s="82"/>
      <c r="H71" s="82"/>
      <c r="I71" s="82"/>
      <c r="J71" s="97"/>
      <c r="K71" s="98"/>
      <c r="L71" s="99"/>
    </row>
    <row r="72" spans="1:12" ht="8.25" customHeight="1">
      <c r="F72" s="73"/>
    </row>
  </sheetData>
  <autoFilter ref="A10:X40" xr:uid="{00000000-0009-0000-0000-000017000000}"/>
  <mergeCells count="36">
    <mergeCell ref="A1:L1"/>
    <mergeCell ref="A2:L2"/>
    <mergeCell ref="C7:E7"/>
    <mergeCell ref="G7:H7"/>
    <mergeCell ref="B43:I43"/>
    <mergeCell ref="J43:L43"/>
    <mergeCell ref="L8:L10"/>
    <mergeCell ref="B69:I69"/>
    <mergeCell ref="J69:L69"/>
    <mergeCell ref="B70:I70"/>
    <mergeCell ref="A7:A10"/>
    <mergeCell ref="A52:A55"/>
    <mergeCell ref="B7:B10"/>
    <mergeCell ref="B52:B55"/>
    <mergeCell ref="C8:C10"/>
    <mergeCell ref="C53:C55"/>
    <mergeCell ref="D8:D10"/>
    <mergeCell ref="D53:D55"/>
    <mergeCell ref="E8:E10"/>
    <mergeCell ref="E53:E55"/>
    <mergeCell ref="F7:F10"/>
    <mergeCell ref="F52:F55"/>
    <mergeCell ref="I8:I10"/>
    <mergeCell ref="L53:L55"/>
    <mergeCell ref="G8:H9"/>
    <mergeCell ref="G53:H54"/>
    <mergeCell ref="I53:I55"/>
    <mergeCell ref="J8:J10"/>
    <mergeCell ref="J53:J55"/>
    <mergeCell ref="K8:K10"/>
    <mergeCell ref="K53:K55"/>
    <mergeCell ref="B44:I44"/>
    <mergeCell ref="A46:L46"/>
    <mergeCell ref="A47:L47"/>
    <mergeCell ref="C52:E52"/>
    <mergeCell ref="G52:H52"/>
  </mergeCells>
  <conditionalFormatting sqref="S12:S38">
    <cfRule type="cellIs" dxfId="11" priority="1" operator="between">
      <formula>64</formula>
      <formula>65</formula>
    </cfRule>
    <cfRule type="cellIs" dxfId="10" priority="2" operator="between">
      <formula>51</formula>
      <formula>59</formula>
    </cfRule>
    <cfRule type="cellIs" dxfId="9" priority="3" operator="between">
      <formula>60</formula>
      <formula>63</formula>
    </cfRule>
    <cfRule type="cellIs" dxfId="8" priority="4" operator="between">
      <formula>41</formula>
      <formula>50</formula>
    </cfRule>
    <cfRule type="cellIs" dxfId="7" priority="5" operator="between">
      <formula>31</formula>
      <formula>40</formula>
    </cfRule>
    <cfRule type="cellIs" dxfId="6" priority="6" operator="between">
      <formula>20</formula>
      <formula>30</formula>
    </cfRule>
  </conditionalFormatting>
  <dataValidations count="2">
    <dataValidation allowBlank="1" showInputMessage="1" showErrorMessage="1" sqref="J43:L43 J69:L69 G61:G64 H61:H64" xr:uid="{00000000-0002-0000-1700-000000000000}"/>
    <dataValidation type="decimal" operator="equal" allowBlank="1" showInputMessage="1" showErrorMessage="1" sqref="G19 H19 J19:L19 M19:Q19 G56:H56 G57:G60 H57:H60 J1:L15 M1:Q15 J70:L1048576 J44:L68 J16:L18 J36:L42 M16:Q18 M36:Q1048576 J20:L35 M20:Q35" xr:uid="{00000000-0002-0000-1700-000001000000}">
      <formula1>0.321564875548787</formula1>
    </dataValidation>
  </dataValidations>
  <printOptions horizontalCentered="1" verticalCentered="1"/>
  <pageMargins left="0.2" right="0.18888888888888899" top="0.11874999999999999" bottom="0.109027777777778" header="0.5" footer="0.13888888888888901"/>
  <pageSetup paperSize="9" scale="90" orientation="landscape"/>
  <headerFooter alignWithMargins="0"/>
  <rowBreaks count="1" manualBreakCount="1">
    <brk id="45" max="11"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XFC77"/>
  <sheetViews>
    <sheetView zoomScale="115" zoomScaleNormal="115" workbookViewId="0">
      <selection activeCell="F37" sqref="F37"/>
    </sheetView>
  </sheetViews>
  <sheetFormatPr defaultColWidth="9.109375" defaultRowHeight="14.4"/>
  <cols>
    <col min="1" max="1" width="29.6640625" style="36" customWidth="1"/>
    <col min="2" max="2" width="17" style="36" customWidth="1"/>
    <col min="3" max="3" width="9.88671875" style="38" customWidth="1"/>
    <col min="4" max="4" width="9.88671875" style="39" customWidth="1"/>
    <col min="5" max="5" width="12.44140625" style="38" customWidth="1"/>
    <col min="6" max="6" width="12.44140625" style="40" customWidth="1"/>
    <col min="7" max="8" width="8.109375" style="36" customWidth="1"/>
    <col min="9" max="9" width="13" style="36" customWidth="1"/>
    <col min="10" max="11" width="9.33203125" style="41" customWidth="1"/>
    <col min="12" max="12" width="14.5546875" style="36" customWidth="1"/>
    <col min="13" max="15" width="3" style="36" customWidth="1"/>
    <col min="16" max="17" width="5" style="36" customWidth="1"/>
    <col min="18" max="18" width="13.5546875" style="36" customWidth="1"/>
    <col min="19" max="19" width="15.44140625" style="36" customWidth="1"/>
    <col min="20" max="16383" width="9.109375" style="36"/>
  </cols>
  <sheetData>
    <row r="1" spans="1:24" s="36" customFormat="1" ht="23.4">
      <c r="A1" s="1121" t="s">
        <v>3330</v>
      </c>
      <c r="B1" s="1121"/>
      <c r="C1" s="1121"/>
      <c r="D1" s="1121"/>
      <c r="E1" s="1121"/>
      <c r="F1" s="1121"/>
      <c r="G1" s="1121"/>
      <c r="H1" s="1121"/>
      <c r="I1" s="1121"/>
      <c r="J1" s="1121"/>
      <c r="K1" s="1121"/>
      <c r="L1" s="1121"/>
    </row>
    <row r="2" spans="1:24" s="36" customFormat="1" ht="13.8">
      <c r="A2" s="1122" t="s">
        <v>3364</v>
      </c>
      <c r="B2" s="1122"/>
      <c r="C2" s="1122"/>
      <c r="D2" s="1122"/>
      <c r="E2" s="1122"/>
      <c r="F2" s="1122"/>
      <c r="G2" s="1122"/>
      <c r="H2" s="1122"/>
      <c r="I2" s="1122"/>
      <c r="J2" s="1122"/>
      <c r="K2" s="1122"/>
      <c r="L2" s="1122"/>
    </row>
    <row r="3" spans="1:24" s="36" customFormat="1" ht="13.8">
      <c r="C3" s="38"/>
      <c r="D3" s="39"/>
      <c r="E3" s="38"/>
      <c r="F3" s="42"/>
      <c r="J3" s="41"/>
      <c r="K3" s="41"/>
      <c r="L3" s="83"/>
    </row>
    <row r="4" spans="1:24" s="36" customFormat="1" ht="13.8">
      <c r="A4" s="43" t="s">
        <v>3332</v>
      </c>
      <c r="B4" s="44"/>
      <c r="C4" s="45"/>
      <c r="D4" s="46"/>
      <c r="E4" s="47"/>
      <c r="F4" s="48" t="s">
        <v>3333</v>
      </c>
      <c r="G4" s="44"/>
      <c r="H4" s="44"/>
      <c r="I4" s="44"/>
      <c r="J4" s="84"/>
      <c r="K4" s="84"/>
      <c r="L4" s="85"/>
    </row>
    <row r="5" spans="1:24" s="36" customFormat="1" ht="13.8">
      <c r="A5" s="49"/>
      <c r="C5" s="38"/>
      <c r="D5" s="41"/>
      <c r="E5" s="38"/>
      <c r="F5" s="50"/>
      <c r="J5" s="41"/>
      <c r="K5" s="86" t="s">
        <v>3334</v>
      </c>
      <c r="L5" s="87"/>
    </row>
    <row r="6" spans="1:24" s="36" customFormat="1" ht="15.6">
      <c r="A6" s="49"/>
      <c r="C6" s="38"/>
      <c r="D6" s="39"/>
      <c r="E6" s="38"/>
      <c r="F6" s="50"/>
      <c r="J6" s="41"/>
      <c r="K6" s="88" t="s">
        <v>3335</v>
      </c>
      <c r="L6" s="87"/>
      <c r="N6" s="36">
        <v>25</v>
      </c>
    </row>
    <row r="7" spans="1:24" s="37" customFormat="1" ht="14.25" customHeight="1">
      <c r="A7" s="1134" t="s">
        <v>3336</v>
      </c>
      <c r="B7" s="1137" t="s">
        <v>3337</v>
      </c>
      <c r="C7" s="1123" t="s">
        <v>3338</v>
      </c>
      <c r="D7" s="1124"/>
      <c r="E7" s="1125"/>
      <c r="F7" s="1143" t="s">
        <v>3339</v>
      </c>
      <c r="G7" s="1126" t="s">
        <v>3340</v>
      </c>
      <c r="H7" s="1127"/>
      <c r="I7" s="89"/>
      <c r="J7" s="90" t="s">
        <v>3341</v>
      </c>
      <c r="K7" s="51"/>
      <c r="L7" s="91"/>
    </row>
    <row r="8" spans="1:24" s="37" customFormat="1" ht="12.75" customHeight="1">
      <c r="A8" s="1135"/>
      <c r="B8" s="1138"/>
      <c r="C8" s="1140" t="s">
        <v>3342</v>
      </c>
      <c r="D8" s="1140" t="s">
        <v>3343</v>
      </c>
      <c r="E8" s="1140" t="s">
        <v>3344</v>
      </c>
      <c r="F8" s="1144"/>
      <c r="G8" s="1106" t="s">
        <v>3345</v>
      </c>
      <c r="H8" s="1108"/>
      <c r="I8" s="1112" t="s">
        <v>3346</v>
      </c>
      <c r="J8" s="1115" t="s">
        <v>3347</v>
      </c>
      <c r="K8" s="1115" t="s">
        <v>3348</v>
      </c>
      <c r="L8" s="1103" t="s">
        <v>3346</v>
      </c>
    </row>
    <row r="9" spans="1:24" s="37" customFormat="1" ht="13.8">
      <c r="A9" s="1135"/>
      <c r="B9" s="1138"/>
      <c r="C9" s="1141"/>
      <c r="D9" s="1141"/>
      <c r="E9" s="1141"/>
      <c r="F9" s="1144"/>
      <c r="G9" s="1109"/>
      <c r="H9" s="1111"/>
      <c r="I9" s="1113"/>
      <c r="J9" s="1116"/>
      <c r="K9" s="1116"/>
      <c r="L9" s="1104"/>
      <c r="M9" s="37">
        <v>1</v>
      </c>
      <c r="N9" s="50">
        <v>10</v>
      </c>
      <c r="O9" s="50">
        <v>15</v>
      </c>
      <c r="P9" s="37">
        <f>+YEAR(1)</f>
        <v>1900</v>
      </c>
    </row>
    <row r="10" spans="1:24" s="37" customFormat="1" ht="13.8">
      <c r="A10" s="1136"/>
      <c r="B10" s="1139"/>
      <c r="C10" s="1142"/>
      <c r="D10" s="1142"/>
      <c r="E10" s="1142"/>
      <c r="F10" s="1145"/>
      <c r="G10" s="52" t="s">
        <v>3349</v>
      </c>
      <c r="H10" s="52" t="s">
        <v>3350</v>
      </c>
      <c r="I10" s="1114"/>
      <c r="J10" s="1117"/>
      <c r="K10" s="1117"/>
      <c r="L10" s="1105"/>
    </row>
    <row r="11" spans="1:24" s="37" customFormat="1" ht="13.8">
      <c r="A11" s="53" t="s">
        <v>522</v>
      </c>
      <c r="B11" s="54" t="s">
        <v>3052</v>
      </c>
      <c r="C11" s="55">
        <v>21687</v>
      </c>
      <c r="D11" s="55">
        <v>31131</v>
      </c>
      <c r="E11" s="56">
        <v>45291</v>
      </c>
      <c r="F11" s="57">
        <v>110980</v>
      </c>
      <c r="G11" s="50">
        <v>90.975999999999999</v>
      </c>
      <c r="H11" s="50">
        <v>461</v>
      </c>
      <c r="I11" s="50">
        <f t="shared" ref="I11:I43" si="0">F11*(G11+H11)*0.0481927</f>
        <v>2952202.7047716957</v>
      </c>
      <c r="J11" s="76">
        <f t="shared" ref="J11:J43" si="1">DATEDIF(D11,E11,"Y")</f>
        <v>38</v>
      </c>
      <c r="K11" s="76">
        <f t="shared" ref="K11:K43" si="2">Q11</f>
        <v>51</v>
      </c>
      <c r="L11" s="92">
        <f t="shared" ref="L11:L43" si="3">+F11*K11</f>
        <v>5659980</v>
      </c>
      <c r="M11" s="36">
        <f t="shared" ref="M11:M43" si="4">IF(J11&gt;20,20,J11)</f>
        <v>20</v>
      </c>
      <c r="N11" s="36">
        <f t="shared" ref="N11:N43" si="5">IF((J11-M11)&gt;10,10,(J11-M11))</f>
        <v>10</v>
      </c>
      <c r="O11" s="36">
        <f t="shared" ref="O11:O43" si="6">+J11-M11-N11</f>
        <v>8</v>
      </c>
      <c r="P11" s="36">
        <f t="shared" ref="P11:P43" si="7">SUM(M11:O11)</f>
        <v>38</v>
      </c>
      <c r="Q11" s="36">
        <f t="shared" ref="Q11:Q43" si="8">+M11+N11*1.5+O11*2</f>
        <v>51</v>
      </c>
    </row>
    <row r="12" spans="1:24" s="36" customFormat="1" ht="13.8">
      <c r="A12" s="53" t="s">
        <v>677</v>
      </c>
      <c r="B12" s="54" t="s">
        <v>1390</v>
      </c>
      <c r="C12" s="55">
        <v>21614</v>
      </c>
      <c r="D12" s="55">
        <v>32687</v>
      </c>
      <c r="E12" s="56">
        <v>45291</v>
      </c>
      <c r="F12" s="57">
        <v>70827</v>
      </c>
      <c r="G12" s="50">
        <v>106.325</v>
      </c>
      <c r="H12" s="50">
        <v>505.625</v>
      </c>
      <c r="I12" s="50">
        <f t="shared" si="0"/>
        <v>2088796.0828766553</v>
      </c>
      <c r="J12" s="76">
        <f t="shared" si="1"/>
        <v>34</v>
      </c>
      <c r="K12" s="76">
        <f t="shared" si="2"/>
        <v>43</v>
      </c>
      <c r="L12" s="92">
        <f t="shared" si="3"/>
        <v>3045561</v>
      </c>
      <c r="M12" s="36">
        <f t="shared" si="4"/>
        <v>20</v>
      </c>
      <c r="N12" s="36">
        <f t="shared" si="5"/>
        <v>10</v>
      </c>
      <c r="O12" s="36">
        <f t="shared" si="6"/>
        <v>4</v>
      </c>
      <c r="P12" s="36">
        <f t="shared" si="7"/>
        <v>34</v>
      </c>
      <c r="Q12" s="36">
        <f t="shared" si="8"/>
        <v>43</v>
      </c>
      <c r="R12" s="100">
        <f ca="1">DATE(YEAR(NOW())+2,MONTH(C12),DAY(C12))</f>
        <v>46817</v>
      </c>
      <c r="S12" s="101">
        <f t="shared" ref="S12:S32" ca="1" si="9">DATEDIF(C12,TODAY(),"Y")</f>
        <v>67</v>
      </c>
      <c r="U12" s="36" t="s">
        <v>568</v>
      </c>
      <c r="V12" s="36" t="s">
        <v>1390</v>
      </c>
      <c r="W12" s="36">
        <v>22366</v>
      </c>
      <c r="X12" s="36">
        <v>32687</v>
      </c>
    </row>
    <row r="13" spans="1:24" s="36" customFormat="1" ht="13.8">
      <c r="A13" s="53" t="s">
        <v>842</v>
      </c>
      <c r="B13" s="54" t="s">
        <v>1390</v>
      </c>
      <c r="C13" s="55">
        <v>21810</v>
      </c>
      <c r="D13" s="55">
        <v>31138</v>
      </c>
      <c r="E13" s="56">
        <v>45291</v>
      </c>
      <c r="F13" s="57">
        <v>70827</v>
      </c>
      <c r="G13" s="50">
        <v>86.75</v>
      </c>
      <c r="H13" s="50">
        <v>359.25</v>
      </c>
      <c r="I13" s="50">
        <f t="shared" si="0"/>
        <v>1522351.5858533999</v>
      </c>
      <c r="J13" s="76">
        <f t="shared" si="1"/>
        <v>38</v>
      </c>
      <c r="K13" s="76">
        <f t="shared" si="2"/>
        <v>51</v>
      </c>
      <c r="L13" s="92">
        <f t="shared" si="3"/>
        <v>3612177</v>
      </c>
      <c r="M13" s="36">
        <f t="shared" si="4"/>
        <v>20</v>
      </c>
      <c r="N13" s="36">
        <f t="shared" si="5"/>
        <v>10</v>
      </c>
      <c r="O13" s="36">
        <f t="shared" si="6"/>
        <v>8</v>
      </c>
      <c r="P13" s="36">
        <f t="shared" si="7"/>
        <v>38</v>
      </c>
      <c r="Q13" s="36">
        <f t="shared" si="8"/>
        <v>51</v>
      </c>
      <c r="S13" s="101">
        <f t="shared" ca="1" si="9"/>
        <v>66</v>
      </c>
      <c r="U13" s="36" t="s">
        <v>608</v>
      </c>
      <c r="V13" s="36" t="s">
        <v>1388</v>
      </c>
      <c r="W13" s="36">
        <v>22631</v>
      </c>
      <c r="X13" s="36">
        <v>31845</v>
      </c>
    </row>
    <row r="14" spans="1:24" s="36" customFormat="1" ht="13.8">
      <c r="A14" s="53" t="s">
        <v>1366</v>
      </c>
      <c r="B14" s="54" t="s">
        <v>3352</v>
      </c>
      <c r="C14" s="55">
        <v>21829</v>
      </c>
      <c r="D14" s="55">
        <v>36356</v>
      </c>
      <c r="E14" s="56">
        <v>45291</v>
      </c>
      <c r="F14" s="57">
        <v>11732</v>
      </c>
      <c r="G14" s="50">
        <v>115.428</v>
      </c>
      <c r="H14" s="50">
        <v>290.5</v>
      </c>
      <c r="I14" s="50">
        <f t="shared" si="0"/>
        <v>229510.37453193919</v>
      </c>
      <c r="J14" s="76">
        <f t="shared" si="1"/>
        <v>24</v>
      </c>
      <c r="K14" s="76">
        <f t="shared" si="2"/>
        <v>26</v>
      </c>
      <c r="L14" s="92">
        <f t="shared" si="3"/>
        <v>305032</v>
      </c>
      <c r="M14" s="36">
        <f t="shared" si="4"/>
        <v>20</v>
      </c>
      <c r="N14" s="36">
        <f t="shared" si="5"/>
        <v>4</v>
      </c>
      <c r="O14" s="36">
        <f t="shared" si="6"/>
        <v>0</v>
      </c>
      <c r="P14" s="36">
        <f t="shared" si="7"/>
        <v>24</v>
      </c>
      <c r="Q14" s="36">
        <f t="shared" si="8"/>
        <v>26</v>
      </c>
      <c r="S14" s="101">
        <f t="shared" ca="1" si="9"/>
        <v>66</v>
      </c>
      <c r="U14" s="36" t="s">
        <v>1407</v>
      </c>
      <c r="V14" s="36" t="s">
        <v>1388</v>
      </c>
      <c r="W14" s="36">
        <v>22412</v>
      </c>
      <c r="X14" s="36">
        <v>32767</v>
      </c>
    </row>
    <row r="15" spans="1:24" s="36" customFormat="1" ht="13.8">
      <c r="A15" s="53" t="s">
        <v>162</v>
      </c>
      <c r="B15" s="54" t="s">
        <v>1390</v>
      </c>
      <c r="C15" s="55">
        <v>21997</v>
      </c>
      <c r="D15" s="55">
        <v>32687</v>
      </c>
      <c r="E15" s="56">
        <v>45291</v>
      </c>
      <c r="F15" s="57">
        <v>70827</v>
      </c>
      <c r="G15" s="50">
        <v>89.738</v>
      </c>
      <c r="H15" s="50">
        <v>307.5</v>
      </c>
      <c r="I15" s="50">
        <f t="shared" si="0"/>
        <v>1355910.0880296703</v>
      </c>
      <c r="J15" s="76">
        <f t="shared" si="1"/>
        <v>34</v>
      </c>
      <c r="K15" s="76">
        <f t="shared" si="2"/>
        <v>43</v>
      </c>
      <c r="L15" s="92">
        <f t="shared" si="3"/>
        <v>3045561</v>
      </c>
      <c r="M15" s="36">
        <f t="shared" si="4"/>
        <v>20</v>
      </c>
      <c r="N15" s="36">
        <f t="shared" si="5"/>
        <v>10</v>
      </c>
      <c r="O15" s="36">
        <f t="shared" si="6"/>
        <v>4</v>
      </c>
      <c r="P15" s="36">
        <f t="shared" si="7"/>
        <v>34</v>
      </c>
      <c r="Q15" s="36">
        <f t="shared" si="8"/>
        <v>43</v>
      </c>
      <c r="S15" s="101">
        <f t="shared" ca="1" si="9"/>
        <v>66</v>
      </c>
      <c r="U15" s="36" t="s">
        <v>687</v>
      </c>
      <c r="V15" s="36" t="s">
        <v>1388</v>
      </c>
      <c r="W15" s="36">
        <v>22595</v>
      </c>
      <c r="X15" s="36">
        <v>32687</v>
      </c>
    </row>
    <row r="16" spans="1:24" s="36" customFormat="1" ht="13.8">
      <c r="A16" s="53" t="s">
        <v>425</v>
      </c>
      <c r="B16" s="54" t="s">
        <v>3360</v>
      </c>
      <c r="C16" s="55">
        <v>22132</v>
      </c>
      <c r="D16" s="55">
        <v>32371</v>
      </c>
      <c r="E16" s="56">
        <v>45291</v>
      </c>
      <c r="F16" s="57">
        <v>13152</v>
      </c>
      <c r="G16" s="50">
        <v>202.00200000000001</v>
      </c>
      <c r="H16" s="50">
        <v>501.625</v>
      </c>
      <c r="I16" s="50">
        <f t="shared" si="0"/>
        <v>445980.17610598076</v>
      </c>
      <c r="J16" s="76">
        <f t="shared" si="1"/>
        <v>35</v>
      </c>
      <c r="K16" s="76">
        <f t="shared" si="2"/>
        <v>45</v>
      </c>
      <c r="L16" s="92">
        <f t="shared" si="3"/>
        <v>591840</v>
      </c>
      <c r="M16" s="36">
        <f t="shared" si="4"/>
        <v>20</v>
      </c>
      <c r="N16" s="36">
        <f t="shared" si="5"/>
        <v>10</v>
      </c>
      <c r="O16" s="36">
        <f t="shared" si="6"/>
        <v>5</v>
      </c>
      <c r="P16" s="36">
        <f t="shared" si="7"/>
        <v>35</v>
      </c>
      <c r="Q16" s="36">
        <f t="shared" si="8"/>
        <v>45</v>
      </c>
      <c r="S16" s="101">
        <f t="shared" ca="1" si="9"/>
        <v>65</v>
      </c>
      <c r="U16" s="36" t="s">
        <v>724</v>
      </c>
      <c r="V16" s="36" t="s">
        <v>1388</v>
      </c>
      <c r="W16" s="36">
        <v>22384</v>
      </c>
      <c r="X16" s="36">
        <v>30391</v>
      </c>
    </row>
    <row r="17" spans="1:24" s="36" customFormat="1" ht="13.8">
      <c r="A17" s="53" t="s">
        <v>484</v>
      </c>
      <c r="B17" s="54" t="s">
        <v>3052</v>
      </c>
      <c r="C17" s="55">
        <v>22001</v>
      </c>
      <c r="D17" s="55">
        <v>32615</v>
      </c>
      <c r="E17" s="56">
        <v>45291</v>
      </c>
      <c r="F17" s="57">
        <v>112791</v>
      </c>
      <c r="G17" s="50">
        <v>78.88</v>
      </c>
      <c r="H17" s="50">
        <v>111.583</v>
      </c>
      <c r="I17" s="50">
        <f t="shared" si="0"/>
        <v>1035300.2672912991</v>
      </c>
      <c r="J17" s="76">
        <f t="shared" si="1"/>
        <v>34</v>
      </c>
      <c r="K17" s="76">
        <f t="shared" si="2"/>
        <v>43</v>
      </c>
      <c r="L17" s="92">
        <f t="shared" si="3"/>
        <v>4850013</v>
      </c>
      <c r="M17" s="36">
        <f t="shared" si="4"/>
        <v>20</v>
      </c>
      <c r="N17" s="36">
        <f t="shared" si="5"/>
        <v>10</v>
      </c>
      <c r="O17" s="36">
        <f t="shared" si="6"/>
        <v>4</v>
      </c>
      <c r="P17" s="36">
        <f t="shared" si="7"/>
        <v>34</v>
      </c>
      <c r="Q17" s="36">
        <f t="shared" si="8"/>
        <v>43</v>
      </c>
      <c r="S17" s="101">
        <f t="shared" ca="1" si="9"/>
        <v>65</v>
      </c>
      <c r="U17" s="36" t="s">
        <v>207</v>
      </c>
      <c r="V17" s="36" t="s">
        <v>1388</v>
      </c>
      <c r="W17" s="36">
        <v>22504</v>
      </c>
      <c r="X17" s="36">
        <v>36100</v>
      </c>
    </row>
    <row r="18" spans="1:24" s="36" customFormat="1" ht="13.8">
      <c r="A18" s="53" t="s">
        <v>543</v>
      </c>
      <c r="B18" s="54" t="s">
        <v>1390</v>
      </c>
      <c r="C18" s="55">
        <v>22046</v>
      </c>
      <c r="D18" s="55">
        <v>32687</v>
      </c>
      <c r="E18" s="56">
        <v>45291</v>
      </c>
      <c r="F18" s="57">
        <v>70827</v>
      </c>
      <c r="G18" s="50">
        <v>81.582999999999998</v>
      </c>
      <c r="H18" s="50">
        <v>420.375</v>
      </c>
      <c r="I18" s="50">
        <f t="shared" si="0"/>
        <v>1713355.509712558</v>
      </c>
      <c r="J18" s="76">
        <f t="shared" si="1"/>
        <v>34</v>
      </c>
      <c r="K18" s="76">
        <f t="shared" si="2"/>
        <v>43</v>
      </c>
      <c r="L18" s="92">
        <f t="shared" si="3"/>
        <v>3045561</v>
      </c>
      <c r="M18" s="36">
        <f t="shared" si="4"/>
        <v>20</v>
      </c>
      <c r="N18" s="36">
        <f t="shared" si="5"/>
        <v>10</v>
      </c>
      <c r="O18" s="36">
        <f t="shared" si="6"/>
        <v>4</v>
      </c>
      <c r="P18" s="36">
        <f t="shared" si="7"/>
        <v>34</v>
      </c>
      <c r="Q18" s="36">
        <f t="shared" si="8"/>
        <v>43</v>
      </c>
      <c r="S18" s="101">
        <f t="shared" ca="1" si="9"/>
        <v>65</v>
      </c>
      <c r="U18" s="36" t="s">
        <v>886</v>
      </c>
      <c r="V18" s="36" t="s">
        <v>1388</v>
      </c>
      <c r="W18" s="36">
        <v>22312</v>
      </c>
      <c r="X18" s="36">
        <v>32251</v>
      </c>
    </row>
    <row r="19" spans="1:24" s="36" customFormat="1" ht="13.8">
      <c r="A19" s="53" t="s">
        <v>585</v>
      </c>
      <c r="B19" s="54" t="s">
        <v>1390</v>
      </c>
      <c r="C19" s="55">
        <v>21960</v>
      </c>
      <c r="D19" s="55">
        <v>32687</v>
      </c>
      <c r="E19" s="56">
        <v>45291</v>
      </c>
      <c r="F19" s="57">
        <v>70827</v>
      </c>
      <c r="G19" s="50">
        <v>115.063</v>
      </c>
      <c r="H19" s="50">
        <v>442.5</v>
      </c>
      <c r="I19" s="50">
        <f t="shared" si="0"/>
        <v>1903154.5230116125</v>
      </c>
      <c r="J19" s="76">
        <f t="shared" si="1"/>
        <v>34</v>
      </c>
      <c r="K19" s="76">
        <f t="shared" si="2"/>
        <v>43</v>
      </c>
      <c r="L19" s="92">
        <f t="shared" si="3"/>
        <v>3045561</v>
      </c>
      <c r="M19" s="36">
        <f t="shared" si="4"/>
        <v>20</v>
      </c>
      <c r="N19" s="36">
        <f t="shared" si="5"/>
        <v>10</v>
      </c>
      <c r="O19" s="36">
        <f t="shared" si="6"/>
        <v>4</v>
      </c>
      <c r="P19" s="36">
        <f t="shared" si="7"/>
        <v>34</v>
      </c>
      <c r="Q19" s="36">
        <f t="shared" si="8"/>
        <v>43</v>
      </c>
      <c r="S19" s="101">
        <f t="shared" ca="1" si="9"/>
        <v>66</v>
      </c>
      <c r="U19" s="36" t="s">
        <v>257</v>
      </c>
      <c r="V19" s="36" t="s">
        <v>1388</v>
      </c>
      <c r="W19" s="36">
        <v>22338</v>
      </c>
      <c r="X19" s="36">
        <v>31719</v>
      </c>
    </row>
    <row r="20" spans="1:24" s="36" customFormat="1" ht="13.8">
      <c r="A20" s="53" t="s">
        <v>1455</v>
      </c>
      <c r="B20" s="54" t="s">
        <v>1390</v>
      </c>
      <c r="C20" s="55">
        <v>22163</v>
      </c>
      <c r="D20" s="55">
        <v>30133</v>
      </c>
      <c r="E20" s="56">
        <v>45291</v>
      </c>
      <c r="F20" s="57">
        <v>70827</v>
      </c>
      <c r="G20" s="50">
        <v>115.529</v>
      </c>
      <c r="H20" s="50">
        <v>371.5</v>
      </c>
      <c r="I20" s="50">
        <f t="shared" si="0"/>
        <v>1662397.6917188242</v>
      </c>
      <c r="J20" s="76">
        <f t="shared" si="1"/>
        <v>41</v>
      </c>
      <c r="K20" s="76">
        <f t="shared" si="2"/>
        <v>57</v>
      </c>
      <c r="L20" s="92">
        <f t="shared" si="3"/>
        <v>4037139</v>
      </c>
      <c r="M20" s="36">
        <f t="shared" si="4"/>
        <v>20</v>
      </c>
      <c r="N20" s="36">
        <f t="shared" si="5"/>
        <v>10</v>
      </c>
      <c r="O20" s="36">
        <f t="shared" si="6"/>
        <v>11</v>
      </c>
      <c r="P20" s="36">
        <f t="shared" si="7"/>
        <v>41</v>
      </c>
      <c r="Q20" s="36">
        <f t="shared" si="8"/>
        <v>57</v>
      </c>
      <c r="S20" s="101">
        <f t="shared" ca="1" si="9"/>
        <v>65</v>
      </c>
      <c r="U20" s="36" t="s">
        <v>1375</v>
      </c>
      <c r="V20" s="36" t="s">
        <v>3031</v>
      </c>
      <c r="W20" s="36">
        <v>22444</v>
      </c>
      <c r="X20" s="36">
        <v>34408</v>
      </c>
    </row>
    <row r="21" spans="1:24" s="36" customFormat="1" ht="13.8">
      <c r="A21" s="53" t="s">
        <v>1221</v>
      </c>
      <c r="B21" s="54" t="s">
        <v>1880</v>
      </c>
      <c r="C21" s="55">
        <v>22138</v>
      </c>
      <c r="D21" s="55">
        <v>30926</v>
      </c>
      <c r="E21" s="56">
        <v>45291</v>
      </c>
      <c r="F21" s="57">
        <v>57293</v>
      </c>
      <c r="G21" s="50">
        <v>83.239000000000004</v>
      </c>
      <c r="H21" s="50">
        <v>310.16800000000001</v>
      </c>
      <c r="I21" s="50">
        <f t="shared" si="0"/>
        <v>1086237.7833872677</v>
      </c>
      <c r="J21" s="76">
        <f t="shared" si="1"/>
        <v>39</v>
      </c>
      <c r="K21" s="76">
        <f t="shared" si="2"/>
        <v>53</v>
      </c>
      <c r="L21" s="92">
        <f t="shared" si="3"/>
        <v>3036529</v>
      </c>
      <c r="M21" s="36">
        <f t="shared" si="4"/>
        <v>20</v>
      </c>
      <c r="N21" s="36">
        <f t="shared" si="5"/>
        <v>10</v>
      </c>
      <c r="O21" s="36">
        <f t="shared" si="6"/>
        <v>9</v>
      </c>
      <c r="P21" s="36">
        <f t="shared" si="7"/>
        <v>39</v>
      </c>
      <c r="Q21" s="36">
        <f t="shared" si="8"/>
        <v>53</v>
      </c>
      <c r="S21" s="101">
        <f t="shared" ca="1" si="9"/>
        <v>65</v>
      </c>
    </row>
    <row r="22" spans="1:24" s="36" customFormat="1" ht="13.8">
      <c r="A22" s="53" t="s">
        <v>568</v>
      </c>
      <c r="B22" s="54" t="s">
        <v>1390</v>
      </c>
      <c r="C22" s="55">
        <v>22366</v>
      </c>
      <c r="D22" s="55">
        <v>32687</v>
      </c>
      <c r="E22" s="56">
        <v>45291</v>
      </c>
      <c r="F22" s="57">
        <v>70827</v>
      </c>
      <c r="G22" s="50">
        <v>82.108999999999995</v>
      </c>
      <c r="H22" s="50">
        <v>460.625</v>
      </c>
      <c r="I22" s="50">
        <f t="shared" si="0"/>
        <v>1852538.0394541684</v>
      </c>
      <c r="J22" s="76">
        <f t="shared" si="1"/>
        <v>34</v>
      </c>
      <c r="K22" s="76">
        <f t="shared" si="2"/>
        <v>43</v>
      </c>
      <c r="L22" s="92">
        <f t="shared" si="3"/>
        <v>3045561</v>
      </c>
      <c r="M22" s="36">
        <f t="shared" si="4"/>
        <v>20</v>
      </c>
      <c r="N22" s="36">
        <f t="shared" si="5"/>
        <v>10</v>
      </c>
      <c r="O22" s="36">
        <f t="shared" si="6"/>
        <v>4</v>
      </c>
      <c r="P22" s="36">
        <f t="shared" si="7"/>
        <v>34</v>
      </c>
      <c r="Q22" s="36">
        <f t="shared" si="8"/>
        <v>43</v>
      </c>
      <c r="S22" s="101">
        <f t="shared" ca="1" si="9"/>
        <v>64</v>
      </c>
    </row>
    <row r="23" spans="1:24" s="36" customFormat="1" ht="13.8">
      <c r="A23" s="53" t="s">
        <v>1407</v>
      </c>
      <c r="B23" s="54" t="s">
        <v>1390</v>
      </c>
      <c r="C23" s="55">
        <v>22412</v>
      </c>
      <c r="D23" s="55">
        <v>32767</v>
      </c>
      <c r="E23" s="56">
        <v>45291</v>
      </c>
      <c r="F23" s="57">
        <v>70827</v>
      </c>
      <c r="G23" s="50">
        <v>80.510000000000005</v>
      </c>
      <c r="H23" s="50">
        <v>400.33300000000003</v>
      </c>
      <c r="I23" s="50">
        <f t="shared" si="0"/>
        <v>1641282.7434899246</v>
      </c>
      <c r="J23" s="76">
        <f t="shared" si="1"/>
        <v>34</v>
      </c>
      <c r="K23" s="76">
        <f t="shared" si="2"/>
        <v>43</v>
      </c>
      <c r="L23" s="92">
        <f t="shared" si="3"/>
        <v>3045561</v>
      </c>
      <c r="M23" s="36">
        <f t="shared" si="4"/>
        <v>20</v>
      </c>
      <c r="N23" s="36">
        <f t="shared" si="5"/>
        <v>10</v>
      </c>
      <c r="O23" s="36">
        <f t="shared" si="6"/>
        <v>4</v>
      </c>
      <c r="P23" s="36">
        <f t="shared" si="7"/>
        <v>34</v>
      </c>
      <c r="Q23" s="36">
        <f t="shared" si="8"/>
        <v>43</v>
      </c>
      <c r="S23" s="101">
        <f t="shared" ca="1" si="9"/>
        <v>64</v>
      </c>
    </row>
    <row r="24" spans="1:24" s="36" customFormat="1" ht="13.8">
      <c r="A24" s="53" t="s">
        <v>687</v>
      </c>
      <c r="B24" s="54" t="s">
        <v>1390</v>
      </c>
      <c r="C24" s="55">
        <v>22595</v>
      </c>
      <c r="D24" s="55">
        <v>32687</v>
      </c>
      <c r="E24" s="56">
        <v>45291</v>
      </c>
      <c r="F24" s="57">
        <v>70827</v>
      </c>
      <c r="G24" s="50">
        <v>79.540999999999997</v>
      </c>
      <c r="H24" s="50">
        <v>289.209</v>
      </c>
      <c r="I24" s="50">
        <f t="shared" si="0"/>
        <v>1258670.733819375</v>
      </c>
      <c r="J24" s="76">
        <f t="shared" si="1"/>
        <v>34</v>
      </c>
      <c r="K24" s="76">
        <f t="shared" si="2"/>
        <v>43</v>
      </c>
      <c r="L24" s="92">
        <f t="shared" si="3"/>
        <v>3045561</v>
      </c>
      <c r="M24" s="36">
        <f t="shared" si="4"/>
        <v>20</v>
      </c>
      <c r="N24" s="36">
        <f t="shared" si="5"/>
        <v>10</v>
      </c>
      <c r="O24" s="36">
        <f t="shared" si="6"/>
        <v>4</v>
      </c>
      <c r="P24" s="36">
        <f t="shared" si="7"/>
        <v>34</v>
      </c>
      <c r="Q24" s="36">
        <f t="shared" si="8"/>
        <v>43</v>
      </c>
      <c r="S24" s="101">
        <f t="shared" ca="1" si="9"/>
        <v>64</v>
      </c>
    </row>
    <row r="25" spans="1:24" s="36" customFormat="1" ht="13.8">
      <c r="A25" s="53" t="s">
        <v>724</v>
      </c>
      <c r="B25" s="54" t="s">
        <v>1390</v>
      </c>
      <c r="C25" s="55">
        <v>22384</v>
      </c>
      <c r="D25" s="55">
        <v>30391</v>
      </c>
      <c r="E25" s="56">
        <v>45291</v>
      </c>
      <c r="F25" s="57">
        <v>70827</v>
      </c>
      <c r="G25" s="50">
        <v>86.278000000000006</v>
      </c>
      <c r="H25" s="50">
        <v>125.833</v>
      </c>
      <c r="I25" s="50">
        <f t="shared" si="0"/>
        <v>724007.88615908183</v>
      </c>
      <c r="J25" s="76">
        <f t="shared" si="1"/>
        <v>40</v>
      </c>
      <c r="K25" s="76">
        <f t="shared" si="2"/>
        <v>55</v>
      </c>
      <c r="L25" s="92">
        <f t="shared" si="3"/>
        <v>3895485</v>
      </c>
      <c r="M25" s="36">
        <f t="shared" si="4"/>
        <v>20</v>
      </c>
      <c r="N25" s="36">
        <f t="shared" si="5"/>
        <v>10</v>
      </c>
      <c r="O25" s="36">
        <f t="shared" si="6"/>
        <v>10</v>
      </c>
      <c r="P25" s="36">
        <f t="shared" si="7"/>
        <v>40</v>
      </c>
      <c r="Q25" s="36">
        <f t="shared" si="8"/>
        <v>55</v>
      </c>
      <c r="S25" s="101">
        <f t="shared" ca="1" si="9"/>
        <v>64</v>
      </c>
    </row>
    <row r="26" spans="1:24" s="36" customFormat="1" ht="13.8">
      <c r="A26" s="53" t="s">
        <v>207</v>
      </c>
      <c r="B26" s="54" t="s">
        <v>1388</v>
      </c>
      <c r="C26" s="55">
        <v>22504</v>
      </c>
      <c r="D26" s="55">
        <v>36100</v>
      </c>
      <c r="E26" s="56">
        <v>45291</v>
      </c>
      <c r="F26" s="57">
        <v>57293</v>
      </c>
      <c r="G26" s="50">
        <v>105.122</v>
      </c>
      <c r="H26" s="50">
        <v>203.542</v>
      </c>
      <c r="I26" s="50">
        <f t="shared" si="0"/>
        <v>852253.51651457045</v>
      </c>
      <c r="J26" s="76">
        <f t="shared" si="1"/>
        <v>25</v>
      </c>
      <c r="K26" s="76">
        <f t="shared" si="2"/>
        <v>27.5</v>
      </c>
      <c r="L26" s="92">
        <f t="shared" si="3"/>
        <v>1575557.5</v>
      </c>
      <c r="M26" s="36">
        <f t="shared" si="4"/>
        <v>20</v>
      </c>
      <c r="N26" s="36">
        <f t="shared" si="5"/>
        <v>5</v>
      </c>
      <c r="O26" s="36">
        <f t="shared" si="6"/>
        <v>0</v>
      </c>
      <c r="P26" s="36">
        <f t="shared" si="7"/>
        <v>25</v>
      </c>
      <c r="Q26" s="36">
        <f t="shared" si="8"/>
        <v>27.5</v>
      </c>
      <c r="S26" s="101">
        <f t="shared" ca="1" si="9"/>
        <v>64</v>
      </c>
    </row>
    <row r="27" spans="1:24" s="36" customFormat="1" ht="13.8">
      <c r="A27" s="53" t="s">
        <v>886</v>
      </c>
      <c r="B27" s="54" t="s">
        <v>1390</v>
      </c>
      <c r="C27" s="55">
        <v>22312</v>
      </c>
      <c r="D27" s="55">
        <v>32251</v>
      </c>
      <c r="E27" s="56">
        <v>45291</v>
      </c>
      <c r="F27" s="57">
        <v>70827</v>
      </c>
      <c r="G27" s="50">
        <v>82.650999999999996</v>
      </c>
      <c r="H27" s="50">
        <v>304.5</v>
      </c>
      <c r="I27" s="50">
        <f t="shared" si="0"/>
        <v>1321479.6834410978</v>
      </c>
      <c r="J27" s="76">
        <f t="shared" si="1"/>
        <v>35</v>
      </c>
      <c r="K27" s="76">
        <f t="shared" si="2"/>
        <v>45</v>
      </c>
      <c r="L27" s="92">
        <f t="shared" si="3"/>
        <v>3187215</v>
      </c>
      <c r="M27" s="36">
        <f t="shared" si="4"/>
        <v>20</v>
      </c>
      <c r="N27" s="36">
        <f t="shared" si="5"/>
        <v>10</v>
      </c>
      <c r="O27" s="36">
        <f t="shared" si="6"/>
        <v>5</v>
      </c>
      <c r="P27" s="36">
        <f t="shared" si="7"/>
        <v>35</v>
      </c>
      <c r="Q27" s="36">
        <f t="shared" si="8"/>
        <v>45</v>
      </c>
      <c r="S27" s="101">
        <f t="shared" ca="1" si="9"/>
        <v>65</v>
      </c>
    </row>
    <row r="28" spans="1:24" s="36" customFormat="1" ht="12.75" customHeight="1">
      <c r="A28" s="53" t="s">
        <v>257</v>
      </c>
      <c r="B28" s="54" t="s">
        <v>1390</v>
      </c>
      <c r="C28" s="55">
        <v>22338</v>
      </c>
      <c r="D28" s="55">
        <v>31719</v>
      </c>
      <c r="E28" s="56">
        <v>45291</v>
      </c>
      <c r="F28" s="57">
        <v>70827</v>
      </c>
      <c r="G28" s="50">
        <v>79.117000000000004</v>
      </c>
      <c r="H28" s="50">
        <v>236</v>
      </c>
      <c r="I28" s="50">
        <f t="shared" si="0"/>
        <v>1075602.8356039592</v>
      </c>
      <c r="J28" s="76">
        <f t="shared" si="1"/>
        <v>37</v>
      </c>
      <c r="K28" s="76">
        <f t="shared" si="2"/>
        <v>49</v>
      </c>
      <c r="L28" s="92">
        <f t="shared" si="3"/>
        <v>3470523</v>
      </c>
      <c r="M28" s="36">
        <f t="shared" si="4"/>
        <v>20</v>
      </c>
      <c r="N28" s="36">
        <f t="shared" si="5"/>
        <v>10</v>
      </c>
      <c r="O28" s="36">
        <f t="shared" si="6"/>
        <v>7</v>
      </c>
      <c r="P28" s="36">
        <f t="shared" si="7"/>
        <v>37</v>
      </c>
      <c r="Q28" s="36">
        <f t="shared" si="8"/>
        <v>49</v>
      </c>
      <c r="S28" s="101">
        <f t="shared" ca="1" si="9"/>
        <v>65</v>
      </c>
    </row>
    <row r="29" spans="1:24" s="36" customFormat="1" ht="12.75" customHeight="1">
      <c r="A29" s="53" t="s">
        <v>1375</v>
      </c>
      <c r="B29" s="54" t="s">
        <v>3031</v>
      </c>
      <c r="C29" s="55">
        <v>22444</v>
      </c>
      <c r="D29" s="55">
        <v>34408</v>
      </c>
      <c r="E29" s="56">
        <v>45291</v>
      </c>
      <c r="F29" s="57">
        <v>11732</v>
      </c>
      <c r="G29" s="50">
        <v>109.87</v>
      </c>
      <c r="H29" s="50">
        <v>320.20800000000003</v>
      </c>
      <c r="I29" s="50">
        <f t="shared" si="0"/>
        <v>243164.70619899919</v>
      </c>
      <c r="J29" s="76">
        <f t="shared" si="1"/>
        <v>29</v>
      </c>
      <c r="K29" s="76">
        <f t="shared" si="2"/>
        <v>33.5</v>
      </c>
      <c r="L29" s="92">
        <f t="shared" si="3"/>
        <v>393022</v>
      </c>
      <c r="M29" s="36">
        <f t="shared" si="4"/>
        <v>20</v>
      </c>
      <c r="N29" s="36">
        <f t="shared" si="5"/>
        <v>9</v>
      </c>
      <c r="O29" s="36">
        <f t="shared" si="6"/>
        <v>0</v>
      </c>
      <c r="P29" s="36">
        <f t="shared" si="7"/>
        <v>29</v>
      </c>
      <c r="Q29" s="36">
        <f t="shared" si="8"/>
        <v>33.5</v>
      </c>
      <c r="S29" s="101">
        <f t="shared" ca="1" si="9"/>
        <v>64</v>
      </c>
    </row>
    <row r="30" spans="1:24" s="36" customFormat="1" ht="12.75" customHeight="1">
      <c r="A30" s="53" t="s">
        <v>820</v>
      </c>
      <c r="B30" s="54" t="s">
        <v>1390</v>
      </c>
      <c r="C30" s="55">
        <v>22947</v>
      </c>
      <c r="D30" s="55">
        <v>32687</v>
      </c>
      <c r="E30" s="56">
        <v>45291</v>
      </c>
      <c r="F30" s="57">
        <v>66385</v>
      </c>
      <c r="G30" s="50">
        <f>((14.617+(10*5))+25)-10</f>
        <v>79.617000000000004</v>
      </c>
      <c r="H30" s="50">
        <f>((90.625+(15*5))+25)-15</f>
        <v>175.625</v>
      </c>
      <c r="I30" s="50">
        <f t="shared" si="0"/>
        <v>816588.68324075907</v>
      </c>
      <c r="J30" s="76">
        <f t="shared" si="1"/>
        <v>34</v>
      </c>
      <c r="K30" s="76">
        <f t="shared" si="2"/>
        <v>43</v>
      </c>
      <c r="L30" s="92">
        <f t="shared" si="3"/>
        <v>2854555</v>
      </c>
      <c r="M30" s="36">
        <f t="shared" si="4"/>
        <v>20</v>
      </c>
      <c r="N30" s="36">
        <f t="shared" si="5"/>
        <v>10</v>
      </c>
      <c r="O30" s="36">
        <f t="shared" si="6"/>
        <v>4</v>
      </c>
      <c r="P30" s="36">
        <f t="shared" si="7"/>
        <v>34</v>
      </c>
      <c r="Q30" s="36">
        <f t="shared" si="8"/>
        <v>43</v>
      </c>
      <c r="S30" s="101">
        <f t="shared" ca="1" si="9"/>
        <v>63</v>
      </c>
    </row>
    <row r="31" spans="1:24" s="36" customFormat="1" ht="12.75" customHeight="1">
      <c r="A31" s="53" t="s">
        <v>881</v>
      </c>
      <c r="B31" s="54" t="s">
        <v>1390</v>
      </c>
      <c r="C31" s="55">
        <v>22868</v>
      </c>
      <c r="D31" s="55">
        <v>31336</v>
      </c>
      <c r="E31" s="56">
        <v>45291</v>
      </c>
      <c r="F31" s="57">
        <v>66385</v>
      </c>
      <c r="G31" s="50">
        <f>((4.159+(10*5))+25)-10</f>
        <v>69.158999999999992</v>
      </c>
      <c r="H31" s="50">
        <f>((173.625+(15*5))+25)-15</f>
        <v>258.625</v>
      </c>
      <c r="I31" s="50">
        <f t="shared" si="0"/>
        <v>1048670.3009198681</v>
      </c>
      <c r="J31" s="76">
        <f t="shared" si="1"/>
        <v>38</v>
      </c>
      <c r="K31" s="76">
        <f t="shared" si="2"/>
        <v>51</v>
      </c>
      <c r="L31" s="92">
        <f t="shared" si="3"/>
        <v>3385635</v>
      </c>
      <c r="M31" s="36">
        <f t="shared" si="4"/>
        <v>20</v>
      </c>
      <c r="N31" s="36">
        <f t="shared" si="5"/>
        <v>10</v>
      </c>
      <c r="O31" s="36">
        <f t="shared" si="6"/>
        <v>8</v>
      </c>
      <c r="P31" s="36">
        <f t="shared" si="7"/>
        <v>38</v>
      </c>
      <c r="Q31" s="36">
        <f t="shared" si="8"/>
        <v>51</v>
      </c>
      <c r="S31" s="101">
        <f t="shared" ca="1" si="9"/>
        <v>63</v>
      </c>
    </row>
    <row r="32" spans="1:24" s="36" customFormat="1" ht="12.75" customHeight="1">
      <c r="A32" s="53" t="s">
        <v>1453</v>
      </c>
      <c r="B32" s="54" t="s">
        <v>1390</v>
      </c>
      <c r="C32" s="55">
        <v>22866</v>
      </c>
      <c r="D32" s="55">
        <v>31371</v>
      </c>
      <c r="E32" s="56">
        <v>45291</v>
      </c>
      <c r="F32" s="57">
        <v>66385</v>
      </c>
      <c r="G32" s="50">
        <f>((52.864+(10*5))+25)-10</f>
        <v>117.864</v>
      </c>
      <c r="H32" s="50">
        <f>((312.625+(15*5))+25)-15</f>
        <v>397.625</v>
      </c>
      <c r="I32" s="50">
        <f t="shared" si="0"/>
        <v>1649189.7247909654</v>
      </c>
      <c r="J32" s="76">
        <f t="shared" si="1"/>
        <v>38</v>
      </c>
      <c r="K32" s="76">
        <f t="shared" si="2"/>
        <v>51</v>
      </c>
      <c r="L32" s="92">
        <f t="shared" si="3"/>
        <v>3385635</v>
      </c>
      <c r="M32" s="36">
        <f t="shared" si="4"/>
        <v>20</v>
      </c>
      <c r="N32" s="36">
        <f t="shared" si="5"/>
        <v>10</v>
      </c>
      <c r="O32" s="36">
        <f t="shared" si="6"/>
        <v>8</v>
      </c>
      <c r="P32" s="36">
        <f t="shared" si="7"/>
        <v>38</v>
      </c>
      <c r="Q32" s="36">
        <f t="shared" si="8"/>
        <v>51</v>
      </c>
      <c r="S32" s="101">
        <f t="shared" ca="1" si="9"/>
        <v>63</v>
      </c>
    </row>
    <row r="33" spans="1:23" s="36" customFormat="1" ht="12.75" customHeight="1">
      <c r="A33" s="53" t="s">
        <v>943</v>
      </c>
      <c r="B33" s="54" t="s">
        <v>1390</v>
      </c>
      <c r="C33" s="55">
        <v>22989</v>
      </c>
      <c r="D33" s="55">
        <v>31414</v>
      </c>
      <c r="E33" s="56">
        <v>45291</v>
      </c>
      <c r="F33" s="57">
        <v>66385</v>
      </c>
      <c r="G33" s="50">
        <f>((8.719+(10*5))+25)-10</f>
        <v>73.718999999999994</v>
      </c>
      <c r="H33" s="50">
        <f>((265.959+(15*5))+25)-15</f>
        <v>350.959</v>
      </c>
      <c r="I33" s="50">
        <f t="shared" si="0"/>
        <v>1358660.599828081</v>
      </c>
      <c r="J33" s="76">
        <f t="shared" si="1"/>
        <v>37</v>
      </c>
      <c r="K33" s="76">
        <f t="shared" si="2"/>
        <v>49</v>
      </c>
      <c r="L33" s="92">
        <f t="shared" si="3"/>
        <v>3252865</v>
      </c>
      <c r="M33" s="36">
        <f t="shared" si="4"/>
        <v>20</v>
      </c>
      <c r="N33" s="36">
        <f t="shared" si="5"/>
        <v>10</v>
      </c>
      <c r="O33" s="36">
        <f t="shared" si="6"/>
        <v>7</v>
      </c>
      <c r="P33" s="36">
        <f t="shared" si="7"/>
        <v>37</v>
      </c>
      <c r="Q33" s="36">
        <f t="shared" si="8"/>
        <v>49</v>
      </c>
      <c r="S33" s="101">
        <f t="shared" ref="S33:S43" ca="1" si="10">DATEDIF(C33,TODAY(),"Y")</f>
        <v>63</v>
      </c>
      <c r="V33" s="102"/>
      <c r="W33" s="36">
        <f>75.752+(15*5)</f>
        <v>150.75200000000001</v>
      </c>
    </row>
    <row r="34" spans="1:23" s="36" customFormat="1" ht="12.75" customHeight="1">
      <c r="A34" s="53" t="s">
        <v>1188</v>
      </c>
      <c r="B34" s="54" t="s">
        <v>1880</v>
      </c>
      <c r="C34" s="55">
        <v>22725</v>
      </c>
      <c r="D34" s="55">
        <v>31049</v>
      </c>
      <c r="E34" s="56">
        <v>45291</v>
      </c>
      <c r="F34" s="57">
        <v>17848</v>
      </c>
      <c r="G34" s="50">
        <f>((8.366+(10*5))+25)-10</f>
        <v>73.366</v>
      </c>
      <c r="H34" s="50">
        <f>((227.5+(15*5))+25)-15</f>
        <v>312.5</v>
      </c>
      <c r="I34" s="50">
        <f t="shared" si="0"/>
        <v>331900.05830211355</v>
      </c>
      <c r="J34" s="76">
        <f t="shared" si="1"/>
        <v>38</v>
      </c>
      <c r="K34" s="76">
        <f t="shared" si="2"/>
        <v>51</v>
      </c>
      <c r="L34" s="92">
        <f t="shared" si="3"/>
        <v>910248</v>
      </c>
      <c r="M34" s="36">
        <f t="shared" si="4"/>
        <v>20</v>
      </c>
      <c r="N34" s="36">
        <f t="shared" si="5"/>
        <v>10</v>
      </c>
      <c r="O34" s="36">
        <f t="shared" si="6"/>
        <v>8</v>
      </c>
      <c r="P34" s="36">
        <f t="shared" si="7"/>
        <v>38</v>
      </c>
      <c r="Q34" s="36">
        <f t="shared" si="8"/>
        <v>51</v>
      </c>
      <c r="S34" s="101">
        <f t="shared" ca="1" si="10"/>
        <v>64</v>
      </c>
      <c r="V34" s="102"/>
      <c r="W34" s="36">
        <f>90.625+(15*5)</f>
        <v>165.625</v>
      </c>
    </row>
    <row r="35" spans="1:23" s="36" customFormat="1" ht="12.75" customHeight="1">
      <c r="A35" s="53" t="s">
        <v>1298</v>
      </c>
      <c r="B35" s="54" t="s">
        <v>3034</v>
      </c>
      <c r="C35" s="55">
        <v>22999</v>
      </c>
      <c r="D35" s="55">
        <v>32580</v>
      </c>
      <c r="E35" s="56">
        <v>45291</v>
      </c>
      <c r="F35" s="57">
        <v>12407</v>
      </c>
      <c r="G35" s="50">
        <f>((9.094+(10*5))+25)-10</f>
        <v>74.093999999999994</v>
      </c>
      <c r="H35" s="50">
        <f>((102.042+(15*5))+25)-15</f>
        <v>187.042</v>
      </c>
      <c r="I35" s="50">
        <f t="shared" si="0"/>
        <v>156140.22039163037</v>
      </c>
      <c r="J35" s="76">
        <f t="shared" si="1"/>
        <v>34</v>
      </c>
      <c r="K35" s="76">
        <f t="shared" si="2"/>
        <v>43</v>
      </c>
      <c r="L35" s="92">
        <f t="shared" si="3"/>
        <v>533501</v>
      </c>
      <c r="M35" s="36">
        <f t="shared" si="4"/>
        <v>20</v>
      </c>
      <c r="N35" s="36">
        <f t="shared" si="5"/>
        <v>10</v>
      </c>
      <c r="O35" s="36">
        <f t="shared" si="6"/>
        <v>4</v>
      </c>
      <c r="P35" s="36">
        <f t="shared" si="7"/>
        <v>34</v>
      </c>
      <c r="Q35" s="36">
        <f t="shared" si="8"/>
        <v>43</v>
      </c>
      <c r="S35" s="101">
        <f t="shared" ca="1" si="10"/>
        <v>63</v>
      </c>
      <c r="V35" s="102"/>
      <c r="W35" s="36">
        <f>173.625+(15*5)</f>
        <v>248.625</v>
      </c>
    </row>
    <row r="36" spans="1:23" s="36" customFormat="1" ht="12.75" customHeight="1">
      <c r="A36" s="53" t="s">
        <v>2713</v>
      </c>
      <c r="B36" s="54" t="s">
        <v>3053</v>
      </c>
      <c r="C36" s="55">
        <v>23201</v>
      </c>
      <c r="D36" s="55">
        <v>31719</v>
      </c>
      <c r="E36" s="56">
        <v>45291</v>
      </c>
      <c r="F36" s="57">
        <v>88986</v>
      </c>
      <c r="G36" s="58">
        <v>132.732</v>
      </c>
      <c r="H36" s="59">
        <v>351.36</v>
      </c>
      <c r="I36" s="50">
        <f t="shared" si="0"/>
        <v>2076016.7312202023</v>
      </c>
      <c r="J36" s="76">
        <f t="shared" si="1"/>
        <v>37</v>
      </c>
      <c r="K36" s="76">
        <f t="shared" si="2"/>
        <v>49</v>
      </c>
      <c r="L36" s="92">
        <f t="shared" si="3"/>
        <v>4360314</v>
      </c>
      <c r="M36" s="36">
        <f t="shared" si="4"/>
        <v>20</v>
      </c>
      <c r="N36" s="36">
        <f t="shared" si="5"/>
        <v>10</v>
      </c>
      <c r="O36" s="36">
        <f t="shared" si="6"/>
        <v>7</v>
      </c>
      <c r="P36" s="36">
        <f t="shared" si="7"/>
        <v>37</v>
      </c>
      <c r="Q36" s="36">
        <f t="shared" si="8"/>
        <v>49</v>
      </c>
      <c r="S36" s="101">
        <f t="shared" ca="1" si="10"/>
        <v>62</v>
      </c>
      <c r="V36" s="102"/>
    </row>
    <row r="37" spans="1:23" s="36" customFormat="1" ht="12.75" customHeight="1">
      <c r="A37" s="53" t="s">
        <v>1030</v>
      </c>
      <c r="B37" s="54" t="s">
        <v>1390</v>
      </c>
      <c r="C37" s="55">
        <v>23249</v>
      </c>
      <c r="D37" s="55">
        <v>34808</v>
      </c>
      <c r="E37" s="56">
        <v>45291</v>
      </c>
      <c r="F37" s="57">
        <v>67469</v>
      </c>
      <c r="G37" s="58">
        <v>75.75</v>
      </c>
      <c r="H37" s="59">
        <v>325.25</v>
      </c>
      <c r="I37" s="50">
        <f t="shared" si="0"/>
        <v>1303856.8237963</v>
      </c>
      <c r="J37" s="76">
        <f t="shared" si="1"/>
        <v>28</v>
      </c>
      <c r="K37" s="76">
        <f t="shared" si="2"/>
        <v>32</v>
      </c>
      <c r="L37" s="92">
        <f t="shared" si="3"/>
        <v>2159008</v>
      </c>
      <c r="M37" s="36">
        <f t="shared" si="4"/>
        <v>20</v>
      </c>
      <c r="N37" s="36">
        <f t="shared" si="5"/>
        <v>8</v>
      </c>
      <c r="O37" s="36">
        <f t="shared" si="6"/>
        <v>0</v>
      </c>
      <c r="P37" s="36">
        <f t="shared" si="7"/>
        <v>28</v>
      </c>
      <c r="Q37" s="36">
        <f t="shared" si="8"/>
        <v>32</v>
      </c>
      <c r="S37" s="101">
        <f t="shared" ca="1" si="10"/>
        <v>62</v>
      </c>
      <c r="V37" s="102"/>
    </row>
    <row r="38" spans="1:23" s="36" customFormat="1" ht="12.75" customHeight="1">
      <c r="A38" s="53" t="s">
        <v>579</v>
      </c>
      <c r="B38" s="54" t="s">
        <v>1388</v>
      </c>
      <c r="C38" s="55">
        <v>23092</v>
      </c>
      <c r="D38" s="55">
        <v>31188</v>
      </c>
      <c r="E38" s="56">
        <v>45291</v>
      </c>
      <c r="F38" s="57">
        <v>57273</v>
      </c>
      <c r="G38" s="58">
        <v>74.260999999999996</v>
      </c>
      <c r="H38" s="59">
        <v>188.916</v>
      </c>
      <c r="I38" s="50">
        <f t="shared" si="0"/>
        <v>726405.49823705666</v>
      </c>
      <c r="J38" s="76">
        <f t="shared" si="1"/>
        <v>38</v>
      </c>
      <c r="K38" s="76">
        <f t="shared" si="2"/>
        <v>51</v>
      </c>
      <c r="L38" s="92">
        <f t="shared" si="3"/>
        <v>2920923</v>
      </c>
      <c r="M38" s="36">
        <f t="shared" si="4"/>
        <v>20</v>
      </c>
      <c r="N38" s="36">
        <f t="shared" si="5"/>
        <v>10</v>
      </c>
      <c r="O38" s="36">
        <f t="shared" si="6"/>
        <v>8</v>
      </c>
      <c r="P38" s="36">
        <f t="shared" si="7"/>
        <v>38</v>
      </c>
      <c r="Q38" s="36">
        <f t="shared" si="8"/>
        <v>51</v>
      </c>
      <c r="S38" s="101">
        <f t="shared" ca="1" si="10"/>
        <v>63</v>
      </c>
      <c r="V38" s="102"/>
    </row>
    <row r="39" spans="1:23" s="36" customFormat="1" ht="12.75" customHeight="1">
      <c r="A39" s="53" t="s">
        <v>1258</v>
      </c>
      <c r="B39" s="54" t="s">
        <v>2764</v>
      </c>
      <c r="C39" s="55">
        <v>23278</v>
      </c>
      <c r="D39" s="55">
        <v>34151</v>
      </c>
      <c r="E39" s="56">
        <v>45291</v>
      </c>
      <c r="F39" s="57">
        <v>15664</v>
      </c>
      <c r="G39" s="58">
        <v>132.83699999999999</v>
      </c>
      <c r="H39" s="59">
        <v>257.625</v>
      </c>
      <c r="I39" s="50">
        <f t="shared" si="0"/>
        <v>294756.03598119359</v>
      </c>
      <c r="J39" s="76">
        <f t="shared" si="1"/>
        <v>30</v>
      </c>
      <c r="K39" s="76">
        <f t="shared" si="2"/>
        <v>35</v>
      </c>
      <c r="L39" s="92">
        <f t="shared" si="3"/>
        <v>548240</v>
      </c>
      <c r="M39" s="36">
        <f t="shared" si="4"/>
        <v>20</v>
      </c>
      <c r="N39" s="36">
        <f t="shared" si="5"/>
        <v>10</v>
      </c>
      <c r="O39" s="36">
        <f t="shared" si="6"/>
        <v>0</v>
      </c>
      <c r="P39" s="36">
        <f t="shared" si="7"/>
        <v>30</v>
      </c>
      <c r="Q39" s="36">
        <f t="shared" si="8"/>
        <v>35</v>
      </c>
      <c r="S39" s="101">
        <f t="shared" ca="1" si="10"/>
        <v>62</v>
      </c>
      <c r="V39" s="102"/>
    </row>
    <row r="40" spans="1:23" s="36" customFormat="1" ht="12.75" hidden="1" customHeight="1">
      <c r="A40" s="53"/>
      <c r="B40" s="54"/>
      <c r="C40" s="55"/>
      <c r="D40" s="55"/>
      <c r="E40" s="56"/>
      <c r="F40" s="57"/>
      <c r="G40" s="60"/>
      <c r="H40" s="60"/>
      <c r="I40" s="50">
        <f t="shared" si="0"/>
        <v>0</v>
      </c>
      <c r="J40" s="76">
        <f t="shared" si="1"/>
        <v>0</v>
      </c>
      <c r="K40" s="76">
        <f t="shared" si="2"/>
        <v>0</v>
      </c>
      <c r="L40" s="92">
        <f t="shared" si="3"/>
        <v>0</v>
      </c>
      <c r="M40" s="36">
        <f t="shared" si="4"/>
        <v>0</v>
      </c>
      <c r="N40" s="36">
        <f t="shared" si="5"/>
        <v>0</v>
      </c>
      <c r="O40" s="36">
        <f t="shared" si="6"/>
        <v>0</v>
      </c>
      <c r="P40" s="36">
        <f t="shared" si="7"/>
        <v>0</v>
      </c>
      <c r="Q40" s="36">
        <f t="shared" si="8"/>
        <v>0</v>
      </c>
      <c r="S40" s="101">
        <f t="shared" ca="1" si="10"/>
        <v>126</v>
      </c>
      <c r="V40" s="102"/>
      <c r="W40" s="36">
        <f>312.625+(15*5)</f>
        <v>387.625</v>
      </c>
    </row>
    <row r="41" spans="1:23" s="36" customFormat="1" ht="12.75" hidden="1" customHeight="1">
      <c r="A41" s="53"/>
      <c r="B41" s="54"/>
      <c r="C41" s="55"/>
      <c r="D41" s="55"/>
      <c r="E41" s="56"/>
      <c r="F41" s="57"/>
      <c r="G41" s="60"/>
      <c r="H41" s="60"/>
      <c r="I41" s="50">
        <f t="shared" si="0"/>
        <v>0</v>
      </c>
      <c r="J41" s="76">
        <f t="shared" si="1"/>
        <v>0</v>
      </c>
      <c r="K41" s="76">
        <f t="shared" si="2"/>
        <v>0</v>
      </c>
      <c r="L41" s="92">
        <f t="shared" si="3"/>
        <v>0</v>
      </c>
      <c r="M41" s="36">
        <f t="shared" si="4"/>
        <v>0</v>
      </c>
      <c r="N41" s="36">
        <f t="shared" si="5"/>
        <v>0</v>
      </c>
      <c r="O41" s="36">
        <f t="shared" si="6"/>
        <v>0</v>
      </c>
      <c r="P41" s="36">
        <f t="shared" si="7"/>
        <v>0</v>
      </c>
      <c r="Q41" s="36">
        <f t="shared" si="8"/>
        <v>0</v>
      </c>
      <c r="S41" s="101">
        <f t="shared" ca="1" si="10"/>
        <v>126</v>
      </c>
      <c r="V41" s="102"/>
      <c r="W41" s="36">
        <f>265.959+(15*5)</f>
        <v>340.959</v>
      </c>
    </row>
    <row r="42" spans="1:23" s="36" customFormat="1" ht="12.75" hidden="1" customHeight="1">
      <c r="A42" s="53"/>
      <c r="B42" s="54"/>
      <c r="C42" s="55"/>
      <c r="D42" s="55"/>
      <c r="E42" s="56"/>
      <c r="F42" s="57"/>
      <c r="G42" s="60"/>
      <c r="H42" s="60"/>
      <c r="I42" s="50">
        <f t="shared" si="0"/>
        <v>0</v>
      </c>
      <c r="J42" s="76">
        <f t="shared" si="1"/>
        <v>0</v>
      </c>
      <c r="K42" s="76">
        <f t="shared" si="2"/>
        <v>0</v>
      </c>
      <c r="L42" s="92">
        <f t="shared" si="3"/>
        <v>0</v>
      </c>
      <c r="M42" s="36">
        <f t="shared" si="4"/>
        <v>0</v>
      </c>
      <c r="N42" s="36">
        <f t="shared" si="5"/>
        <v>0</v>
      </c>
      <c r="O42" s="36">
        <f t="shared" si="6"/>
        <v>0</v>
      </c>
      <c r="P42" s="36">
        <f t="shared" si="7"/>
        <v>0</v>
      </c>
      <c r="Q42" s="36">
        <f t="shared" si="8"/>
        <v>0</v>
      </c>
      <c r="S42" s="101">
        <f t="shared" ca="1" si="10"/>
        <v>126</v>
      </c>
      <c r="V42" s="102"/>
      <c r="W42" s="36">
        <f>227.5+(15*5)</f>
        <v>302.5</v>
      </c>
    </row>
    <row r="43" spans="1:23" s="36" customFormat="1" ht="12.75" hidden="1" customHeight="1">
      <c r="A43" s="53"/>
      <c r="B43" s="54"/>
      <c r="C43" s="55"/>
      <c r="D43" s="55"/>
      <c r="E43" s="56"/>
      <c r="F43" s="57"/>
      <c r="G43" s="60"/>
      <c r="H43" s="60"/>
      <c r="I43" s="50">
        <f t="shared" si="0"/>
        <v>0</v>
      </c>
      <c r="J43" s="76">
        <f t="shared" si="1"/>
        <v>0</v>
      </c>
      <c r="K43" s="76">
        <f t="shared" si="2"/>
        <v>0</v>
      </c>
      <c r="L43" s="92">
        <f t="shared" si="3"/>
        <v>0</v>
      </c>
      <c r="M43" s="36">
        <f t="shared" si="4"/>
        <v>0</v>
      </c>
      <c r="N43" s="36">
        <f t="shared" si="5"/>
        <v>0</v>
      </c>
      <c r="O43" s="36">
        <f t="shared" si="6"/>
        <v>0</v>
      </c>
      <c r="P43" s="36">
        <f t="shared" si="7"/>
        <v>0</v>
      </c>
      <c r="Q43" s="36">
        <f t="shared" si="8"/>
        <v>0</v>
      </c>
      <c r="S43" s="101">
        <f t="shared" ca="1" si="10"/>
        <v>126</v>
      </c>
      <c r="V43" s="102"/>
      <c r="W43" s="36">
        <f>102.042+(15*5)</f>
        <v>177.042</v>
      </c>
    </row>
    <row r="44" spans="1:23" s="36" customFormat="1" ht="13.8">
      <c r="A44" s="61"/>
      <c r="B44" s="62" t="s">
        <v>2188</v>
      </c>
      <c r="C44" s="47"/>
      <c r="D44" s="63"/>
      <c r="E44" s="47"/>
      <c r="F44" s="64"/>
      <c r="G44" s="65"/>
      <c r="H44" s="65"/>
      <c r="I44" s="93">
        <f>SUM(I12:I43)</f>
        <v>31774178.903908543</v>
      </c>
      <c r="J44" s="94"/>
      <c r="K44" s="84"/>
      <c r="L44" s="95">
        <f>SUM(L12:L43)</f>
        <v>74584383.5</v>
      </c>
    </row>
    <row r="45" spans="1:23" s="36" customFormat="1" ht="13.8">
      <c r="A45" s="66" t="s">
        <v>1381</v>
      </c>
      <c r="B45" s="67"/>
      <c r="C45" s="38"/>
      <c r="D45" s="68" t="s">
        <v>3353</v>
      </c>
      <c r="E45" s="38"/>
      <c r="F45" s="69"/>
      <c r="J45" s="96" t="s">
        <v>3354</v>
      </c>
      <c r="K45" s="41"/>
      <c r="L45" s="87"/>
      <c r="S45" s="36">
        <v>50</v>
      </c>
      <c r="T45" s="36">
        <v>75</v>
      </c>
    </row>
    <row r="46" spans="1:23" s="36" customFormat="1" ht="13.8">
      <c r="A46" s="66"/>
      <c r="B46" s="70"/>
      <c r="C46" s="71"/>
      <c r="D46" s="68"/>
      <c r="E46" s="71"/>
      <c r="F46" s="69"/>
      <c r="G46" s="72"/>
      <c r="H46" s="72"/>
      <c r="I46" s="72"/>
      <c r="J46" s="96"/>
      <c r="K46" s="41"/>
      <c r="L46" s="87"/>
    </row>
    <row r="47" spans="1:23" s="36" customFormat="1" ht="13.8">
      <c r="A47" s="49"/>
      <c r="B47" s="67"/>
      <c r="C47" s="38"/>
      <c r="D47" s="39"/>
      <c r="E47" s="38"/>
      <c r="F47" s="73"/>
      <c r="J47" s="76"/>
      <c r="K47" s="41"/>
      <c r="L47" s="87"/>
      <c r="S47" s="103"/>
    </row>
    <row r="48" spans="1:23" s="36" customFormat="1">
      <c r="A48" s="74" t="s">
        <v>1383</v>
      </c>
      <c r="B48" s="1128" t="s">
        <v>3361</v>
      </c>
      <c r="C48" s="1129"/>
      <c r="D48" s="1129"/>
      <c r="E48" s="1129"/>
      <c r="F48" s="1129"/>
      <c r="G48" s="1129"/>
      <c r="H48" s="1129"/>
      <c r="I48" s="1130"/>
      <c r="J48" s="1131">
        <f ca="1">NOW()</f>
        <v>46105.538043402776</v>
      </c>
      <c r="K48" s="1132"/>
      <c r="L48" s="1133"/>
    </row>
    <row r="49" spans="1:17" s="36" customFormat="1" ht="13.8">
      <c r="A49" s="75" t="s">
        <v>3356</v>
      </c>
      <c r="B49" s="1118" t="s">
        <v>3357</v>
      </c>
      <c r="C49" s="1119"/>
      <c r="D49" s="1119"/>
      <c r="E49" s="1119"/>
      <c r="F49" s="1119"/>
      <c r="G49" s="1119"/>
      <c r="H49" s="1119"/>
      <c r="I49" s="1120"/>
      <c r="J49" s="76"/>
      <c r="K49" s="41"/>
      <c r="L49" s="87"/>
    </row>
    <row r="50" spans="1:17" s="36" customFormat="1" ht="8.25" customHeight="1">
      <c r="A50" s="77"/>
      <c r="B50" s="78"/>
      <c r="C50" s="79"/>
      <c r="D50" s="80"/>
      <c r="E50" s="79"/>
      <c r="F50" s="81"/>
      <c r="G50" s="82"/>
      <c r="H50" s="82"/>
      <c r="I50" s="82"/>
      <c r="J50" s="97"/>
      <c r="K50" s="98"/>
      <c r="L50" s="99"/>
    </row>
    <row r="51" spans="1:17" s="36" customFormat="1" ht="23.4">
      <c r="A51" s="1121" t="str">
        <f>+A1</f>
        <v>BP 205</v>
      </c>
      <c r="B51" s="1121"/>
      <c r="C51" s="1121"/>
      <c r="D51" s="1121"/>
      <c r="E51" s="1121"/>
      <c r="F51" s="1121"/>
      <c r="G51" s="1121"/>
      <c r="H51" s="1121"/>
      <c r="I51" s="1121"/>
      <c r="J51" s="1121"/>
      <c r="K51" s="1121"/>
      <c r="L51" s="1121"/>
    </row>
    <row r="52" spans="1:17" s="36" customFormat="1" ht="13.8">
      <c r="A52" s="1122" t="str">
        <f>+A2</f>
        <v>FOR FY 2023</v>
      </c>
      <c r="B52" s="1122"/>
      <c r="C52" s="1122"/>
      <c r="D52" s="1122"/>
      <c r="E52" s="1122"/>
      <c r="F52" s="1122"/>
      <c r="G52" s="1122"/>
      <c r="H52" s="1122"/>
      <c r="I52" s="1122"/>
      <c r="J52" s="1122"/>
      <c r="K52" s="1122"/>
      <c r="L52" s="1122"/>
    </row>
    <row r="53" spans="1:17" s="36" customFormat="1" ht="13.8">
      <c r="C53" s="38"/>
      <c r="D53" s="39"/>
      <c r="E53" s="38"/>
      <c r="F53" s="42"/>
      <c r="J53" s="41"/>
      <c r="K53" s="41"/>
      <c r="L53" s="83"/>
    </row>
    <row r="54" spans="1:17" s="36" customFormat="1" ht="13.8">
      <c r="A54" s="43" t="s">
        <v>3332</v>
      </c>
      <c r="B54" s="44"/>
      <c r="C54" s="45"/>
      <c r="D54" s="46"/>
      <c r="E54" s="47"/>
      <c r="F54" s="48" t="s">
        <v>3333</v>
      </c>
      <c r="G54" s="44"/>
      <c r="H54" s="44"/>
      <c r="I54" s="44"/>
      <c r="J54" s="84"/>
      <c r="K54" s="84"/>
      <c r="L54" s="85"/>
    </row>
    <row r="55" spans="1:17" s="36" customFormat="1" ht="15.6">
      <c r="A55" s="49"/>
      <c r="C55" s="38"/>
      <c r="D55" s="39"/>
      <c r="E55" s="38"/>
      <c r="F55" s="50"/>
      <c r="J55" s="41"/>
      <c r="K55" s="88" t="s">
        <v>3358</v>
      </c>
      <c r="L55" s="87"/>
    </row>
    <row r="56" spans="1:17" s="36" customFormat="1" ht="13.8">
      <c r="A56" s="49"/>
      <c r="C56" s="38"/>
      <c r="D56" s="39"/>
      <c r="E56" s="38"/>
      <c r="F56" s="50"/>
      <c r="J56" s="41"/>
      <c r="K56" s="86" t="s">
        <v>3359</v>
      </c>
      <c r="L56" s="87"/>
    </row>
    <row r="57" spans="1:17" s="37" customFormat="1" ht="14.25" customHeight="1">
      <c r="A57" s="1134" t="s">
        <v>3336</v>
      </c>
      <c r="B57" s="1137" t="s">
        <v>3337</v>
      </c>
      <c r="C57" s="1123" t="s">
        <v>3338</v>
      </c>
      <c r="D57" s="1124"/>
      <c r="E57" s="1125"/>
      <c r="F57" s="1143" t="s">
        <v>3339</v>
      </c>
      <c r="G57" s="1126" t="s">
        <v>3340</v>
      </c>
      <c r="H57" s="1127"/>
      <c r="I57" s="89"/>
      <c r="J57" s="90" t="s">
        <v>3341</v>
      </c>
      <c r="K57" s="51"/>
      <c r="L57" s="91"/>
    </row>
    <row r="58" spans="1:17" s="37" customFormat="1" ht="13.8">
      <c r="A58" s="1135"/>
      <c r="B58" s="1138"/>
      <c r="C58" s="1140" t="s">
        <v>3342</v>
      </c>
      <c r="D58" s="1140" t="s">
        <v>3343</v>
      </c>
      <c r="E58" s="1140" t="s">
        <v>3344</v>
      </c>
      <c r="F58" s="1144"/>
      <c r="G58" s="1106" t="s">
        <v>3345</v>
      </c>
      <c r="H58" s="1108"/>
      <c r="I58" s="1112" t="s">
        <v>3346</v>
      </c>
      <c r="J58" s="1115" t="s">
        <v>3347</v>
      </c>
      <c r="K58" s="1115" t="s">
        <v>3348</v>
      </c>
      <c r="L58" s="1103" t="s">
        <v>3346</v>
      </c>
    </row>
    <row r="59" spans="1:17" s="37" customFormat="1" ht="13.8">
      <c r="A59" s="1135"/>
      <c r="B59" s="1138"/>
      <c r="C59" s="1141"/>
      <c r="D59" s="1141"/>
      <c r="E59" s="1141"/>
      <c r="F59" s="1144"/>
      <c r="G59" s="1109"/>
      <c r="H59" s="1111"/>
      <c r="I59" s="1113"/>
      <c r="J59" s="1116"/>
      <c r="K59" s="1116"/>
      <c r="L59" s="1104"/>
    </row>
    <row r="60" spans="1:17" s="37" customFormat="1" ht="13.8">
      <c r="A60" s="1136"/>
      <c r="B60" s="1139"/>
      <c r="C60" s="1142"/>
      <c r="D60" s="1142"/>
      <c r="E60" s="1142"/>
      <c r="F60" s="1145"/>
      <c r="G60" s="52" t="s">
        <v>3349</v>
      </c>
      <c r="H60" s="52" t="s">
        <v>3350</v>
      </c>
      <c r="I60" s="1114"/>
      <c r="J60" s="1117"/>
      <c r="K60" s="1117"/>
      <c r="L60" s="1105"/>
    </row>
    <row r="61" spans="1:17" s="36" customFormat="1" ht="13.8">
      <c r="A61" s="53"/>
      <c r="B61" s="54"/>
      <c r="C61" s="55"/>
      <c r="D61" s="55"/>
      <c r="E61" s="56"/>
      <c r="F61" s="57"/>
      <c r="G61" s="50"/>
      <c r="H61" s="50"/>
      <c r="I61" s="50">
        <f t="shared" ref="I61:I68" si="11">F61*(G61+H61)*0.0481927</f>
        <v>0</v>
      </c>
      <c r="J61" s="76">
        <f t="shared" ref="J61:J68" si="12">DATEDIF(D61,E61,"Y")</f>
        <v>0</v>
      </c>
      <c r="K61" s="76">
        <f t="shared" ref="K61:K68" si="13">Q61</f>
        <v>0</v>
      </c>
      <c r="L61" s="92">
        <f t="shared" ref="L61:L68" si="14">+F61*K61</f>
        <v>0</v>
      </c>
      <c r="M61" s="36">
        <f t="shared" ref="M61:M68" si="15">IF(J61&gt;20,20,J61)</f>
        <v>0</v>
      </c>
      <c r="N61" s="36">
        <f t="shared" ref="N61:N68" si="16">IF((J61-M61)&gt;10,10,(J61-M61))</f>
        <v>0</v>
      </c>
      <c r="O61" s="36">
        <f t="shared" ref="O61:O68" si="17">+J61-M61-N61</f>
        <v>0</v>
      </c>
      <c r="P61" s="36">
        <f t="shared" ref="P61:P68" si="18">SUM(M61:O61)</f>
        <v>0</v>
      </c>
      <c r="Q61" s="36">
        <f t="shared" ref="Q61:Q68" si="19">+M61+N61*1.5+O61*2</f>
        <v>0</v>
      </c>
    </row>
    <row r="62" spans="1:17" s="36" customFormat="1" ht="13.8">
      <c r="A62" s="53" t="s">
        <v>1878</v>
      </c>
      <c r="B62" s="54"/>
      <c r="C62" s="55"/>
      <c r="D62" s="55"/>
      <c r="E62" s="56"/>
      <c r="F62" s="57"/>
      <c r="G62" s="50"/>
      <c r="H62" s="50"/>
      <c r="I62" s="50">
        <f t="shared" si="11"/>
        <v>0</v>
      </c>
      <c r="J62" s="76">
        <f t="shared" si="12"/>
        <v>0</v>
      </c>
      <c r="K62" s="76">
        <f t="shared" si="13"/>
        <v>0</v>
      </c>
      <c r="L62" s="92">
        <f t="shared" si="14"/>
        <v>0</v>
      </c>
      <c r="M62" s="36">
        <f t="shared" si="15"/>
        <v>0</v>
      </c>
      <c r="N62" s="36">
        <f t="shared" si="16"/>
        <v>0</v>
      </c>
      <c r="O62" s="36">
        <f t="shared" si="17"/>
        <v>0</v>
      </c>
      <c r="P62" s="36">
        <f t="shared" si="18"/>
        <v>0</v>
      </c>
      <c r="Q62" s="36">
        <f t="shared" si="19"/>
        <v>0</v>
      </c>
    </row>
    <row r="63" spans="1:17" s="36" customFormat="1" ht="13.8">
      <c r="A63" s="53"/>
      <c r="B63" s="54"/>
      <c r="C63" s="55"/>
      <c r="D63" s="55"/>
      <c r="E63" s="56"/>
      <c r="F63" s="57"/>
      <c r="G63" s="50"/>
      <c r="H63" s="50"/>
      <c r="I63" s="50"/>
      <c r="J63" s="76">
        <f t="shared" si="12"/>
        <v>0</v>
      </c>
      <c r="K63" s="76">
        <f t="shared" si="13"/>
        <v>0</v>
      </c>
      <c r="L63" s="92">
        <f t="shared" si="14"/>
        <v>0</v>
      </c>
      <c r="M63" s="36">
        <f t="shared" si="15"/>
        <v>0</v>
      </c>
      <c r="N63" s="36">
        <f t="shared" si="16"/>
        <v>0</v>
      </c>
      <c r="O63" s="36">
        <f t="shared" si="17"/>
        <v>0</v>
      </c>
      <c r="P63" s="36">
        <f t="shared" si="18"/>
        <v>0</v>
      </c>
      <c r="Q63" s="36">
        <f t="shared" si="19"/>
        <v>0</v>
      </c>
    </row>
    <row r="64" spans="1:17" s="36" customFormat="1" ht="13.8">
      <c r="A64" s="53"/>
      <c r="B64" s="54"/>
      <c r="C64" s="55"/>
      <c r="D64" s="55"/>
      <c r="E64" s="56"/>
      <c r="F64" s="57"/>
      <c r="G64" s="50"/>
      <c r="H64" s="50"/>
      <c r="I64" s="50"/>
      <c r="J64" s="76">
        <f t="shared" si="12"/>
        <v>0</v>
      </c>
      <c r="K64" s="76">
        <f t="shared" si="13"/>
        <v>0</v>
      </c>
      <c r="L64" s="92">
        <f t="shared" si="14"/>
        <v>0</v>
      </c>
      <c r="M64" s="36">
        <f t="shared" si="15"/>
        <v>0</v>
      </c>
      <c r="N64" s="36">
        <f t="shared" si="16"/>
        <v>0</v>
      </c>
      <c r="O64" s="36">
        <f t="shared" si="17"/>
        <v>0</v>
      </c>
      <c r="P64" s="36">
        <f t="shared" si="18"/>
        <v>0</v>
      </c>
      <c r="Q64" s="36">
        <f t="shared" si="19"/>
        <v>0</v>
      </c>
    </row>
    <row r="65" spans="1:17" s="36" customFormat="1" ht="13.8">
      <c r="A65" s="104"/>
      <c r="B65" s="105"/>
      <c r="C65" s="106"/>
      <c r="D65" s="106"/>
      <c r="E65" s="107"/>
      <c r="F65" s="108"/>
      <c r="G65" s="50"/>
      <c r="H65" s="50"/>
      <c r="I65" s="116"/>
      <c r="J65" s="117">
        <f t="shared" si="12"/>
        <v>0</v>
      </c>
      <c r="K65" s="117">
        <f t="shared" si="13"/>
        <v>0</v>
      </c>
      <c r="L65" s="118">
        <f t="shared" si="14"/>
        <v>0</v>
      </c>
      <c r="M65" s="36">
        <f t="shared" si="15"/>
        <v>0</v>
      </c>
      <c r="N65" s="36">
        <f t="shared" si="16"/>
        <v>0</v>
      </c>
      <c r="O65" s="36">
        <f t="shared" si="17"/>
        <v>0</v>
      </c>
      <c r="P65" s="36">
        <f t="shared" si="18"/>
        <v>0</v>
      </c>
      <c r="Q65" s="36">
        <f t="shared" si="19"/>
        <v>0</v>
      </c>
    </row>
    <row r="66" spans="1:17" s="36" customFormat="1" ht="13.8">
      <c r="A66" s="104"/>
      <c r="B66" s="105"/>
      <c r="C66" s="106"/>
      <c r="D66" s="106"/>
      <c r="E66" s="107"/>
      <c r="F66" s="108"/>
      <c r="G66" s="109"/>
      <c r="H66" s="109"/>
      <c r="I66" s="116">
        <f t="shared" si="11"/>
        <v>0</v>
      </c>
      <c r="J66" s="117">
        <f t="shared" si="12"/>
        <v>0</v>
      </c>
      <c r="K66" s="117">
        <f t="shared" si="13"/>
        <v>0</v>
      </c>
      <c r="L66" s="118">
        <f t="shared" si="14"/>
        <v>0</v>
      </c>
      <c r="M66" s="36">
        <f t="shared" si="15"/>
        <v>0</v>
      </c>
      <c r="N66" s="36">
        <f t="shared" si="16"/>
        <v>0</v>
      </c>
      <c r="O66" s="36">
        <f t="shared" si="17"/>
        <v>0</v>
      </c>
      <c r="P66" s="36">
        <f t="shared" si="18"/>
        <v>0</v>
      </c>
      <c r="Q66" s="36">
        <f t="shared" si="19"/>
        <v>0</v>
      </c>
    </row>
    <row r="67" spans="1:17" s="36" customFormat="1" ht="13.8">
      <c r="A67" s="104"/>
      <c r="B67" s="105"/>
      <c r="C67" s="106"/>
      <c r="D67" s="106"/>
      <c r="E67" s="107"/>
      <c r="F67" s="108"/>
      <c r="G67" s="109"/>
      <c r="H67" s="109"/>
      <c r="I67" s="116">
        <f t="shared" si="11"/>
        <v>0</v>
      </c>
      <c r="J67" s="117">
        <f t="shared" si="12"/>
        <v>0</v>
      </c>
      <c r="K67" s="117">
        <f t="shared" si="13"/>
        <v>0</v>
      </c>
      <c r="L67" s="118">
        <f t="shared" si="14"/>
        <v>0</v>
      </c>
      <c r="M67" s="36">
        <f t="shared" si="15"/>
        <v>0</v>
      </c>
      <c r="N67" s="36">
        <f t="shared" si="16"/>
        <v>0</v>
      </c>
      <c r="O67" s="36">
        <f t="shared" si="17"/>
        <v>0</v>
      </c>
      <c r="P67" s="36">
        <f t="shared" si="18"/>
        <v>0</v>
      </c>
      <c r="Q67" s="36">
        <f t="shared" si="19"/>
        <v>0</v>
      </c>
    </row>
    <row r="68" spans="1:17" s="36" customFormat="1" ht="13.8">
      <c r="A68" s="104"/>
      <c r="B68" s="105"/>
      <c r="C68" s="106"/>
      <c r="D68" s="106"/>
      <c r="E68" s="107"/>
      <c r="F68" s="108"/>
      <c r="G68" s="109"/>
      <c r="H68" s="109"/>
      <c r="I68" s="116">
        <f t="shared" si="11"/>
        <v>0</v>
      </c>
      <c r="J68" s="117">
        <f t="shared" si="12"/>
        <v>0</v>
      </c>
      <c r="K68" s="117">
        <f t="shared" si="13"/>
        <v>0</v>
      </c>
      <c r="L68" s="118">
        <f t="shared" si="14"/>
        <v>0</v>
      </c>
      <c r="M68" s="36">
        <f t="shared" si="15"/>
        <v>0</v>
      </c>
      <c r="N68" s="36">
        <f t="shared" si="16"/>
        <v>0</v>
      </c>
      <c r="O68" s="36">
        <f t="shared" si="17"/>
        <v>0</v>
      </c>
      <c r="P68" s="36">
        <f t="shared" si="18"/>
        <v>0</v>
      </c>
      <c r="Q68" s="36">
        <f t="shared" si="19"/>
        <v>0</v>
      </c>
    </row>
    <row r="69" spans="1:17">
      <c r="A69" s="77"/>
      <c r="B69" s="78"/>
      <c r="C69" s="110"/>
      <c r="D69" s="111"/>
      <c r="E69" s="112"/>
      <c r="F69" s="113"/>
      <c r="G69" s="114"/>
      <c r="H69" s="114"/>
      <c r="I69" s="113"/>
      <c r="J69" s="97"/>
      <c r="K69" s="97"/>
      <c r="L69" s="119"/>
    </row>
    <row r="70" spans="1:17" s="36" customFormat="1" ht="13.8">
      <c r="A70" s="61"/>
      <c r="B70" s="62" t="s">
        <v>2188</v>
      </c>
      <c r="C70" s="47"/>
      <c r="D70" s="63"/>
      <c r="E70" s="47"/>
      <c r="F70" s="64"/>
      <c r="G70" s="65"/>
      <c r="H70" s="65"/>
      <c r="I70" s="93">
        <f>SUM(I61:I69)</f>
        <v>0</v>
      </c>
      <c r="J70" s="94"/>
      <c r="K70" s="84"/>
      <c r="L70" s="95">
        <f>SUM(L61:L69)</f>
        <v>0</v>
      </c>
    </row>
    <row r="71" spans="1:17" s="36" customFormat="1" ht="13.8">
      <c r="A71" s="66" t="s">
        <v>1381</v>
      </c>
      <c r="B71" s="67"/>
      <c r="C71" s="38"/>
      <c r="D71" s="115" t="s">
        <v>3353</v>
      </c>
      <c r="E71" s="38"/>
      <c r="F71" s="69"/>
      <c r="J71" s="96" t="s">
        <v>3354</v>
      </c>
      <c r="K71" s="41"/>
      <c r="L71" s="87"/>
    </row>
    <row r="72" spans="1:17" s="36" customFormat="1" ht="13.8">
      <c r="A72" s="66"/>
      <c r="B72" s="70"/>
      <c r="C72" s="71"/>
      <c r="D72" s="68"/>
      <c r="E72" s="71"/>
      <c r="F72" s="69"/>
      <c r="G72" s="72"/>
      <c r="H72" s="72"/>
      <c r="I72" s="72"/>
      <c r="J72" s="96"/>
      <c r="K72" s="41"/>
      <c r="L72" s="87"/>
    </row>
    <row r="73" spans="1:17" s="36" customFormat="1" ht="13.8">
      <c r="A73" s="49"/>
      <c r="B73" s="67"/>
      <c r="C73" s="38"/>
      <c r="D73" s="39"/>
      <c r="E73" s="38"/>
      <c r="F73" s="73"/>
      <c r="J73" s="76"/>
      <c r="K73" s="41"/>
      <c r="L73" s="87"/>
    </row>
    <row r="74" spans="1:17" s="36" customFormat="1">
      <c r="A74" s="74" t="s">
        <v>1383</v>
      </c>
      <c r="B74" s="1128" t="str">
        <f>+B48</f>
        <v>MARLO L. IRINGAN</v>
      </c>
      <c r="C74" s="1129"/>
      <c r="D74" s="1129"/>
      <c r="E74" s="1129"/>
      <c r="F74" s="1129"/>
      <c r="G74" s="1129"/>
      <c r="H74" s="1129"/>
      <c r="I74" s="1130"/>
      <c r="J74" s="1131">
        <f ca="1">NOW()</f>
        <v>46105.538043402776</v>
      </c>
      <c r="K74" s="1132"/>
      <c r="L74" s="1133"/>
    </row>
    <row r="75" spans="1:17" s="36" customFormat="1" ht="13.8">
      <c r="A75" s="75" t="s">
        <v>3356</v>
      </c>
      <c r="B75" s="1118" t="s">
        <v>3357</v>
      </c>
      <c r="C75" s="1119"/>
      <c r="D75" s="1119"/>
      <c r="E75" s="1119"/>
      <c r="F75" s="1119"/>
      <c r="G75" s="1119"/>
      <c r="H75" s="1119"/>
      <c r="I75" s="1120"/>
      <c r="J75" s="76"/>
      <c r="K75" s="41"/>
      <c r="L75" s="87"/>
    </row>
    <row r="76" spans="1:17" s="36" customFormat="1" ht="8.25" customHeight="1">
      <c r="A76" s="77"/>
      <c r="B76" s="78"/>
      <c r="C76" s="79"/>
      <c r="D76" s="80"/>
      <c r="E76" s="79"/>
      <c r="F76" s="81"/>
      <c r="G76" s="82"/>
      <c r="H76" s="82"/>
      <c r="I76" s="82"/>
      <c r="J76" s="97"/>
      <c r="K76" s="98"/>
      <c r="L76" s="99"/>
    </row>
    <row r="77" spans="1:17" s="36" customFormat="1" ht="8.25" customHeight="1">
      <c r="C77" s="38"/>
      <c r="D77" s="39"/>
      <c r="E77" s="38"/>
      <c r="F77" s="73"/>
      <c r="J77" s="41"/>
      <c r="K77" s="41"/>
    </row>
  </sheetData>
  <autoFilter ref="A10:X45" xr:uid="{00000000-0009-0000-0000-000018000000}"/>
  <mergeCells count="36">
    <mergeCell ref="A1:L1"/>
    <mergeCell ref="A2:L2"/>
    <mergeCell ref="C7:E7"/>
    <mergeCell ref="G7:H7"/>
    <mergeCell ref="B48:I48"/>
    <mergeCell ref="J48:L48"/>
    <mergeCell ref="L8:L10"/>
    <mergeCell ref="B74:I74"/>
    <mergeCell ref="J74:L74"/>
    <mergeCell ref="B75:I75"/>
    <mergeCell ref="A7:A10"/>
    <mergeCell ref="A57:A60"/>
    <mergeCell ref="B7:B10"/>
    <mergeCell ref="B57:B60"/>
    <mergeCell ref="C8:C10"/>
    <mergeCell ref="C58:C60"/>
    <mergeCell ref="D8:D10"/>
    <mergeCell ref="D58:D60"/>
    <mergeCell ref="E8:E10"/>
    <mergeCell ref="E58:E60"/>
    <mergeCell ref="F7:F10"/>
    <mergeCell ref="F57:F60"/>
    <mergeCell ref="I8:I10"/>
    <mergeCell ref="L58:L60"/>
    <mergeCell ref="G8:H9"/>
    <mergeCell ref="G58:H59"/>
    <mergeCell ref="I58:I60"/>
    <mergeCell ref="J8:J10"/>
    <mergeCell ref="J58:J60"/>
    <mergeCell ref="K8:K10"/>
    <mergeCell ref="K58:K60"/>
    <mergeCell ref="B49:I49"/>
    <mergeCell ref="A51:L51"/>
    <mergeCell ref="A52:L52"/>
    <mergeCell ref="C57:E57"/>
    <mergeCell ref="G57:H57"/>
  </mergeCells>
  <conditionalFormatting sqref="S12:S43">
    <cfRule type="cellIs" dxfId="5" priority="1" operator="between">
      <formula>64</formula>
      <formula>65</formula>
    </cfRule>
    <cfRule type="cellIs" dxfId="4" priority="2" operator="between">
      <formula>51</formula>
      <formula>59</formula>
    </cfRule>
    <cfRule type="cellIs" dxfId="3" priority="3" operator="between">
      <formula>60</formula>
      <formula>63</formula>
    </cfRule>
    <cfRule type="cellIs" dxfId="2" priority="4" operator="between">
      <formula>41</formula>
      <formula>50</formula>
    </cfRule>
    <cfRule type="cellIs" dxfId="1" priority="5" operator="between">
      <formula>31</formula>
      <formula>40</formula>
    </cfRule>
    <cfRule type="cellIs" dxfId="0" priority="6" operator="between">
      <formula>20</formula>
      <formula>30</formula>
    </cfRule>
  </conditionalFormatting>
  <dataValidations count="2">
    <dataValidation type="decimal" operator="equal" allowBlank="1" showInputMessage="1" showErrorMessage="1" sqref="G61:G65 H61:H65 J36:J40 K36:K40 L36:L40 M36:M40 N36:N40 O36:O40 P36:P40 Q36:Q40 J1:L35 M1:Q35 J75:L1048576 J49:L73 J41:L47 M41:Q1048576 G11:H35" xr:uid="{00000000-0002-0000-1800-000000000000}">
      <formula1>0.321564875548787</formula1>
    </dataValidation>
    <dataValidation allowBlank="1" showInputMessage="1" showErrorMessage="1" sqref="J48:L48 J74:L74 G66:G69 H66:H69" xr:uid="{00000000-0002-0000-1800-000001000000}"/>
  </dataValidations>
  <printOptions horizontalCentered="1" verticalCentered="1"/>
  <pageMargins left="0.2" right="0.18888888888888899" top="0.11874999999999999" bottom="0.109027777777778" header="0.5" footer="0.13888888888888901"/>
  <pageSetup paperSize="9" scale="90" orientation="landscape"/>
  <headerFooter alignWithMargins="0"/>
  <rowBreaks count="1" manualBreakCount="1">
    <brk id="50" max="11"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Q84"/>
  <sheetViews>
    <sheetView workbookViewId="0">
      <selection activeCell="E10" sqref="E10"/>
    </sheetView>
  </sheetViews>
  <sheetFormatPr defaultColWidth="9.109375" defaultRowHeight="13.8"/>
  <cols>
    <col min="1" max="1" width="31.44140625" style="21" customWidth="1"/>
    <col min="2" max="2" width="27.33203125" style="21" customWidth="1"/>
    <col min="3" max="3" width="11.6640625" style="22" customWidth="1"/>
    <col min="4" max="5" width="19.109375" style="21" customWidth="1"/>
    <col min="6" max="6" width="5.109375" style="22" customWidth="1"/>
    <col min="7" max="7" width="24.5546875" style="23" customWidth="1"/>
    <col min="8" max="8" width="9.109375" style="21" customWidth="1"/>
    <col min="9" max="9" width="6.88671875" style="21" customWidth="1"/>
    <col min="10" max="12" width="11.33203125" style="21" customWidth="1"/>
    <col min="13" max="13" width="14.44140625" style="22" customWidth="1"/>
    <col min="14" max="14" width="11.33203125" style="21" customWidth="1"/>
    <col min="15" max="15" width="23" style="21" customWidth="1"/>
    <col min="16" max="16" width="20.44140625" style="21" customWidth="1"/>
    <col min="17" max="17" width="12.33203125" style="21" customWidth="1"/>
    <col min="18" max="18" width="13.5546875" style="21" customWidth="1"/>
    <col min="19" max="19" width="9.33203125" style="21" customWidth="1"/>
    <col min="20" max="16384" width="9.109375" style="21"/>
  </cols>
  <sheetData>
    <row r="1" spans="1:17" ht="24.6">
      <c r="A1" s="1146" t="s">
        <v>3365</v>
      </c>
      <c r="B1" s="1146"/>
      <c r="C1" s="1146"/>
      <c r="D1" s="1146"/>
      <c r="E1" s="1146"/>
      <c r="F1" s="24"/>
      <c r="G1" s="24"/>
      <c r="H1" s="24"/>
      <c r="I1" s="24"/>
      <c r="J1" s="24"/>
      <c r="K1" s="24"/>
      <c r="L1" s="24"/>
      <c r="M1" s="24"/>
      <c r="N1" s="24"/>
      <c r="O1" s="24"/>
      <c r="P1" s="24"/>
      <c r="Q1" s="24"/>
    </row>
    <row r="2" spans="1:17">
      <c r="A2" s="1147" t="str">
        <f ca="1">CONCATENATE("As of ",TEXT(NOW(),"mmmm dd, yyyy"))</f>
        <v>As of March 24, 2026</v>
      </c>
      <c r="B2" s="1147"/>
      <c r="C2" s="1147"/>
      <c r="D2" s="1147"/>
      <c r="E2" s="1147"/>
      <c r="F2" s="21"/>
      <c r="G2" s="21"/>
      <c r="M2" s="21"/>
    </row>
    <row r="3" spans="1:17">
      <c r="A3" s="25"/>
      <c r="B3" s="25"/>
      <c r="C3" s="25"/>
      <c r="D3" s="25"/>
      <c r="E3" s="25"/>
      <c r="F3" s="25"/>
      <c r="G3" s="22"/>
      <c r="H3" s="25"/>
      <c r="I3" s="25"/>
      <c r="J3" s="25"/>
      <c r="K3" s="25"/>
      <c r="L3" s="25"/>
      <c r="N3" s="25"/>
      <c r="O3" s="25"/>
      <c r="P3" s="25"/>
    </row>
    <row r="4" spans="1:17" s="17" customFormat="1" ht="22.8">
      <c r="A4" s="1148" t="s">
        <v>1495</v>
      </c>
      <c r="B4" s="1148"/>
      <c r="C4" s="1148"/>
      <c r="D4" s="1148"/>
      <c r="E4" s="1148"/>
      <c r="F4" s="26"/>
      <c r="G4" s="26"/>
      <c r="H4" s="26"/>
      <c r="I4" s="26"/>
      <c r="J4" s="26"/>
      <c r="K4" s="26"/>
      <c r="L4" s="26"/>
      <c r="M4" s="26"/>
      <c r="N4" s="26"/>
      <c r="O4" s="26"/>
      <c r="P4" s="26"/>
      <c r="Q4" s="26"/>
    </row>
    <row r="5" spans="1:17" s="18" customFormat="1" ht="17.399999999999999">
      <c r="A5" s="1149" t="s">
        <v>1496</v>
      </c>
      <c r="B5" s="1149"/>
      <c r="C5" s="1149"/>
      <c r="D5" s="1149"/>
      <c r="E5" s="1149"/>
    </row>
    <row r="6" spans="1:17" s="18" customFormat="1" ht="17.399999999999999">
      <c r="A6" s="27"/>
      <c r="B6" s="27"/>
      <c r="C6" s="27"/>
      <c r="D6" s="27"/>
      <c r="E6" s="27"/>
      <c r="F6" s="27"/>
      <c r="G6" s="27"/>
      <c r="H6" s="27"/>
      <c r="I6" s="27"/>
      <c r="J6" s="27"/>
      <c r="K6" s="27"/>
      <c r="L6" s="27"/>
      <c r="M6" s="27"/>
      <c r="N6" s="27"/>
      <c r="O6" s="27"/>
      <c r="P6" s="27"/>
      <c r="Q6" s="27"/>
    </row>
    <row r="7" spans="1:17" ht="15" customHeight="1">
      <c r="A7" s="1150" t="s">
        <v>3366</v>
      </c>
      <c r="B7" s="1150" t="s">
        <v>3367</v>
      </c>
      <c r="C7" s="1150" t="s">
        <v>3368</v>
      </c>
      <c r="D7" s="1150" t="s">
        <v>1875</v>
      </c>
      <c r="E7" s="1150" t="s">
        <v>3369</v>
      </c>
      <c r="F7" s="21"/>
      <c r="G7" s="21"/>
      <c r="M7" s="21"/>
    </row>
    <row r="8" spans="1:17" s="19" customFormat="1" ht="30" customHeight="1">
      <c r="A8" s="1151"/>
      <c r="B8" s="1151"/>
      <c r="C8" s="1151"/>
      <c r="D8" s="1151"/>
      <c r="E8" s="1151"/>
    </row>
    <row r="9" spans="1:17" s="18" customFormat="1" ht="17.399999999999999">
      <c r="A9" s="28" t="s">
        <v>3370</v>
      </c>
      <c r="B9" s="28" t="s">
        <v>1533</v>
      </c>
      <c r="C9" s="29">
        <v>8</v>
      </c>
      <c r="D9" s="30">
        <v>36409</v>
      </c>
      <c r="E9" s="30">
        <f t="shared" ref="E9:E14" si="0">+D9*12*C9</f>
        <v>3495264</v>
      </c>
    </row>
    <row r="10" spans="1:17" s="18" customFormat="1" ht="17.399999999999999">
      <c r="A10" s="28" t="s">
        <v>3370</v>
      </c>
      <c r="B10" s="28" t="s">
        <v>1545</v>
      </c>
      <c r="C10" s="29">
        <v>3</v>
      </c>
      <c r="D10" s="30">
        <v>28417</v>
      </c>
      <c r="E10" s="30">
        <f t="shared" si="0"/>
        <v>1023012</v>
      </c>
    </row>
    <row r="11" spans="1:17" s="18" customFormat="1" ht="17.399999999999999">
      <c r="A11" s="28" t="s">
        <v>3370</v>
      </c>
      <c r="B11" s="28" t="s">
        <v>3371</v>
      </c>
      <c r="C11" s="29">
        <v>1</v>
      </c>
      <c r="D11" s="30">
        <v>36409</v>
      </c>
      <c r="E11" s="30">
        <f t="shared" si="0"/>
        <v>436908</v>
      </c>
    </row>
    <row r="12" spans="1:17" s="18" customFormat="1" ht="17.399999999999999">
      <c r="A12" s="28" t="s">
        <v>3370</v>
      </c>
      <c r="B12" s="28" t="s">
        <v>1636</v>
      </c>
      <c r="C12" s="29">
        <v>1</v>
      </c>
      <c r="D12" s="30">
        <v>36409</v>
      </c>
      <c r="E12" s="30">
        <f t="shared" si="0"/>
        <v>436908</v>
      </c>
    </row>
    <row r="13" spans="1:17" s="18" customFormat="1" ht="17.399999999999999">
      <c r="A13" s="28" t="s">
        <v>3372</v>
      </c>
      <c r="B13" s="28" t="s">
        <v>3373</v>
      </c>
      <c r="C13" s="29">
        <v>1</v>
      </c>
      <c r="D13" s="30">
        <v>36409</v>
      </c>
      <c r="E13" s="30">
        <f t="shared" si="0"/>
        <v>436908</v>
      </c>
    </row>
    <row r="14" spans="1:17" s="18" customFormat="1" ht="17.399999999999999">
      <c r="A14" s="28" t="s">
        <v>3372</v>
      </c>
      <c r="B14" s="28" t="s">
        <v>3374</v>
      </c>
      <c r="C14" s="29">
        <v>1</v>
      </c>
      <c r="D14" s="30">
        <v>28417</v>
      </c>
      <c r="E14" s="30">
        <f t="shared" si="0"/>
        <v>341004</v>
      </c>
    </row>
    <row r="15" spans="1:17" s="18" customFormat="1" ht="17.399999999999999">
      <c r="A15" s="28" t="s">
        <v>3372</v>
      </c>
      <c r="B15" s="28" t="s">
        <v>3375</v>
      </c>
      <c r="C15" s="29">
        <v>1</v>
      </c>
      <c r="D15" s="30">
        <v>28417</v>
      </c>
      <c r="E15" s="30">
        <f t="shared" ref="E15:E27" si="1">+D15*12*C15</f>
        <v>341004</v>
      </c>
    </row>
    <row r="16" spans="1:17" s="18" customFormat="1" ht="17.399999999999999">
      <c r="A16" s="28" t="s">
        <v>3372</v>
      </c>
      <c r="B16" s="28" t="s">
        <v>1545</v>
      </c>
      <c r="C16" s="29">
        <v>1</v>
      </c>
      <c r="D16" s="30">
        <v>28417</v>
      </c>
      <c r="E16" s="30">
        <f t="shared" si="1"/>
        <v>341004</v>
      </c>
    </row>
    <row r="17" spans="1:13" s="18" customFormat="1" ht="17.399999999999999">
      <c r="A17" s="28" t="s">
        <v>1865</v>
      </c>
      <c r="B17" s="28" t="s">
        <v>1879</v>
      </c>
      <c r="C17" s="29">
        <v>1</v>
      </c>
      <c r="D17" s="30">
        <v>11658</v>
      </c>
      <c r="E17" s="30">
        <f t="shared" si="1"/>
        <v>139896</v>
      </c>
    </row>
    <row r="18" spans="1:13" s="18" customFormat="1" ht="17.399999999999999">
      <c r="A18" s="28" t="s">
        <v>3376</v>
      </c>
      <c r="B18" s="28" t="s">
        <v>1640</v>
      </c>
      <c r="C18" s="29">
        <v>1</v>
      </c>
      <c r="D18" s="30">
        <v>30000</v>
      </c>
      <c r="E18" s="30">
        <f t="shared" si="1"/>
        <v>360000</v>
      </c>
    </row>
    <row r="19" spans="1:13" s="18" customFormat="1" ht="17.399999999999999">
      <c r="A19" s="28" t="s">
        <v>3376</v>
      </c>
      <c r="B19" s="28" t="s">
        <v>3377</v>
      </c>
      <c r="C19" s="29">
        <v>0</v>
      </c>
      <c r="D19" s="30">
        <v>36409</v>
      </c>
      <c r="E19" s="30">
        <f t="shared" si="1"/>
        <v>0</v>
      </c>
      <c r="F19" s="31" t="s">
        <v>3378</v>
      </c>
    </row>
    <row r="20" spans="1:13" s="18" customFormat="1" ht="17.399999999999999">
      <c r="A20" s="28" t="s">
        <v>3379</v>
      </c>
      <c r="B20" s="32" t="s">
        <v>3380</v>
      </c>
      <c r="C20" s="29"/>
      <c r="D20" s="30"/>
      <c r="E20" s="30">
        <f t="shared" si="1"/>
        <v>0</v>
      </c>
      <c r="F20" s="31" t="s">
        <v>3381</v>
      </c>
    </row>
    <row r="21" spans="1:13" s="18" customFormat="1" ht="17.399999999999999">
      <c r="A21" s="28" t="s">
        <v>3382</v>
      </c>
      <c r="B21" s="28" t="s">
        <v>1786</v>
      </c>
      <c r="C21" s="29">
        <v>1</v>
      </c>
      <c r="D21" s="30">
        <v>36409</v>
      </c>
      <c r="E21" s="30">
        <f t="shared" si="1"/>
        <v>436908</v>
      </c>
    </row>
    <row r="22" spans="1:13" s="18" customFormat="1" ht="17.399999999999999">
      <c r="A22" s="28" t="s">
        <v>3383</v>
      </c>
      <c r="B22" s="28" t="s">
        <v>3384</v>
      </c>
      <c r="C22" s="29">
        <v>4</v>
      </c>
      <c r="D22" s="30">
        <v>11658</v>
      </c>
      <c r="E22" s="30">
        <f t="shared" si="1"/>
        <v>559584</v>
      </c>
    </row>
    <row r="23" spans="1:13" s="18" customFormat="1" ht="17.399999999999999">
      <c r="A23" s="28"/>
      <c r="B23" s="28" t="s">
        <v>1525</v>
      </c>
      <c r="C23" s="29">
        <v>7</v>
      </c>
      <c r="D23" s="30">
        <v>10833</v>
      </c>
      <c r="E23" s="30">
        <f t="shared" si="1"/>
        <v>909972</v>
      </c>
    </row>
    <row r="24" spans="1:13" s="18" customFormat="1" ht="17.399999999999999">
      <c r="A24" s="28"/>
      <c r="B24" s="28" t="s">
        <v>3385</v>
      </c>
      <c r="C24" s="29">
        <v>1</v>
      </c>
      <c r="D24" s="30">
        <v>10833</v>
      </c>
      <c r="E24" s="30">
        <f t="shared" si="1"/>
        <v>129996</v>
      </c>
    </row>
    <row r="25" spans="1:13" s="18" customFormat="1" ht="17.399999999999999">
      <c r="A25" s="28"/>
      <c r="B25" s="28" t="s">
        <v>1550</v>
      </c>
      <c r="C25" s="29">
        <v>4</v>
      </c>
      <c r="D25" s="30">
        <v>9478</v>
      </c>
      <c r="E25" s="30">
        <f t="shared" si="1"/>
        <v>454944</v>
      </c>
    </row>
    <row r="26" spans="1:13" s="18" customFormat="1" ht="17.399999999999999">
      <c r="A26" s="28"/>
      <c r="B26" s="28" t="s">
        <v>1586</v>
      </c>
      <c r="C26" s="29">
        <v>1</v>
      </c>
      <c r="D26" s="30">
        <v>9478</v>
      </c>
      <c r="E26" s="30">
        <f t="shared" si="1"/>
        <v>113736</v>
      </c>
    </row>
    <row r="27" spans="1:13" s="18" customFormat="1" ht="17.399999999999999">
      <c r="A27" s="33"/>
      <c r="B27" s="33" t="s">
        <v>1583</v>
      </c>
      <c r="C27" s="34">
        <v>3</v>
      </c>
      <c r="D27" s="35">
        <v>9478</v>
      </c>
      <c r="E27" s="35">
        <f t="shared" si="1"/>
        <v>341208</v>
      </c>
    </row>
    <row r="28" spans="1:13" ht="19.5" customHeight="1">
      <c r="C28" s="21"/>
      <c r="F28" s="21"/>
      <c r="G28" s="21"/>
      <c r="M28" s="21"/>
    </row>
    <row r="29" spans="1:13" ht="19.5" customHeight="1">
      <c r="C29" s="21"/>
      <c r="F29" s="21"/>
      <c r="G29" s="21"/>
      <c r="M29" s="21"/>
    </row>
    <row r="30" spans="1:13" ht="19.5" customHeight="1">
      <c r="C30" s="21"/>
      <c r="F30" s="21"/>
      <c r="G30" s="21"/>
      <c r="M30" s="21"/>
    </row>
    <row r="31" spans="1:13" ht="19.5" customHeight="1">
      <c r="C31" s="21"/>
      <c r="F31" s="21"/>
      <c r="G31" s="21"/>
      <c r="M31" s="21"/>
    </row>
    <row r="32" spans="1:13" ht="19.5" customHeight="1">
      <c r="C32" s="21"/>
      <c r="F32" s="21"/>
      <c r="G32" s="21"/>
      <c r="M32" s="21"/>
    </row>
    <row r="33" s="21" customFormat="1" ht="19.5" customHeight="1"/>
    <row r="34" s="21" customFormat="1" ht="19.5" customHeight="1"/>
    <row r="35" s="21" customFormat="1" ht="19.5" customHeight="1"/>
    <row r="36" s="21" customFormat="1" ht="19.5" customHeight="1"/>
    <row r="37" s="21" customFormat="1" ht="19.5" customHeight="1"/>
    <row r="38" s="21" customFormat="1" ht="19.5" customHeight="1"/>
    <row r="39" s="21" customFormat="1" ht="19.5" customHeight="1"/>
    <row r="40" s="21" customFormat="1" ht="19.5" customHeight="1"/>
    <row r="41" s="21" customFormat="1" ht="19.5" customHeight="1"/>
    <row r="42" s="21" customFormat="1" ht="19.5" customHeight="1"/>
    <row r="43" s="20" customFormat="1" ht="19.5" customHeight="1"/>
    <row r="44" s="21" customFormat="1" ht="19.5" customHeight="1"/>
    <row r="45" s="21" customFormat="1" ht="19.5" customHeight="1"/>
    <row r="46" s="21" customFormat="1" ht="19.5" customHeight="1"/>
    <row r="47" s="21" customFormat="1" ht="19.5" customHeight="1"/>
    <row r="48" s="21" customFormat="1" ht="19.5" customHeight="1"/>
    <row r="49" s="21" customFormat="1" ht="19.5" customHeight="1"/>
    <row r="50" s="21" customFormat="1" ht="19.5" customHeight="1"/>
    <row r="51" s="21" customFormat="1" ht="19.5" customHeight="1"/>
    <row r="52" s="21" customFormat="1" ht="19.5" customHeight="1"/>
    <row r="53" s="21" customFormat="1" ht="19.5" customHeight="1"/>
    <row r="54" s="21" customFormat="1" ht="19.5" customHeight="1"/>
    <row r="55" s="21" customFormat="1" ht="19.5" customHeight="1"/>
    <row r="56" s="21" customFormat="1" ht="19.5" customHeight="1"/>
    <row r="57" s="21" customFormat="1" ht="19.5" customHeight="1"/>
    <row r="58" s="21" customFormat="1" ht="19.5" customHeight="1"/>
    <row r="59" s="21" customFormat="1"/>
    <row r="60" s="21" customFormat="1"/>
    <row r="61" s="21" customFormat="1"/>
    <row r="62" s="21" customFormat="1"/>
    <row r="63" s="21" customFormat="1"/>
    <row r="64" s="21" customFormat="1"/>
    <row r="65" s="21" customFormat="1"/>
    <row r="66" s="21" customFormat="1"/>
    <row r="67" s="21" customFormat="1"/>
    <row r="68" s="21" customFormat="1"/>
    <row r="69" s="21" customFormat="1"/>
    <row r="70" s="21" customFormat="1"/>
    <row r="71" s="21" customFormat="1"/>
    <row r="72" s="21" customFormat="1"/>
    <row r="73" s="21" customFormat="1"/>
    <row r="74" s="21" customFormat="1"/>
    <row r="75" s="21" customFormat="1"/>
    <row r="76" s="21" customFormat="1" ht="19.5" customHeight="1"/>
    <row r="77" s="21" customFormat="1" ht="19.5" customHeight="1"/>
    <row r="78" s="21" customFormat="1" ht="19.5" customHeight="1"/>
    <row r="79" s="21" customFormat="1" ht="19.5" customHeight="1"/>
    <row r="80" s="21" customFormat="1" ht="19.5" customHeight="1"/>
    <row r="81" spans="1:13" ht="19.5" customHeight="1">
      <c r="C81" s="21"/>
      <c r="F81" s="21"/>
      <c r="G81" s="21"/>
      <c r="M81" s="21"/>
    </row>
    <row r="82" spans="1:13">
      <c r="C82" s="21"/>
      <c r="F82" s="21"/>
      <c r="G82" s="21"/>
      <c r="M82" s="21"/>
    </row>
    <row r="83" spans="1:13" ht="19.5" customHeight="1">
      <c r="C83" s="21"/>
      <c r="F83" s="21"/>
      <c r="G83" s="21"/>
      <c r="M83" s="21"/>
    </row>
    <row r="84" spans="1:13">
      <c r="A84" s="23"/>
      <c r="C84" s="21"/>
      <c r="G84" s="21"/>
      <c r="M84" s="21"/>
    </row>
  </sheetData>
  <mergeCells count="9">
    <mergeCell ref="A1:E1"/>
    <mergeCell ref="A2:E2"/>
    <mergeCell ref="A4:E4"/>
    <mergeCell ref="A5:E5"/>
    <mergeCell ref="A7:A8"/>
    <mergeCell ref="B7:B8"/>
    <mergeCell ref="C7:C8"/>
    <mergeCell ref="D7:D8"/>
    <mergeCell ref="E7:E8"/>
  </mergeCells>
  <printOptions horizontalCentered="1"/>
  <pageMargins left="0.69930555555555596" right="0.69930555555555596" top="0.34930555555555598" bottom="0.38888888888888901" header="0.3" footer="0.3"/>
  <pageSetup paperSize="9"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
  <sheetViews>
    <sheetView workbookViewId="0"/>
  </sheetViews>
  <sheetFormatPr defaultRowHeight="14.4"/>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3:D14"/>
  <sheetViews>
    <sheetView zoomScale="70" zoomScaleNormal="70" workbookViewId="0">
      <selection activeCell="J14" sqref="J14"/>
    </sheetView>
  </sheetViews>
  <sheetFormatPr defaultColWidth="9" defaultRowHeight="14.4"/>
  <cols>
    <col min="1" max="1" width="39" customWidth="1"/>
    <col min="2" max="3" width="23.6640625" customWidth="1"/>
  </cols>
  <sheetData>
    <row r="3" spans="1:4" ht="44.4">
      <c r="A3" s="1152" t="s">
        <v>3029</v>
      </c>
      <c r="B3" s="1152"/>
      <c r="C3" s="1152"/>
    </row>
    <row r="4" spans="1:4" ht="26.4">
      <c r="A4" s="2" t="s">
        <v>3386</v>
      </c>
      <c r="C4" s="2" t="s">
        <v>3387</v>
      </c>
      <c r="D4" s="2" t="s">
        <v>3386</v>
      </c>
    </row>
    <row r="5" spans="1:4" s="1" customFormat="1" ht="52.8">
      <c r="A5" s="3" t="s">
        <v>3388</v>
      </c>
      <c r="B5" s="4" t="s">
        <v>3389</v>
      </c>
      <c r="C5" s="5" t="s">
        <v>3390</v>
      </c>
    </row>
    <row r="6" spans="1:4" ht="50.25" customHeight="1">
      <c r="A6" s="6" t="s">
        <v>57</v>
      </c>
      <c r="B6" s="7" t="e">
        <f>+#REF!</f>
        <v>#REF!</v>
      </c>
      <c r="C6" s="8">
        <f>COUNTIF(stationjo,"Region")</f>
        <v>23</v>
      </c>
    </row>
    <row r="7" spans="1:4" ht="50.25" customHeight="1">
      <c r="A7" s="9" t="s">
        <v>408</v>
      </c>
      <c r="B7" s="10" t="e">
        <f>+#REF!</f>
        <v>#REF!</v>
      </c>
      <c r="C7" s="11">
        <f>COUNTIF(stationjo,A7)</f>
        <v>6</v>
      </c>
    </row>
    <row r="8" spans="1:4" ht="50.25" customHeight="1">
      <c r="A8" s="6" t="s">
        <v>181</v>
      </c>
      <c r="B8" s="7" t="e">
        <f>+#REF!</f>
        <v>#REF!</v>
      </c>
      <c r="C8" s="8">
        <f>COUNTIF(stationjo,A8)</f>
        <v>4</v>
      </c>
    </row>
    <row r="9" spans="1:4" ht="50.25" customHeight="1">
      <c r="A9" s="9" t="s">
        <v>189</v>
      </c>
      <c r="B9" s="10" t="e">
        <f>+#REF!</f>
        <v>#REF!</v>
      </c>
      <c r="C9" s="11">
        <f>COUNTIF(stationjo,"Baguio")</f>
        <v>2</v>
      </c>
    </row>
    <row r="10" spans="1:4" ht="50.25" customHeight="1">
      <c r="A10" s="6" t="s">
        <v>167</v>
      </c>
      <c r="B10" s="7" t="e">
        <f>+#REF!</f>
        <v>#REF!</v>
      </c>
      <c r="C10" s="8">
        <f>COUNTIF(stationjo,A10)</f>
        <v>4</v>
      </c>
    </row>
    <row r="11" spans="1:4" ht="50.25" customHeight="1">
      <c r="A11" s="9" t="s">
        <v>174</v>
      </c>
      <c r="B11" s="10" t="e">
        <f>+#REF!</f>
        <v>#REF!</v>
      </c>
      <c r="C11" s="11">
        <f>COUNTIF(stationjo,A11)</f>
        <v>5</v>
      </c>
    </row>
    <row r="12" spans="1:4" ht="50.25" customHeight="1">
      <c r="A12" s="6" t="s">
        <v>211</v>
      </c>
      <c r="B12" s="7" t="e">
        <f>+#REF!</f>
        <v>#REF!</v>
      </c>
      <c r="C12" s="8">
        <f>COUNTIF(stationjo,A12)</f>
        <v>6</v>
      </c>
    </row>
    <row r="13" spans="1:4" ht="50.25" customHeight="1">
      <c r="A13" s="9" t="s">
        <v>268</v>
      </c>
      <c r="B13" s="10" t="e">
        <f>+#REF!</f>
        <v>#REF!</v>
      </c>
      <c r="C13" s="11">
        <f>COUNTIF(stationjo,A13)</f>
        <v>4</v>
      </c>
    </row>
    <row r="14" spans="1:4" ht="32.4">
      <c r="A14" s="12" t="s">
        <v>2188</v>
      </c>
      <c r="B14" s="13" t="e">
        <f>SUM(B6:B13)</f>
        <v>#REF!</v>
      </c>
      <c r="C14" s="14">
        <f>SUM(C6:C13)</f>
        <v>54</v>
      </c>
    </row>
  </sheetData>
  <mergeCells count="1">
    <mergeCell ref="A3:C3"/>
  </mergeCells>
  <pageMargins left="0.69930555555555596" right="0.69930555555555596"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62</vt:i4>
      </vt:variant>
    </vt:vector>
  </HeadingPairs>
  <TitlesOfParts>
    <vt:vector size="91" baseType="lpstr">
      <vt:lpstr>RatPlan Strat</vt:lpstr>
      <vt:lpstr>Reclass18</vt:lpstr>
      <vt:lpstr>JO inventory</vt:lpstr>
      <vt:lpstr>staffing plan</vt:lpstr>
      <vt:lpstr>list of positions</vt:lpstr>
      <vt:lpstr>pivot</vt:lpstr>
      <vt:lpstr>Inventory of Positions</vt:lpstr>
      <vt:lpstr>2018 nosa db</vt:lpstr>
      <vt:lpstr>ASSIGNMENT</vt:lpstr>
      <vt:lpstr>= Blood type - bp no.</vt:lpstr>
      <vt:lpstr>True or False 2018</vt:lpstr>
      <vt:lpstr>inventory 5-6</vt:lpstr>
      <vt:lpstr>salary grade</vt:lpstr>
      <vt:lpstr>HR Profile PT</vt:lpstr>
      <vt:lpstr>HR Profile</vt:lpstr>
      <vt:lpstr>formula edits</vt:lpstr>
      <vt:lpstr>mirror</vt:lpstr>
      <vt:lpstr>mirror 2018</vt:lpstr>
      <vt:lpstr>mirror2020</vt:lpstr>
      <vt:lpstr>SI 2020</vt:lpstr>
      <vt:lpstr>2018SI </vt:lpstr>
      <vt:lpstr>BP205 19</vt:lpstr>
      <vt:lpstr>BP205 20</vt:lpstr>
      <vt:lpstr>BP205 21</vt:lpstr>
      <vt:lpstr>BP205 22</vt:lpstr>
      <vt:lpstr>BP205 23</vt:lpstr>
      <vt:lpstr>COS in CO</vt:lpstr>
      <vt:lpstr>Sheet1</vt:lpstr>
      <vt:lpstr>Sheet2</vt:lpstr>
      <vt:lpstr>'inventory 5-6'!AbraSG</vt:lpstr>
      <vt:lpstr>AbraSG</vt:lpstr>
      <vt:lpstr>age</vt:lpstr>
      <vt:lpstr>agegroup</vt:lpstr>
      <vt:lpstr>'inventory 5-6'!ApayaoSG</vt:lpstr>
      <vt:lpstr>ApayaoSG</vt:lpstr>
      <vt:lpstr>'inventory 5-6'!BaguioSG</vt:lpstr>
      <vt:lpstr>BaguioSG</vt:lpstr>
      <vt:lpstr>barnachea</vt:lpstr>
      <vt:lpstr>BARNACHEA1</vt:lpstr>
      <vt:lpstr>'inventory 5-6'!BenguetSG</vt:lpstr>
      <vt:lpstr>BenguetSG</vt:lpstr>
      <vt:lpstr>'2018 nosa db'!Extract</vt:lpstr>
      <vt:lpstr>mirror!Extract</vt:lpstr>
      <vt:lpstr>'mirror 2018'!Extract</vt:lpstr>
      <vt:lpstr>mirror2020!Extract</vt:lpstr>
      <vt:lpstr>gender</vt:lpstr>
      <vt:lpstr>genderagegroupstation</vt:lpstr>
      <vt:lpstr>GENDERSTATION</vt:lpstr>
      <vt:lpstr>grace</vt:lpstr>
      <vt:lpstr>gRACE1</vt:lpstr>
      <vt:lpstr>idica</vt:lpstr>
      <vt:lpstr>IDICA1</vt:lpstr>
      <vt:lpstr>'inventory 5-6'!IfugaoSG</vt:lpstr>
      <vt:lpstr>IfugaoSG</vt:lpstr>
      <vt:lpstr>'inventory 5-6'!KalingaSG</vt:lpstr>
      <vt:lpstr>KalingaSG</vt:lpstr>
      <vt:lpstr>Level</vt:lpstr>
      <vt:lpstr>leveljo</vt:lpstr>
      <vt:lpstr>'inventory 5-6'!MtProvinceSG</vt:lpstr>
      <vt:lpstr>MtProvinceSG</vt:lpstr>
      <vt:lpstr>norman</vt:lpstr>
      <vt:lpstr>NORMAN1</vt:lpstr>
      <vt:lpstr>PosStSex</vt:lpstr>
      <vt:lpstr>ASSIGNMENT!Print_Area</vt:lpstr>
      <vt:lpstr>'BP205 19'!Print_Area</vt:lpstr>
      <vt:lpstr>'BP205 20'!Print_Area</vt:lpstr>
      <vt:lpstr>'BP205 21'!Print_Area</vt:lpstr>
      <vt:lpstr>'BP205 22'!Print_Area</vt:lpstr>
      <vt:lpstr>'BP205 23'!Print_Area</vt:lpstr>
      <vt:lpstr>'HR Profile PT'!Print_Area</vt:lpstr>
      <vt:lpstr>'inventory 5-6'!Print_Area</vt:lpstr>
      <vt:lpstr>'Inventory of Positions'!Print_Area</vt:lpstr>
      <vt:lpstr>'RatPlan Strat'!Print_Area</vt:lpstr>
      <vt:lpstr>'staffing plan'!Print_Area</vt:lpstr>
      <vt:lpstr>ASSIGNMENT!Print_Titles</vt:lpstr>
      <vt:lpstr>'COS in CO'!Print_Titles</vt:lpstr>
      <vt:lpstr>'inventory 5-6'!Print_Titles</vt:lpstr>
      <vt:lpstr>'Inventory of Positions'!Print_Titles</vt:lpstr>
      <vt:lpstr>'JO inventory'!Print_Titles</vt:lpstr>
      <vt:lpstr>'list of positions'!Print_Titles</vt:lpstr>
      <vt:lpstr>'RatPlan Strat'!Print_Titles</vt:lpstr>
      <vt:lpstr>'staffing plan'!Print_Titles</vt:lpstr>
      <vt:lpstr>PTSexCat</vt:lpstr>
      <vt:lpstr>PTStation</vt:lpstr>
      <vt:lpstr>sexjo</vt:lpstr>
      <vt:lpstr>ShrtPT</vt:lpstr>
      <vt:lpstr>station</vt:lpstr>
      <vt:lpstr>stationjo</vt:lpstr>
      <vt:lpstr>status</vt:lpstr>
      <vt:lpstr>statuslevel</vt:lpstr>
      <vt:lpstr>statuslevel1</vt:lpstr>
    </vt:vector>
  </TitlesOfParts>
  <Company>dilg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dc:creator>
  <cp:lastModifiedBy>Chrysantine Ged-ang</cp:lastModifiedBy>
  <cp:lastPrinted>2026-03-24T04:54:32Z</cp:lastPrinted>
  <dcterms:created xsi:type="dcterms:W3CDTF">2013-01-28T07:23:00Z</dcterms:created>
  <dcterms:modified xsi:type="dcterms:W3CDTF">2026-03-24T04:54:47Z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2057-11.2.0.8641</vt:lpwstr>
  </property>
</Properties>
</file>